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008\Desktop\monday-clone\"/>
    </mc:Choice>
  </mc:AlternateContent>
  <xr:revisionPtr revIDLastSave="0" documentId="8_{475682F5-4553-4597-8200-901806B9B512}" xr6:coauthVersionLast="47" xr6:coauthVersionMax="47" xr10:uidLastSave="{00000000-0000-0000-0000-000000000000}"/>
  <bookViews>
    <workbookView xWindow="24" yWindow="384" windowWidth="23016" windowHeight="12216" xr2:uid="{93F3FFC2-E8DD-4BF6-88E3-430FB3E9FA2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0" i="1" l="1"/>
  <c r="B149" i="1"/>
  <c r="B148" i="1"/>
  <c r="B147" i="1"/>
  <c r="B146" i="1"/>
  <c r="B145" i="1"/>
  <c r="B144" i="1"/>
  <c r="B143" i="1"/>
  <c r="B142" i="1"/>
  <c r="B141" i="1"/>
  <c r="B140" i="1"/>
  <c r="B137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C60" i="1"/>
  <c r="C59" i="1"/>
  <c r="C58" i="1"/>
  <c r="C45" i="1"/>
</calcChain>
</file>

<file path=xl/sharedStrings.xml><?xml version="1.0" encoding="utf-8"?>
<sst xmlns="http://schemas.openxmlformats.org/spreadsheetml/2006/main" count="797" uniqueCount="489">
  <si>
    <t>ITEM</t>
  </si>
  <si>
    <t>DESCRIPCIÓN</t>
  </si>
  <si>
    <t>UNID</t>
  </si>
  <si>
    <t>CANTIDAD</t>
  </si>
  <si>
    <t>VALOR UNITARIO</t>
  </si>
  <si>
    <t>1.01</t>
  </si>
  <si>
    <t>SUMINISTRO DE PERSONAL, INSUMOS Y HERRAMIENTAS PARA LIMPIEZA MANUAL DE INFRAESTRUCTURA COSTERA.</t>
  </si>
  <si>
    <t>M2-MES</t>
  </si>
  <si>
    <t>1.02</t>
  </si>
  <si>
    <t>APOYO LOGISTICO EN EL DESARROLLO DE EVENTOS  Y/O TEMPORADAS.</t>
  </si>
  <si>
    <t>M2</t>
  </si>
  <si>
    <t>1.03</t>
  </si>
  <si>
    <t xml:space="preserve">PERSONAL ADICIONAL PARA EVENTOS Y/O TEMPORADAS... INCLUYE ALIMENTACIÓN, TRANSPORTES, DOTACIÓN Y TODOS LOS ELEMENTOS NECESARIOS PARA LA PRESTACIÓN DEL SERVICIO </t>
  </si>
  <si>
    <t>jr</t>
  </si>
  <si>
    <t>1.04</t>
  </si>
  <si>
    <t>VACIADO DE PAPELERA Y PUNTO Y DISPOSICIÓN DE ACOPIO</t>
  </si>
  <si>
    <t>UND</t>
  </si>
  <si>
    <t>1.05</t>
  </si>
  <si>
    <t>MOVIMIENTO DE TIERRA</t>
  </si>
  <si>
    <t>M3</t>
  </si>
  <si>
    <t>1.06</t>
  </si>
  <si>
    <t>CONFORMACION DE TIERRA</t>
  </si>
  <si>
    <t>1.07</t>
  </si>
  <si>
    <t>EXCAVACIÓN MECANICA  EN TERRENO NATURAL SIN RETIRO</t>
  </si>
  <si>
    <t>1.08</t>
  </si>
  <si>
    <t>EXCAVACIÓN MANUAL EN TERRENO NATURAL SIN RETIRO</t>
  </si>
  <si>
    <t>1.09</t>
  </si>
  <si>
    <t>CORTE DE TRONCOS DE MADERA EN PLAYA (LONG MAX DE 8 m)</t>
  </si>
  <si>
    <t>1.10</t>
  </si>
  <si>
    <t>TRASIEGO CON MAQUINARIA EN SITIO ESTRATEGICO</t>
  </si>
  <si>
    <t>1.11</t>
  </si>
  <si>
    <t>CARGUE CON MAQUINARIA DE MATERIAL ACOPIADO  Y CLASIFICADO EN VOLQUETAS</t>
  </si>
  <si>
    <t>1.12</t>
  </si>
  <si>
    <t>RETIRO Y DISPOSICIÓN FINAL DE MATERIAL ORGÁNICO Y/O TRONCOS DE MADERA EN PLAYAS.( INC. LA GESTIÓN FINAL DEL USUARIO)</t>
  </si>
  <si>
    <t>1.13</t>
  </si>
  <si>
    <t>RETIRO Y DISPOSICIÓN FINAL DE MATERIAL INORGÁNICO Y/O OTROS TIPOS DE RESIDUO (INC. LA GESTIÓN FINAL DEL USUARIO)</t>
  </si>
  <si>
    <t>1.14</t>
  </si>
  <si>
    <t>SUMINISTRO DE PERSONAL, INSUMOS, HERRAMIENTAS Y EQUIPOS PARA NIVELACIÓN MECÁNICA DE PLAYAS</t>
  </si>
  <si>
    <t>1.15</t>
  </si>
  <si>
    <t>SUMINISTRO Y DISPOSICIÓN DE  EQUIPOS Y PERSONAL ESPECIALIZADO PARA LIMPIEZA Y OXIGENACIÓN MECÁNICA DE PLAYAS</t>
  </si>
  <si>
    <t>2.01</t>
  </si>
  <si>
    <t>CONTROL DE MALEZAS MECANICA DE ARBUSTOS Y CUBRESUELOS, INCLUYE TODAS LAS HERRAMIENTAS Y EQUIPOS NECESARIOS PARA LA CORRECTA EJECUCIÓN DE LA ACTIVIDAD.</t>
  </si>
  <si>
    <t>2.02</t>
  </si>
  <si>
    <t>CONTROL DE MALEZAS MECANICA DE GRAMA, INCLUYE TODAS LAS HERRAMIENTAS Y EQUIPOS NECESARIOS PARA LA CORRECTA EJECUCIÓN DE LA ACTIVIDAD</t>
  </si>
  <si>
    <t>2.03</t>
  </si>
  <si>
    <t>CONTROL DE MALEZAS MECANICA DE ARBOLES Y PALMAS, INCLUYE TODAS LAS HERRAMIENTAS Y EQUIPOS NECESARIOS PARA LA CORRECTA EJECUCIÓN DE LA ACTIVIDAD</t>
  </si>
  <si>
    <t>UND-MES</t>
  </si>
  <si>
    <t>2.04</t>
  </si>
  <si>
    <t>SUMINISTRO Y APLICACIÓN DE HERBICIDAS PARA CONTROL DE MALEZAS QUIMICO DE GRAMA, INCLUYE TODOS LOS INSUMOS, HERRAMIENTAS Y EQUIPOS PARA EL CORRECTO CONTROL Y EJECUCIÓN DE LA ACTIVIDAD.</t>
  </si>
  <si>
    <t>2.05</t>
  </si>
  <si>
    <t xml:space="preserve">SUMINISTRO Y APLICACIÓN DE HERBICIDAS PARA CONTROL DE MALEZAS QUIMICO DE ARBOLES, INCLUYE TODOS LOS INSUMOS, HERRAMIENTAS Y EQUIPOS PARA EL CORRECTO CONTROL Y EJECUCIÓN DE LA ACTIVIDAD. </t>
  </si>
  <si>
    <t>2.06</t>
  </si>
  <si>
    <t>SUMINISTRO Y APLICACIÓN DE FUNGICIDAS E INSECTICIDAS SEGÚN CONTROL FITOSANITARIO PARA ARBUSTOS, CUBRESUELOS, INCLUYE TODOS LOS INSUMOS, HERRAMIENTAS Y EQUIPOS PARA EL CORRECTO CONTROL Y EJECUCIÓN DE LA ACTIVIDAD.</t>
  </si>
  <si>
    <t>2.07</t>
  </si>
  <si>
    <t>SUMINISTRO Y APLICACIÓN DE FUNGICIDAS E INSECTICIDAS SEGÚN CONTROL FITOSANITARIO DE GRAMA, INCLUYE TODOS LOS INSUMOS, HERRAMIENTAS Y EQUIPOS PARA EL CORRECTO CONTROL Y EJECUCIÓN DE LA ACTIVIDAD.</t>
  </si>
  <si>
    <t>2.08</t>
  </si>
  <si>
    <t>SUMINISTRO Y APLICACIÓN DE FUNGICIDAS E INSECTICIDAS SEGÚN CONTROL FITOSANITARIO DE ARBOLES Y PALMAS, INCLUYE TODOS LOS INSUMOS, HERRAMIENTAS Y EQUIPOS PARA EL CORRECTO CONTROL Y EJECUCIÓN DE LA ACTIVIDAD.</t>
  </si>
  <si>
    <t>2.09</t>
  </si>
  <si>
    <t>SUMINISTRO Y APLICACIÓN DE FERTILIZANTES PARA ARBUSTOS Y CUBRESUELOS, FERTILIZACIÓN DE SISTESIS ORGANICA, , INCLUYE TODOS LOS INSUMOS, HERRAMIENTAS Y EQUIPOS PARA EL CORRECTO CONTROL Y EJECUCIÓN DE LA ACTIVIDAD.</t>
  </si>
  <si>
    <t>2.10</t>
  </si>
  <si>
    <t>SUMINISTRO Y APLICACIÓN DE FERTILIZANTES PARA GRAMA, FERTILIZACIÓN DE SISTESIS ORGANICA , INCLUYE TODOS LOS INSUMOS, HERRAMIENTAS Y EQUIPOS PARA EL CORRECTO CONTROL Y EJECUCIÓN DE LA ACTIVIDAD.</t>
  </si>
  <si>
    <t>2.11</t>
  </si>
  <si>
    <t>SUMINISTRO Y APLICACIÓN DE FERTILIZANTES PARA MANEJO NUTRICIONAL ARBOLES Y PALMAS, FERTILIZACIÓN DE SISTESIS ORGANICA, , INCLUYE TODOS LOS INSUMOS, HERRAMIENTAS Y EQUIPOS PARA EL CORRECTO CONTROL Y EJECUCIÓN DE LA ACTIVIDAD.</t>
  </si>
  <si>
    <t>2.12</t>
  </si>
  <si>
    <t>SUMINISTRO DE INSUMOS Y PERSONAL PARA PODA TECNICA Y FORMATIVA DE ARBUSTOS Y CUBRESUELOS, INCLUYE TODOS LOS INSUMOS, HERRAMIENTAS Y EQUIPOS PARA EL CORRECTO CONTROL Y EJECUCIÓN DE LA ACTIVIDAD.</t>
  </si>
  <si>
    <t>2.13</t>
  </si>
  <si>
    <t>SUMINISTRO DE INSUMOS Y PERSONAL PARA PODA DE PODA TECNICA DE GRAMA CON MAQUINA, INCLUYE TODOS LOS INSUMOS, HERRAMIENTAS Y EQUIPOS PARA EL CORRECTO CONTROL Y EJECUCIÓN DE LA ACTIVIDAD.</t>
  </si>
  <si>
    <t>2.14</t>
  </si>
  <si>
    <t>SUMINISTRO DE INSUMOS Y PERSONAL PARA PODA TECNICA Y FORMATICA DE ARBOLES Y PALMAS, INCLUYE TODOS LOS INSUMOS, HERRAMIENTAS Y EQUIPOS PARA EL CORRECTO CONTROL Y EJECUCIÓN DE LA ACTIVIDAD.</t>
  </si>
  <si>
    <t>2.15</t>
  </si>
  <si>
    <t>SUMINISTRO DE INSUMOS Y PERSONAL PARA BORDEADA DE GRAMA, INCLUYE LOS EQUIPOS NECESARIOS PARA LA CORRECTA EJECUCIÓN DE LA ACTIVIDAD.</t>
  </si>
  <si>
    <t>ML-MES</t>
  </si>
  <si>
    <t>2.16</t>
  </si>
  <si>
    <t>APLICACIÓN DE AGUA MEDIANTE PUNTO DE AGUA CON MANGUERA EN ZONAS VERDES, INCLUYE LOS EQUIPOS NECESARIOS PARA LA CORRECTA EJECUCIÓN DE LA ACTIVIDAD.</t>
  </si>
  <si>
    <t>2.17</t>
  </si>
  <si>
    <t>AGUA EN CARRO TANQUE PARA RIEGO</t>
  </si>
  <si>
    <t>VJE</t>
  </si>
  <si>
    <t>2.18</t>
  </si>
  <si>
    <t>SUMINISTRO DE INSUMOS Y PERSONAL ASEO Y LIMPIEZA DE ZONAS VERDES, INCLUYE TODOS LOS INSUMOS, HERRAMIENTAS Y EQUIPOS PARA LA CORRECTA EJECUCIÓN DE LA ACTIVIDAD.</t>
  </si>
  <si>
    <t>CONTROL DE MALEZAS MECANICA DE ARBUSTOS Y CUBRESUELOS MURO VERTICAL, INCLUYE TODAS LAS HERRAMIENTAS Y EQUIPOS NECESARIOS PARA LA CORRECTA EJECUCIÓN DE LA ACTIVIDAD.</t>
  </si>
  <si>
    <t>SUMINISTRO DE INSUMOS Y PERSONAL PARA PODA TECNICA Y FORMATIVA DE ARBUSTOS Y CUBRESUELOS MURO VERTICAL, INCLUYE TODOS LOS INSUMOS, HERRAMIENTAS Y EQUIPOS PARA EL CORRECTO CONTROL Y EJECUCIÓN DE LA ACTIVIDAD.</t>
  </si>
  <si>
    <t>SUMINISTRO Y APLICACIÓN DE FUNGICIDAS E INSECTICIDAS SEGÚN CONTROL FITOSANITARIO PARA ARBUSTOS Y CUBRESUELOS MURO VERTICAL, INCLUYE TODOS LOS INSUMOS, HERRAMIENTAS Y EQUIPOS PARA EL CORRECTO CONTROL Y EJECUCIÓN DE LA ACTIVIDAD.</t>
  </si>
  <si>
    <t>SUMINISTRO Y APLICACIÓN DE FERTILIZANTES PARA ARBUSTOS Y CUBRESUELOS MURO VERTICAL, FERTILIZACIÓN DE SISTESIS ORGANICA, , INCLUYE TODOS LOS INSUMOS, HERRAMIENTAS Y EQUIPOS PARA EL CORRECTO CONTROL Y EJECUCIÓN DE LA ACTIVIDAD.</t>
  </si>
  <si>
    <t>SUMINISTRO DE INSUMOS  Y PULIDA DE BARANDAS Y ELEMENTOS EN ACERO INOXIDABLE, INCLUYE REMOCIÓN DE PINTURAS, ESMALTES, CHICLES Y DEMAS ELEMENTOS QUE NO HAGAN PARTE DE SU FUNCIONALIDAD.</t>
  </si>
  <si>
    <t>CONTROL DE MALEZAS MECANICO DE ZONAS DURAS, INCLUYE TODAS LAS HERRAMIENTAS Y EQUIPOS NECESARIOS PARA LA CORRECTA EJECUCIÓN DE LA ACTIVIDAD</t>
  </si>
  <si>
    <t>SUMINISTRO DE INSUMOS Y PERSONAL ASEO Y LIMPIEZA DE ZONAS DURAS, INCLUYE TODOS LOS INSUMOS, HERRAMIENTAS Y EQUIPOS PARA LA CORRECTA EJECUCIÓN DE LA ACTIVIDAD.</t>
  </si>
  <si>
    <t>LAVADA A PRESIÓN DE ZONAS DURAS, INCLUYE TODOS LOS INSUMOS, HERRAMIENTAS Y EQUIPOS PARA LA CORRECTA EJECUCIÓN DE LA ACTIVIDAD.</t>
  </si>
  <si>
    <t>SUMINISTRO Y APLICACIÓN DE HERBICIDAS PARA CONTROL DE MALEZAS QUIMICO DE ZONAS DURAS</t>
  </si>
  <si>
    <t>SUMINISTRO DE INSUMOS Y PERSONAL ASEO Y LIMPIEZA DE UNIDAD SANITARIA DE BAÑO, INCLUYE TODOS LOS INSUMOS, HERRAMIENTAS Y EQUIPOS PARA LA CORRECTA EJECUCIÓN DE LA ACTIVIDAD.</t>
  </si>
  <si>
    <t>UND.SANITARIA-MES</t>
  </si>
  <si>
    <t>SUMINISTRO DE INSUMOS  PARA LIMPIEZA DE BARANDAS Y ELEMENTOS EN PVC, INCLUYE REMOCIÓN DE PINTURAS, ESMALTES, CHICLES Y DEMAS ELEMENTOS QUE NO HAGAN PARTE DE SU FUNCIONALIDAD.</t>
  </si>
  <si>
    <t>SUMINISTRO DE INSUMOS Y PERSONAL PARA ASEO, LIMPIEZA Y MANTENIMIENTO PREVENTIVO SIN SUMNISTRO DE REPUESTOS DE ESCALERA ELECTRICA. INCLUYE ACTIVIDADES DE INSPECCIÓN, AJUSTE Y LUBRICACIÓN PERIODICA DE ELEMENTOS Y ARTES PROPIAS DEL EQUIPO</t>
  </si>
  <si>
    <t xml:space="preserve">MANTENIMIENTO PREVENTIVO TIPO A DE BOMBAS CENTRIFUGAS  PARA SUMINISTRO DE AGUA POTABLE Y CRUDA PARA BAÑOS, FUENTE DE AGUA,SISTEMA DE RIEGO, ACHIQUE, FILTRADO Y REDES CONTRA INCENDIO. INCLUYE: MATERIALES E INSUMOS PARA CALIBRACIÓN DE TANQUES HIDROFLOW,AJUSTE DE PRESOSTATO PARA PRUEBA DE OPERACIÓN DE NIVELES Y CALIBRACIÓN DE PRESIONES DE TRABAJO, INSPECCIÓN DE CHEQUES DE RETENCIÓN, REVISIÓN Y CAMBIO DE SELLOS MECANICOS, REVISIÓN Y CAMBIO DE RODAMIENTOS, REVISIÓN DE TABLEROS DE CONTROL, REVISIÓN DE BOMBINAS Y TODOS LOS ELEMENTOS NECESARIOS PARA CORRECTA EJECUCIÓN </t>
  </si>
  <si>
    <t>LAVADO FISICOQUIMICO DE FUENTE LIMPIEZA PERIODICA</t>
  </si>
  <si>
    <t>MANTENIMIENTO PREVENTIVO Y CORRECTIVO, INCLUYE LIMPIZA DE FILTROS,
CAMBIO DE AGUA DE ESTANQUE, TRATAMIENTO AGUA, ENGRASE PARTES
RODANTES, LIMPIEZA PARTES ELECTRICAS, BALANCEO Y NIVELADO DE AGUA DE TORRES DE ENFRIAMIENTO DE AA</t>
  </si>
  <si>
    <t>SUMINISTRO DE INSUMOS Y PERSONAL ASEO Y LIMPIEZA, ACOMODAMIENTO DE MUEBLES, SILLAS  INCLUYE TODOS LOS INSUMOS, HERRAMIENTAS Y EQUIPOS PARA LA CORRECTA EJECUCIÓN DE LA ACTIVIDAD.</t>
  </si>
  <si>
    <t>NP</t>
  </si>
  <si>
    <t>ADMINISTRACION Y PRODUCCION DE EVENTOS CULTURALES POR TEMPORADA DE FIN DE AÑO EN MUELLE 1888(INCLUYE MONTAJE DE ESTACION DE NAVIDEÑA Y PAPA NOEL; GRUPOS MUSICALES EN VIVO)</t>
  </si>
  <si>
    <t>SUMINISTRO DE PERSONAL E INSUMOS PARA MANTENIMIENTO PREVENTIVO DE PLANTA ELÉCTRICA GH619CSX POWER, INCLUYE CAMBIO DE ACEITE Y FILTROS</t>
  </si>
  <si>
    <t xml:space="preserve">SUMINISTRO E INSTALACIÓN DE MOSAICO EN CERAMICA ARTÍSTICA MURAL DE PESCADORES . INCLUYE: MATERIALES, ALQUILER Y SERVICIOS, MANO DE OBRA ESPECIALIZADA, TRANSPORTES, OTROS. </t>
  </si>
  <si>
    <t>FABRICACIÓN E INTALACIÓN DE SEÑALETICA PARA PROYECTO NAUTICO SALINAS DEL REY, INCLUYE: TOTEMS PLAYAS, TOTEMS DE CENTRO NAUTICO, TOTEMS DE DUNAS, TOTEMS DE PARQUEADERO, SEÑALIZACIÓN DE ESCUELAS, SEÑALIZACIÓN DE DUNAS, SEÑALIZACIÓN DE EBAR, SEÑALIZACIÓN DE SUBESTACIÓN Y PLANTA ELÉCTRICA, PUBLIPOSTES EN VIAS DE INGRESO, PASACALLES PARQUEADERO, PASACALLES Y SEÑAL DE TRANSITO EN VIA AL MAR.</t>
  </si>
  <si>
    <t>ORNAMENTACION Y JARDINERIA - SIEMBRA DE OLIVO NEGRO. NC.  BUCIDAS BUCERAS</t>
  </si>
  <si>
    <t>ARBOLADA (10 UND)</t>
  </si>
  <si>
    <t>ORNAMENTACION Y JARDINERIA - SIEMBRA DE PEREGRINA. NC.  JATROPHA INTEGERRIMA</t>
  </si>
  <si>
    <t>ORNAMENTACION Y JARDINERIA - SIEMBRA DE SAN JOAQUIN. NC.  CORDIA SEBESTENA</t>
  </si>
  <si>
    <t>ORNAMENTACION Y JARDINERIA - SIEMBRA DE TULIPAN AFRICANO. NC.  SPATHODEA CAMPANULATA</t>
  </si>
  <si>
    <t>ORNAMENTACION Y JARDINERIA - SIEMBRA DE PASTOFUENTE AFRICANO. NC.  PENNISETUM SETACEUM</t>
  </si>
  <si>
    <t>SUMINISTRO, TRANSPORTE Y SIEMBRA DE EUPHORBIA MILII (TU Y YO) H PROM 20CM, NO INCLUYE EXCAVACIÓN NI SUMINISTRO Y CONFORMACIÓN DE TIERRA NEGRA.</t>
  </si>
  <si>
    <t>SUMINISTRO, TRANSPORTE Y SIEMBRA DE DURANTA REPENS (DURANTA GOLD) H PROM 20CM, NO INCLUYE EXCAVACIÓN NI SUMINISTRO Y CONFORMACIÓN DE TIERRA NEGRA.</t>
  </si>
  <si>
    <t>SUMINISTRO, TRANSPORTE Y SIEMBRA DE HELICONIA PSITTACORUM (AVE DEL PARAISO) H PROM 30CM, INCLUYE EXCAVACIÓN NI SUMINISTRO Y CONFORMACIÓN DE TIERRA NEGRA.</t>
  </si>
  <si>
    <t>SUMINISTRO, TRANSPORTE Y SIEMBRA DE IXORA COCCINEA NORA GRANT (CORAL PATILLA) H PROM 40CM , NO INCLUYE EXCAVACIÓN NI SUMINISTRO Y CONFORMACIÓN DE TIERRA NEGRA.</t>
  </si>
  <si>
    <t>SUMINISTRO, TRANSPORTE Y SIEMBRA DE CHEFFLERA ARBORICOLA TRINETTE (CHEFLERA SENSACIÓN) H PROM 40CM, NO INCLUYE EXCAVACIÓN NI SUMINISTRO Y CONFORMACIÓN DE TIERRA NEGRA.</t>
  </si>
  <si>
    <t>SUMINISTRO, TRANSPORTE Y SIEMBRA DE TRADESCANTIA PALLIDA PURPUREA (BARQUITO MORADO) H PROM 20CM, NO INCLUYE EXCAVACIÓN NI SUMINISTRO Y CONFORMACIÓN DE TIERRA NEGRA.</t>
  </si>
  <si>
    <t>SUMINISTRO, TRANSPORTE Y SIEMBRA DE PHILODENDRO LEMONADE (FILODENDRO LIMÓN) H PROM 30CM, NO INCLUYE EXCAVACIÓN NI SUMINISTRO Y CONFORMACIÓN DE TIERRA NEGRA.</t>
  </si>
  <si>
    <t>SUMINISTRO, TRANSPORTE Y SIEMBRA DE EPIPREMNUM AUREUM (MIAMI) H PROM 20CM, NO INCLUYE EXCAVACIÓN NI SUMINISTRO Y CONFORMACIÓN DE TIERRA NEGRA.</t>
  </si>
  <si>
    <t>SUMINISTRO, TRANSPORTE Y SIEMBRA DE DIANELLA TASMANICA  (DIANELLA) H PROM 30CM, NO INCLUYE EXCAVACIÓN NI SUMINISTRO Y CONFORMACIÓN DE TIERRA NEGRA.</t>
  </si>
  <si>
    <t>SUMINISTRO, TRANSPORTE Y SIEMBRA DE CONOCARPUS ERECTUS (MANGLE VERDE), H PROM 30CM NO INCLUYE EXCAVACIÓN NI SUMINISTRO Y CONFORMACIÓN DE TIERRA NEGRA.</t>
  </si>
  <si>
    <t>SUMINISTRO, TRANSPORTE Y SIEMBRA DE ALTERNANTHERA BETTZICKIANNA ( DURANTA ROJA ) H PROM 25CM, NO INCLUYE EXCAVACIÓN NI SUMINISTRO Y CONFORMACIÓN DE TIERRA NEGRA.</t>
  </si>
  <si>
    <t>SUMINISTRO, TRANSPORTE Y SIEMBRA DE BOUGAINVILLIA GLABRA -SPECTABILIS - VARIEGATA (TRINITARIA MORADA, TRINITARIA SURTIDA, TRINITARIA JUANITA) H PROM 40CM,  NO INCLUYE EXCAVACIÓN NI SUMINISTRO Y CONFORMACIÓN DE TIERRA NEGRA.</t>
  </si>
  <si>
    <t>SUMINISTRO, TRANSPORTE Y SIEMBRA DE TRADESCANTIA SPATHACEA (CINTA MORADA) H PROM 20CM, NO INCLUYE EXCAVACIÓN NI SUMINISTRO Y CONFORMACIÓN DE TIERRA NEGRA.</t>
  </si>
  <si>
    <t>SUMINISTRO, TRANSPORTE Y SIEMBRA DE AGAVE BORDE AMARILLO (AGAVE) H PROM 40CM, NO INCLUYE EXCAVACIÓN NI SUMINISTRO Y CONFORMACIÓN DE TIERRA NEGRA.</t>
  </si>
  <si>
    <t>SUMINISTRO, TRANSPORTE Y SIEMBRA DE COCCOLOVA UVIFERA (UVA DE PLAYA) H PROM 30CM, NO INCLUYE EXCAVACIÓN NI SUMINISTRO Y CONFORMACIÓN DE TIERRA NEGRA.</t>
  </si>
  <si>
    <t>SUMINISTRO, TRANSPORTE Y SIEMBRA DE CARISSA MACROCARPA (CARISSA) H PROM 20CM, NO INCLUYE EXCAVACIÓN NI SUMINISTRO Y CONFORMACIÓN DE TIERRA NEGRA.</t>
  </si>
  <si>
    <t>SUMINISTRO, TRANSPORTE Y SIEMBRA DE ASPARAGUS DESINFLORUS SPRENGERI (ESMERALDA CASTILLO) H PROM 25CM, NO INCLUYE EXCAVACIÓN NI SUMINISTRO Y CONFORMACIÓN DE TIERRA NEGRA.</t>
  </si>
  <si>
    <t>SUMINISTRO, TRANSPORTE Y SIEMBRA DE ASPARAGUS MEYERII (ESPARRAGO) H PROM 20CM, NO INCLUYE EXCAVACIÓN NI SUMINISTRO Y CONFORMACIÓN DE TIERRA NEGRA.</t>
  </si>
  <si>
    <t>SUMINISTRO, TRANSPORTE Y SIEMBRA DE PHILODENDRON CONGO (FILODENDRO CONGO) H PROM 35CM, NO INCLUYE EXCAVACIÓN NI SUMINISTRO Y CONFORMACIÓN DE TIERRA NEGRA.</t>
  </si>
  <si>
    <t>SUMINISTRO, TRANSPORTE Y SIEMBRA DE WEDELIA TRILOBATA (WEDELIA AMARILLA) H PROM 20CM, NO INCLUYE EXCAVACIÓN NI SUMINISTRO Y CONFORMACIÓN DE TIERRA NEGRA.</t>
  </si>
  <si>
    <t>SUMINISTRO, TRANSPORTE Y SIEMBRA DE MONSTERA DELICIOSA (BALAZO)H PROM 45CM, NO INCLUYE EXCAVACIÓN NI SUMINISTRO Y CONFORMACIÓN DE TIERRA NEGRA.</t>
  </si>
  <si>
    <t>SUMINISTRO, TRANSPORTE Y SIEMBRA DE CONOCARPUS ERECTUS SERICEUS (MANGLE PLATEADO) H PROM 30CM, NO INCLUYE EXCAVACIÓN NI SUMINISTRO Y CONFORMACIÓN DE TIERRA NEGRA.</t>
  </si>
  <si>
    <t>SUMINISTRO, TRANSPORTE Y SIEMBRA DE CORDYLINE TERMINALIS (CAÑA DE LA INDIA) H PROM 45CM, NO INCLUYE EXCAVACIÓN NI SUMINISTRO Y CONFORMACIÓN DE TIERRA NEGRA.</t>
  </si>
  <si>
    <t>SUMINISTRO, TRANSPORTE Y SIEMBRA DE SANSEVIERA TRIFACIATA LAURENTII (LENGUA DE SUEGRA) H PROM 40CM,  NO INCLUYE EXCAVACIÓN NI SUMINISTRO Y CONFORMACIÓN DE TIERRA NEGRA.</t>
  </si>
  <si>
    <t>SUMINISTRO, TRANSPORTE Y SIEMBRA DE PENNISETUM RUBRUM (PASTO MORADO)H PROM 40CM, NO INCLUYE EXCAVACIÓN NI SUMINISTRO Y CONFORMACIÓN DE TIERRA NEGRA.</t>
  </si>
  <si>
    <t>SUMINISTRO, TRANSPORTE Y SIEMBRA DE PENNISETUM ALBA (PASTO VERDE) H PROM 40CM, NO INCLUYE EXCAVACIÓN NI SUMINISTRO Y CONFORMACIÓN DE TIERRA NEGRA.</t>
  </si>
  <si>
    <t>SUMINISTRO, TRANSPORTE Y SIEMBRA DE M2 GRAMA EN TAPETE TIPO ZOYSIA NO INCLUYE EXCAVACIÓN NI SUMINISTRO Y CONFORMACIÓN DE TIERRA NEGRA.</t>
  </si>
  <si>
    <t>SUMINISTRO E INSTALACIÓN DE PIEDRA DECORATIVA MIXTA ESPESOR DE LA CAPA DE 5 CM</t>
  </si>
  <si>
    <t>SUMINISTRO, APLICACIÓN Y CONFORMACIÓN DE TIERRA NEGRA PARA SIEMBRA</t>
  </si>
  <si>
    <t>SUMINISTRO, TRANSPORTE Y SIEMBRA DE  ALISTONIA SCHOLARIS (ALISTONIA) 3-5M , NO INCLUYE EXCAVACIÓN NI SUMINISTRO Y CONFORMACIÓN DE TIERRA NEGRA.</t>
  </si>
  <si>
    <t>SUMINISTRO, TRANSPORTE Y SIEMBRA DE  ALBIZIA LEBBECK (ALGARROBO BLANCO) 3-5M , NO INCLUYE EXCAVACIÓN NI SUMINISTRO Y CONFORMACIÓN DE TIERRA NEGRA.</t>
  </si>
  <si>
    <t>SUMINISTRO, TRANSPORTE Y SIEMBRA DE  DELONIX REGIA (ARBOL ACACIA ROJO) 3-5M , NO INCLUYE EXCAVACIÓN NI SUMINISTRO Y CONFORMACIÓN DE TIERRA NEGRA.</t>
  </si>
  <si>
    <t>SUMINISTRO, TRANSPORTE Y SIEMBRA DE  TABEBUIA IMPRETIGINOSA (ROBLE MORADO) 3-4M , NO INCLUYE EXCAVACIÓN NI SUMINISTRO Y CONFORMACIÓN DE TIERRA NEGRA.</t>
  </si>
  <si>
    <t>SUMINISTRO, TRANSPORTE Y SIEMBRA DE  CONOCARPUS ERECTUS TALLO LIBRE (MANGLE VERDE ARBOL) 3-4M , NO INCLUYE EXCAVACIÓN NI SUMINISTRO Y CONFORMACIÓN DE TIERRA NEGRA.</t>
  </si>
  <si>
    <t>SUMINISTRO, TRANSPORTE Y SIEMBRA DE  COCCOLOVA UVIFERA TALLO LIBRE (UVA DE PLAYA ARBOL) 3-4M , NO INCLUYE EXCAVACIÓN NI SUMINISTRO Y CONFORMACIÓN DE TIERRA NEGRA.</t>
  </si>
  <si>
    <t>SUMINISTRO, TRANSPORTE Y SIEMBRA DE  PLUMERIA RUBRA (ARBOL FLORON) 3-4M , NO INCLUYE EXCAVACIÓN NI SUMINISTRO Y CONFORMACIÓN DE TIERRA NEGRA.</t>
  </si>
  <si>
    <t>SUMINISTRO, TRANSPORTE Y SIEMBRA DE  COCOS NUCIFERA (PALMA DE COCO) 5-7M , NO INCLUYE EXCAVACIÓN NI SUMINISTRO Y CONFORMACIÓN DE TIERRA NEGRA.</t>
  </si>
  <si>
    <t>SUMINISTRO, TRANSPORTE Y SIEMBRA DE  COCOS NUCIFERA (PALMA DE COCO) 8-10M , NO INCLUYE EXCAVACIÓN NI SUMINISTRO Y CONFORMACIÓN DE TIERRA NEGRA.</t>
  </si>
  <si>
    <t>SUMINISTRO, TRANSPORTE Y SIEMBRA DE  DYPSIS DECARYII (PALMA TRIANGULO) 4-6M , NO INCLUYE EXCAVACIÓN NI SUMINISTRO Y CONFORMACIÓN DE TIERRA NEGRA.</t>
  </si>
  <si>
    <t>SUMINISTRO, TRANSPORTE Y SIEMBRA DE  WODYETIA BIFURCARTA (PALMA COLA DE ZORRO) 6-7M , NO INCLUYE EXCAVACIÓN NI SUMINISTRO Y CONFORMACIÓN DE TIERRA NEGRA.</t>
  </si>
  <si>
    <t>SUMINISTRO, TRANSPORTE Y SIEMBRA DE  WODYETIA BIFURCARTA (PALMA COLA DE ZORRO) 7-8M , NO INCLUYE EXCAVACIÓN NI SUMINISTRO Y CONFORMACIÓN DE TIERRA NEGRA.</t>
  </si>
  <si>
    <t>SUMINISTRO, TRANSPORTE Y SIEMBRA DE  PHOENIX DACTYLIFERA (PALMA DATIL) 6-7M , NO INCLUYE EXCAVACIÓN NI SUMINISTRO Y CONFORMACIÓN DE TIERRA NEGRA.</t>
  </si>
  <si>
    <t>SUMINISTRO, TRANSPORTE Y SIEMBRA DE  PHOENIX DACTYLIFERA (PALMA DATIL) 7-8M , NO INCLUYE EXCAVACIÓN NI SUMINISTRO Y CONFORMACIÓN DE TIERRA NEGRA.</t>
  </si>
  <si>
    <t>SUMINISTRO, TRANSPORTE Y SIEMBRA DE  WASHINGTONIA ROBUSTA (PALMA WASHINGTONIA) 3-6M , NO INCLUYE EXCAVACIÓN NI SUMINISTRO Y CONFORMACIÓN DE TIERRA NEGRA.</t>
  </si>
  <si>
    <t>SUMINISTRO, TRANSPORTE Y SIEMBRA DE  WASHINGTONIA ROBUSTA (PALMA WASHINGTONIA) 8-9M , NO INCLUYE EXCAVACIÓN NI SUMINISTRO Y CONFORMACIÓN DE TIERRA NEGRA.</t>
  </si>
  <si>
    <t>SUMINISTRO, TRANSPORTE Y SIEMBRA DE  COCCOTHRINAX DOBLE (COCOTRINAS DOBLE) 3-4M , NO INCLUYE EXCAVACIÓN NI SUMINISTRO Y CONFORMACIÓN DE TIERRA NEGRA.</t>
  </si>
  <si>
    <t>SUMINISTRO, TRANSPORTE Y SIEMBRA DE  COCCOTHRINAX SENCILLA (COCOTRINAS SENCILLA) 3-4M , NO INCLUYE EXCAVACIÓN NI SUMINISTRO Y CONFORMACIÓN DE TIERRA NEGRA.</t>
  </si>
  <si>
    <t>SUMINISTRO, TRANSPORTE Y SIEMBRA DE  ACCOELORRAPHE WRIGHTII (PALMA PAUROTIS) 4-5M , NO INCLUYE EXCAVACIÓN NI SUMINISTRO Y CONFORMACIÓN DE TIERRA NEGRA.</t>
  </si>
  <si>
    <t>SUMINISTRO, TRANSPORTE Y SIEMBRA DE  CARPENTARIA ACUMINATA DOBLE (PALMA CARPENTARIA) 3-6M , NO INCLUYE EXCAVACIÓN NI SUMINISTRO Y CONFORMACIÓN DE TIERRA NEGRA.</t>
  </si>
  <si>
    <t>SUMINISTRO, TRANSPORTE Y SIEMBRA DE   ROYSTENEA REGIA  (PALMA REAL) 6-8M , NO INCLUYE EXCAVACIÓN NI SUMINISTRO Y CONFORMACIÓN DE TIERRA NEGRA.</t>
  </si>
  <si>
    <t>SUMINISTRO, TRANSPORTE Y SIEMBRA DE  ROYSTENEA REGIA (PALMA REAL) 9-10M , NO INCLUYE EXCAVACIÓN NI SUMINISTRO Y CONFORMACIÓN DE TIERRA NEGRA.</t>
  </si>
  <si>
    <t>CONCRETO  F'C= 14 MPA (E=0.05M)</t>
  </si>
  <si>
    <t>RELLENO EN MATERIAL SELECCIONADO SEGÚN ESTUDIO DE SUELOS</t>
  </si>
  <si>
    <t>ACERO DE REFUERZO</t>
  </si>
  <si>
    <t>KG</t>
  </si>
  <si>
    <t>SUMINISTRO E INSTALACIÓN DE DIVISIONES EN VIDRIO TEMPLADO 10 MM INCOLORO, INCLUYE MUROS DIVISORIOS, PUERTAS BATIENTES, TORNILLOS Y CERRADURAS, SEGÚN DISEÑO</t>
  </si>
  <si>
    <t>LEVANTE EN LADRILLO DE ARCILLA NO 5, DIM 30X20X12.5CMS. H:10CMS</t>
  </si>
  <si>
    <t>ML</t>
  </si>
  <si>
    <t>PAÑETE MORTERO 1:4, ALLANADO SOBRE MURO</t>
  </si>
  <si>
    <t>PAÑETE MORTERO 1:4 IMPERMEABILIZADO, ALLANADO SOBRE MURO</t>
  </si>
  <si>
    <t>ESTUCO PLÁSTICO SOBRE MURO CON PAÑETE ALLANADO</t>
  </si>
  <si>
    <t>PINTURA EN VINILO PARA MUROS A TRES MANOS</t>
  </si>
  <si>
    <t>MORTERO DE NIVELACIÓN 1:4, ESPESOR 4 CM</t>
  </si>
  <si>
    <t>MORTERO DE NIVELACIÓN IMPERMEABILIZADO 1:4, ESPESOR 4 CM</t>
  </si>
  <si>
    <t>PLACA DE CONTRAPISO EN CONCRETO DE 28 MPA, ESP= 12 CM, INCLUYE MALLA ELECTRO SOLDADA 6MM 15X15, CON ACABADO PULIDO</t>
  </si>
  <si>
    <t>PIEDRA NEGRA ACABADO RUSTICO MARS 30X60 E: 10 CMS</t>
  </si>
  <si>
    <t>LOSETA LISA DIM 30X15X6CM COLORES GRISES</t>
  </si>
  <si>
    <t>ENCHAPE BAÑOS ART 30X90 COLOR BLANCO</t>
  </si>
  <si>
    <t>SUMINISTRO E INSTALACIÓN DE PINTURA PARA EXTERIORES A 2 MANOS COLOR BLANCO</t>
  </si>
  <si>
    <t>CAMBIO O REPOSICIÓN DE MATERIAL PARA SELLADO DE JUNTA DE PISOS, INCLUYE TODOS LOS INSUMOS, HERRAMIENTAS Y EQUIPOS PARA LA CORRECTA EJECUCIÓN DE LA ACTIVIDAD.</t>
  </si>
  <si>
    <t>5.18</t>
  </si>
  <si>
    <t>MAMPOSTERIA PARA REGISTRO ELECTRICO, INCLUYE LOSA DE FONDO, NO INCLUYE TAPA, MARCO NI CONTRAMARCO.</t>
  </si>
  <si>
    <t>5.19</t>
  </si>
  <si>
    <t>CAMBIO O REPOSICIÓN DE TAPA REGISTRO ELÉCTRICO ESPESOR DE 8 CM EN CONCRETO DE 3000PSI, INCLUYE MARCO Y CONTRAMARCO</t>
  </si>
  <si>
    <t>5.20</t>
  </si>
  <si>
    <t>CAMBIO O REPOSICIÓN DE MAMPOSTERÍA EN BLOQUE #15 PARA CONSTRUCCIÓN DE ALCORQUE 1,5M X 1,5M X 1,5M, INCLUYE EXCAVACIÓN, HERRAMIENTAS E INSUMOS NECESARIOS PARA SU CORRECTA EJECUCIÓN</t>
  </si>
  <si>
    <t>RESANE DE ALFAJÍAS EN CONCRETO DE 3000PSI, INCLUYE ACERO DE REFUERZO 3/8", ANCLAJES, HERRAMIENTAS Y EQUIPOS NECESARIOS PARA SU CORRECTA EJECUCIÓN</t>
  </si>
  <si>
    <t>M</t>
  </si>
  <si>
    <t>5.22</t>
  </si>
  <si>
    <t>RESANE DE MUROS EN MAMPOSTERÍA, CON PAÑETE EN MORTERO DE 3000PSI, INCLUYE ESCARIFICACIÓN, HERRAMIENTAS, EQUIPOS Y ACCESORIOS NECESARIOS PARA SU CORRECTA EJECUCIÓN</t>
  </si>
  <si>
    <t>5.23</t>
  </si>
  <si>
    <t>DEMOLICIÓN DE BORDILLOS</t>
  </si>
  <si>
    <t>CAMBIO O REPOSICIÓN DE BORDILLO CON SARDINEL PREFABRICADO EN CONCRETO DE 0,8M, INCLUYE HERRAMIENTAS Y EQUIPOS NECESARIOS PARA SU CORRECTA EJECUCIÓN</t>
  </si>
  <si>
    <t>ARMADO, VACIADO Y DESENCOFRADO DE LOSA MACIZA EN CONCRETO DE 3000 PSI E=0,1M, CON MALLA ELECTROSOLDADA, INCLUYE HERRAMIENTAS Y EQUIPOS NECESARIOS PARA SU CORRECTA EJECUCIÓN</t>
  </si>
  <si>
    <t>PAÑETE EN MORTERO, INCLUYE HERRAMIENTAS Y EQUIPOS NECESARIOS PARA SU CORRECTA EJECUCIÓN</t>
  </si>
  <si>
    <t>DESMONTE APARATOS SANITARIOS</t>
  </si>
  <si>
    <t>DEMOLICIÓN DE PISO EXISTENTE ESPESOR MENOR A 10 CM, NO INCLUYE RETIRO DE ESCOMBROS</t>
  </si>
  <si>
    <t>CAMBIO O REPOSICIÓN DE BARANDAS EN ACERO INOXIDABLE CON PERFIL TUBULAR Y PARALES D 1,9", INCLUYE PERNOS Y DOS LINEAS HORIZONTALES, SEGÚN DISEÑO</t>
  </si>
  <si>
    <t>CAMBIO O REPOSICIÓN DE BARANDAS EN ACERO GALVANIZADO CON PERFIL TUBULAR Y PARALES D 1,9", INCLUYE PERNOS Y DOS LINEAS HORIZONTALES, SOLDADURA, RECUBRIMIENTO EPÓXICO, ACABADO DE COLOR A ELECCIÓN, SEGÚN DISEÑO</t>
  </si>
  <si>
    <t>CAMBIO O REPOSICIÓN DE BARRA DE APOYO PARA DISCAPACITADOS RECTA DE 760MM EN ACERO INOXIDABLE, INCLUYE PERNOS, HERRAMIENTAS Y EQUIPOS NECESARIOS PARA SU CORRECTA EJECUCIÓN</t>
  </si>
  <si>
    <t>CAMBIO O REPOSICIÓN DE BARRA DE APOYO PARA DISCAPACITADOS EN U EN ACERO INOXIDABLE, INCLUYE PERNOS, HERRAMIENTAS Y EQUIPOS NECESARIOS PARA SU CORRECTA EJECUCIÓN</t>
  </si>
  <si>
    <t xml:space="preserve">PISO EN MÁRMOL SINÚ VETA </t>
  </si>
  <si>
    <t>PISO EN POLVILLO DECK GUAYACÁN</t>
  </si>
  <si>
    <t>PINTURA ANTICORROSIVA DE BASE DE KIOSKOS H=25 D=70</t>
  </si>
  <si>
    <t>PINTURA ANTICORROSIVA DE BASE DE KIOSKOS H=55 D=88</t>
  </si>
  <si>
    <t>PINTURA ANTICORROSIVA DE BOLARDOS H=70CM  D=30 CM</t>
  </si>
  <si>
    <t>INSTALACIÓN DE BOLARDOS H=70CM  D=30 CM</t>
  </si>
  <si>
    <t>ANCLAJES DE BANCAS A PISO CONCRETO (8 ANCLAJES)</t>
  </si>
  <si>
    <t>ANCLAJES DE BANCAS A PISO CONCRETO (4 ANCLAJES)</t>
  </si>
  <si>
    <t>PINTURA ANTICORROSIVA DE LAMPARAS H= 1,8M</t>
  </si>
  <si>
    <t>SUMINISTRO E INSTALACION DE CIELO RASO EN LAMINA DE SUPERBOARD, CON ESTRUCTURA METALICA Y PERFIL OMEGA</t>
  </si>
  <si>
    <t>IMPERMEABILIZACIÓN DE CUBIERTA/RETIRO E INSTALACIÓN</t>
  </si>
  <si>
    <t>DEMARCACIÓN LINEAS PARQUEADERO ANCHO 10CM</t>
  </si>
  <si>
    <t>MANTENIMIENTO DE PISO DECK EN WPC, INCLUYE DISINSTALACION Y REINSTALACION DE MATERIAL EXISTENTE, TORNILLERIA, CHAZOS Y MANO DE OBRA (NO INCLUYE SUMINITRO DE PISO DECK EN WPC)</t>
  </si>
  <si>
    <t>MANTENIMIENTO-LIJADA Y PINTURA DE MATERAS DE MADERA TEKA</t>
  </si>
  <si>
    <t>9,1,1</t>
  </si>
  <si>
    <t>PUNTO AF LAVAMANOS PVCP -  1/2"</t>
  </si>
  <si>
    <t>UN</t>
  </si>
  <si>
    <t>9,1,2</t>
  </si>
  <si>
    <t>PUNTO  AF LAVAPLATOS PVCP -  1/2"</t>
  </si>
  <si>
    <t>9,1,3</t>
  </si>
  <si>
    <t>PUNTO AF ORINAL PVCP -  3/4"</t>
  </si>
  <si>
    <t>9,1,4</t>
  </si>
  <si>
    <t>PUNTO AF SANITARIO FLUXOMETRO DE  PVCP -  1-1/4"</t>
  </si>
  <si>
    <t>9,1,5</t>
  </si>
  <si>
    <t>PUNTO AF LLAVES  MANGUERA -  1/2"</t>
  </si>
  <si>
    <t>9,1,6</t>
  </si>
  <si>
    <t>PUNTO AF TAPON PARA LOCAL -  3/4"</t>
  </si>
  <si>
    <t>9,1,7</t>
  </si>
  <si>
    <t>PUNTO AF TAPON PARA FUENTE -  1"</t>
  </si>
  <si>
    <t>9,2,1</t>
  </si>
  <si>
    <t>TUBERIA PVC-P RDE  9 -  1/2"</t>
  </si>
  <si>
    <t>9,2,2</t>
  </si>
  <si>
    <t>ACCESORIO PVC-P -  1/2"</t>
  </si>
  <si>
    <t>9,2,3</t>
  </si>
  <si>
    <t>TUBERIA PVC-P RDE  11 -  3/4"</t>
  </si>
  <si>
    <t>9,2,4</t>
  </si>
  <si>
    <t>ACCESORIO PVC-P -  3/4"</t>
  </si>
  <si>
    <t>9,2,5</t>
  </si>
  <si>
    <t>TUBERIA PVC-P RDE.  21 -  1"</t>
  </si>
  <si>
    <t>9,2,6</t>
  </si>
  <si>
    <t>ACCESORIO PVC-P -  1"</t>
  </si>
  <si>
    <t>9,2,7</t>
  </si>
  <si>
    <t>TUBERIA PVC-P RDE.  21 -  1-1/4"</t>
  </si>
  <si>
    <t>9,2,8</t>
  </si>
  <si>
    <t>ACCESORIO PVC-P -  1-1/4"</t>
  </si>
  <si>
    <t>9,2,9</t>
  </si>
  <si>
    <t>TUBERIA PVCP RDE 21 -  1-1/2"</t>
  </si>
  <si>
    <t>9,2,10</t>
  </si>
  <si>
    <t>ACCESORIOS PVCP -  1-1/2"</t>
  </si>
  <si>
    <t>9,2,11</t>
  </si>
  <si>
    <t>TUBERIA PVCP  RDE 21 -  2"</t>
  </si>
  <si>
    <t>9,2,12</t>
  </si>
  <si>
    <t>ACCESORIOS PVCP -  2"</t>
  </si>
  <si>
    <t>9,2,13</t>
  </si>
  <si>
    <t>TUBERIA PVCP  RDE 21 -  2-1/2"</t>
  </si>
  <si>
    <t>9,2,14</t>
  </si>
  <si>
    <t>ACCESORIOS PVCP -  2-1/2"</t>
  </si>
  <si>
    <t>9,2,15</t>
  </si>
  <si>
    <t>TUBERIA PVCP  RDE 21 -  3"</t>
  </si>
  <si>
    <t>9,2,16</t>
  </si>
  <si>
    <t>ACCESORIOS PVCP -  3"</t>
  </si>
  <si>
    <t>9,3,1</t>
  </si>
  <si>
    <t xml:space="preserve">ACOPLE METALICO LAVAMANOS -  </t>
  </si>
  <si>
    <t>9,3,2</t>
  </si>
  <si>
    <t xml:space="preserve">ACOPLE METALICO LAVAPLATOS -  </t>
  </si>
  <si>
    <t>9,4,1</t>
  </si>
  <si>
    <t>SANITARIOS -  4"</t>
  </si>
  <si>
    <t>9,4,2</t>
  </si>
  <si>
    <t>LAVAMANOS -  2"</t>
  </si>
  <si>
    <t>9,4,3</t>
  </si>
  <si>
    <t>LAVAPLATOS -  2"</t>
  </si>
  <si>
    <t>9,4,4</t>
  </si>
  <si>
    <t>ORINAL -  2"</t>
  </si>
  <si>
    <t>9,4,5</t>
  </si>
  <si>
    <t>SIFON DE PISO -  2"</t>
  </si>
  <si>
    <t>9,4,6</t>
  </si>
  <si>
    <t>SIFON DE PISO -  3"</t>
  </si>
  <si>
    <t>9,4,7</t>
  </si>
  <si>
    <t>SIFON DE PISO -  4"</t>
  </si>
  <si>
    <t>9,4,8</t>
  </si>
  <si>
    <t>SUMINISTRO E INSTALACION BRIDA SANITARIOS -  4"</t>
  </si>
  <si>
    <t>9,4,9</t>
  </si>
  <si>
    <t>CODO INVERTIDO -  4"</t>
  </si>
  <si>
    <t>9,4,10</t>
  </si>
  <si>
    <t>TAPON PREVISTO CONEXIÓN FUTURA -  2"</t>
  </si>
  <si>
    <t>9,4,11</t>
  </si>
  <si>
    <t>TAPON PREVISTO CONEXIÓN FUTURA -  4"</t>
  </si>
  <si>
    <t>9,4,12</t>
  </si>
  <si>
    <t>TAPON PREVISTO CONEXIÓN FUTURA EQUIPOS A.A. PVC.P -  1"</t>
  </si>
  <si>
    <t>9,5,1</t>
  </si>
  <si>
    <t>TUBERIA PVC-SANITARIA -  2"</t>
  </si>
  <si>
    <t>9,5,2</t>
  </si>
  <si>
    <t>TUBERIA PVC-LIVIANA -  2"</t>
  </si>
  <si>
    <t>9,5,3</t>
  </si>
  <si>
    <t>ACCESORIO PVC-S -  2"</t>
  </si>
  <si>
    <t>9,5,4</t>
  </si>
  <si>
    <t>TUBERIA  PVC-SANITARIA -  3"</t>
  </si>
  <si>
    <t>9,5,5</t>
  </si>
  <si>
    <t>TUBERIA PVC-LIVIANA -  3"</t>
  </si>
  <si>
    <t>9,5,6</t>
  </si>
  <si>
    <t>ACCESORIO PVC-S -  3"</t>
  </si>
  <si>
    <t>9,5,7</t>
  </si>
  <si>
    <t>TUBERIA PVC-SANITARIA -  4"</t>
  </si>
  <si>
    <t>9,5,8</t>
  </si>
  <si>
    <t>TUBERIA PVC-LIVIANA -  4"</t>
  </si>
  <si>
    <t>9,5,9</t>
  </si>
  <si>
    <t>ACCESORIO PVC-S -  4"</t>
  </si>
  <si>
    <t>9,5,10</t>
  </si>
  <si>
    <t>TUBERIA PVC-SANITARIA -  6"</t>
  </si>
  <si>
    <t>9,5,11</t>
  </si>
  <si>
    <t>ACCESORIOS PVS -  6"</t>
  </si>
  <si>
    <t>9,5,12</t>
  </si>
  <si>
    <t>JUNTAS DE EXPANSION PVCS -  4"</t>
  </si>
  <si>
    <t>9,6,1</t>
  </si>
  <si>
    <t>TUBERIA PVC-P RDE  11 -  1"</t>
  </si>
  <si>
    <t>9,6,2</t>
  </si>
  <si>
    <t>9,6,3</t>
  </si>
  <si>
    <t>TUBERIA PVC-P RDE.  21 -  2"</t>
  </si>
  <si>
    <t>9,6,4</t>
  </si>
  <si>
    <t>ACCESORIO PVC-P -  2"</t>
  </si>
  <si>
    <t>9,7,1</t>
  </si>
  <si>
    <t>TUBERIA PVC-SANITARIA -  3"</t>
  </si>
  <si>
    <t>9,7,2</t>
  </si>
  <si>
    <t>ACCESORIOS PVS -  3"</t>
  </si>
  <si>
    <t>9,7,3</t>
  </si>
  <si>
    <t>9,7,4</t>
  </si>
  <si>
    <t>ACCESORIOS PVS -  4"</t>
  </si>
  <si>
    <t>9,7,5</t>
  </si>
  <si>
    <t>9,7,6</t>
  </si>
  <si>
    <t>9,7,7</t>
  </si>
  <si>
    <t>TRAGANTES TCI EN ALUMINIO -  3"</t>
  </si>
  <si>
    <t>9,7,8</t>
  </si>
  <si>
    <t>TRAGANTES TCI EN ALUMINIO -  4"</t>
  </si>
  <si>
    <t>9,7,9</t>
  </si>
  <si>
    <t>JUNTAS DE EXPANSION PVCS -  6"</t>
  </si>
  <si>
    <t>9,7,10</t>
  </si>
  <si>
    <t>9,8,1</t>
  </si>
  <si>
    <t>ABRAZADERAS -  1/2"</t>
  </si>
  <si>
    <t>9,8,2</t>
  </si>
  <si>
    <t>ABRAZADERAS -  3/4"</t>
  </si>
  <si>
    <t>9,8,3</t>
  </si>
  <si>
    <t>ABRAZADERAS -  1"</t>
  </si>
  <si>
    <t>9,8,4</t>
  </si>
  <si>
    <t>ABRAZADERAS -  1-1/4"</t>
  </si>
  <si>
    <t>9,8,5</t>
  </si>
  <si>
    <t>ABRAZADERAS -  1-1/2"</t>
  </si>
  <si>
    <t>9,8,6</t>
  </si>
  <si>
    <t>ABRAZADERAS -  2"</t>
  </si>
  <si>
    <t>9,8,7</t>
  </si>
  <si>
    <t>ABRAZADERAS -  2-1/2"</t>
  </si>
  <si>
    <t>9,8,8</t>
  </si>
  <si>
    <t>ABRAZADERAS -  3"</t>
  </si>
  <si>
    <t>9,8,9</t>
  </si>
  <si>
    <t>ABRAZADERAS -  4"</t>
  </si>
  <si>
    <t>9,8,10</t>
  </si>
  <si>
    <t>ABRAZADERAS -  6"</t>
  </si>
  <si>
    <t>9,9,1</t>
  </si>
  <si>
    <t>VALVULA TIPO BOLA -  1/2"</t>
  </si>
  <si>
    <t>9,9,2</t>
  </si>
  <si>
    <t>VALVULA TIPO BOLA -  3/4"</t>
  </si>
  <si>
    <t>9,9,3</t>
  </si>
  <si>
    <t>VALVULA TIPO BOLA -  2"</t>
  </si>
  <si>
    <t>9,9,4</t>
  </si>
  <si>
    <t>VALVULA PASO DIRECTO RED WHITE TIPO PESADO -  1/2"</t>
  </si>
  <si>
    <t>9,9,5</t>
  </si>
  <si>
    <t>VALVULA PASO DIRECTO RED WHITE TIPO PESADO -  3/4"</t>
  </si>
  <si>
    <t>9,9,6</t>
  </si>
  <si>
    <t>VALVULA PASO DIRECTO RED WHITE TIPO PESADO -  1"</t>
  </si>
  <si>
    <t>9,9,7</t>
  </si>
  <si>
    <t>VALVULA PASO DIRECTO RED WHITE TIPO PESADO -  1-1/4"</t>
  </si>
  <si>
    <t>9,9,8</t>
  </si>
  <si>
    <t>VALVULA PASO DIRECTO RED WHITE TIPO PESADO -  2"</t>
  </si>
  <si>
    <t>9,9,9</t>
  </si>
  <si>
    <t>VALVULA PASO DIRECTO RED WHITE TIPO PESADO -  3"</t>
  </si>
  <si>
    <t>9,9,10</t>
  </si>
  <si>
    <t>VALVULA EXPULSORA DE AIRE -  3/4"</t>
  </si>
  <si>
    <t>9,9,11</t>
  </si>
  <si>
    <t>MANOMETROS  GLICERINA RANGO HASTA 200 PSI -  DIAL 2"</t>
  </si>
  <si>
    <t>9,9,12</t>
  </si>
  <si>
    <t>REGISTRO DE CORTE TIPO ANTIFRAUDE -  1/2"</t>
  </si>
  <si>
    <t>9,9,13</t>
  </si>
  <si>
    <t>REGISTRO DE CORTE TIPO ANTIFRAUDE -  3/4"</t>
  </si>
  <si>
    <t>9,9,14</t>
  </si>
  <si>
    <t>REGISTRO DE CORTE TIPO ANTIFRAUDE -  2"</t>
  </si>
  <si>
    <t>9,9,15</t>
  </si>
  <si>
    <t>SUPRESOR GOLPE DE ARIETE (SCHOK HAMMER ARRESTOR) -  1/2"</t>
  </si>
  <si>
    <t>9,9,16</t>
  </si>
  <si>
    <t>SUPRESOR GOLPE DE ARIETE (SCHOK HAMMER ARRESTOR) -  3/4"</t>
  </si>
  <si>
    <t>9,9,17</t>
  </si>
  <si>
    <t>SUPRESOR GOLPE DE ARIETE (SCHOK HAMMER ARRESTOR) -  1"</t>
  </si>
  <si>
    <t>9,10,1</t>
  </si>
  <si>
    <t>CHEQUE CORTINA PERFORADO -  2"</t>
  </si>
  <si>
    <t>9,10,2</t>
  </si>
  <si>
    <t>CHEQUE HIDRO HELBERT -  3/4"</t>
  </si>
  <si>
    <t>9,10,3</t>
  </si>
  <si>
    <t>CHEQUE HIDRO HELBERT -  3"</t>
  </si>
  <si>
    <t>9,10,4</t>
  </si>
  <si>
    <t>JUNTA DE EXPANSION BORRACHA -  2"</t>
  </si>
  <si>
    <t>9,10,5</t>
  </si>
  <si>
    <t>JUNTA DE EXPANSION BORRACHA -  3"</t>
  </si>
  <si>
    <t>9,10,6</t>
  </si>
  <si>
    <t>REDUCCION EXCENTRICA -  4"</t>
  </si>
  <si>
    <t>9,10,7</t>
  </si>
  <si>
    <t>REDUCCION CONCENTRICA -  3"</t>
  </si>
  <si>
    <t>9,10,8</t>
  </si>
  <si>
    <t>VALVULA DE PIE ROSCADA TIPO HELBERT -  4"</t>
  </si>
  <si>
    <t>9,10,9</t>
  </si>
  <si>
    <t>VALVULA P/D RED WHITE TIPO PESADO -  3/4"</t>
  </si>
  <si>
    <t>9,10,10</t>
  </si>
  <si>
    <t>VALVULA P/D RED WHITE TIPO PESADO -  2"</t>
  </si>
  <si>
    <t>9,10,11</t>
  </si>
  <si>
    <t>VALVULA P/D RED WHITE TIPO PESADO -  3"</t>
  </si>
  <si>
    <t>9,10,12</t>
  </si>
  <si>
    <t>VALVULA P/D RED WHITE TIPO PESADO -  4"</t>
  </si>
  <si>
    <t>9,10,13</t>
  </si>
  <si>
    <t>VALVULA DE COMPUERTA VASTAGO ASCENDENTE -  3"</t>
  </si>
  <si>
    <t>9,10,14</t>
  </si>
  <si>
    <t>VALVULA DE COMPUERTA VASTAGO ASCENDENTE -  4"</t>
  </si>
  <si>
    <t>9,10,15</t>
  </si>
  <si>
    <t>FLOTADOR MECANICO TIPO HELBERT -  3/4"</t>
  </si>
  <si>
    <t>9,10,16</t>
  </si>
  <si>
    <t>NIPLE PASAMURO ACERO INOXIDABLE  -  3/4"</t>
  </si>
  <si>
    <t>9,10,17</t>
  </si>
  <si>
    <t>NIPLE PASAMURO ACERO INOXIDABLE  -  1 1/4"</t>
  </si>
  <si>
    <t>9,10,18</t>
  </si>
  <si>
    <t>NIPLE PASAMURO ACERO INOXIDABLE  -  2"</t>
  </si>
  <si>
    <t>9,10,19</t>
  </si>
  <si>
    <t>NIPLE PASAMURO ACERO INOXIDABLE  -  3"</t>
  </si>
  <si>
    <t>9,10,20</t>
  </si>
  <si>
    <t>NIPLE PASAMURO ACERO INOXIDABLE  -  4"</t>
  </si>
  <si>
    <t>9,10,21</t>
  </si>
  <si>
    <t>TUBERIA ACERO INOXIDABLE -  3/4"</t>
  </si>
  <si>
    <t>9,10,22</t>
  </si>
  <si>
    <t>TUBERIA ACERO INOXIDABLE -  2"</t>
  </si>
  <si>
    <t>9,10,23</t>
  </si>
  <si>
    <t>TUBERIA ACERO INOXIDABLE -  3"</t>
  </si>
  <si>
    <t>9,10,24</t>
  </si>
  <si>
    <t>TUBERIA ACERO INOXIDABLE -  4"</t>
  </si>
  <si>
    <t>9,10,25</t>
  </si>
  <si>
    <t>ACCESORIO  ACERO INOXIDABLE -  3/4"</t>
  </si>
  <si>
    <t>9,10,26</t>
  </si>
  <si>
    <t>ACCESORIO  ACERO INOXIDABLE -  2"</t>
  </si>
  <si>
    <t>9,10,27</t>
  </si>
  <si>
    <t>ACCESORIO  ACERO INOXIDABLE -  3"</t>
  </si>
  <si>
    <t>9,10,28</t>
  </si>
  <si>
    <t>ACCESORIO  ACERO INOXIDABLE -  4"</t>
  </si>
  <si>
    <t>9,10,29</t>
  </si>
  <si>
    <t>9,10,30</t>
  </si>
  <si>
    <t>BASTON DE VENTILACION  -  4"</t>
  </si>
  <si>
    <t>9,11,1</t>
  </si>
  <si>
    <t>VALVULA  CHEQUE  -  2"</t>
  </si>
  <si>
    <t>9,11,2</t>
  </si>
  <si>
    <t>VALVULA DE CORTE PVC -  2"</t>
  </si>
  <si>
    <t>9,11,3</t>
  </si>
  <si>
    <t>ADAPTADOR MACHO PVCP -  2"</t>
  </si>
  <si>
    <t>9,11,4</t>
  </si>
  <si>
    <t>VALVULA  CHEQUE  -  3"</t>
  </si>
  <si>
    <t>9,11,5</t>
  </si>
  <si>
    <t>VALVULA DE BOLA PVC -  3"</t>
  </si>
  <si>
    <t>9,11,6</t>
  </si>
  <si>
    <t>ADAPTADOR MACHO PVCP -  3"</t>
  </si>
  <si>
    <t>9,11,7</t>
  </si>
  <si>
    <t>CUERDA PARA  IZAJE   BOMBAS -</t>
  </si>
  <si>
    <t>9,11,8</t>
  </si>
  <si>
    <t>TUBERIA PVCP -  2"</t>
  </si>
  <si>
    <t>9,11,9</t>
  </si>
  <si>
    <t>9,11,10</t>
  </si>
  <si>
    <t>TUBERIA PVCP -  3"</t>
  </si>
  <si>
    <t>9,11,11</t>
  </si>
  <si>
    <t>9,12,1</t>
  </si>
  <si>
    <t>GEODREN CON TUBERIA CIRCULAR -  4"</t>
  </si>
  <si>
    <t>9,12,2</t>
  </si>
  <si>
    <t>TUBERIA PVC CORRUGADA  -  4"</t>
  </si>
  <si>
    <t>9,12,3</t>
  </si>
  <si>
    <t>ACCESORIOS PVC -  4"</t>
  </si>
  <si>
    <t xml:space="preserve">UN </t>
  </si>
  <si>
    <t>9,12,4</t>
  </si>
  <si>
    <t>GRAVA PARA FILTRO -  1/2"-3/4"</t>
  </si>
  <si>
    <t>9,12,5</t>
  </si>
  <si>
    <t>GEOTEXTIL NO TEJIDO REF. 1600 -</t>
  </si>
  <si>
    <t>DESINSTALACION DE FLUXOMETRO EN MAL ESTADO, E INSTALACIÓN FLUXOMETRO WC CON PALANCA HORIZONTAL</t>
  </si>
  <si>
    <t>SUMINISTRO E INSTALACION DE CABLE # 1 2 600V (NO INCLUYE TUBERÍA CONDUIT)</t>
  </si>
  <si>
    <t>REPOSICIÓN DE INTERRUPTORES DOBLES, INCLUYE HERRAMIENTAS Y EQUIPOS NECESARIOS PARA SU CORRECTA EJECUCIÓN. NO INCLUYE CABLEADO</t>
  </si>
  <si>
    <t>REPOSICIÓN DE BREAKER 1X20A 10 KA CERO METROS</t>
  </si>
  <si>
    <t>REPOSICIÓN DE TABLERO ELÉCTRICO DE 12 CIRCUITOS REF TWP12 NO INCLUYE BREAKERS, PROTECTORES NI CABLEADO, SOLO CORAZA</t>
  </si>
  <si>
    <t>REPOSICIÓN DE TOTALIZADORES DE 20, 30 O 40 A CERO METROS</t>
  </si>
  <si>
    <t>SUMINISTRO E INSTALACIÓN DE CABLE #1/0 600V (NO INCLUYE TUBERIA CONDUIT)</t>
  </si>
  <si>
    <t>m</t>
  </si>
  <si>
    <t>CAMBIO O REPOSICIÓN DE BALAS ELECTRICAS DE PISO DE 18W REF P23603-36 O SIMILAR (NO INCLUYE CABLEADO)</t>
  </si>
  <si>
    <t>REPOSICIÓN DE TABLERO ELÉCTRICO PARA 24 CIRCUITOS REF TWP24, NO INCLUYE BREAKERS, PROTECTORES NI CABLEADO, SOLO CORAZA</t>
  </si>
  <si>
    <t>CAMBIO O REPOSICIÓN DE LUMINARIA LED STREET REF P23853-36 18-35W O SIMILAR (NO INCLUYE CABLEADO)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</si>
</sst>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\ * #,##0.0_-;\-&quot;$&quot;\ * #,##0.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theme="1"/>
      <name val="Century Gothic"/>
      <family val="2"/>
    </font>
    <font>
      <b/>
      <sz val="7"/>
      <name val="Century Gothic"/>
      <family val="2"/>
    </font>
    <font>
      <sz val="7"/>
      <color theme="1"/>
      <name val="Century Gothic"/>
      <family val="2"/>
    </font>
    <font>
      <sz val="7"/>
      <name val="Century Gothic"/>
      <family val="2"/>
    </font>
    <font>
      <sz val="10"/>
      <name val="Arial"/>
      <family val="2"/>
    </font>
    <font>
      <sz val="7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</cellStyleXfs>
  <cellXfs count="116">
    <xf numFmtId="0" fontId="0" fillId="0" borderId="0" xfId="0"/>
    <xf numFmtId="2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1" applyNumberFormat="1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center" vertical="center" wrapText="1"/>
    </xf>
    <xf numFmtId="2" fontId="5" fillId="2" borderId="5" xfId="0" applyNumberFormat="1" applyFont="1" applyFill="1" applyBorder="1" applyAlignment="1">
      <alignment horizontal="center" vertical="center"/>
    </xf>
    <xf numFmtId="165" fontId="4" fillId="2" borderId="6" xfId="2" applyNumberFormat="1" applyFont="1" applyFill="1" applyBorder="1" applyAlignment="1">
      <alignment vertical="center"/>
    </xf>
    <xf numFmtId="2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/>
    </xf>
    <xf numFmtId="165" fontId="4" fillId="2" borderId="9" xfId="2" applyNumberFormat="1" applyFont="1" applyFill="1" applyBorder="1" applyAlignment="1">
      <alignment vertical="center"/>
    </xf>
    <xf numFmtId="164" fontId="4" fillId="2" borderId="9" xfId="2" applyNumberFormat="1" applyFont="1" applyFill="1" applyBorder="1" applyAlignment="1">
      <alignment vertical="center"/>
    </xf>
    <xf numFmtId="44" fontId="4" fillId="2" borderId="9" xfId="2" applyFont="1" applyFill="1" applyBorder="1" applyAlignment="1">
      <alignment vertical="center"/>
    </xf>
    <xf numFmtId="2" fontId="4" fillId="2" borderId="1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164" fontId="4" fillId="2" borderId="3" xfId="2" applyNumberFormat="1" applyFont="1" applyFill="1" applyBorder="1" applyAlignment="1">
      <alignment vertical="center"/>
    </xf>
    <xf numFmtId="2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vertical="center"/>
    </xf>
    <xf numFmtId="2" fontId="4" fillId="3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justify" vertical="center" wrapText="1"/>
    </xf>
    <xf numFmtId="0" fontId="4" fillId="3" borderId="8" xfId="0" applyFont="1" applyFill="1" applyBorder="1" applyAlignment="1">
      <alignment horizontal="center" vertical="center" wrapText="1"/>
    </xf>
    <xf numFmtId="2" fontId="5" fillId="3" borderId="8" xfId="0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vertical="center"/>
    </xf>
    <xf numFmtId="2" fontId="4" fillId="3" borderId="1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justify" vertical="center" wrapText="1"/>
    </xf>
    <xf numFmtId="0" fontId="4" fillId="3" borderId="2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164" fontId="4" fillId="3" borderId="3" xfId="1" applyNumberFormat="1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justify" vertical="center" wrapText="1"/>
    </xf>
    <xf numFmtId="0" fontId="4" fillId="3" borderId="11" xfId="0" applyFont="1" applyFill="1" applyBorder="1" applyAlignment="1">
      <alignment horizontal="center" vertical="center" wrapText="1"/>
    </xf>
    <xf numFmtId="2" fontId="5" fillId="3" borderId="11" xfId="0" applyNumberFormat="1" applyFont="1" applyFill="1" applyBorder="1" applyAlignment="1">
      <alignment horizontal="center" vertical="center"/>
    </xf>
    <xf numFmtId="164" fontId="4" fillId="3" borderId="12" xfId="1" applyNumberFormat="1" applyFont="1" applyFill="1" applyBorder="1" applyAlignment="1">
      <alignment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justify" vertical="center" wrapText="1"/>
    </xf>
    <xf numFmtId="0" fontId="4" fillId="4" borderId="14" xfId="0" applyFont="1" applyFill="1" applyBorder="1" applyAlignment="1">
      <alignment horizontal="center" vertical="center" wrapText="1"/>
    </xf>
    <xf numFmtId="2" fontId="5" fillId="4" borderId="14" xfId="0" applyNumberFormat="1" applyFont="1" applyFill="1" applyBorder="1" applyAlignment="1">
      <alignment horizontal="center" vertical="center"/>
    </xf>
    <xf numFmtId="164" fontId="4" fillId="4" borderId="15" xfId="1" applyNumberFormat="1" applyFont="1" applyFill="1" applyBorder="1" applyAlignment="1">
      <alignment vertical="center"/>
    </xf>
    <xf numFmtId="2" fontId="4" fillId="4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justify" vertical="center" wrapText="1"/>
    </xf>
    <xf numFmtId="0" fontId="4" fillId="4" borderId="8" xfId="0" applyFont="1" applyFill="1" applyBorder="1" applyAlignment="1">
      <alignment horizontal="center" vertical="center" wrapText="1"/>
    </xf>
    <xf numFmtId="2" fontId="5" fillId="4" borderId="8" xfId="0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vertical="center"/>
    </xf>
    <xf numFmtId="2" fontId="4" fillId="4" borderId="10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justify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/>
    </xf>
    <xf numFmtId="164" fontId="4" fillId="4" borderId="3" xfId="1" applyNumberFormat="1" applyFont="1" applyFill="1" applyBorder="1" applyAlignment="1">
      <alignment vertical="center"/>
    </xf>
    <xf numFmtId="2" fontId="4" fillId="4" borderId="16" xfId="0" applyNumberFormat="1" applyFont="1" applyFill="1" applyBorder="1" applyAlignment="1">
      <alignment horizontal="center" vertical="center"/>
    </xf>
    <xf numFmtId="2" fontId="4" fillId="4" borderId="17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justify" vertical="center" wrapText="1"/>
    </xf>
    <xf numFmtId="0" fontId="4" fillId="4" borderId="18" xfId="0" applyFont="1" applyFill="1" applyBorder="1" applyAlignment="1">
      <alignment horizontal="center" vertical="center" wrapText="1"/>
    </xf>
    <xf numFmtId="2" fontId="5" fillId="4" borderId="18" xfId="0" applyNumberFormat="1" applyFont="1" applyFill="1" applyBorder="1" applyAlignment="1">
      <alignment horizontal="center" vertical="center"/>
    </xf>
    <xf numFmtId="164" fontId="4" fillId="4" borderId="19" xfId="1" applyNumberFormat="1" applyFont="1" applyFill="1" applyBorder="1" applyAlignment="1">
      <alignment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2" fontId="5" fillId="4" borderId="11" xfId="0" applyNumberFormat="1" applyFont="1" applyFill="1" applyBorder="1" applyAlignment="1">
      <alignment horizontal="center" vertical="center"/>
    </xf>
    <xf numFmtId="164" fontId="4" fillId="4" borderId="12" xfId="1" applyNumberFormat="1" applyFont="1" applyFill="1" applyBorder="1" applyAlignment="1">
      <alignment vertical="center"/>
    </xf>
    <xf numFmtId="2" fontId="4" fillId="5" borderId="20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justify" vertical="center" wrapText="1"/>
    </xf>
    <xf numFmtId="0" fontId="4" fillId="5" borderId="5" xfId="0" applyFont="1" applyFill="1" applyBorder="1" applyAlignment="1">
      <alignment horizontal="center" vertical="center" wrapText="1"/>
    </xf>
    <xf numFmtId="2" fontId="5" fillId="5" borderId="5" xfId="0" applyNumberFormat="1" applyFont="1" applyFill="1" applyBorder="1" applyAlignment="1">
      <alignment horizontal="center" vertical="center"/>
    </xf>
    <xf numFmtId="164" fontId="4" fillId="5" borderId="6" xfId="1" applyNumberFormat="1" applyFont="1" applyFill="1" applyBorder="1" applyAlignment="1">
      <alignment vertical="center"/>
    </xf>
    <xf numFmtId="2" fontId="4" fillId="5" borderId="16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justify" vertical="center" wrapText="1"/>
    </xf>
    <xf numFmtId="0" fontId="4" fillId="5" borderId="8" xfId="0" applyFont="1" applyFill="1" applyBorder="1" applyAlignment="1">
      <alignment horizontal="center" vertical="center" wrapText="1"/>
    </xf>
    <xf numFmtId="2" fontId="5" fillId="5" borderId="8" xfId="0" applyNumberFormat="1" applyFont="1" applyFill="1" applyBorder="1" applyAlignment="1">
      <alignment horizontal="center" vertical="center"/>
    </xf>
    <xf numFmtId="164" fontId="4" fillId="5" borderId="9" xfId="1" applyNumberFormat="1" applyFont="1" applyFill="1" applyBorder="1" applyAlignment="1">
      <alignment vertical="center"/>
    </xf>
    <xf numFmtId="164" fontId="4" fillId="5" borderId="9" xfId="1" applyNumberFormat="1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justify" vertical="center" wrapText="1"/>
    </xf>
    <xf numFmtId="0" fontId="4" fillId="5" borderId="11" xfId="0" applyFont="1" applyFill="1" applyBorder="1" applyAlignment="1">
      <alignment horizontal="center" vertical="center" wrapText="1"/>
    </xf>
    <xf numFmtId="2" fontId="5" fillId="5" borderId="11" xfId="0" applyNumberFormat="1" applyFont="1" applyFill="1" applyBorder="1" applyAlignment="1">
      <alignment horizontal="center" vertical="center"/>
    </xf>
    <xf numFmtId="164" fontId="4" fillId="5" borderId="12" xfId="1" applyNumberFormat="1" applyFont="1" applyFill="1" applyBorder="1" applyAlignment="1">
      <alignment vertical="center" wrapText="1"/>
    </xf>
    <xf numFmtId="2" fontId="4" fillId="6" borderId="16" xfId="0" applyNumberFormat="1" applyFont="1" applyFill="1" applyBorder="1" applyAlignment="1">
      <alignment horizontal="center" vertical="center"/>
    </xf>
    <xf numFmtId="0" fontId="5" fillId="6" borderId="8" xfId="3" applyFont="1" applyFill="1" applyBorder="1" applyAlignment="1">
      <alignment horizontal="justify" vertical="center" wrapText="1"/>
    </xf>
    <xf numFmtId="0" fontId="5" fillId="6" borderId="8" xfId="3" applyFont="1" applyFill="1" applyBorder="1" applyAlignment="1">
      <alignment horizontal="center" vertical="center"/>
    </xf>
    <xf numFmtId="2" fontId="5" fillId="6" borderId="8" xfId="0" applyNumberFormat="1" applyFont="1" applyFill="1" applyBorder="1" applyAlignment="1">
      <alignment horizontal="center" vertical="center"/>
    </xf>
    <xf numFmtId="164" fontId="4" fillId="6" borderId="9" xfId="1" applyNumberFormat="1" applyFont="1" applyFill="1" applyBorder="1" applyAlignment="1">
      <alignment vertical="center" wrapText="1"/>
    </xf>
    <xf numFmtId="0" fontId="5" fillId="6" borderId="8" xfId="0" applyFont="1" applyFill="1" applyBorder="1" applyAlignment="1">
      <alignment horizontal="justify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justify" vertical="center" wrapText="1"/>
    </xf>
    <xf numFmtId="0" fontId="4" fillId="6" borderId="8" xfId="0" applyFont="1" applyFill="1" applyBorder="1" applyAlignment="1">
      <alignment horizontal="justify" vertical="center" wrapText="1"/>
    </xf>
    <xf numFmtId="0" fontId="4" fillId="6" borderId="8" xfId="0" applyFont="1" applyFill="1" applyBorder="1" applyAlignment="1">
      <alignment horizontal="center" vertical="center" wrapText="1"/>
    </xf>
    <xf numFmtId="2" fontId="5" fillId="6" borderId="16" xfId="0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164" fontId="5" fillId="6" borderId="9" xfId="1" applyNumberFormat="1" applyFont="1" applyFill="1" applyBorder="1" applyAlignment="1">
      <alignment vertical="center" wrapText="1"/>
    </xf>
    <xf numFmtId="0" fontId="5" fillId="6" borderId="8" xfId="0" applyFont="1" applyFill="1" applyBorder="1" applyAlignment="1">
      <alignment horizontal="center" vertical="center"/>
    </xf>
    <xf numFmtId="2" fontId="5" fillId="6" borderId="7" xfId="0" applyNumberFormat="1" applyFont="1" applyFill="1" applyBorder="1" applyAlignment="1">
      <alignment horizontal="center" vertical="center"/>
    </xf>
    <xf numFmtId="2" fontId="5" fillId="6" borderId="21" xfId="0" applyNumberFormat="1" applyFont="1" applyFill="1" applyBorder="1" applyAlignment="1">
      <alignment horizontal="center" vertical="center"/>
    </xf>
    <xf numFmtId="164" fontId="5" fillId="6" borderId="21" xfId="1" applyNumberFormat="1" applyFont="1" applyFill="1" applyBorder="1" applyAlignment="1">
      <alignment vertical="center" wrapText="1"/>
    </xf>
    <xf numFmtId="2" fontId="5" fillId="7" borderId="8" xfId="0" applyNumberFormat="1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left" vertical="center" wrapText="1"/>
    </xf>
    <xf numFmtId="2" fontId="5" fillId="7" borderId="8" xfId="0" applyNumberFormat="1" applyFont="1" applyFill="1" applyBorder="1" applyAlignment="1">
      <alignment horizontal="center" vertical="center"/>
    </xf>
    <xf numFmtId="0" fontId="5" fillId="7" borderId="9" xfId="1" applyNumberFormat="1" applyFont="1" applyFill="1" applyBorder="1" applyAlignment="1">
      <alignment horizontal="center" vertical="center"/>
    </xf>
    <xf numFmtId="164" fontId="5" fillId="7" borderId="8" xfId="1" applyNumberFormat="1" applyFont="1" applyFill="1" applyBorder="1" applyAlignment="1">
      <alignment horizontal="justify" vertical="center" wrapText="1"/>
    </xf>
    <xf numFmtId="2" fontId="5" fillId="7" borderId="22" xfId="0" applyNumberFormat="1" applyFont="1" applyFill="1" applyBorder="1" applyAlignment="1">
      <alignment horizontal="center" vertical="center" wrapText="1"/>
    </xf>
    <xf numFmtId="0" fontId="5" fillId="7" borderId="21" xfId="1" applyNumberFormat="1" applyFont="1" applyFill="1" applyBorder="1" applyAlignment="1">
      <alignment horizontal="center" vertical="center"/>
    </xf>
    <xf numFmtId="164" fontId="5" fillId="7" borderId="16" xfId="1" applyNumberFormat="1" applyFont="1" applyFill="1" applyBorder="1" applyAlignment="1">
      <alignment horizontal="justify" vertical="center" wrapText="1"/>
    </xf>
    <xf numFmtId="2" fontId="5" fillId="8" borderId="16" xfId="0" applyNumberFormat="1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left" vertical="center" wrapText="1"/>
    </xf>
    <xf numFmtId="2" fontId="5" fillId="8" borderId="8" xfId="0" applyNumberFormat="1" applyFont="1" applyFill="1" applyBorder="1" applyAlignment="1">
      <alignment horizontal="center" vertical="center"/>
    </xf>
    <xf numFmtId="0" fontId="5" fillId="8" borderId="21" xfId="1" applyNumberFormat="1" applyFont="1" applyFill="1" applyBorder="1" applyAlignment="1">
      <alignment horizontal="center" vertical="center"/>
    </xf>
    <xf numFmtId="164" fontId="5" fillId="8" borderId="16" xfId="1" applyNumberFormat="1" applyFont="1" applyFill="1" applyBorder="1" applyAlignment="1">
      <alignment horizontal="justify" vertical="center" wrapText="1"/>
    </xf>
    <xf numFmtId="2" fontId="5" fillId="8" borderId="23" xfId="0" applyNumberFormat="1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</cellXfs>
  <cellStyles count="4">
    <cellStyle name="Moneda" xfId="1" builtinId="4"/>
    <cellStyle name="Moneda 17" xfId="2" xr:uid="{D88E7AA5-6C7B-4BFD-96F8-66A4AE0D8857}"/>
    <cellStyle name="Normal" xfId="0" builtinId="0"/>
    <cellStyle name="Normal 2 2 2" xfId="3" xr:uid="{F6C4772D-A70B-4CCA-8B26-1109A074B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ervacioncostera-my.sharepoint.com/Users/alvar/Desktop/_CRUCE%20DE%20APUS%20-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4"/>
      <sheetName val="EJERCICIO 15 20"/>
      <sheetName val="PPTO"/>
      <sheetName val="Hoja5"/>
      <sheetName val="DATOS"/>
      <sheetName val="CAP.1"/>
      <sheetName val="CAP.2"/>
      <sheetName val="CAP.3 "/>
      <sheetName val="CAP.4"/>
      <sheetName val="CAP.5 "/>
      <sheetName val="CAP.6 "/>
      <sheetName val="CAP.7 "/>
      <sheetName val="CAP.8 "/>
      <sheetName val="CAP.9 "/>
      <sheetName val="CAP.10"/>
      <sheetName val="CAP.1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1">
          <cell r="H41">
            <v>460010.57287752721</v>
          </cell>
        </row>
        <row r="134">
          <cell r="C134" t="str">
            <v>5.04</v>
          </cell>
        </row>
        <row r="174">
          <cell r="C174" t="str">
            <v>5.05</v>
          </cell>
        </row>
        <row r="216">
          <cell r="C216" t="str">
            <v>5.06</v>
          </cell>
        </row>
        <row r="257">
          <cell r="C257" t="str">
            <v>5.07</v>
          </cell>
        </row>
        <row r="298">
          <cell r="C298" t="str">
            <v>5.08</v>
          </cell>
        </row>
        <row r="340">
          <cell r="C340" t="str">
            <v>5.09</v>
          </cell>
        </row>
        <row r="382">
          <cell r="C382" t="str">
            <v>5.10</v>
          </cell>
        </row>
        <row r="424">
          <cell r="C424" t="str">
            <v>5.11</v>
          </cell>
        </row>
        <row r="466">
          <cell r="C466" t="str">
            <v>5.12</v>
          </cell>
        </row>
        <row r="508">
          <cell r="C508" t="str">
            <v>5.13</v>
          </cell>
        </row>
        <row r="549">
          <cell r="C549" t="str">
            <v>5.14</v>
          </cell>
        </row>
        <row r="591">
          <cell r="C591" t="str">
            <v>5.15</v>
          </cell>
        </row>
        <row r="633">
          <cell r="C633" t="str">
            <v>5.16</v>
          </cell>
        </row>
        <row r="675">
          <cell r="C675" t="str">
            <v>5.17</v>
          </cell>
        </row>
        <row r="859">
          <cell r="C859" t="str">
            <v>5.21</v>
          </cell>
        </row>
        <row r="1001">
          <cell r="C1001" t="str">
            <v>5.24</v>
          </cell>
        </row>
        <row r="1044">
          <cell r="C1044" t="str">
            <v>5.25</v>
          </cell>
        </row>
        <row r="1096">
          <cell r="C1096" t="str">
            <v>5.26</v>
          </cell>
        </row>
        <row r="1140">
          <cell r="C1140" t="str">
            <v>5.27</v>
          </cell>
        </row>
        <row r="1187">
          <cell r="C1187" t="str">
            <v>5.28</v>
          </cell>
        </row>
        <row r="1233">
          <cell r="C1233" t="str">
            <v>5.29</v>
          </cell>
        </row>
        <row r="1284">
          <cell r="C1284" t="str">
            <v>5.30</v>
          </cell>
        </row>
        <row r="1330">
          <cell r="C1330" t="str">
            <v>5.31</v>
          </cell>
        </row>
        <row r="1371">
          <cell r="C1371" t="str">
            <v>5.32</v>
          </cell>
        </row>
        <row r="1411">
          <cell r="C1411" t="str">
            <v>5.33</v>
          </cell>
        </row>
        <row r="1446">
          <cell r="C1446" t="str">
            <v>5.34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C2C2-7CF3-41B0-91B8-D46CB2383889}">
  <dimension ref="B2:F308"/>
  <sheetViews>
    <sheetView tabSelected="1" workbookViewId="0">
      <selection activeCell="B2" sqref="B2:F308"/>
    </sheetView>
  </sheetViews>
  <sheetFormatPr baseColWidth="10" defaultRowHeight="14.4" x14ac:dyDescent="0.3"/>
  <sheetData>
    <row r="2" spans="2:6" ht="22.2" thickBot="1" x14ac:dyDescent="0.35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</row>
    <row r="3" spans="2:6" ht="91.2" x14ac:dyDescent="0.3">
      <c r="B3" s="6" t="s">
        <v>5</v>
      </c>
      <c r="C3" s="7" t="s">
        <v>6</v>
      </c>
      <c r="D3" s="8" t="s">
        <v>7</v>
      </c>
      <c r="E3" s="9">
        <v>1</v>
      </c>
      <c r="F3" s="10">
        <v>1356.3519813519813</v>
      </c>
    </row>
    <row r="4" spans="2:6" ht="57" x14ac:dyDescent="0.3">
      <c r="B4" s="11" t="s">
        <v>8</v>
      </c>
      <c r="C4" s="12" t="s">
        <v>9</v>
      </c>
      <c r="D4" s="13" t="s">
        <v>10</v>
      </c>
      <c r="E4" s="14">
        <v>1</v>
      </c>
      <c r="F4" s="15">
        <v>130.30950530950528</v>
      </c>
    </row>
    <row r="5" spans="2:6" ht="171" x14ac:dyDescent="0.3">
      <c r="B5" s="11" t="s">
        <v>11</v>
      </c>
      <c r="C5" s="12" t="s">
        <v>12</v>
      </c>
      <c r="D5" s="13" t="s">
        <v>13</v>
      </c>
      <c r="E5" s="14">
        <v>1</v>
      </c>
      <c r="F5" s="16">
        <v>244053.83967883966</v>
      </c>
    </row>
    <row r="6" spans="2:6" ht="57" x14ac:dyDescent="0.3">
      <c r="B6" s="11" t="s">
        <v>14</v>
      </c>
      <c r="C6" s="12" t="s">
        <v>15</v>
      </c>
      <c r="D6" s="13" t="s">
        <v>16</v>
      </c>
      <c r="E6" s="14">
        <v>1</v>
      </c>
      <c r="F6" s="16">
        <v>1487.7946127946127</v>
      </c>
    </row>
    <row r="7" spans="2:6" ht="22.8" x14ac:dyDescent="0.3">
      <c r="B7" s="11" t="s">
        <v>17</v>
      </c>
      <c r="C7" s="12" t="s">
        <v>18</v>
      </c>
      <c r="D7" s="13" t="s">
        <v>19</v>
      </c>
      <c r="E7" s="14">
        <v>1</v>
      </c>
      <c r="F7" s="16">
        <v>86054.131054131038</v>
      </c>
    </row>
    <row r="8" spans="2:6" ht="22.8" x14ac:dyDescent="0.3">
      <c r="B8" s="11" t="s">
        <v>20</v>
      </c>
      <c r="C8" s="12" t="s">
        <v>21</v>
      </c>
      <c r="D8" s="13" t="s">
        <v>19</v>
      </c>
      <c r="E8" s="14">
        <v>1</v>
      </c>
      <c r="F8" s="16">
        <v>87853.53535353535</v>
      </c>
    </row>
    <row r="9" spans="2:6" ht="57" x14ac:dyDescent="0.3">
      <c r="B9" s="11" t="s">
        <v>22</v>
      </c>
      <c r="C9" s="12" t="s">
        <v>23</v>
      </c>
      <c r="D9" s="13" t="s">
        <v>19</v>
      </c>
      <c r="E9" s="14">
        <v>1</v>
      </c>
      <c r="F9" s="16">
        <v>36401.677026677018</v>
      </c>
    </row>
    <row r="10" spans="2:6" ht="57" x14ac:dyDescent="0.3">
      <c r="B10" s="11" t="s">
        <v>24</v>
      </c>
      <c r="C10" s="12" t="s">
        <v>25</v>
      </c>
      <c r="D10" s="13" t="s">
        <v>19</v>
      </c>
      <c r="E10" s="14">
        <v>1</v>
      </c>
      <c r="F10" s="16">
        <v>40331.358456358452</v>
      </c>
    </row>
    <row r="11" spans="2:6" ht="57" x14ac:dyDescent="0.3">
      <c r="B11" s="11" t="s">
        <v>26</v>
      </c>
      <c r="C11" s="12" t="s">
        <v>27</v>
      </c>
      <c r="D11" s="13" t="s">
        <v>16</v>
      </c>
      <c r="E11" s="14">
        <v>1</v>
      </c>
      <c r="F11" s="16">
        <v>1805.0699300699298</v>
      </c>
    </row>
    <row r="12" spans="2:6" ht="45.6" x14ac:dyDescent="0.3">
      <c r="B12" s="11" t="s">
        <v>28</v>
      </c>
      <c r="C12" s="12" t="s">
        <v>29</v>
      </c>
      <c r="D12" s="13" t="s">
        <v>10</v>
      </c>
      <c r="E12" s="14">
        <v>1</v>
      </c>
      <c r="F12" s="16">
        <v>1052.6741776741776</v>
      </c>
    </row>
    <row r="13" spans="2:6" ht="68.400000000000006" x14ac:dyDescent="0.3">
      <c r="B13" s="11" t="s">
        <v>30</v>
      </c>
      <c r="C13" s="12" t="s">
        <v>31</v>
      </c>
      <c r="D13" s="13" t="s">
        <v>10</v>
      </c>
      <c r="E13" s="14">
        <v>1</v>
      </c>
      <c r="F13" s="16">
        <v>1109.3304843304843</v>
      </c>
    </row>
    <row r="14" spans="2:6" ht="125.4" x14ac:dyDescent="0.3">
      <c r="B14" s="11" t="s">
        <v>32</v>
      </c>
      <c r="C14" s="12" t="s">
        <v>33</v>
      </c>
      <c r="D14" s="13" t="s">
        <v>19</v>
      </c>
      <c r="E14" s="14">
        <v>1</v>
      </c>
      <c r="F14" s="16">
        <v>84729.506604506591</v>
      </c>
    </row>
    <row r="15" spans="2:6" ht="125.4" x14ac:dyDescent="0.3">
      <c r="B15" s="11" t="s">
        <v>34</v>
      </c>
      <c r="C15" s="12" t="s">
        <v>35</v>
      </c>
      <c r="D15" s="13" t="s">
        <v>19</v>
      </c>
      <c r="E15" s="14">
        <v>1</v>
      </c>
      <c r="F15" s="16">
        <v>84729.506604506591</v>
      </c>
    </row>
    <row r="16" spans="2:6" ht="91.2" x14ac:dyDescent="0.3">
      <c r="B16" s="11" t="s">
        <v>36</v>
      </c>
      <c r="C16" s="12" t="s">
        <v>37</v>
      </c>
      <c r="D16" s="13" t="s">
        <v>10</v>
      </c>
      <c r="E16" s="14">
        <v>1</v>
      </c>
      <c r="F16" s="17">
        <v>163.17016317016316</v>
      </c>
    </row>
    <row r="17" spans="2:6" ht="103.2" thickBot="1" x14ac:dyDescent="0.35">
      <c r="B17" s="18" t="s">
        <v>38</v>
      </c>
      <c r="C17" s="19" t="s">
        <v>39</v>
      </c>
      <c r="D17" s="20" t="s">
        <v>10</v>
      </c>
      <c r="E17" s="21">
        <v>1</v>
      </c>
      <c r="F17" s="22">
        <v>191.49831649831646</v>
      </c>
    </row>
    <row r="18" spans="2:6" ht="159.6" x14ac:dyDescent="0.3">
      <c r="B18" s="23" t="s">
        <v>40</v>
      </c>
      <c r="C18" s="24" t="s">
        <v>41</v>
      </c>
      <c r="D18" s="25" t="s">
        <v>7</v>
      </c>
      <c r="E18" s="26">
        <v>1</v>
      </c>
      <c r="F18" s="27">
        <v>597.15747215747206</v>
      </c>
    </row>
    <row r="19" spans="2:6" ht="148.19999999999999" x14ac:dyDescent="0.3">
      <c r="B19" s="28" t="s">
        <v>42</v>
      </c>
      <c r="C19" s="29" t="s">
        <v>43</v>
      </c>
      <c r="D19" s="30" t="s">
        <v>7</v>
      </c>
      <c r="E19" s="31">
        <v>1</v>
      </c>
      <c r="F19" s="32">
        <v>691.206941206941</v>
      </c>
    </row>
    <row r="20" spans="2:6" ht="159.6" x14ac:dyDescent="0.3">
      <c r="B20" s="28" t="s">
        <v>44</v>
      </c>
      <c r="C20" s="29" t="s">
        <v>45</v>
      </c>
      <c r="D20" s="30" t="s">
        <v>46</v>
      </c>
      <c r="E20" s="31">
        <v>1</v>
      </c>
      <c r="F20" s="32">
        <v>1730.2836052836051</v>
      </c>
    </row>
    <row r="21" spans="2:6" ht="171" x14ac:dyDescent="0.3">
      <c r="B21" s="28" t="s">
        <v>47</v>
      </c>
      <c r="C21" s="29" t="s">
        <v>48</v>
      </c>
      <c r="D21" s="30" t="s">
        <v>7</v>
      </c>
      <c r="E21" s="31">
        <v>1</v>
      </c>
      <c r="F21" s="32">
        <v>538.23491323491317</v>
      </c>
    </row>
    <row r="22" spans="2:6" ht="171" x14ac:dyDescent="0.3">
      <c r="B22" s="28" t="s">
        <v>49</v>
      </c>
      <c r="C22" s="29" t="s">
        <v>50</v>
      </c>
      <c r="D22" s="30" t="s">
        <v>46</v>
      </c>
      <c r="E22" s="31">
        <v>1</v>
      </c>
      <c r="F22" s="32">
        <v>2906.4685314685312</v>
      </c>
    </row>
    <row r="23" spans="2:6" ht="205.2" x14ac:dyDescent="0.3">
      <c r="B23" s="28" t="s">
        <v>51</v>
      </c>
      <c r="C23" s="29" t="s">
        <v>52</v>
      </c>
      <c r="D23" s="30" t="s">
        <v>7</v>
      </c>
      <c r="E23" s="31">
        <v>1</v>
      </c>
      <c r="F23" s="32">
        <v>295.74592074592073</v>
      </c>
    </row>
    <row r="24" spans="2:6" ht="182.4" x14ac:dyDescent="0.3">
      <c r="B24" s="28" t="s">
        <v>53</v>
      </c>
      <c r="C24" s="29" t="s">
        <v>54</v>
      </c>
      <c r="D24" s="30" t="s">
        <v>7</v>
      </c>
      <c r="E24" s="31">
        <v>1</v>
      </c>
      <c r="F24" s="32">
        <v>188.09893809893808</v>
      </c>
    </row>
    <row r="25" spans="2:6" ht="193.8" x14ac:dyDescent="0.3">
      <c r="B25" s="28" t="s">
        <v>55</v>
      </c>
      <c r="C25" s="29" t="s">
        <v>56</v>
      </c>
      <c r="D25" s="30" t="s">
        <v>46</v>
      </c>
      <c r="E25" s="31">
        <v>1</v>
      </c>
      <c r="F25" s="32">
        <v>1746.1473711473709</v>
      </c>
    </row>
    <row r="26" spans="2:6" ht="182.4" x14ac:dyDescent="0.3">
      <c r="B26" s="28" t="s">
        <v>57</v>
      </c>
      <c r="C26" s="29" t="s">
        <v>58</v>
      </c>
      <c r="D26" s="30" t="s">
        <v>7</v>
      </c>
      <c r="E26" s="31">
        <v>1</v>
      </c>
      <c r="F26" s="32">
        <v>1711.0204610204607</v>
      </c>
    </row>
    <row r="27" spans="2:6" ht="171" x14ac:dyDescent="0.3">
      <c r="B27" s="28" t="s">
        <v>59</v>
      </c>
      <c r="C27" s="29" t="s">
        <v>60</v>
      </c>
      <c r="D27" s="30" t="s">
        <v>7</v>
      </c>
      <c r="E27" s="31">
        <v>1</v>
      </c>
      <c r="F27" s="32">
        <v>1711.0204610204607</v>
      </c>
    </row>
    <row r="28" spans="2:6" ht="205.2" x14ac:dyDescent="0.3">
      <c r="B28" s="28" t="s">
        <v>61</v>
      </c>
      <c r="C28" s="29" t="s">
        <v>62</v>
      </c>
      <c r="D28" s="30" t="s">
        <v>46</v>
      </c>
      <c r="E28" s="31">
        <v>1</v>
      </c>
      <c r="F28" s="32">
        <v>10812.289562289561</v>
      </c>
    </row>
    <row r="29" spans="2:6" ht="171" x14ac:dyDescent="0.3">
      <c r="B29" s="28" t="s">
        <v>63</v>
      </c>
      <c r="C29" s="29" t="s">
        <v>64</v>
      </c>
      <c r="D29" s="30" t="s">
        <v>7</v>
      </c>
      <c r="E29" s="31">
        <v>1</v>
      </c>
      <c r="F29" s="32">
        <v>904.23465423465416</v>
      </c>
    </row>
    <row r="30" spans="2:6" ht="171" x14ac:dyDescent="0.3">
      <c r="B30" s="28" t="s">
        <v>65</v>
      </c>
      <c r="C30" s="29" t="s">
        <v>66</v>
      </c>
      <c r="D30" s="30" t="s">
        <v>7</v>
      </c>
      <c r="E30" s="31">
        <v>1</v>
      </c>
      <c r="F30" s="32">
        <v>222.09272209272206</v>
      </c>
    </row>
    <row r="31" spans="2:6" ht="171" x14ac:dyDescent="0.3">
      <c r="B31" s="28" t="s">
        <v>67</v>
      </c>
      <c r="C31" s="29" t="s">
        <v>68</v>
      </c>
      <c r="D31" s="30" t="s">
        <v>46</v>
      </c>
      <c r="E31" s="31">
        <v>1</v>
      </c>
      <c r="F31" s="32">
        <v>13636.039886039885</v>
      </c>
    </row>
    <row r="32" spans="2:6" ht="136.80000000000001" x14ac:dyDescent="0.3">
      <c r="B32" s="28" t="s">
        <v>69</v>
      </c>
      <c r="C32" s="29" t="s">
        <v>70</v>
      </c>
      <c r="D32" s="30" t="s">
        <v>71</v>
      </c>
      <c r="E32" s="31">
        <v>1</v>
      </c>
      <c r="F32" s="32">
        <v>2146.1408961408961</v>
      </c>
    </row>
    <row r="33" spans="2:6" ht="148.19999999999999" x14ac:dyDescent="0.3">
      <c r="B33" s="28" t="s">
        <v>72</v>
      </c>
      <c r="C33" s="29" t="s">
        <v>73</v>
      </c>
      <c r="D33" s="30" t="s">
        <v>7</v>
      </c>
      <c r="E33" s="31">
        <v>1</v>
      </c>
      <c r="F33" s="32">
        <v>427.18855218855214</v>
      </c>
    </row>
    <row r="34" spans="2:6" ht="34.200000000000003" x14ac:dyDescent="0.3">
      <c r="B34" s="28" t="s">
        <v>74</v>
      </c>
      <c r="C34" s="29" t="s">
        <v>75</v>
      </c>
      <c r="D34" s="30" t="s">
        <v>76</v>
      </c>
      <c r="E34" s="31">
        <v>1</v>
      </c>
      <c r="F34" s="32">
        <v>774294.5480445479</v>
      </c>
    </row>
    <row r="35" spans="2:6" ht="136.80000000000001" x14ac:dyDescent="0.3">
      <c r="B35" s="33" t="s">
        <v>77</v>
      </c>
      <c r="C35" s="34" t="s">
        <v>78</v>
      </c>
      <c r="D35" s="35" t="s">
        <v>7</v>
      </c>
      <c r="E35" s="36">
        <v>1</v>
      </c>
      <c r="F35" s="37">
        <v>1036.8104118104118</v>
      </c>
    </row>
    <row r="36" spans="2:6" ht="171" x14ac:dyDescent="0.3">
      <c r="B36" s="33">
        <v>2.19</v>
      </c>
      <c r="C36" s="34" t="s">
        <v>79</v>
      </c>
      <c r="D36" s="35" t="s">
        <v>7</v>
      </c>
      <c r="E36" s="36">
        <v>1</v>
      </c>
      <c r="F36" s="37">
        <v>2825.4654886148005</v>
      </c>
    </row>
    <row r="37" spans="2:6" ht="182.4" x14ac:dyDescent="0.3">
      <c r="B37" s="33">
        <v>2.2000000000000002</v>
      </c>
      <c r="C37" s="34" t="s">
        <v>80</v>
      </c>
      <c r="D37" s="35" t="s">
        <v>7</v>
      </c>
      <c r="E37" s="36">
        <v>1</v>
      </c>
      <c r="F37" s="37">
        <v>3058.5670659392786</v>
      </c>
    </row>
    <row r="38" spans="2:6" ht="205.2" x14ac:dyDescent="0.3">
      <c r="B38" s="33">
        <v>2.21</v>
      </c>
      <c r="C38" s="34" t="s">
        <v>81</v>
      </c>
      <c r="D38" s="35" t="s">
        <v>7</v>
      </c>
      <c r="E38" s="36">
        <v>1</v>
      </c>
      <c r="F38" s="37">
        <v>2720.9366105313093</v>
      </c>
    </row>
    <row r="39" spans="2:6" ht="194.4" thickBot="1" x14ac:dyDescent="0.35">
      <c r="B39" s="38">
        <v>2.2200000000000002</v>
      </c>
      <c r="C39" s="39" t="s">
        <v>82</v>
      </c>
      <c r="D39" s="40" t="s">
        <v>7</v>
      </c>
      <c r="E39" s="41">
        <v>1</v>
      </c>
      <c r="F39" s="42">
        <v>3276.4453866223903</v>
      </c>
    </row>
    <row r="40" spans="2:6" ht="205.2" x14ac:dyDescent="0.3">
      <c r="B40" s="43">
        <v>3.01</v>
      </c>
      <c r="C40" s="44" t="s">
        <v>83</v>
      </c>
      <c r="D40" s="45" t="s">
        <v>71</v>
      </c>
      <c r="E40" s="46">
        <v>1</v>
      </c>
      <c r="F40" s="47">
        <v>28364.413364413362</v>
      </c>
    </row>
    <row r="41" spans="2:6" ht="148.19999999999999" x14ac:dyDescent="0.3">
      <c r="B41" s="48">
        <v>3.02</v>
      </c>
      <c r="C41" s="49" t="s">
        <v>84</v>
      </c>
      <c r="D41" s="50" t="s">
        <v>7</v>
      </c>
      <c r="E41" s="51">
        <v>1</v>
      </c>
      <c r="F41" s="52">
        <v>151.83890183890182</v>
      </c>
    </row>
    <row r="42" spans="2:6" ht="136.80000000000001" x14ac:dyDescent="0.3">
      <c r="B42" s="48">
        <v>3.03</v>
      </c>
      <c r="C42" s="49" t="s">
        <v>85</v>
      </c>
      <c r="D42" s="50" t="s">
        <v>7</v>
      </c>
      <c r="E42" s="51">
        <v>1</v>
      </c>
      <c r="F42" s="52">
        <v>1206.7793317793316</v>
      </c>
    </row>
    <row r="43" spans="2:6" ht="114" x14ac:dyDescent="0.3">
      <c r="B43" s="48">
        <v>3.04</v>
      </c>
      <c r="C43" s="49" t="s">
        <v>86</v>
      </c>
      <c r="D43" s="50" t="s">
        <v>10</v>
      </c>
      <c r="E43" s="51">
        <v>1</v>
      </c>
      <c r="F43" s="52">
        <v>499.7086247086246</v>
      </c>
    </row>
    <row r="44" spans="2:6" ht="79.8" x14ac:dyDescent="0.3">
      <c r="B44" s="53">
        <v>3.05</v>
      </c>
      <c r="C44" s="54" t="s">
        <v>87</v>
      </c>
      <c r="D44" s="55" t="s">
        <v>7</v>
      </c>
      <c r="E44" s="56">
        <v>1</v>
      </c>
      <c r="F44" s="57">
        <v>139.37451437451435</v>
      </c>
    </row>
    <row r="45" spans="2:6" ht="79.8" x14ac:dyDescent="0.3">
      <c r="B45" s="53">
        <v>3.06</v>
      </c>
      <c r="C45" s="54" t="str">
        <f>UPPER("Pulido y encerado de pisos  de mármol por medios mecánicos y manuales")</f>
        <v>PULIDO Y ENCERADO DE PISOS  DE MÁRMOL POR MEDIOS MECÁNICOS Y MANUALES</v>
      </c>
      <c r="D45" s="55" t="s">
        <v>10</v>
      </c>
      <c r="E45" s="56">
        <v>1</v>
      </c>
      <c r="F45" s="57">
        <v>19770.517077798861</v>
      </c>
    </row>
    <row r="46" spans="2:6" ht="159.6" x14ac:dyDescent="0.3">
      <c r="B46" s="53">
        <v>3.07</v>
      </c>
      <c r="C46" s="54" t="s">
        <v>88</v>
      </c>
      <c r="D46" s="55" t="s">
        <v>89</v>
      </c>
      <c r="E46" s="56">
        <v>1</v>
      </c>
      <c r="F46" s="57">
        <v>796272.48725094867</v>
      </c>
    </row>
    <row r="47" spans="2:6" ht="182.4" x14ac:dyDescent="0.3">
      <c r="B47" s="53">
        <v>3.08</v>
      </c>
      <c r="C47" s="54" t="s">
        <v>90</v>
      </c>
      <c r="D47" s="55" t="s">
        <v>71</v>
      </c>
      <c r="E47" s="56">
        <v>1</v>
      </c>
      <c r="F47" s="57">
        <v>9031.2203510436429</v>
      </c>
    </row>
    <row r="48" spans="2:6" ht="228" x14ac:dyDescent="0.3">
      <c r="B48" s="53">
        <v>3.09</v>
      </c>
      <c r="C48" s="54" t="s">
        <v>91</v>
      </c>
      <c r="D48" s="55" t="s">
        <v>46</v>
      </c>
      <c r="E48" s="56">
        <v>2</v>
      </c>
      <c r="F48" s="57">
        <v>4941985.8870967738</v>
      </c>
    </row>
    <row r="49" spans="2:6" ht="409.6" x14ac:dyDescent="0.3">
      <c r="B49" s="53">
        <v>3.1</v>
      </c>
      <c r="C49" s="54" t="s">
        <v>92</v>
      </c>
      <c r="D49" s="55" t="s">
        <v>16</v>
      </c>
      <c r="E49" s="56">
        <v>1</v>
      </c>
      <c r="F49" s="57">
        <v>3929177.968347515</v>
      </c>
    </row>
    <row r="50" spans="2:6" ht="57" x14ac:dyDescent="0.3">
      <c r="B50" s="53">
        <v>3.11</v>
      </c>
      <c r="C50" s="54" t="s">
        <v>93</v>
      </c>
      <c r="D50" s="55" t="s">
        <v>10</v>
      </c>
      <c r="E50" s="56">
        <v>35</v>
      </c>
      <c r="F50" s="57">
        <v>70644.95220588235</v>
      </c>
    </row>
    <row r="51" spans="2:6" ht="228" x14ac:dyDescent="0.3">
      <c r="B51" s="53">
        <v>3.12</v>
      </c>
      <c r="C51" s="54" t="s">
        <v>94</v>
      </c>
      <c r="D51" s="55" t="s">
        <v>16</v>
      </c>
      <c r="E51" s="56">
        <v>1</v>
      </c>
      <c r="F51" s="57">
        <v>15559475.806451611</v>
      </c>
    </row>
    <row r="52" spans="2:6" ht="159.6" x14ac:dyDescent="0.3">
      <c r="B52" s="58">
        <v>3.13</v>
      </c>
      <c r="C52" s="49" t="s">
        <v>95</v>
      </c>
      <c r="D52" s="50" t="s">
        <v>10</v>
      </c>
      <c r="E52" s="51">
        <v>610</v>
      </c>
      <c r="F52" s="52">
        <v>44531.319907588273</v>
      </c>
    </row>
    <row r="53" spans="2:6" ht="193.8" x14ac:dyDescent="0.3">
      <c r="B53" s="59" t="s">
        <v>96</v>
      </c>
      <c r="C53" s="60" t="s">
        <v>97</v>
      </c>
      <c r="D53" s="61" t="s">
        <v>16</v>
      </c>
      <c r="E53" s="62">
        <v>1</v>
      </c>
      <c r="F53" s="63">
        <v>43500000</v>
      </c>
    </row>
    <row r="54" spans="2:6" ht="125.4" x14ac:dyDescent="0.3">
      <c r="B54" s="58" t="s">
        <v>96</v>
      </c>
      <c r="C54" s="49" t="s">
        <v>98</v>
      </c>
      <c r="D54" s="50" t="s">
        <v>16</v>
      </c>
      <c r="E54" s="51">
        <v>1</v>
      </c>
      <c r="F54" s="52">
        <v>10250000</v>
      </c>
    </row>
    <row r="55" spans="2:6" ht="193.8" x14ac:dyDescent="0.3">
      <c r="B55" s="58" t="s">
        <v>96</v>
      </c>
      <c r="C55" s="49" t="s">
        <v>97</v>
      </c>
      <c r="D55" s="50" t="s">
        <v>16</v>
      </c>
      <c r="E55" s="51">
        <v>1</v>
      </c>
      <c r="F55" s="52">
        <v>43500000</v>
      </c>
    </row>
    <row r="56" spans="2:6" ht="171" x14ac:dyDescent="0.3">
      <c r="B56" s="58" t="s">
        <v>96</v>
      </c>
      <c r="C56" s="49" t="s">
        <v>99</v>
      </c>
      <c r="D56" s="50" t="s">
        <v>10</v>
      </c>
      <c r="E56" s="51">
        <v>10.64</v>
      </c>
      <c r="F56" s="52">
        <v>2836242.542265594</v>
      </c>
    </row>
    <row r="57" spans="2:6" ht="399" x14ac:dyDescent="0.3">
      <c r="B57" s="59" t="s">
        <v>96</v>
      </c>
      <c r="C57" s="60" t="s">
        <v>100</v>
      </c>
      <c r="D57" s="61" t="s">
        <v>16</v>
      </c>
      <c r="E57" s="62">
        <v>1</v>
      </c>
      <c r="F57" s="63">
        <v>351000000</v>
      </c>
    </row>
    <row r="58" spans="2:6" ht="57" x14ac:dyDescent="0.3">
      <c r="B58" s="58" t="s">
        <v>96</v>
      </c>
      <c r="C58" s="49" t="str">
        <f>+UPPER(" Suministro e instalación de reflector led sumergible de 6 W.")</f>
        <v xml:space="preserve"> SUMINISTRO E INSTALACIÓN DE REFLECTOR LED SUMERGIBLE DE 6 W.</v>
      </c>
      <c r="D58" s="50" t="s">
        <v>16</v>
      </c>
      <c r="E58" s="51">
        <v>1</v>
      </c>
      <c r="F58" s="52">
        <v>764566</v>
      </c>
    </row>
    <row r="59" spans="2:6" ht="79.8" x14ac:dyDescent="0.3">
      <c r="B59" s="58" t="s">
        <v>96</v>
      </c>
      <c r="C59" s="49" t="str">
        <f>UPPER("Suministro e instalación de boquilla de retorno / succión para membrana
weltico ")</f>
        <v xml:space="preserve">SUMINISTRO E INSTALACIÓN DE BOQUILLA DE RETORNO / SUCCIÓN PARA MEMBRANA
WELTICO </v>
      </c>
      <c r="D59" s="50" t="s">
        <v>16</v>
      </c>
      <c r="E59" s="51">
        <v>1</v>
      </c>
      <c r="F59" s="52">
        <v>424325.5</v>
      </c>
    </row>
    <row r="60" spans="2:6" ht="57.6" thickBot="1" x14ac:dyDescent="0.35">
      <c r="B60" s="64" t="s">
        <v>96</v>
      </c>
      <c r="C60" s="49" t="str">
        <f>+UPPER("Suministro e instalación de rejilla de fondo de membrana.")</f>
        <v>SUMINISTRO E INSTALACIÓN DE REJILLA DE FONDO DE MEMBRANA.</v>
      </c>
      <c r="D60" s="65" t="s">
        <v>16</v>
      </c>
      <c r="E60" s="66">
        <v>1</v>
      </c>
      <c r="F60" s="67">
        <v>626625.5</v>
      </c>
    </row>
    <row r="61" spans="2:6" ht="68.400000000000006" x14ac:dyDescent="0.3">
      <c r="B61" s="68">
        <v>4.01</v>
      </c>
      <c r="C61" s="69" t="s">
        <v>101</v>
      </c>
      <c r="D61" s="70" t="s">
        <v>102</v>
      </c>
      <c r="E61" s="71">
        <v>10</v>
      </c>
      <c r="F61" s="72">
        <v>2871863.9924889919</v>
      </c>
    </row>
    <row r="62" spans="2:6" ht="68.400000000000006" x14ac:dyDescent="0.3">
      <c r="B62" s="73">
        <v>4.0199999999999996</v>
      </c>
      <c r="C62" s="74" t="s">
        <v>103</v>
      </c>
      <c r="D62" s="75" t="s">
        <v>102</v>
      </c>
      <c r="E62" s="76">
        <v>10</v>
      </c>
      <c r="F62" s="77">
        <v>2556087.8010878009</v>
      </c>
    </row>
    <row r="63" spans="2:6" ht="68.400000000000006" x14ac:dyDescent="0.3">
      <c r="B63" s="73">
        <v>4.03</v>
      </c>
      <c r="C63" s="74" t="s">
        <v>104</v>
      </c>
      <c r="D63" s="75" t="s">
        <v>102</v>
      </c>
      <c r="E63" s="76">
        <v>10</v>
      </c>
      <c r="F63" s="77">
        <v>2767388.6298886295</v>
      </c>
    </row>
    <row r="64" spans="2:6" ht="79.8" x14ac:dyDescent="0.3">
      <c r="B64" s="73">
        <v>4.04</v>
      </c>
      <c r="C64" s="74" t="s">
        <v>105</v>
      </c>
      <c r="D64" s="75" t="s">
        <v>102</v>
      </c>
      <c r="E64" s="76">
        <v>10</v>
      </c>
      <c r="F64" s="77">
        <v>2628433.3721833718</v>
      </c>
    </row>
    <row r="65" spans="2:6" ht="79.8" x14ac:dyDescent="0.3">
      <c r="B65" s="73">
        <v>4.05</v>
      </c>
      <c r="C65" s="74" t="s">
        <v>106</v>
      </c>
      <c r="D65" s="75" t="s">
        <v>10</v>
      </c>
      <c r="E65" s="76">
        <v>1</v>
      </c>
      <c r="F65" s="77">
        <v>89360.593110593094</v>
      </c>
    </row>
    <row r="66" spans="2:6" ht="136.80000000000001" x14ac:dyDescent="0.3">
      <c r="B66" s="73">
        <v>4.0599999999999996</v>
      </c>
      <c r="C66" s="74" t="s">
        <v>107</v>
      </c>
      <c r="D66" s="75" t="s">
        <v>10</v>
      </c>
      <c r="E66" s="76">
        <v>1</v>
      </c>
      <c r="F66" s="77">
        <v>88224.067599067581</v>
      </c>
    </row>
    <row r="67" spans="2:6" ht="159.6" x14ac:dyDescent="0.3">
      <c r="B67" s="73">
        <v>4.07</v>
      </c>
      <c r="C67" s="74" t="s">
        <v>108</v>
      </c>
      <c r="D67" s="75" t="s">
        <v>10</v>
      </c>
      <c r="E67" s="76">
        <v>1</v>
      </c>
      <c r="F67" s="77">
        <v>88441.627816627806</v>
      </c>
    </row>
    <row r="68" spans="2:6" ht="159.6" x14ac:dyDescent="0.3">
      <c r="B68" s="73">
        <v>4.08</v>
      </c>
      <c r="C68" s="74" t="s">
        <v>109</v>
      </c>
      <c r="D68" s="75" t="s">
        <v>10</v>
      </c>
      <c r="E68" s="76">
        <v>1</v>
      </c>
      <c r="F68" s="77">
        <v>97757.057757057744</v>
      </c>
    </row>
    <row r="69" spans="2:6" ht="171" x14ac:dyDescent="0.3">
      <c r="B69" s="73">
        <v>4.09</v>
      </c>
      <c r="C69" s="74" t="s">
        <v>110</v>
      </c>
      <c r="D69" s="75" t="s">
        <v>10</v>
      </c>
      <c r="E69" s="76">
        <v>1</v>
      </c>
      <c r="F69" s="77">
        <v>94946.904946904935</v>
      </c>
    </row>
    <row r="70" spans="2:6" ht="171" x14ac:dyDescent="0.3">
      <c r="B70" s="73">
        <v>4.0999999999999996</v>
      </c>
      <c r="C70" s="74" t="s">
        <v>111</v>
      </c>
      <c r="D70" s="75" t="s">
        <v>10</v>
      </c>
      <c r="E70" s="76">
        <v>1</v>
      </c>
      <c r="F70" s="77">
        <v>92560.541310541288</v>
      </c>
    </row>
    <row r="71" spans="2:6" ht="171" x14ac:dyDescent="0.3">
      <c r="B71" s="73">
        <v>4.1100000000000003</v>
      </c>
      <c r="C71" s="74" t="s">
        <v>112</v>
      </c>
      <c r="D71" s="75" t="s">
        <v>10</v>
      </c>
      <c r="E71" s="76">
        <v>1</v>
      </c>
      <c r="F71" s="77">
        <v>72914.400414400414</v>
      </c>
    </row>
    <row r="72" spans="2:6" ht="159.6" x14ac:dyDescent="0.3">
      <c r="B72" s="73">
        <v>4.12</v>
      </c>
      <c r="C72" s="74" t="s">
        <v>113</v>
      </c>
      <c r="D72" s="75" t="s">
        <v>10</v>
      </c>
      <c r="E72" s="76">
        <v>1</v>
      </c>
      <c r="F72" s="77">
        <v>80398.698523698506</v>
      </c>
    </row>
    <row r="73" spans="2:6" ht="148.19999999999999" x14ac:dyDescent="0.3">
      <c r="B73" s="73">
        <v>4.13</v>
      </c>
      <c r="C73" s="74" t="s">
        <v>114</v>
      </c>
      <c r="D73" s="75" t="s">
        <v>10</v>
      </c>
      <c r="E73" s="76">
        <v>1</v>
      </c>
      <c r="F73" s="77">
        <v>73922.882672882668</v>
      </c>
    </row>
    <row r="74" spans="2:6" ht="148.19999999999999" x14ac:dyDescent="0.3">
      <c r="B74" s="73">
        <v>4.1399999999999997</v>
      </c>
      <c r="C74" s="74" t="s">
        <v>115</v>
      </c>
      <c r="D74" s="75" t="s">
        <v>10</v>
      </c>
      <c r="E74" s="76">
        <v>1</v>
      </c>
      <c r="F74" s="77">
        <v>84978.79435379435</v>
      </c>
    </row>
    <row r="75" spans="2:6" ht="159.6" x14ac:dyDescent="0.3">
      <c r="B75" s="73">
        <v>4.1500000000000004</v>
      </c>
      <c r="C75" s="74" t="s">
        <v>116</v>
      </c>
      <c r="D75" s="75" t="s">
        <v>10</v>
      </c>
      <c r="E75" s="76">
        <v>1</v>
      </c>
      <c r="F75" s="77">
        <v>75935.314685314675</v>
      </c>
    </row>
    <row r="76" spans="2:6" ht="148.19999999999999" x14ac:dyDescent="0.3">
      <c r="B76" s="73">
        <v>4.16</v>
      </c>
      <c r="C76" s="74" t="s">
        <v>117</v>
      </c>
      <c r="D76" s="75" t="s">
        <v>10</v>
      </c>
      <c r="E76" s="76">
        <v>1</v>
      </c>
      <c r="F76" s="77">
        <v>75926.249676249674</v>
      </c>
    </row>
    <row r="77" spans="2:6" ht="228" x14ac:dyDescent="0.3">
      <c r="B77" s="73">
        <v>4.17</v>
      </c>
      <c r="C77" s="74" t="s">
        <v>118</v>
      </c>
      <c r="D77" s="75" t="s">
        <v>10</v>
      </c>
      <c r="E77" s="76">
        <v>1</v>
      </c>
      <c r="F77" s="77">
        <v>84978.79435379435</v>
      </c>
    </row>
    <row r="78" spans="2:6" ht="159.6" x14ac:dyDescent="0.3">
      <c r="B78" s="73">
        <v>4.18</v>
      </c>
      <c r="C78" s="74" t="s">
        <v>119</v>
      </c>
      <c r="D78" s="75" t="s">
        <v>10</v>
      </c>
      <c r="E78" s="76">
        <v>1</v>
      </c>
      <c r="F78" s="77">
        <v>84540.27454027452</v>
      </c>
    </row>
    <row r="79" spans="2:6" ht="148.19999999999999" x14ac:dyDescent="0.3">
      <c r="B79" s="73">
        <v>4.1900000000000004</v>
      </c>
      <c r="C79" s="74" t="s">
        <v>120</v>
      </c>
      <c r="D79" s="75" t="s">
        <v>10</v>
      </c>
      <c r="E79" s="76">
        <v>1</v>
      </c>
      <c r="F79" s="77">
        <v>159498.83449883445</v>
      </c>
    </row>
    <row r="80" spans="2:6" ht="148.19999999999999" x14ac:dyDescent="0.3">
      <c r="B80" s="73">
        <v>4.2</v>
      </c>
      <c r="C80" s="74" t="s">
        <v>121</v>
      </c>
      <c r="D80" s="75" t="s">
        <v>10</v>
      </c>
      <c r="E80" s="76">
        <v>1</v>
      </c>
      <c r="F80" s="77">
        <v>94060.800310800289</v>
      </c>
    </row>
    <row r="81" spans="2:6" ht="148.19999999999999" x14ac:dyDescent="0.3">
      <c r="B81" s="73">
        <v>4.21</v>
      </c>
      <c r="C81" s="74" t="s">
        <v>122</v>
      </c>
      <c r="D81" s="75" t="s">
        <v>10</v>
      </c>
      <c r="E81" s="76">
        <v>1</v>
      </c>
      <c r="F81" s="77">
        <v>73970.473970473962</v>
      </c>
    </row>
    <row r="82" spans="2:6" ht="171" x14ac:dyDescent="0.3">
      <c r="B82" s="73">
        <v>4.22</v>
      </c>
      <c r="C82" s="74" t="s">
        <v>123</v>
      </c>
      <c r="D82" s="75" t="s">
        <v>10</v>
      </c>
      <c r="E82" s="76">
        <v>1</v>
      </c>
      <c r="F82" s="77">
        <v>79205.516705516697</v>
      </c>
    </row>
    <row r="83" spans="2:6" ht="148.19999999999999" x14ac:dyDescent="0.3">
      <c r="B83" s="73">
        <v>4.2300000000000004</v>
      </c>
      <c r="C83" s="74" t="s">
        <v>124</v>
      </c>
      <c r="D83" s="75" t="s">
        <v>10</v>
      </c>
      <c r="E83" s="76">
        <v>1</v>
      </c>
      <c r="F83" s="77">
        <v>80335.243460243451</v>
      </c>
    </row>
    <row r="84" spans="2:6" ht="159.6" x14ac:dyDescent="0.3">
      <c r="B84" s="73">
        <v>4.2399999999999904</v>
      </c>
      <c r="C84" s="74" t="s">
        <v>125</v>
      </c>
      <c r="D84" s="75" t="s">
        <v>10</v>
      </c>
      <c r="E84" s="76">
        <v>1</v>
      </c>
      <c r="F84" s="77">
        <v>164012.07588707586</v>
      </c>
    </row>
    <row r="85" spans="2:6" ht="159.6" x14ac:dyDescent="0.3">
      <c r="B85" s="73">
        <v>4.2499999999999902</v>
      </c>
      <c r="C85" s="74" t="s">
        <v>126</v>
      </c>
      <c r="D85" s="75" t="s">
        <v>10</v>
      </c>
      <c r="E85" s="76">
        <v>1</v>
      </c>
      <c r="F85" s="77">
        <v>73729.118104118097</v>
      </c>
    </row>
    <row r="86" spans="2:6" ht="148.19999999999999" x14ac:dyDescent="0.3">
      <c r="B86" s="73">
        <v>4.25999999999999</v>
      </c>
      <c r="C86" s="74" t="s">
        <v>127</v>
      </c>
      <c r="D86" s="75" t="s">
        <v>10</v>
      </c>
      <c r="E86" s="76">
        <v>1</v>
      </c>
      <c r="F86" s="77">
        <v>101877.10437710436</v>
      </c>
    </row>
    <row r="87" spans="2:6" ht="171" x14ac:dyDescent="0.3">
      <c r="B87" s="73">
        <v>4.2699999999999898</v>
      </c>
      <c r="C87" s="74" t="s">
        <v>128</v>
      </c>
      <c r="D87" s="75" t="s">
        <v>10</v>
      </c>
      <c r="E87" s="76">
        <v>1</v>
      </c>
      <c r="F87" s="77">
        <v>77300.731675731673</v>
      </c>
    </row>
    <row r="88" spans="2:6" ht="159.6" x14ac:dyDescent="0.3">
      <c r="B88" s="73">
        <v>4.2799999999999896</v>
      </c>
      <c r="C88" s="74" t="s">
        <v>129</v>
      </c>
      <c r="D88" s="75" t="s">
        <v>10</v>
      </c>
      <c r="E88" s="76">
        <v>1</v>
      </c>
      <c r="F88" s="77">
        <v>87638.241388241382</v>
      </c>
    </row>
    <row r="89" spans="2:6" ht="171" x14ac:dyDescent="0.3">
      <c r="B89" s="73">
        <v>4.2899999999999903</v>
      </c>
      <c r="C89" s="74" t="s">
        <v>130</v>
      </c>
      <c r="D89" s="75" t="s">
        <v>10</v>
      </c>
      <c r="E89" s="76">
        <v>1</v>
      </c>
      <c r="F89" s="77">
        <v>80543.738668738646</v>
      </c>
    </row>
    <row r="90" spans="2:6" ht="148.19999999999999" x14ac:dyDescent="0.3">
      <c r="B90" s="73">
        <v>4.2999999999999901</v>
      </c>
      <c r="C90" s="74" t="s">
        <v>131</v>
      </c>
      <c r="D90" s="75" t="s">
        <v>10</v>
      </c>
      <c r="E90" s="76">
        <v>1</v>
      </c>
      <c r="F90" s="77">
        <v>73996.53587153586</v>
      </c>
    </row>
    <row r="91" spans="2:6" ht="148.19999999999999" x14ac:dyDescent="0.3">
      <c r="B91" s="73">
        <v>4.3099999999999898</v>
      </c>
      <c r="C91" s="74" t="s">
        <v>132</v>
      </c>
      <c r="D91" s="75" t="s">
        <v>10</v>
      </c>
      <c r="E91" s="76">
        <v>1</v>
      </c>
      <c r="F91" s="77">
        <v>80543.738668738646</v>
      </c>
    </row>
    <row r="92" spans="2:6" ht="136.80000000000001" x14ac:dyDescent="0.3">
      <c r="B92" s="73">
        <v>4.3199999999999896</v>
      </c>
      <c r="C92" s="74" t="s">
        <v>133</v>
      </c>
      <c r="D92" s="75" t="s">
        <v>10</v>
      </c>
      <c r="E92" s="76">
        <v>1</v>
      </c>
      <c r="F92" s="77">
        <v>48623.575498575497</v>
      </c>
    </row>
    <row r="93" spans="2:6" ht="79.8" x14ac:dyDescent="0.3">
      <c r="B93" s="73">
        <v>4.3299999999999903</v>
      </c>
      <c r="C93" s="74" t="s">
        <v>134</v>
      </c>
      <c r="D93" s="75" t="s">
        <v>10</v>
      </c>
      <c r="E93" s="76">
        <v>1</v>
      </c>
      <c r="F93" s="77">
        <v>91509.000259000255</v>
      </c>
    </row>
    <row r="94" spans="2:6" ht="68.400000000000006" x14ac:dyDescent="0.3">
      <c r="B94" s="73">
        <v>4.3399999999999901</v>
      </c>
      <c r="C94" s="74" t="s">
        <v>135</v>
      </c>
      <c r="D94" s="75" t="s">
        <v>19</v>
      </c>
      <c r="E94" s="76">
        <v>1</v>
      </c>
      <c r="F94" s="77">
        <v>83313.098938098934</v>
      </c>
    </row>
    <row r="95" spans="2:6" ht="136.80000000000001" x14ac:dyDescent="0.3">
      <c r="B95" s="73">
        <v>4.3499999999999899</v>
      </c>
      <c r="C95" s="74" t="s">
        <v>136</v>
      </c>
      <c r="D95" s="75" t="s">
        <v>102</v>
      </c>
      <c r="E95" s="76">
        <v>10</v>
      </c>
      <c r="F95" s="77">
        <v>6408335.9233359229</v>
      </c>
    </row>
    <row r="96" spans="2:6" ht="136.80000000000001" x14ac:dyDescent="0.3">
      <c r="B96" s="73">
        <v>4.3599999999999897</v>
      </c>
      <c r="C96" s="74" t="s">
        <v>137</v>
      </c>
      <c r="D96" s="75" t="s">
        <v>102</v>
      </c>
      <c r="E96" s="76">
        <v>10</v>
      </c>
      <c r="F96" s="77">
        <v>6320349.8122248109</v>
      </c>
    </row>
    <row r="97" spans="2:6" ht="136.80000000000001" x14ac:dyDescent="0.3">
      <c r="B97" s="73">
        <v>4.3699999999999903</v>
      </c>
      <c r="C97" s="74" t="s">
        <v>138</v>
      </c>
      <c r="D97" s="75" t="s">
        <v>102</v>
      </c>
      <c r="E97" s="76">
        <v>10</v>
      </c>
      <c r="F97" s="77">
        <v>6320349.8122248109</v>
      </c>
    </row>
    <row r="98" spans="2:6" ht="148.19999999999999" x14ac:dyDescent="0.3">
      <c r="B98" s="73">
        <v>4.3799999999999901</v>
      </c>
      <c r="C98" s="74" t="s">
        <v>139</v>
      </c>
      <c r="D98" s="75" t="s">
        <v>102</v>
      </c>
      <c r="E98" s="76">
        <v>10</v>
      </c>
      <c r="F98" s="77">
        <v>5482276.126651126</v>
      </c>
    </row>
    <row r="99" spans="2:6" ht="148.19999999999999" x14ac:dyDescent="0.3">
      <c r="B99" s="73">
        <v>4.3899999999999899</v>
      </c>
      <c r="C99" s="74" t="s">
        <v>140</v>
      </c>
      <c r="D99" s="75" t="s">
        <v>102</v>
      </c>
      <c r="E99" s="76">
        <v>10</v>
      </c>
      <c r="F99" s="77">
        <v>5666903.1662781658</v>
      </c>
    </row>
    <row r="100" spans="2:6" ht="148.19999999999999" x14ac:dyDescent="0.3">
      <c r="B100" s="73">
        <v>4.3999999999999897</v>
      </c>
      <c r="C100" s="74" t="s">
        <v>141</v>
      </c>
      <c r="D100" s="75" t="s">
        <v>102</v>
      </c>
      <c r="E100" s="76">
        <v>10</v>
      </c>
      <c r="F100" s="77">
        <v>5874735.4959854949</v>
      </c>
    </row>
    <row r="101" spans="2:6" ht="136.80000000000001" x14ac:dyDescent="0.3">
      <c r="B101" s="73">
        <v>4.4099999999999904</v>
      </c>
      <c r="C101" s="74" t="s">
        <v>142</v>
      </c>
      <c r="D101" s="75" t="s">
        <v>102</v>
      </c>
      <c r="E101" s="76">
        <v>10</v>
      </c>
      <c r="F101" s="78">
        <v>6205028.1662781648</v>
      </c>
    </row>
    <row r="102" spans="2:6" ht="148.19999999999999" x14ac:dyDescent="0.3">
      <c r="B102" s="73">
        <v>4.4199999999999902</v>
      </c>
      <c r="C102" s="74" t="s">
        <v>143</v>
      </c>
      <c r="D102" s="75" t="s">
        <v>102</v>
      </c>
      <c r="E102" s="76">
        <v>10</v>
      </c>
      <c r="F102" s="78">
        <v>7791780.95053095</v>
      </c>
    </row>
    <row r="103" spans="2:6" ht="148.19999999999999" x14ac:dyDescent="0.3">
      <c r="B103" s="73">
        <v>4.4299999999999899</v>
      </c>
      <c r="C103" s="74" t="s">
        <v>144</v>
      </c>
      <c r="D103" s="75" t="s">
        <v>102</v>
      </c>
      <c r="E103" s="76">
        <v>10</v>
      </c>
      <c r="F103" s="78">
        <v>8773527.0979020968</v>
      </c>
    </row>
    <row r="104" spans="2:6" ht="136.80000000000001" x14ac:dyDescent="0.3">
      <c r="B104" s="73">
        <v>4.4399999999999897</v>
      </c>
      <c r="C104" s="74" t="s">
        <v>145</v>
      </c>
      <c r="D104" s="75" t="s">
        <v>102</v>
      </c>
      <c r="E104" s="76">
        <v>10</v>
      </c>
      <c r="F104" s="78">
        <v>7553378.0108780097</v>
      </c>
    </row>
    <row r="105" spans="2:6" ht="148.19999999999999" x14ac:dyDescent="0.3">
      <c r="B105" s="73">
        <v>4.4499999999999904</v>
      </c>
      <c r="C105" s="74" t="s">
        <v>146</v>
      </c>
      <c r="D105" s="75" t="s">
        <v>102</v>
      </c>
      <c r="E105" s="76">
        <v>10</v>
      </c>
      <c r="F105" s="78">
        <v>8060374.9028749019</v>
      </c>
    </row>
    <row r="106" spans="2:6" ht="148.19999999999999" x14ac:dyDescent="0.3">
      <c r="B106" s="73">
        <v>4.4599999999999902</v>
      </c>
      <c r="C106" s="74" t="s">
        <v>147</v>
      </c>
      <c r="D106" s="75" t="s">
        <v>102</v>
      </c>
      <c r="E106" s="76">
        <v>10</v>
      </c>
      <c r="F106" s="78">
        <v>8637277.745402744</v>
      </c>
    </row>
    <row r="107" spans="2:6" ht="136.80000000000001" x14ac:dyDescent="0.3">
      <c r="B107" s="73">
        <v>4.46999999999999</v>
      </c>
      <c r="C107" s="74" t="s">
        <v>148</v>
      </c>
      <c r="D107" s="75" t="s">
        <v>102</v>
      </c>
      <c r="E107" s="76">
        <v>10</v>
      </c>
      <c r="F107" s="78">
        <v>10153476.43097643</v>
      </c>
    </row>
    <row r="108" spans="2:6" ht="136.80000000000001" x14ac:dyDescent="0.3">
      <c r="B108" s="73">
        <v>4.4799999999999898</v>
      </c>
      <c r="C108" s="74" t="s">
        <v>149</v>
      </c>
      <c r="D108" s="75" t="s">
        <v>102</v>
      </c>
      <c r="E108" s="76">
        <v>10</v>
      </c>
      <c r="F108" s="78">
        <v>11066112.082362082</v>
      </c>
    </row>
    <row r="109" spans="2:6" ht="159.6" x14ac:dyDescent="0.3">
      <c r="B109" s="73">
        <v>4.4899999999999904</v>
      </c>
      <c r="C109" s="74" t="s">
        <v>150</v>
      </c>
      <c r="D109" s="75" t="s">
        <v>102</v>
      </c>
      <c r="E109" s="76">
        <v>10</v>
      </c>
      <c r="F109" s="78">
        <v>7440986.629111628</v>
      </c>
    </row>
    <row r="110" spans="2:6" ht="159.6" x14ac:dyDescent="0.3">
      <c r="B110" s="73">
        <v>4.4999999999999902</v>
      </c>
      <c r="C110" s="74" t="s">
        <v>151</v>
      </c>
      <c r="D110" s="75" t="s">
        <v>102</v>
      </c>
      <c r="E110" s="76">
        <v>10</v>
      </c>
      <c r="F110" s="78">
        <v>8205000.3237503227</v>
      </c>
    </row>
    <row r="111" spans="2:6" ht="148.19999999999999" x14ac:dyDescent="0.3">
      <c r="B111" s="73">
        <v>4.50999999999999</v>
      </c>
      <c r="C111" s="74" t="s">
        <v>152</v>
      </c>
      <c r="D111" s="75" t="s">
        <v>102</v>
      </c>
      <c r="E111" s="76">
        <v>10</v>
      </c>
      <c r="F111" s="78">
        <v>6182338.4485884486</v>
      </c>
    </row>
    <row r="112" spans="2:6" ht="148.19999999999999" x14ac:dyDescent="0.3">
      <c r="B112" s="73">
        <v>4.5199999999999898</v>
      </c>
      <c r="C112" s="74" t="s">
        <v>153</v>
      </c>
      <c r="D112" s="75" t="s">
        <v>102</v>
      </c>
      <c r="E112" s="76">
        <v>10</v>
      </c>
      <c r="F112" s="78">
        <v>5977621.0826210817</v>
      </c>
    </row>
    <row r="113" spans="2:6" ht="148.19999999999999" x14ac:dyDescent="0.3">
      <c r="B113" s="73">
        <v>4.5299999999999896</v>
      </c>
      <c r="C113" s="74" t="s">
        <v>154</v>
      </c>
      <c r="D113" s="75" t="s">
        <v>102</v>
      </c>
      <c r="E113" s="76">
        <v>10</v>
      </c>
      <c r="F113" s="78">
        <v>6888872.0538720535</v>
      </c>
    </row>
    <row r="114" spans="2:6" ht="148.19999999999999" x14ac:dyDescent="0.3">
      <c r="B114" s="73">
        <v>4.5399999999999903</v>
      </c>
      <c r="C114" s="74" t="s">
        <v>155</v>
      </c>
      <c r="D114" s="75" t="s">
        <v>102</v>
      </c>
      <c r="E114" s="76">
        <v>10</v>
      </c>
      <c r="F114" s="78">
        <v>7745058.7606837591</v>
      </c>
    </row>
    <row r="115" spans="2:6" ht="136.80000000000001" x14ac:dyDescent="0.3">
      <c r="B115" s="73">
        <v>4.5499999999999901</v>
      </c>
      <c r="C115" s="74" t="s">
        <v>156</v>
      </c>
      <c r="D115" s="75" t="s">
        <v>102</v>
      </c>
      <c r="E115" s="76">
        <v>10</v>
      </c>
      <c r="F115" s="78">
        <v>8745064.1025641002</v>
      </c>
    </row>
    <row r="116" spans="2:6" ht="137.4" thickBot="1" x14ac:dyDescent="0.35">
      <c r="B116" s="73">
        <v>4.5599999999999898</v>
      </c>
      <c r="C116" s="79" t="s">
        <v>157</v>
      </c>
      <c r="D116" s="80" t="s">
        <v>102</v>
      </c>
      <c r="E116" s="81">
        <v>10</v>
      </c>
      <c r="F116" s="82">
        <v>10506956.26133126</v>
      </c>
    </row>
    <row r="117" spans="2:6" ht="34.200000000000003" x14ac:dyDescent="0.3">
      <c r="B117" s="83">
        <v>5.01</v>
      </c>
      <c r="C117" s="84" t="s">
        <v>158</v>
      </c>
      <c r="D117" s="85" t="s">
        <v>19</v>
      </c>
      <c r="E117" s="86">
        <v>1</v>
      </c>
      <c r="F117" s="87">
        <v>519686.77156177146</v>
      </c>
    </row>
    <row r="118" spans="2:6" ht="57" x14ac:dyDescent="0.3">
      <c r="B118" s="83">
        <v>5.0199999999999996</v>
      </c>
      <c r="C118" s="84" t="s">
        <v>159</v>
      </c>
      <c r="D118" s="85" t="s">
        <v>19</v>
      </c>
      <c r="E118" s="86">
        <v>1</v>
      </c>
      <c r="F118" s="87">
        <v>83398.083398083385</v>
      </c>
    </row>
    <row r="119" spans="2:6" ht="22.8" x14ac:dyDescent="0.3">
      <c r="B119" s="83">
        <v>5.03</v>
      </c>
      <c r="C119" s="84" t="s">
        <v>160</v>
      </c>
      <c r="D119" s="85" t="s">
        <v>161</v>
      </c>
      <c r="E119" s="86">
        <v>1</v>
      </c>
      <c r="F119" s="87">
        <v>9784.5441595441571</v>
      </c>
    </row>
    <row r="120" spans="2:6" ht="148.19999999999999" x14ac:dyDescent="0.3">
      <c r="B120" s="83" t="str">
        <f>+'[1]CAP.5 '!$C$134</f>
        <v>5.04</v>
      </c>
      <c r="C120" s="88" t="s">
        <v>162</v>
      </c>
      <c r="D120" s="89" t="s">
        <v>10</v>
      </c>
      <c r="E120" s="86">
        <v>1</v>
      </c>
      <c r="F120" s="87">
        <v>1527231.9347319345</v>
      </c>
    </row>
    <row r="121" spans="2:6" ht="68.400000000000006" x14ac:dyDescent="0.3">
      <c r="B121" s="83" t="str">
        <f>+'[1]CAP.5 '!$C$174</f>
        <v>5.05</v>
      </c>
      <c r="C121" s="88" t="s">
        <v>163</v>
      </c>
      <c r="D121" s="89" t="s">
        <v>164</v>
      </c>
      <c r="E121" s="86">
        <v>1</v>
      </c>
      <c r="F121" s="87">
        <v>40573.847448847446</v>
      </c>
    </row>
    <row r="122" spans="2:6" ht="45.6" x14ac:dyDescent="0.3">
      <c r="B122" s="83" t="str">
        <f>+'[1]CAP.5 '!$C$216</f>
        <v>5.06</v>
      </c>
      <c r="C122" s="90" t="s">
        <v>165</v>
      </c>
      <c r="D122" s="89" t="s">
        <v>10</v>
      </c>
      <c r="E122" s="86">
        <v>1</v>
      </c>
      <c r="F122" s="87">
        <v>37487.211862211858</v>
      </c>
    </row>
    <row r="123" spans="2:6" ht="57" x14ac:dyDescent="0.3">
      <c r="B123" s="83" t="str">
        <f>+'[1]CAP.5 '!$C$257</f>
        <v>5.07</v>
      </c>
      <c r="C123" s="90" t="s">
        <v>166</v>
      </c>
      <c r="D123" s="89" t="s">
        <v>10</v>
      </c>
      <c r="E123" s="86">
        <v>1</v>
      </c>
      <c r="F123" s="87">
        <v>54528.295778295767</v>
      </c>
    </row>
    <row r="124" spans="2:6" ht="57" x14ac:dyDescent="0.3">
      <c r="B124" s="83" t="str">
        <f>+'[1]CAP.5 '!$C$298</f>
        <v>5.08</v>
      </c>
      <c r="C124" s="90" t="s">
        <v>167</v>
      </c>
      <c r="D124" s="89" t="s">
        <v>10</v>
      </c>
      <c r="E124" s="86">
        <v>1</v>
      </c>
      <c r="F124" s="87">
        <v>15800.310800310797</v>
      </c>
    </row>
    <row r="125" spans="2:6" ht="45.6" x14ac:dyDescent="0.3">
      <c r="B125" s="83" t="str">
        <f>+'[1]CAP.5 '!$C$340</f>
        <v>5.09</v>
      </c>
      <c r="C125" s="88" t="s">
        <v>168</v>
      </c>
      <c r="D125" s="89" t="s">
        <v>10</v>
      </c>
      <c r="E125" s="86">
        <v>1</v>
      </c>
      <c r="F125" s="87">
        <v>24330.484330484327</v>
      </c>
    </row>
    <row r="126" spans="2:6" ht="34.200000000000003" x14ac:dyDescent="0.3">
      <c r="B126" s="83" t="str">
        <f>+'[1]CAP.5 '!$C$382</f>
        <v>5.10</v>
      </c>
      <c r="C126" s="90" t="s">
        <v>169</v>
      </c>
      <c r="D126" s="89" t="s">
        <v>10</v>
      </c>
      <c r="E126" s="86">
        <v>1</v>
      </c>
      <c r="F126" s="87">
        <v>43109.783734783727</v>
      </c>
    </row>
    <row r="127" spans="2:6" ht="57" x14ac:dyDescent="0.3">
      <c r="B127" s="83" t="str">
        <f>+'[1]CAP.5 '!$C$424</f>
        <v>5.11</v>
      </c>
      <c r="C127" s="90" t="s">
        <v>170</v>
      </c>
      <c r="D127" s="89" t="s">
        <v>10</v>
      </c>
      <c r="E127" s="86">
        <v>1</v>
      </c>
      <c r="F127" s="87">
        <v>43482.582232582223</v>
      </c>
    </row>
    <row r="128" spans="2:6" ht="114" x14ac:dyDescent="0.3">
      <c r="B128" s="83" t="str">
        <f>+'[1]CAP.5 '!$C$466</f>
        <v>5.12</v>
      </c>
      <c r="C128" s="90" t="s">
        <v>171</v>
      </c>
      <c r="D128" s="89" t="s">
        <v>10</v>
      </c>
      <c r="E128" s="86">
        <v>1</v>
      </c>
      <c r="F128" s="87">
        <v>176654.36415436413</v>
      </c>
    </row>
    <row r="129" spans="2:6" ht="45.6" x14ac:dyDescent="0.3">
      <c r="B129" s="83" t="str">
        <f>+'[1]CAP.5 '!$C$508</f>
        <v>5.13</v>
      </c>
      <c r="C129" s="90" t="s">
        <v>172</v>
      </c>
      <c r="D129" s="89" t="s">
        <v>164</v>
      </c>
      <c r="E129" s="86">
        <v>1</v>
      </c>
      <c r="F129" s="87">
        <v>238085.6643356643</v>
      </c>
    </row>
    <row r="130" spans="2:6" ht="45.6" x14ac:dyDescent="0.3">
      <c r="B130" s="83" t="str">
        <f>+'[1]CAP.5 '!$C$549</f>
        <v>5.14</v>
      </c>
      <c r="C130" s="90" t="s">
        <v>173</v>
      </c>
      <c r="D130" s="89" t="s">
        <v>10</v>
      </c>
      <c r="E130" s="86">
        <v>1</v>
      </c>
      <c r="F130" s="87">
        <v>409492.52136752132</v>
      </c>
    </row>
    <row r="131" spans="2:6" ht="45.6" x14ac:dyDescent="0.3">
      <c r="B131" s="83" t="str">
        <f>+'[1]CAP.5 '!$C$591</f>
        <v>5.15</v>
      </c>
      <c r="C131" s="91" t="s">
        <v>174</v>
      </c>
      <c r="D131" s="89" t="s">
        <v>10</v>
      </c>
      <c r="E131" s="86">
        <v>1</v>
      </c>
      <c r="F131" s="87">
        <v>349469.6969696969</v>
      </c>
    </row>
    <row r="132" spans="2:6" ht="68.400000000000006" x14ac:dyDescent="0.3">
      <c r="B132" s="83" t="str">
        <f>+'[1]CAP.5 '!$C$633</f>
        <v>5.16</v>
      </c>
      <c r="C132" s="90" t="s">
        <v>175</v>
      </c>
      <c r="D132" s="89" t="s">
        <v>10</v>
      </c>
      <c r="E132" s="86">
        <v>1</v>
      </c>
      <c r="F132" s="87">
        <v>18922.073297073297</v>
      </c>
    </row>
    <row r="133" spans="2:6" ht="136.80000000000001" x14ac:dyDescent="0.3">
      <c r="B133" s="83" t="str">
        <f>+'[1]CAP.5 '!$C$675</f>
        <v>5.17</v>
      </c>
      <c r="C133" s="91" t="s">
        <v>176</v>
      </c>
      <c r="D133" s="92" t="s">
        <v>164</v>
      </c>
      <c r="E133" s="86">
        <v>1</v>
      </c>
      <c r="F133" s="87">
        <v>17631.442631442627</v>
      </c>
    </row>
    <row r="134" spans="2:6" ht="102.6" x14ac:dyDescent="0.3">
      <c r="B134" s="83" t="s">
        <v>177</v>
      </c>
      <c r="C134" s="91" t="s">
        <v>178</v>
      </c>
      <c r="D134" s="92" t="s">
        <v>10</v>
      </c>
      <c r="E134" s="86">
        <v>1</v>
      </c>
      <c r="F134" s="87">
        <v>307950.82232582232</v>
      </c>
    </row>
    <row r="135" spans="2:6" ht="125.4" x14ac:dyDescent="0.3">
      <c r="B135" s="83" t="s">
        <v>179</v>
      </c>
      <c r="C135" s="91" t="s">
        <v>180</v>
      </c>
      <c r="D135" s="92" t="s">
        <v>16</v>
      </c>
      <c r="E135" s="86">
        <v>1</v>
      </c>
      <c r="F135" s="87">
        <v>2538033.7024087021</v>
      </c>
    </row>
    <row r="136" spans="2:6" ht="182.4" x14ac:dyDescent="0.3">
      <c r="B136" s="83" t="s">
        <v>181</v>
      </c>
      <c r="C136" s="91" t="s">
        <v>182</v>
      </c>
      <c r="D136" s="92" t="s">
        <v>16</v>
      </c>
      <c r="E136" s="86">
        <v>1</v>
      </c>
      <c r="F136" s="87">
        <v>702883.80600880587</v>
      </c>
    </row>
    <row r="137" spans="2:6" ht="148.19999999999999" x14ac:dyDescent="0.3">
      <c r="B137" s="83" t="str">
        <f>+'[1]CAP.5 '!$C$859</f>
        <v>5.21</v>
      </c>
      <c r="C137" s="91" t="s">
        <v>183</v>
      </c>
      <c r="D137" s="92" t="s">
        <v>184</v>
      </c>
      <c r="E137" s="86">
        <v>1</v>
      </c>
      <c r="F137" s="87">
        <v>184403.81377881375</v>
      </c>
    </row>
    <row r="138" spans="2:6" ht="182.4" x14ac:dyDescent="0.3">
      <c r="B138" s="83" t="s">
        <v>185</v>
      </c>
      <c r="C138" s="91" t="s">
        <v>186</v>
      </c>
      <c r="D138" s="92" t="s">
        <v>10</v>
      </c>
      <c r="E138" s="86">
        <v>1</v>
      </c>
      <c r="F138" s="87">
        <v>88530.011655011636</v>
      </c>
    </row>
    <row r="139" spans="2:6" ht="22.8" x14ac:dyDescent="0.3">
      <c r="B139" s="83" t="s">
        <v>187</v>
      </c>
      <c r="C139" s="91" t="s">
        <v>188</v>
      </c>
      <c r="D139" s="92" t="s">
        <v>164</v>
      </c>
      <c r="E139" s="86">
        <v>1</v>
      </c>
      <c r="F139" s="87">
        <v>10005.503755503754</v>
      </c>
    </row>
    <row r="140" spans="2:6" ht="159.6" x14ac:dyDescent="0.3">
      <c r="B140" s="83" t="str">
        <f>+'[1]CAP.5 '!$C$1001</f>
        <v>5.24</v>
      </c>
      <c r="C140" s="91" t="s">
        <v>189</v>
      </c>
      <c r="D140" s="92" t="s">
        <v>164</v>
      </c>
      <c r="E140" s="86">
        <v>1</v>
      </c>
      <c r="F140" s="87">
        <v>391614.05723905715</v>
      </c>
    </row>
    <row r="141" spans="2:6" ht="182.4" x14ac:dyDescent="0.3">
      <c r="B141" s="83" t="str">
        <f>+'[1]CAP.5 '!$C$1044</f>
        <v>5.25</v>
      </c>
      <c r="C141" s="91" t="s">
        <v>190</v>
      </c>
      <c r="D141" s="92" t="s">
        <v>10</v>
      </c>
      <c r="E141" s="86">
        <v>1</v>
      </c>
      <c r="F141" s="87">
        <v>411192.21056721051</v>
      </c>
    </row>
    <row r="142" spans="2:6" ht="102.6" x14ac:dyDescent="0.3">
      <c r="B142" s="83" t="str">
        <f>+'[1]CAP.5 '!$C$1096</f>
        <v>5.26</v>
      </c>
      <c r="C142" s="91" t="s">
        <v>191</v>
      </c>
      <c r="D142" s="92" t="s">
        <v>10</v>
      </c>
      <c r="E142" s="86">
        <v>1</v>
      </c>
      <c r="F142" s="87">
        <v>48718.758093758093</v>
      </c>
    </row>
    <row r="143" spans="2:6" ht="34.200000000000003" x14ac:dyDescent="0.3">
      <c r="B143" s="83" t="str">
        <f>+'[1]CAP.5 '!$C$1140</f>
        <v>5.27</v>
      </c>
      <c r="C143" s="91" t="s">
        <v>192</v>
      </c>
      <c r="D143" s="92" t="s">
        <v>16</v>
      </c>
      <c r="E143" s="86">
        <v>1</v>
      </c>
      <c r="F143" s="87">
        <v>36971.639471639464</v>
      </c>
    </row>
    <row r="144" spans="2:6" ht="68.400000000000006" x14ac:dyDescent="0.3">
      <c r="B144" s="83" t="str">
        <f>+'[1]CAP.5 '!$C$1187</f>
        <v>5.28</v>
      </c>
      <c r="C144" s="91" t="s">
        <v>193</v>
      </c>
      <c r="D144" s="92" t="s">
        <v>10</v>
      </c>
      <c r="E144" s="86">
        <v>1</v>
      </c>
      <c r="F144" s="87">
        <v>134519.06889406886</v>
      </c>
    </row>
    <row r="145" spans="2:6" ht="136.80000000000001" x14ac:dyDescent="0.3">
      <c r="B145" s="83" t="str">
        <f>+'[1]CAP.5 '!$C$1233</f>
        <v>5.29</v>
      </c>
      <c r="C145" s="91" t="s">
        <v>194</v>
      </c>
      <c r="D145" s="92" t="s">
        <v>184</v>
      </c>
      <c r="E145" s="86">
        <v>1</v>
      </c>
      <c r="F145" s="87">
        <v>1430855.0246050244</v>
      </c>
    </row>
    <row r="146" spans="2:6" ht="205.2" x14ac:dyDescent="0.3">
      <c r="B146" s="93" t="str">
        <f>+'[1]CAP.5 '!$C$1284</f>
        <v>5.30</v>
      </c>
      <c r="C146" s="88" t="s">
        <v>195</v>
      </c>
      <c r="D146" s="94" t="s">
        <v>184</v>
      </c>
      <c r="E146" s="86">
        <v>1</v>
      </c>
      <c r="F146" s="95">
        <v>1371276.3856513854</v>
      </c>
    </row>
    <row r="147" spans="2:6" ht="193.8" x14ac:dyDescent="0.3">
      <c r="B147" s="93" t="str">
        <f>+'[1]CAP.5 '!$C$1330</f>
        <v>5.31</v>
      </c>
      <c r="C147" s="88" t="s">
        <v>196</v>
      </c>
      <c r="D147" s="94" t="s">
        <v>16</v>
      </c>
      <c r="E147" s="86">
        <v>1</v>
      </c>
      <c r="F147" s="95">
        <v>1210774.7345247343</v>
      </c>
    </row>
    <row r="148" spans="2:6" ht="182.4" x14ac:dyDescent="0.3">
      <c r="B148" s="93" t="str">
        <f>+'[1]CAP.5 '!$C$1371</f>
        <v>5.32</v>
      </c>
      <c r="C148" s="88" t="s">
        <v>197</v>
      </c>
      <c r="D148" s="94" t="s">
        <v>16</v>
      </c>
      <c r="E148" s="86">
        <v>1</v>
      </c>
      <c r="F148" s="95">
        <v>2916511.4283864279</v>
      </c>
    </row>
    <row r="149" spans="2:6" ht="34.200000000000003" x14ac:dyDescent="0.3">
      <c r="B149" s="93" t="str">
        <f>+'[1]CAP.5 '!$C$1411</f>
        <v>5.33</v>
      </c>
      <c r="C149" s="88" t="s">
        <v>198</v>
      </c>
      <c r="D149" s="96" t="s">
        <v>10</v>
      </c>
      <c r="E149" s="86">
        <v>1</v>
      </c>
      <c r="F149" s="95">
        <v>338695.93369593367</v>
      </c>
    </row>
    <row r="150" spans="2:6" ht="34.200000000000003" x14ac:dyDescent="0.3">
      <c r="B150" s="93" t="str">
        <f>+'[1]CAP.5 '!$C$1446</f>
        <v>5.34</v>
      </c>
      <c r="C150" s="88" t="s">
        <v>199</v>
      </c>
      <c r="D150" s="96" t="s">
        <v>10</v>
      </c>
      <c r="E150" s="86">
        <v>1</v>
      </c>
      <c r="F150" s="95">
        <v>483127.59000258992</v>
      </c>
    </row>
    <row r="151" spans="2:6" ht="57" x14ac:dyDescent="0.3">
      <c r="B151" s="97">
        <v>5.35</v>
      </c>
      <c r="C151" s="88" t="s">
        <v>200</v>
      </c>
      <c r="D151" s="96" t="s">
        <v>16</v>
      </c>
      <c r="E151" s="98">
        <v>1</v>
      </c>
      <c r="F151" s="99">
        <v>90839.729354443392</v>
      </c>
    </row>
    <row r="152" spans="2:6" ht="57" x14ac:dyDescent="0.3">
      <c r="B152" s="97">
        <v>5.36</v>
      </c>
      <c r="C152" s="88" t="s">
        <v>201</v>
      </c>
      <c r="D152" s="96" t="s">
        <v>16</v>
      </c>
      <c r="E152" s="98">
        <v>1</v>
      </c>
      <c r="F152" s="99">
        <v>114945.44544861565</v>
      </c>
    </row>
    <row r="153" spans="2:6" ht="57" x14ac:dyDescent="0.3">
      <c r="B153" s="97">
        <v>5.37</v>
      </c>
      <c r="C153" s="88" t="s">
        <v>202</v>
      </c>
      <c r="D153" s="96" t="s">
        <v>16</v>
      </c>
      <c r="E153" s="98">
        <v>1</v>
      </c>
      <c r="F153" s="99">
        <v>55409.678611758514</v>
      </c>
    </row>
    <row r="154" spans="2:6" ht="45.6" x14ac:dyDescent="0.3">
      <c r="B154" s="97">
        <v>5.38</v>
      </c>
      <c r="C154" s="88" t="s">
        <v>203</v>
      </c>
      <c r="D154" s="96" t="s">
        <v>16</v>
      </c>
      <c r="E154" s="98">
        <v>1</v>
      </c>
      <c r="F154" s="99">
        <v>73957.659428883751</v>
      </c>
    </row>
    <row r="155" spans="2:6" ht="45.6" x14ac:dyDescent="0.3">
      <c r="B155" s="97">
        <v>5.39</v>
      </c>
      <c r="C155" s="88" t="s">
        <v>204</v>
      </c>
      <c r="D155" s="96" t="s">
        <v>16</v>
      </c>
      <c r="E155" s="98">
        <v>1</v>
      </c>
      <c r="F155" s="99">
        <v>316475.40890852304</v>
      </c>
    </row>
    <row r="156" spans="2:6" ht="45.6" x14ac:dyDescent="0.3">
      <c r="B156" s="97">
        <v>5.4</v>
      </c>
      <c r="C156" s="88" t="s">
        <v>205</v>
      </c>
      <c r="D156" s="96" t="s">
        <v>16</v>
      </c>
      <c r="E156" s="98">
        <v>1</v>
      </c>
      <c r="F156" s="99">
        <v>146138.89045369491</v>
      </c>
    </row>
    <row r="157" spans="2:6" ht="45.6" x14ac:dyDescent="0.3">
      <c r="B157" s="97">
        <v>5.41</v>
      </c>
      <c r="C157" s="88" t="s">
        <v>206</v>
      </c>
      <c r="D157" s="96" t="s">
        <v>16</v>
      </c>
      <c r="E157" s="98">
        <v>1</v>
      </c>
      <c r="F157" s="99">
        <v>68695.854927656546</v>
      </c>
    </row>
    <row r="158" spans="2:6" ht="102.6" x14ac:dyDescent="0.3">
      <c r="B158" s="97">
        <v>5.42</v>
      </c>
      <c r="C158" s="88" t="s">
        <v>207</v>
      </c>
      <c r="D158" s="96" t="s">
        <v>10</v>
      </c>
      <c r="E158" s="98">
        <v>1</v>
      </c>
      <c r="F158" s="99">
        <v>79115.209369999997</v>
      </c>
    </row>
    <row r="159" spans="2:6" ht="45.6" x14ac:dyDescent="0.3">
      <c r="B159" s="97">
        <v>5.43</v>
      </c>
      <c r="C159" s="88" t="s">
        <v>208</v>
      </c>
      <c r="D159" s="96" t="s">
        <v>10</v>
      </c>
      <c r="E159" s="98">
        <v>1</v>
      </c>
      <c r="F159" s="99">
        <v>91166.146907157701</v>
      </c>
    </row>
    <row r="160" spans="2:6" ht="45.6" x14ac:dyDescent="0.3">
      <c r="B160" s="97" t="s">
        <v>96</v>
      </c>
      <c r="C160" s="88" t="s">
        <v>209</v>
      </c>
      <c r="D160" s="96" t="s">
        <v>164</v>
      </c>
      <c r="E160" s="98">
        <v>1</v>
      </c>
      <c r="F160" s="99">
        <v>16319.190999999999</v>
      </c>
    </row>
    <row r="161" spans="2:6" ht="171" x14ac:dyDescent="0.3">
      <c r="B161" s="97">
        <v>5.44</v>
      </c>
      <c r="C161" s="88" t="s">
        <v>210</v>
      </c>
      <c r="D161" s="96" t="s">
        <v>10</v>
      </c>
      <c r="E161" s="98">
        <v>1</v>
      </c>
      <c r="F161" s="99">
        <v>122673.94642433585</v>
      </c>
    </row>
    <row r="162" spans="2:6" ht="57" x14ac:dyDescent="0.3">
      <c r="B162" s="97" t="s">
        <v>96</v>
      </c>
      <c r="C162" s="88" t="s">
        <v>211</v>
      </c>
      <c r="D162" s="96" t="s">
        <v>16</v>
      </c>
      <c r="E162" s="98">
        <v>1</v>
      </c>
      <c r="F162" s="99">
        <v>93870.517727272731</v>
      </c>
    </row>
    <row r="163" spans="2:6" ht="34.200000000000003" x14ac:dyDescent="0.3">
      <c r="B163" s="100" t="s">
        <v>212</v>
      </c>
      <c r="C163" s="101" t="s">
        <v>213</v>
      </c>
      <c r="D163" s="102" t="s">
        <v>214</v>
      </c>
      <c r="E163" s="103">
        <v>1</v>
      </c>
      <c r="F163" s="104">
        <v>89715.26159026158</v>
      </c>
    </row>
    <row r="164" spans="2:6" ht="34.200000000000003" x14ac:dyDescent="0.3">
      <c r="B164" s="100" t="s">
        <v>215</v>
      </c>
      <c r="C164" s="101" t="s">
        <v>216</v>
      </c>
      <c r="D164" s="102" t="s">
        <v>214</v>
      </c>
      <c r="E164" s="103">
        <v>1</v>
      </c>
      <c r="F164" s="104">
        <v>89715.26159026158</v>
      </c>
    </row>
    <row r="165" spans="2:6" ht="34.200000000000003" x14ac:dyDescent="0.3">
      <c r="B165" s="100" t="s">
        <v>217</v>
      </c>
      <c r="C165" s="101" t="s">
        <v>218</v>
      </c>
      <c r="D165" s="102" t="s">
        <v>214</v>
      </c>
      <c r="E165" s="103">
        <v>1</v>
      </c>
      <c r="F165" s="104">
        <v>96493.622118622094</v>
      </c>
    </row>
    <row r="166" spans="2:6" ht="45.6" x14ac:dyDescent="0.3">
      <c r="B166" s="100" t="s">
        <v>219</v>
      </c>
      <c r="C166" s="101" t="s">
        <v>220</v>
      </c>
      <c r="D166" s="102" t="s">
        <v>214</v>
      </c>
      <c r="E166" s="103">
        <v>1</v>
      </c>
      <c r="F166" s="104">
        <v>151948.81507381503</v>
      </c>
    </row>
    <row r="167" spans="2:6" ht="45.6" x14ac:dyDescent="0.3">
      <c r="B167" s="100" t="s">
        <v>221</v>
      </c>
      <c r="C167" s="101" t="s">
        <v>222</v>
      </c>
      <c r="D167" s="102" t="s">
        <v>214</v>
      </c>
      <c r="E167" s="103">
        <v>1</v>
      </c>
      <c r="F167" s="104">
        <v>89715.26159026158</v>
      </c>
    </row>
    <row r="168" spans="2:6" ht="34.200000000000003" x14ac:dyDescent="0.3">
      <c r="B168" s="100" t="s">
        <v>223</v>
      </c>
      <c r="C168" s="101" t="s">
        <v>224</v>
      </c>
      <c r="D168" s="102" t="s">
        <v>214</v>
      </c>
      <c r="E168" s="103">
        <v>1</v>
      </c>
      <c r="F168" s="104">
        <v>96493.622118622094</v>
      </c>
    </row>
    <row r="169" spans="2:6" ht="34.200000000000003" x14ac:dyDescent="0.3">
      <c r="B169" s="100" t="s">
        <v>225</v>
      </c>
      <c r="C169" s="101" t="s">
        <v>226</v>
      </c>
      <c r="D169" s="102" t="s">
        <v>214</v>
      </c>
      <c r="E169" s="103">
        <v>1</v>
      </c>
      <c r="F169" s="104">
        <v>116913.68816368814</v>
      </c>
    </row>
    <row r="170" spans="2:6" ht="22.8" x14ac:dyDescent="0.3">
      <c r="B170" s="100" t="s">
        <v>227</v>
      </c>
      <c r="C170" s="101" t="s">
        <v>228</v>
      </c>
      <c r="D170" s="102" t="s">
        <v>164</v>
      </c>
      <c r="E170" s="103">
        <v>1</v>
      </c>
      <c r="F170" s="104">
        <v>12666.083916083915</v>
      </c>
    </row>
    <row r="171" spans="2:6" ht="22.8" x14ac:dyDescent="0.3">
      <c r="B171" s="100" t="s">
        <v>229</v>
      </c>
      <c r="C171" s="101" t="s">
        <v>230</v>
      </c>
      <c r="D171" s="102" t="s">
        <v>214</v>
      </c>
      <c r="E171" s="103">
        <v>1</v>
      </c>
      <c r="F171" s="104">
        <v>2431.6886816886813</v>
      </c>
    </row>
    <row r="172" spans="2:6" ht="22.8" x14ac:dyDescent="0.3">
      <c r="B172" s="100" t="s">
        <v>231</v>
      </c>
      <c r="C172" s="101" t="s">
        <v>232</v>
      </c>
      <c r="D172" s="102" t="s">
        <v>164</v>
      </c>
      <c r="E172" s="103">
        <v>1</v>
      </c>
      <c r="F172" s="104">
        <v>16642.223517223516</v>
      </c>
    </row>
    <row r="173" spans="2:6" ht="22.8" x14ac:dyDescent="0.3">
      <c r="B173" s="100" t="s">
        <v>233</v>
      </c>
      <c r="C173" s="101" t="s">
        <v>234</v>
      </c>
      <c r="D173" s="102" t="s">
        <v>214</v>
      </c>
      <c r="E173" s="103">
        <v>1</v>
      </c>
      <c r="F173" s="104">
        <v>17834.272209272207</v>
      </c>
    </row>
    <row r="174" spans="2:6" ht="22.8" x14ac:dyDescent="0.3">
      <c r="B174" s="100" t="s">
        <v>235</v>
      </c>
      <c r="C174" s="101" t="s">
        <v>236</v>
      </c>
      <c r="D174" s="102" t="s">
        <v>164</v>
      </c>
      <c r="E174" s="103">
        <v>1</v>
      </c>
      <c r="F174" s="104">
        <v>15554.422429422428</v>
      </c>
    </row>
    <row r="175" spans="2:6" ht="22.8" x14ac:dyDescent="0.3">
      <c r="B175" s="100" t="s">
        <v>237</v>
      </c>
      <c r="C175" s="101" t="s">
        <v>238</v>
      </c>
      <c r="D175" s="102" t="s">
        <v>214</v>
      </c>
      <c r="E175" s="103">
        <v>1</v>
      </c>
      <c r="F175" s="104">
        <v>5232.7764827764822</v>
      </c>
    </row>
    <row r="176" spans="2:6" ht="22.8" x14ac:dyDescent="0.3">
      <c r="B176" s="100" t="s">
        <v>239</v>
      </c>
      <c r="C176" s="101" t="s">
        <v>240</v>
      </c>
      <c r="D176" s="102" t="s">
        <v>164</v>
      </c>
      <c r="E176" s="103">
        <v>1</v>
      </c>
      <c r="F176" s="104">
        <v>27478.308728308722</v>
      </c>
    </row>
    <row r="177" spans="2:6" ht="22.8" x14ac:dyDescent="0.3">
      <c r="B177" s="100" t="s">
        <v>241</v>
      </c>
      <c r="C177" s="101" t="s">
        <v>242</v>
      </c>
      <c r="D177" s="102" t="s">
        <v>214</v>
      </c>
      <c r="E177" s="103">
        <v>1</v>
      </c>
      <c r="F177" s="104">
        <v>11043.447293447292</v>
      </c>
    </row>
    <row r="178" spans="2:6" ht="22.8" x14ac:dyDescent="0.3">
      <c r="B178" s="100" t="s">
        <v>243</v>
      </c>
      <c r="C178" s="101" t="s">
        <v>244</v>
      </c>
      <c r="D178" s="102" t="s">
        <v>164</v>
      </c>
      <c r="E178" s="103">
        <v>1</v>
      </c>
      <c r="F178" s="104">
        <v>35673.076923076915</v>
      </c>
    </row>
    <row r="179" spans="2:6" ht="22.8" x14ac:dyDescent="0.3">
      <c r="B179" s="100" t="s">
        <v>245</v>
      </c>
      <c r="C179" s="101" t="s">
        <v>246</v>
      </c>
      <c r="D179" s="102" t="s">
        <v>214</v>
      </c>
      <c r="E179" s="103">
        <v>1</v>
      </c>
      <c r="F179" s="104">
        <v>15625.809375809375</v>
      </c>
    </row>
    <row r="180" spans="2:6" ht="22.8" x14ac:dyDescent="0.3">
      <c r="B180" s="100" t="s">
        <v>247</v>
      </c>
      <c r="C180" s="101" t="s">
        <v>248</v>
      </c>
      <c r="D180" s="102" t="s">
        <v>164</v>
      </c>
      <c r="E180" s="103">
        <v>1</v>
      </c>
      <c r="F180" s="104">
        <v>54345.862470862463</v>
      </c>
    </row>
    <row r="181" spans="2:6" ht="22.8" x14ac:dyDescent="0.3">
      <c r="B181" s="100" t="s">
        <v>249</v>
      </c>
      <c r="C181" s="101" t="s">
        <v>250</v>
      </c>
      <c r="D181" s="102" t="s">
        <v>214</v>
      </c>
      <c r="E181" s="103">
        <v>1</v>
      </c>
      <c r="F181" s="104">
        <v>24128.787878787876</v>
      </c>
    </row>
    <row r="182" spans="2:6" ht="22.8" x14ac:dyDescent="0.3">
      <c r="B182" s="100" t="s">
        <v>251</v>
      </c>
      <c r="C182" s="101" t="s">
        <v>252</v>
      </c>
      <c r="D182" s="102" t="s">
        <v>164</v>
      </c>
      <c r="E182" s="103">
        <v>1</v>
      </c>
      <c r="F182" s="104">
        <v>87660.9039109039</v>
      </c>
    </row>
    <row r="183" spans="2:6" ht="22.8" x14ac:dyDescent="0.3">
      <c r="B183" s="100" t="s">
        <v>253</v>
      </c>
      <c r="C183" s="101" t="s">
        <v>254</v>
      </c>
      <c r="D183" s="102" t="s">
        <v>214</v>
      </c>
      <c r="E183" s="103">
        <v>1</v>
      </c>
      <c r="F183" s="104">
        <v>62623.348873348863</v>
      </c>
    </row>
    <row r="184" spans="2:6" ht="22.8" x14ac:dyDescent="0.3">
      <c r="B184" s="100" t="s">
        <v>255</v>
      </c>
      <c r="C184" s="101" t="s">
        <v>256</v>
      </c>
      <c r="D184" s="102" t="s">
        <v>164</v>
      </c>
      <c r="E184" s="103">
        <v>1</v>
      </c>
      <c r="F184" s="104">
        <v>116812.83993783992</v>
      </c>
    </row>
    <row r="185" spans="2:6" ht="22.8" x14ac:dyDescent="0.3">
      <c r="B185" s="100" t="s">
        <v>257</v>
      </c>
      <c r="C185" s="101" t="s">
        <v>258</v>
      </c>
      <c r="D185" s="102" t="s">
        <v>214</v>
      </c>
      <c r="E185" s="103">
        <v>1</v>
      </c>
      <c r="F185" s="104">
        <v>88151.547526547511</v>
      </c>
    </row>
    <row r="186" spans="2:6" ht="34.200000000000003" x14ac:dyDescent="0.3">
      <c r="B186" s="100" t="s">
        <v>259</v>
      </c>
      <c r="C186" s="101" t="s">
        <v>260</v>
      </c>
      <c r="D186" s="102" t="s">
        <v>214</v>
      </c>
      <c r="E186" s="103">
        <v>1</v>
      </c>
      <c r="F186" s="104">
        <v>69634.000259000255</v>
      </c>
    </row>
    <row r="187" spans="2:6" ht="34.200000000000003" x14ac:dyDescent="0.3">
      <c r="B187" s="100" t="s">
        <v>261</v>
      </c>
      <c r="C187" s="101" t="s">
        <v>262</v>
      </c>
      <c r="D187" s="102" t="s">
        <v>214</v>
      </c>
      <c r="E187" s="103">
        <v>1</v>
      </c>
      <c r="F187" s="104">
        <v>69634.000259000255</v>
      </c>
    </row>
    <row r="188" spans="2:6" x14ac:dyDescent="0.3">
      <c r="B188" s="100" t="s">
        <v>263</v>
      </c>
      <c r="C188" s="101" t="s">
        <v>264</v>
      </c>
      <c r="D188" s="102" t="s">
        <v>214</v>
      </c>
      <c r="E188" s="103">
        <v>1</v>
      </c>
      <c r="F188" s="104">
        <v>171224.42372442372</v>
      </c>
    </row>
    <row r="189" spans="2:6" ht="22.8" x14ac:dyDescent="0.3">
      <c r="B189" s="100" t="s">
        <v>265</v>
      </c>
      <c r="C189" s="101" t="s">
        <v>266</v>
      </c>
      <c r="D189" s="102" t="s">
        <v>214</v>
      </c>
      <c r="E189" s="103">
        <v>1</v>
      </c>
      <c r="F189" s="104">
        <v>121162.91116291114</v>
      </c>
    </row>
    <row r="190" spans="2:6" ht="22.8" x14ac:dyDescent="0.3">
      <c r="B190" s="100" t="s">
        <v>267</v>
      </c>
      <c r="C190" s="101" t="s">
        <v>268</v>
      </c>
      <c r="D190" s="102" t="s">
        <v>214</v>
      </c>
      <c r="E190" s="103">
        <v>1</v>
      </c>
      <c r="F190" s="104">
        <v>121162.91116291114</v>
      </c>
    </row>
    <row r="191" spans="2:6" x14ac:dyDescent="0.3">
      <c r="B191" s="100" t="s">
        <v>269</v>
      </c>
      <c r="C191" s="101" t="s">
        <v>270</v>
      </c>
      <c r="D191" s="102" t="s">
        <v>214</v>
      </c>
      <c r="E191" s="103">
        <v>1</v>
      </c>
      <c r="F191" s="104">
        <v>121162.91116291114</v>
      </c>
    </row>
    <row r="192" spans="2:6" ht="22.8" x14ac:dyDescent="0.3">
      <c r="B192" s="100" t="s">
        <v>271</v>
      </c>
      <c r="C192" s="101" t="s">
        <v>272</v>
      </c>
      <c r="D192" s="102" t="s">
        <v>214</v>
      </c>
      <c r="E192" s="103">
        <v>1</v>
      </c>
      <c r="F192" s="104">
        <v>121162.91116291114</v>
      </c>
    </row>
    <row r="193" spans="2:6" ht="22.8" x14ac:dyDescent="0.3">
      <c r="B193" s="100" t="s">
        <v>273</v>
      </c>
      <c r="C193" s="101" t="s">
        <v>274</v>
      </c>
      <c r="D193" s="102" t="s">
        <v>214</v>
      </c>
      <c r="E193" s="103">
        <v>1</v>
      </c>
      <c r="F193" s="104">
        <v>145113.79823879819</v>
      </c>
    </row>
    <row r="194" spans="2:6" ht="22.8" x14ac:dyDescent="0.3">
      <c r="B194" s="100" t="s">
        <v>275</v>
      </c>
      <c r="C194" s="101" t="s">
        <v>276</v>
      </c>
      <c r="D194" s="102" t="s">
        <v>214</v>
      </c>
      <c r="E194" s="103">
        <v>1</v>
      </c>
      <c r="F194" s="104">
        <v>171224.42372442372</v>
      </c>
    </row>
    <row r="195" spans="2:6" ht="45.6" x14ac:dyDescent="0.3">
      <c r="B195" s="100" t="s">
        <v>277</v>
      </c>
      <c r="C195" s="101" t="s">
        <v>278</v>
      </c>
      <c r="D195" s="102" t="s">
        <v>214</v>
      </c>
      <c r="E195" s="103">
        <v>1</v>
      </c>
      <c r="F195" s="104">
        <v>136026.12665112663</v>
      </c>
    </row>
    <row r="196" spans="2:6" ht="22.8" x14ac:dyDescent="0.3">
      <c r="B196" s="100" t="s">
        <v>279</v>
      </c>
      <c r="C196" s="101" t="s">
        <v>280</v>
      </c>
      <c r="D196" s="102" t="s">
        <v>214</v>
      </c>
      <c r="E196" s="103">
        <v>1</v>
      </c>
      <c r="F196" s="104">
        <v>136026.12665112663</v>
      </c>
    </row>
    <row r="197" spans="2:6" ht="34.200000000000003" x14ac:dyDescent="0.3">
      <c r="B197" s="100" t="s">
        <v>281</v>
      </c>
      <c r="C197" s="101" t="s">
        <v>282</v>
      </c>
      <c r="D197" s="102" t="s">
        <v>214</v>
      </c>
      <c r="E197" s="103">
        <v>1</v>
      </c>
      <c r="F197" s="104">
        <v>72599.391349391342</v>
      </c>
    </row>
    <row r="198" spans="2:6" ht="34.200000000000003" x14ac:dyDescent="0.3">
      <c r="B198" s="100" t="s">
        <v>283</v>
      </c>
      <c r="C198" s="101" t="s">
        <v>284</v>
      </c>
      <c r="D198" s="102" t="s">
        <v>214</v>
      </c>
      <c r="E198" s="103">
        <v>1</v>
      </c>
      <c r="F198" s="104">
        <v>117788.46153846152</v>
      </c>
    </row>
    <row r="199" spans="2:6" ht="45.6" x14ac:dyDescent="0.3">
      <c r="B199" s="100" t="s">
        <v>285</v>
      </c>
      <c r="C199" s="101" t="s">
        <v>286</v>
      </c>
      <c r="D199" s="102" t="s">
        <v>214</v>
      </c>
      <c r="E199" s="103">
        <v>1</v>
      </c>
      <c r="F199" s="104">
        <v>55653.490028490021</v>
      </c>
    </row>
    <row r="200" spans="2:6" ht="22.8" x14ac:dyDescent="0.3">
      <c r="B200" s="100" t="s">
        <v>287</v>
      </c>
      <c r="C200" s="101" t="s">
        <v>288</v>
      </c>
      <c r="D200" s="102" t="s">
        <v>164</v>
      </c>
      <c r="E200" s="103">
        <v>1</v>
      </c>
      <c r="F200" s="104">
        <v>39005.600880600876</v>
      </c>
    </row>
    <row r="201" spans="2:6" ht="22.8" x14ac:dyDescent="0.3">
      <c r="B201" s="100" t="s">
        <v>289</v>
      </c>
      <c r="C201" s="101" t="s">
        <v>290</v>
      </c>
      <c r="D201" s="102" t="s">
        <v>164</v>
      </c>
      <c r="E201" s="103">
        <v>1</v>
      </c>
      <c r="F201" s="104">
        <v>39005.600880600876</v>
      </c>
    </row>
    <row r="202" spans="2:6" ht="22.8" x14ac:dyDescent="0.3">
      <c r="B202" s="100" t="s">
        <v>291</v>
      </c>
      <c r="C202" s="101" t="s">
        <v>292</v>
      </c>
      <c r="D202" s="102" t="s">
        <v>214</v>
      </c>
      <c r="E202" s="103">
        <v>1</v>
      </c>
      <c r="F202" s="104">
        <v>24128.787878787876</v>
      </c>
    </row>
    <row r="203" spans="2:6" ht="22.8" x14ac:dyDescent="0.3">
      <c r="B203" s="100" t="s">
        <v>293</v>
      </c>
      <c r="C203" s="101" t="s">
        <v>294</v>
      </c>
      <c r="D203" s="102" t="s">
        <v>164</v>
      </c>
      <c r="E203" s="103">
        <v>1</v>
      </c>
      <c r="F203" s="104">
        <v>57928.807303807291</v>
      </c>
    </row>
    <row r="204" spans="2:6" ht="22.8" x14ac:dyDescent="0.3">
      <c r="B204" s="100" t="s">
        <v>295</v>
      </c>
      <c r="C204" s="101" t="s">
        <v>296</v>
      </c>
      <c r="D204" s="102" t="s">
        <v>164</v>
      </c>
      <c r="E204" s="103">
        <v>1</v>
      </c>
      <c r="F204" s="104">
        <v>34186.415436415431</v>
      </c>
    </row>
    <row r="205" spans="2:6" ht="22.8" x14ac:dyDescent="0.3">
      <c r="B205" s="100" t="s">
        <v>297</v>
      </c>
      <c r="C205" s="101" t="s">
        <v>298</v>
      </c>
      <c r="D205" s="102" t="s">
        <v>214</v>
      </c>
      <c r="E205" s="103">
        <v>1</v>
      </c>
      <c r="F205" s="104">
        <v>15149.896399896397</v>
      </c>
    </row>
    <row r="206" spans="2:6" ht="22.8" x14ac:dyDescent="0.3">
      <c r="B206" s="100" t="s">
        <v>299</v>
      </c>
      <c r="C206" s="101" t="s">
        <v>300</v>
      </c>
      <c r="D206" s="102" t="s">
        <v>164</v>
      </c>
      <c r="E206" s="103">
        <v>1</v>
      </c>
      <c r="F206" s="104">
        <v>81198.685573685565</v>
      </c>
    </row>
    <row r="207" spans="2:6" ht="22.8" x14ac:dyDescent="0.3">
      <c r="B207" s="100" t="s">
        <v>301</v>
      </c>
      <c r="C207" s="101" t="s">
        <v>302</v>
      </c>
      <c r="D207" s="102" t="s">
        <v>164</v>
      </c>
      <c r="E207" s="103">
        <v>1</v>
      </c>
      <c r="F207" s="104">
        <v>81198.685573685565</v>
      </c>
    </row>
    <row r="208" spans="2:6" ht="22.8" x14ac:dyDescent="0.3">
      <c r="B208" s="100" t="s">
        <v>303</v>
      </c>
      <c r="C208" s="101" t="s">
        <v>304</v>
      </c>
      <c r="D208" s="102" t="s">
        <v>214</v>
      </c>
      <c r="E208" s="103">
        <v>1</v>
      </c>
      <c r="F208" s="104">
        <v>28279.4289044289</v>
      </c>
    </row>
    <row r="209" spans="2:6" ht="22.8" x14ac:dyDescent="0.3">
      <c r="B209" s="100" t="s">
        <v>305</v>
      </c>
      <c r="C209" s="101" t="s">
        <v>306</v>
      </c>
      <c r="D209" s="102" t="s">
        <v>164</v>
      </c>
      <c r="E209" s="103">
        <v>1</v>
      </c>
      <c r="F209" s="104">
        <v>169648.24527324527</v>
      </c>
    </row>
    <row r="210" spans="2:6" ht="22.8" x14ac:dyDescent="0.3">
      <c r="B210" s="100" t="s">
        <v>307</v>
      </c>
      <c r="C210" s="101" t="s">
        <v>308</v>
      </c>
      <c r="D210" s="102" t="s">
        <v>214</v>
      </c>
      <c r="E210" s="103">
        <v>1</v>
      </c>
      <c r="F210" s="104">
        <v>225348.19347319342</v>
      </c>
    </row>
    <row r="211" spans="2:6" ht="34.200000000000003" x14ac:dyDescent="0.3">
      <c r="B211" s="100" t="s">
        <v>309</v>
      </c>
      <c r="C211" s="101" t="s">
        <v>310</v>
      </c>
      <c r="D211" s="102" t="s">
        <v>214</v>
      </c>
      <c r="E211" s="103">
        <v>1</v>
      </c>
      <c r="F211" s="104">
        <v>83896.65889665889</v>
      </c>
    </row>
    <row r="212" spans="2:6" ht="22.8" x14ac:dyDescent="0.3">
      <c r="B212" s="100" t="s">
        <v>311</v>
      </c>
      <c r="C212" s="101" t="s">
        <v>312</v>
      </c>
      <c r="D212" s="102" t="s">
        <v>164</v>
      </c>
      <c r="E212" s="103">
        <v>1</v>
      </c>
      <c r="F212" s="104">
        <v>22220.603470603466</v>
      </c>
    </row>
    <row r="213" spans="2:6" ht="22.8" x14ac:dyDescent="0.3">
      <c r="B213" s="100" t="s">
        <v>313</v>
      </c>
      <c r="C213" s="101" t="s">
        <v>238</v>
      </c>
      <c r="D213" s="102" t="s">
        <v>214</v>
      </c>
      <c r="E213" s="103">
        <v>1</v>
      </c>
      <c r="F213" s="104">
        <v>5232.7764827764822</v>
      </c>
    </row>
    <row r="214" spans="2:6" ht="22.8" x14ac:dyDescent="0.3">
      <c r="B214" s="100" t="s">
        <v>314</v>
      </c>
      <c r="C214" s="101" t="s">
        <v>315</v>
      </c>
      <c r="D214" s="102" t="s">
        <v>164</v>
      </c>
      <c r="E214" s="103">
        <v>1</v>
      </c>
      <c r="F214" s="104">
        <v>54345.862470862463</v>
      </c>
    </row>
    <row r="215" spans="2:6" ht="22.8" x14ac:dyDescent="0.3">
      <c r="B215" s="100" t="s">
        <v>316</v>
      </c>
      <c r="C215" s="101" t="s">
        <v>317</v>
      </c>
      <c r="D215" s="102" t="s">
        <v>214</v>
      </c>
      <c r="E215" s="103">
        <v>1</v>
      </c>
      <c r="F215" s="104">
        <v>24128.787878787876</v>
      </c>
    </row>
    <row r="216" spans="2:6" ht="22.8" x14ac:dyDescent="0.3">
      <c r="B216" s="100" t="s">
        <v>318</v>
      </c>
      <c r="C216" s="101" t="s">
        <v>319</v>
      </c>
      <c r="D216" s="102" t="s">
        <v>164</v>
      </c>
      <c r="E216" s="103">
        <v>1</v>
      </c>
      <c r="F216" s="104">
        <v>57928.807303807291</v>
      </c>
    </row>
    <row r="217" spans="2:6" ht="22.8" x14ac:dyDescent="0.3">
      <c r="B217" s="100" t="s">
        <v>320</v>
      </c>
      <c r="C217" s="101" t="s">
        <v>321</v>
      </c>
      <c r="D217" s="102" t="s">
        <v>214</v>
      </c>
      <c r="E217" s="103">
        <v>1</v>
      </c>
      <c r="F217" s="104">
        <v>15149.896399896397</v>
      </c>
    </row>
    <row r="218" spans="2:6" ht="22.8" x14ac:dyDescent="0.3">
      <c r="B218" s="100" t="s">
        <v>322</v>
      </c>
      <c r="C218" s="101" t="s">
        <v>300</v>
      </c>
      <c r="D218" s="102" t="s">
        <v>164</v>
      </c>
      <c r="E218" s="103">
        <v>1</v>
      </c>
      <c r="F218" s="104">
        <v>81198.685573685565</v>
      </c>
    </row>
    <row r="219" spans="2:6" ht="22.8" x14ac:dyDescent="0.3">
      <c r="B219" s="100" t="s">
        <v>323</v>
      </c>
      <c r="C219" s="101" t="s">
        <v>324</v>
      </c>
      <c r="D219" s="102" t="s">
        <v>214</v>
      </c>
      <c r="E219" s="103">
        <v>1</v>
      </c>
      <c r="F219" s="104">
        <v>28279.4289044289</v>
      </c>
    </row>
    <row r="220" spans="2:6" ht="22.8" x14ac:dyDescent="0.3">
      <c r="B220" s="100" t="s">
        <v>325</v>
      </c>
      <c r="C220" s="101" t="s">
        <v>306</v>
      </c>
      <c r="D220" s="102" t="s">
        <v>164</v>
      </c>
      <c r="E220" s="103">
        <v>1</v>
      </c>
      <c r="F220" s="104">
        <v>169648.24527324527</v>
      </c>
    </row>
    <row r="221" spans="2:6" ht="22.8" x14ac:dyDescent="0.3">
      <c r="B221" s="100" t="s">
        <v>326</v>
      </c>
      <c r="C221" s="101" t="s">
        <v>308</v>
      </c>
      <c r="D221" s="102" t="s">
        <v>214</v>
      </c>
      <c r="E221" s="103">
        <v>1</v>
      </c>
      <c r="F221" s="104">
        <v>225348.19347319342</v>
      </c>
    </row>
    <row r="222" spans="2:6" ht="34.200000000000003" x14ac:dyDescent="0.3">
      <c r="B222" s="100" t="s">
        <v>327</v>
      </c>
      <c r="C222" s="101" t="s">
        <v>328</v>
      </c>
      <c r="D222" s="102" t="s">
        <v>214</v>
      </c>
      <c r="E222" s="103">
        <v>1</v>
      </c>
      <c r="F222" s="104">
        <v>106491.19399119397</v>
      </c>
    </row>
    <row r="223" spans="2:6" ht="34.200000000000003" x14ac:dyDescent="0.3">
      <c r="B223" s="100" t="s">
        <v>329</v>
      </c>
      <c r="C223" s="101" t="s">
        <v>330</v>
      </c>
      <c r="D223" s="102" t="s">
        <v>214</v>
      </c>
      <c r="E223" s="103">
        <v>1</v>
      </c>
      <c r="F223" s="104">
        <v>142078.1533281533</v>
      </c>
    </row>
    <row r="224" spans="2:6" ht="34.200000000000003" x14ac:dyDescent="0.3">
      <c r="B224" s="100" t="s">
        <v>331</v>
      </c>
      <c r="C224" s="101" t="s">
        <v>332</v>
      </c>
      <c r="D224" s="102" t="s">
        <v>214</v>
      </c>
      <c r="E224" s="103">
        <v>1</v>
      </c>
      <c r="F224" s="104">
        <v>170094.69696969696</v>
      </c>
    </row>
    <row r="225" spans="2:6" ht="22.8" x14ac:dyDescent="0.3">
      <c r="B225" s="100" t="s">
        <v>333</v>
      </c>
      <c r="C225" s="101" t="s">
        <v>276</v>
      </c>
      <c r="D225" s="102" t="s">
        <v>214</v>
      </c>
      <c r="E225" s="103">
        <v>1</v>
      </c>
      <c r="F225" s="104">
        <v>171224.42372442372</v>
      </c>
    </row>
    <row r="226" spans="2:6" ht="22.8" x14ac:dyDescent="0.3">
      <c r="B226" s="100" t="s">
        <v>334</v>
      </c>
      <c r="C226" s="101" t="s">
        <v>335</v>
      </c>
      <c r="D226" s="102" t="s">
        <v>214</v>
      </c>
      <c r="E226" s="103">
        <v>1</v>
      </c>
      <c r="F226" s="104">
        <v>8817.9875679875677</v>
      </c>
    </row>
    <row r="227" spans="2:6" ht="22.8" x14ac:dyDescent="0.3">
      <c r="B227" s="100" t="s">
        <v>336</v>
      </c>
      <c r="C227" s="101" t="s">
        <v>337</v>
      </c>
      <c r="D227" s="102" t="s">
        <v>214</v>
      </c>
      <c r="E227" s="103">
        <v>1</v>
      </c>
      <c r="F227" s="104">
        <v>9382.2843822843824</v>
      </c>
    </row>
    <row r="228" spans="2:6" ht="22.8" x14ac:dyDescent="0.3">
      <c r="B228" s="100" t="s">
        <v>338</v>
      </c>
      <c r="C228" s="101" t="s">
        <v>339</v>
      </c>
      <c r="D228" s="102" t="s">
        <v>214</v>
      </c>
      <c r="E228" s="103">
        <v>1</v>
      </c>
      <c r="F228" s="104">
        <v>10512.011137011135</v>
      </c>
    </row>
    <row r="229" spans="2:6" ht="22.8" x14ac:dyDescent="0.3">
      <c r="B229" s="100" t="s">
        <v>340</v>
      </c>
      <c r="C229" s="101" t="s">
        <v>341</v>
      </c>
      <c r="D229" s="102" t="s">
        <v>214</v>
      </c>
      <c r="E229" s="103">
        <v>1</v>
      </c>
      <c r="F229" s="104">
        <v>11416.24579124579</v>
      </c>
    </row>
    <row r="230" spans="2:6" ht="22.8" x14ac:dyDescent="0.3">
      <c r="B230" s="100" t="s">
        <v>342</v>
      </c>
      <c r="C230" s="101" t="s">
        <v>343</v>
      </c>
      <c r="D230" s="102" t="s">
        <v>214</v>
      </c>
      <c r="E230" s="103">
        <v>1</v>
      </c>
      <c r="F230" s="104">
        <v>12432.659932659932</v>
      </c>
    </row>
    <row r="231" spans="2:6" ht="22.8" x14ac:dyDescent="0.3">
      <c r="B231" s="100" t="s">
        <v>344</v>
      </c>
      <c r="C231" s="101" t="s">
        <v>345</v>
      </c>
      <c r="D231" s="102" t="s">
        <v>214</v>
      </c>
      <c r="E231" s="103">
        <v>1</v>
      </c>
      <c r="F231" s="104">
        <v>16023.536648536645</v>
      </c>
    </row>
    <row r="232" spans="2:6" ht="22.8" x14ac:dyDescent="0.3">
      <c r="B232" s="100" t="s">
        <v>346</v>
      </c>
      <c r="C232" s="101" t="s">
        <v>347</v>
      </c>
      <c r="D232" s="102" t="s">
        <v>214</v>
      </c>
      <c r="E232" s="103">
        <v>1</v>
      </c>
      <c r="F232" s="104">
        <v>17041.083916083913</v>
      </c>
    </row>
    <row r="233" spans="2:6" ht="22.8" x14ac:dyDescent="0.3">
      <c r="B233" s="100" t="s">
        <v>348</v>
      </c>
      <c r="C233" s="101" t="s">
        <v>349</v>
      </c>
      <c r="D233" s="102" t="s">
        <v>214</v>
      </c>
      <c r="E233" s="103">
        <v>1</v>
      </c>
      <c r="F233" s="104">
        <v>20655.756280756279</v>
      </c>
    </row>
    <row r="234" spans="2:6" ht="22.8" x14ac:dyDescent="0.3">
      <c r="B234" s="100" t="s">
        <v>350</v>
      </c>
      <c r="C234" s="101" t="s">
        <v>351</v>
      </c>
      <c r="D234" s="102" t="s">
        <v>214</v>
      </c>
      <c r="E234" s="103">
        <v>1</v>
      </c>
      <c r="F234" s="104">
        <v>23138.435638435636</v>
      </c>
    </row>
    <row r="235" spans="2:6" ht="22.8" x14ac:dyDescent="0.3">
      <c r="B235" s="100" t="s">
        <v>352</v>
      </c>
      <c r="C235" s="101" t="s">
        <v>353</v>
      </c>
      <c r="D235" s="102" t="s">
        <v>214</v>
      </c>
      <c r="E235" s="103">
        <v>1</v>
      </c>
      <c r="F235" s="104">
        <v>29543.997668997665</v>
      </c>
    </row>
    <row r="236" spans="2:6" ht="22.8" x14ac:dyDescent="0.3">
      <c r="B236" s="100" t="s">
        <v>354</v>
      </c>
      <c r="C236" s="101" t="s">
        <v>355</v>
      </c>
      <c r="D236" s="102" t="s">
        <v>214</v>
      </c>
      <c r="E236" s="103">
        <v>1</v>
      </c>
      <c r="F236" s="104">
        <v>37321.775446775442</v>
      </c>
    </row>
    <row r="237" spans="2:6" ht="22.8" x14ac:dyDescent="0.3">
      <c r="B237" s="100" t="s">
        <v>356</v>
      </c>
      <c r="C237" s="101" t="s">
        <v>357</v>
      </c>
      <c r="D237" s="102" t="s">
        <v>214</v>
      </c>
      <c r="E237" s="103">
        <v>1</v>
      </c>
      <c r="F237" s="104">
        <v>49632.057757057752</v>
      </c>
    </row>
    <row r="238" spans="2:6" ht="22.8" x14ac:dyDescent="0.3">
      <c r="B238" s="100" t="s">
        <v>358</v>
      </c>
      <c r="C238" s="101" t="s">
        <v>359</v>
      </c>
      <c r="D238" s="102" t="s">
        <v>214</v>
      </c>
      <c r="E238" s="103">
        <v>1</v>
      </c>
      <c r="F238" s="104">
        <v>204303.77492877489</v>
      </c>
    </row>
    <row r="239" spans="2:6" ht="45.6" x14ac:dyDescent="0.3">
      <c r="B239" s="100" t="s">
        <v>360</v>
      </c>
      <c r="C239" s="101" t="s">
        <v>361</v>
      </c>
      <c r="D239" s="102" t="s">
        <v>214</v>
      </c>
      <c r="E239" s="103">
        <v>1</v>
      </c>
      <c r="F239" s="104">
        <v>78441.789691789672</v>
      </c>
    </row>
    <row r="240" spans="2:6" ht="45.6" x14ac:dyDescent="0.3">
      <c r="B240" s="100" t="s">
        <v>362</v>
      </c>
      <c r="C240" s="101" t="s">
        <v>363</v>
      </c>
      <c r="D240" s="102" t="s">
        <v>214</v>
      </c>
      <c r="E240" s="103">
        <v>1</v>
      </c>
      <c r="F240" s="104">
        <v>92027.97202797202</v>
      </c>
    </row>
    <row r="241" spans="2:6" ht="45.6" x14ac:dyDescent="0.3">
      <c r="B241" s="100" t="s">
        <v>364</v>
      </c>
      <c r="C241" s="101" t="s">
        <v>365</v>
      </c>
      <c r="D241" s="102" t="s">
        <v>214</v>
      </c>
      <c r="E241" s="103">
        <v>1</v>
      </c>
      <c r="F241" s="104">
        <v>254943.18181818179</v>
      </c>
    </row>
    <row r="242" spans="2:6" ht="45.6" x14ac:dyDescent="0.3">
      <c r="B242" s="100" t="s">
        <v>366</v>
      </c>
      <c r="C242" s="101" t="s">
        <v>367</v>
      </c>
      <c r="D242" s="102" t="s">
        <v>214</v>
      </c>
      <c r="E242" s="103">
        <v>1</v>
      </c>
      <c r="F242" s="104">
        <v>170019.91064491062</v>
      </c>
    </row>
    <row r="243" spans="2:6" ht="45.6" x14ac:dyDescent="0.3">
      <c r="B243" s="100" t="s">
        <v>368</v>
      </c>
      <c r="C243" s="101" t="s">
        <v>369</v>
      </c>
      <c r="D243" s="102" t="s">
        <v>214</v>
      </c>
      <c r="E243" s="103">
        <v>1</v>
      </c>
      <c r="F243" s="104">
        <v>334977.01372701366</v>
      </c>
    </row>
    <row r="244" spans="2:6" ht="45.6" x14ac:dyDescent="0.3">
      <c r="B244" s="100" t="s">
        <v>370</v>
      </c>
      <c r="C244" s="101" t="s">
        <v>371</v>
      </c>
      <c r="D244" s="102" t="s">
        <v>214</v>
      </c>
      <c r="E244" s="103">
        <v>1</v>
      </c>
      <c r="F244" s="104">
        <v>790435.92981092969</v>
      </c>
    </row>
    <row r="245" spans="2:6" ht="34.200000000000003" x14ac:dyDescent="0.3">
      <c r="B245" s="100" t="s">
        <v>372</v>
      </c>
      <c r="C245" s="101" t="s">
        <v>373</v>
      </c>
      <c r="D245" s="102" t="s">
        <v>214</v>
      </c>
      <c r="E245" s="103">
        <v>1</v>
      </c>
      <c r="F245" s="104">
        <v>76424.825174825164</v>
      </c>
    </row>
    <row r="246" spans="2:6" ht="45.6" x14ac:dyDescent="0.3">
      <c r="B246" s="100" t="s">
        <v>374</v>
      </c>
      <c r="C246" s="101" t="s">
        <v>375</v>
      </c>
      <c r="D246" s="102" t="s">
        <v>214</v>
      </c>
      <c r="E246" s="103">
        <v>1</v>
      </c>
      <c r="F246" s="104">
        <v>155958.94845894843</v>
      </c>
    </row>
    <row r="247" spans="2:6" ht="45.6" x14ac:dyDescent="0.3">
      <c r="B247" s="100" t="s">
        <v>376</v>
      </c>
      <c r="C247" s="101" t="s">
        <v>377</v>
      </c>
      <c r="D247" s="102" t="s">
        <v>214</v>
      </c>
      <c r="E247" s="103">
        <v>1</v>
      </c>
      <c r="F247" s="104">
        <v>52079.610204610195</v>
      </c>
    </row>
    <row r="248" spans="2:6" ht="45.6" x14ac:dyDescent="0.3">
      <c r="B248" s="100" t="s">
        <v>378</v>
      </c>
      <c r="C248" s="101" t="s">
        <v>379</v>
      </c>
      <c r="D248" s="102" t="s">
        <v>214</v>
      </c>
      <c r="E248" s="103">
        <v>1</v>
      </c>
      <c r="F248" s="104">
        <v>82992.424242424226</v>
      </c>
    </row>
    <row r="249" spans="2:6" ht="34.200000000000003" x14ac:dyDescent="0.3">
      <c r="B249" s="100" t="s">
        <v>380</v>
      </c>
      <c r="C249" s="101" t="s">
        <v>381</v>
      </c>
      <c r="D249" s="102" t="s">
        <v>214</v>
      </c>
      <c r="E249" s="103">
        <v>1</v>
      </c>
      <c r="F249" s="104">
        <v>324241.77674177673</v>
      </c>
    </row>
    <row r="250" spans="2:6" ht="68.400000000000006" x14ac:dyDescent="0.3">
      <c r="B250" s="100" t="s">
        <v>382</v>
      </c>
      <c r="C250" s="101" t="s">
        <v>383</v>
      </c>
      <c r="D250" s="102" t="s">
        <v>214</v>
      </c>
      <c r="E250" s="103">
        <v>1</v>
      </c>
      <c r="F250" s="104">
        <v>274409.15565915563</v>
      </c>
    </row>
    <row r="251" spans="2:6" ht="68.400000000000006" x14ac:dyDescent="0.3">
      <c r="B251" s="100" t="s">
        <v>384</v>
      </c>
      <c r="C251" s="101" t="s">
        <v>385</v>
      </c>
      <c r="D251" s="102" t="s">
        <v>214</v>
      </c>
      <c r="E251" s="103">
        <v>1</v>
      </c>
      <c r="F251" s="104">
        <v>279963.73996373988</v>
      </c>
    </row>
    <row r="252" spans="2:6" ht="57" x14ac:dyDescent="0.3">
      <c r="B252" s="100" t="s">
        <v>386</v>
      </c>
      <c r="C252" s="101" t="s">
        <v>387</v>
      </c>
      <c r="D252" s="102" t="s">
        <v>214</v>
      </c>
      <c r="E252" s="103">
        <v>1</v>
      </c>
      <c r="F252" s="104">
        <v>863646.07614607608</v>
      </c>
    </row>
    <row r="253" spans="2:6" ht="34.200000000000003" x14ac:dyDescent="0.3">
      <c r="B253" s="100" t="s">
        <v>388</v>
      </c>
      <c r="C253" s="101" t="s">
        <v>389</v>
      </c>
      <c r="D253" s="102" t="s">
        <v>214</v>
      </c>
      <c r="E253" s="103">
        <v>1</v>
      </c>
      <c r="F253" s="104">
        <v>949669.61279461265</v>
      </c>
    </row>
    <row r="254" spans="2:6" ht="22.8" x14ac:dyDescent="0.3">
      <c r="B254" s="100" t="s">
        <v>390</v>
      </c>
      <c r="C254" s="101" t="s">
        <v>391</v>
      </c>
      <c r="D254" s="102" t="s">
        <v>214</v>
      </c>
      <c r="E254" s="103">
        <v>1</v>
      </c>
      <c r="F254" s="104">
        <v>96375.777000776987</v>
      </c>
    </row>
    <row r="255" spans="2:6" ht="22.8" x14ac:dyDescent="0.3">
      <c r="B255" s="100" t="s">
        <v>392</v>
      </c>
      <c r="C255" s="101" t="s">
        <v>393</v>
      </c>
      <c r="D255" s="102" t="s">
        <v>214</v>
      </c>
      <c r="E255" s="103">
        <v>1</v>
      </c>
      <c r="F255" s="104">
        <v>96375.777000776987</v>
      </c>
    </row>
    <row r="256" spans="2:6" ht="34.200000000000003" x14ac:dyDescent="0.3">
      <c r="B256" s="100" t="s">
        <v>394</v>
      </c>
      <c r="C256" s="101" t="s">
        <v>395</v>
      </c>
      <c r="D256" s="102" t="s">
        <v>214</v>
      </c>
      <c r="E256" s="103">
        <v>1</v>
      </c>
      <c r="F256" s="104">
        <v>543482.42035742023</v>
      </c>
    </row>
    <row r="257" spans="2:6" ht="34.200000000000003" x14ac:dyDescent="0.3">
      <c r="B257" s="100" t="s">
        <v>396</v>
      </c>
      <c r="C257" s="101" t="s">
        <v>397</v>
      </c>
      <c r="D257" s="102" t="s">
        <v>214</v>
      </c>
      <c r="E257" s="103">
        <v>1</v>
      </c>
      <c r="F257" s="104">
        <v>747360.13986013981</v>
      </c>
    </row>
    <row r="258" spans="2:6" ht="22.8" x14ac:dyDescent="0.3">
      <c r="B258" s="100" t="s">
        <v>398</v>
      </c>
      <c r="C258" s="101" t="s">
        <v>399</v>
      </c>
      <c r="D258" s="102" t="s">
        <v>214</v>
      </c>
      <c r="E258" s="103">
        <v>1</v>
      </c>
      <c r="F258" s="104">
        <v>709207.78295778285</v>
      </c>
    </row>
    <row r="259" spans="2:6" ht="34.200000000000003" x14ac:dyDescent="0.3">
      <c r="B259" s="100" t="s">
        <v>400</v>
      </c>
      <c r="C259" s="101" t="s">
        <v>401</v>
      </c>
      <c r="D259" s="102" t="s">
        <v>214</v>
      </c>
      <c r="E259" s="103">
        <v>1</v>
      </c>
      <c r="F259" s="104">
        <v>739602.75835275825</v>
      </c>
    </row>
    <row r="260" spans="2:6" ht="34.200000000000003" x14ac:dyDescent="0.3">
      <c r="B260" s="100" t="s">
        <v>402</v>
      </c>
      <c r="C260" s="101" t="s">
        <v>403</v>
      </c>
      <c r="D260" s="102" t="s">
        <v>214</v>
      </c>
      <c r="E260" s="103">
        <v>1</v>
      </c>
      <c r="F260" s="104">
        <v>1868573.7179487178</v>
      </c>
    </row>
    <row r="261" spans="2:6" ht="34.200000000000003" x14ac:dyDescent="0.3">
      <c r="B261" s="100" t="s">
        <v>404</v>
      </c>
      <c r="C261" s="101" t="s">
        <v>405</v>
      </c>
      <c r="D261" s="102" t="s">
        <v>214</v>
      </c>
      <c r="E261" s="103">
        <v>1</v>
      </c>
      <c r="F261" s="104">
        <v>187332.94483294481</v>
      </c>
    </row>
    <row r="262" spans="2:6" ht="34.200000000000003" x14ac:dyDescent="0.3">
      <c r="B262" s="100" t="s">
        <v>406</v>
      </c>
      <c r="C262" s="101" t="s">
        <v>407</v>
      </c>
      <c r="D262" s="102" t="s">
        <v>214</v>
      </c>
      <c r="E262" s="103">
        <v>1</v>
      </c>
      <c r="F262" s="104">
        <v>682949.851074851</v>
      </c>
    </row>
    <row r="263" spans="2:6" ht="34.200000000000003" x14ac:dyDescent="0.3">
      <c r="B263" s="100" t="s">
        <v>408</v>
      </c>
      <c r="C263" s="101" t="s">
        <v>409</v>
      </c>
      <c r="D263" s="102" t="s">
        <v>214</v>
      </c>
      <c r="E263" s="103">
        <v>1</v>
      </c>
      <c r="F263" s="104">
        <v>1612084.9520849518</v>
      </c>
    </row>
    <row r="264" spans="2:6" ht="34.200000000000003" x14ac:dyDescent="0.3">
      <c r="B264" s="100" t="s">
        <v>410</v>
      </c>
      <c r="C264" s="101" t="s">
        <v>411</v>
      </c>
      <c r="D264" s="102" t="s">
        <v>214</v>
      </c>
      <c r="E264" s="103">
        <v>1</v>
      </c>
      <c r="F264" s="104">
        <v>3572990.3198653194</v>
      </c>
    </row>
    <row r="265" spans="2:6" ht="57" x14ac:dyDescent="0.3">
      <c r="B265" s="100" t="s">
        <v>412</v>
      </c>
      <c r="C265" s="101" t="s">
        <v>413</v>
      </c>
      <c r="D265" s="102" t="s">
        <v>214</v>
      </c>
      <c r="E265" s="103">
        <v>1</v>
      </c>
      <c r="F265" s="104">
        <v>1768304.5195545193</v>
      </c>
    </row>
    <row r="266" spans="2:6" ht="57" x14ac:dyDescent="0.3">
      <c r="B266" s="100" t="s">
        <v>414</v>
      </c>
      <c r="C266" s="101" t="s">
        <v>415</v>
      </c>
      <c r="D266" s="102" t="s">
        <v>214</v>
      </c>
      <c r="E266" s="103">
        <v>1</v>
      </c>
      <c r="F266" s="104">
        <v>2926952.0525770518</v>
      </c>
    </row>
    <row r="267" spans="2:6" ht="34.200000000000003" x14ac:dyDescent="0.3">
      <c r="B267" s="100" t="s">
        <v>416</v>
      </c>
      <c r="C267" s="101" t="s">
        <v>417</v>
      </c>
      <c r="D267" s="102" t="s">
        <v>214</v>
      </c>
      <c r="E267" s="103">
        <v>1</v>
      </c>
      <c r="F267" s="104">
        <v>377117.97461797454</v>
      </c>
    </row>
    <row r="268" spans="2:6" ht="57" x14ac:dyDescent="0.3">
      <c r="B268" s="100" t="s">
        <v>418</v>
      </c>
      <c r="C268" s="101" t="s">
        <v>419</v>
      </c>
      <c r="D268" s="102" t="s">
        <v>214</v>
      </c>
      <c r="E268" s="103">
        <v>1</v>
      </c>
      <c r="F268" s="104">
        <v>284410.12691012683</v>
      </c>
    </row>
    <row r="269" spans="2:6" ht="57" x14ac:dyDescent="0.3">
      <c r="B269" s="100" t="s">
        <v>420</v>
      </c>
      <c r="C269" s="101" t="s">
        <v>421</v>
      </c>
      <c r="D269" s="102" t="s">
        <v>214</v>
      </c>
      <c r="E269" s="103">
        <v>1</v>
      </c>
      <c r="F269" s="104">
        <v>340896.46464646462</v>
      </c>
    </row>
    <row r="270" spans="2:6" ht="45.6" x14ac:dyDescent="0.3">
      <c r="B270" s="100" t="s">
        <v>422</v>
      </c>
      <c r="C270" s="101" t="s">
        <v>423</v>
      </c>
      <c r="D270" s="102" t="s">
        <v>214</v>
      </c>
      <c r="E270" s="103">
        <v>1</v>
      </c>
      <c r="F270" s="104">
        <v>489764.30976430967</v>
      </c>
    </row>
    <row r="271" spans="2:6" ht="45.6" x14ac:dyDescent="0.3">
      <c r="B271" s="100" t="s">
        <v>424</v>
      </c>
      <c r="C271" s="101" t="s">
        <v>425</v>
      </c>
      <c r="D271" s="102" t="s">
        <v>214</v>
      </c>
      <c r="E271" s="103">
        <v>1</v>
      </c>
      <c r="F271" s="104">
        <v>716981.02823102812</v>
      </c>
    </row>
    <row r="272" spans="2:6" ht="45.6" x14ac:dyDescent="0.3">
      <c r="B272" s="100" t="s">
        <v>426</v>
      </c>
      <c r="C272" s="101" t="s">
        <v>427</v>
      </c>
      <c r="D272" s="102" t="s">
        <v>214</v>
      </c>
      <c r="E272" s="103">
        <v>1</v>
      </c>
      <c r="F272" s="104">
        <v>884746.0178710178</v>
      </c>
    </row>
    <row r="273" spans="2:6" ht="34.200000000000003" x14ac:dyDescent="0.3">
      <c r="B273" s="100" t="s">
        <v>428</v>
      </c>
      <c r="C273" s="101" t="s">
        <v>429</v>
      </c>
      <c r="D273" s="102" t="s">
        <v>164</v>
      </c>
      <c r="E273" s="103">
        <v>1</v>
      </c>
      <c r="F273" s="104">
        <v>148436.12406112405</v>
      </c>
    </row>
    <row r="274" spans="2:6" ht="22.8" x14ac:dyDescent="0.3">
      <c r="B274" s="100" t="s">
        <v>430</v>
      </c>
      <c r="C274" s="101" t="s">
        <v>431</v>
      </c>
      <c r="D274" s="102" t="s">
        <v>164</v>
      </c>
      <c r="E274" s="103">
        <v>1</v>
      </c>
      <c r="F274" s="104">
        <v>239121.34162134159</v>
      </c>
    </row>
    <row r="275" spans="2:6" ht="22.8" x14ac:dyDescent="0.3">
      <c r="B275" s="100" t="s">
        <v>432</v>
      </c>
      <c r="C275" s="101" t="s">
        <v>433</v>
      </c>
      <c r="D275" s="102" t="s">
        <v>164</v>
      </c>
      <c r="E275" s="103">
        <v>1</v>
      </c>
      <c r="F275" s="104">
        <v>460517.19114219106</v>
      </c>
    </row>
    <row r="276" spans="2:6" ht="22.8" x14ac:dyDescent="0.3">
      <c r="B276" s="100" t="s">
        <v>434</v>
      </c>
      <c r="C276" s="101" t="s">
        <v>435</v>
      </c>
      <c r="D276" s="102" t="s">
        <v>164</v>
      </c>
      <c r="E276" s="103">
        <v>1</v>
      </c>
      <c r="F276" s="104">
        <v>630176.76767676766</v>
      </c>
    </row>
    <row r="277" spans="2:6" ht="45.6" x14ac:dyDescent="0.3">
      <c r="B277" s="100" t="s">
        <v>436</v>
      </c>
      <c r="C277" s="101" t="s">
        <v>437</v>
      </c>
      <c r="D277" s="102" t="s">
        <v>214</v>
      </c>
      <c r="E277" s="103">
        <v>1</v>
      </c>
      <c r="F277" s="104">
        <v>16160.644910644909</v>
      </c>
    </row>
    <row r="278" spans="2:6" ht="34.200000000000003" x14ac:dyDescent="0.3">
      <c r="B278" s="100" t="s">
        <v>438</v>
      </c>
      <c r="C278" s="101" t="s">
        <v>439</v>
      </c>
      <c r="D278" s="102" t="s">
        <v>214</v>
      </c>
      <c r="E278" s="103">
        <v>1</v>
      </c>
      <c r="F278" s="104">
        <v>53979.862729862725</v>
      </c>
    </row>
    <row r="279" spans="2:6" ht="34.200000000000003" x14ac:dyDescent="0.3">
      <c r="B279" s="100" t="s">
        <v>440</v>
      </c>
      <c r="C279" s="101" t="s">
        <v>441</v>
      </c>
      <c r="D279" s="102" t="s">
        <v>214</v>
      </c>
      <c r="E279" s="103">
        <v>1</v>
      </c>
      <c r="F279" s="104">
        <v>164008.67650867649</v>
      </c>
    </row>
    <row r="280" spans="2:6" ht="34.200000000000003" x14ac:dyDescent="0.3">
      <c r="B280" s="100" t="s">
        <v>442</v>
      </c>
      <c r="C280" s="101" t="s">
        <v>443</v>
      </c>
      <c r="D280" s="102" t="s">
        <v>214</v>
      </c>
      <c r="E280" s="103">
        <v>1</v>
      </c>
      <c r="F280" s="104">
        <v>306748.57549857546</v>
      </c>
    </row>
    <row r="281" spans="2:6" ht="45.6" x14ac:dyDescent="0.3">
      <c r="B281" s="100" t="s">
        <v>444</v>
      </c>
      <c r="C281" s="101" t="s">
        <v>375</v>
      </c>
      <c r="D281" s="102" t="s">
        <v>214</v>
      </c>
      <c r="E281" s="103">
        <v>1</v>
      </c>
      <c r="F281" s="104">
        <v>155958.94845894843</v>
      </c>
    </row>
    <row r="282" spans="2:6" ht="34.200000000000003" x14ac:dyDescent="0.3">
      <c r="B282" s="100" t="s">
        <v>445</v>
      </c>
      <c r="C282" s="101" t="s">
        <v>446</v>
      </c>
      <c r="D282" s="102" t="s">
        <v>214</v>
      </c>
      <c r="E282" s="103">
        <v>1</v>
      </c>
      <c r="F282" s="104">
        <v>686450.07770007767</v>
      </c>
    </row>
    <row r="283" spans="2:6" ht="22.8" x14ac:dyDescent="0.3">
      <c r="B283" s="100" t="s">
        <v>447</v>
      </c>
      <c r="C283" s="101" t="s">
        <v>448</v>
      </c>
      <c r="D283" s="102" t="s">
        <v>214</v>
      </c>
      <c r="E283" s="103">
        <v>1</v>
      </c>
      <c r="F283" s="104">
        <v>808036.77803677798</v>
      </c>
    </row>
    <row r="284" spans="2:6" ht="22.8" x14ac:dyDescent="0.3">
      <c r="B284" s="100" t="s">
        <v>449</v>
      </c>
      <c r="C284" s="101" t="s">
        <v>450</v>
      </c>
      <c r="D284" s="102" t="s">
        <v>214</v>
      </c>
      <c r="E284" s="103">
        <v>1</v>
      </c>
      <c r="F284" s="104">
        <v>135453.89795389792</v>
      </c>
    </row>
    <row r="285" spans="2:6" ht="34.200000000000003" x14ac:dyDescent="0.3">
      <c r="B285" s="100" t="s">
        <v>451</v>
      </c>
      <c r="C285" s="101" t="s">
        <v>452</v>
      </c>
      <c r="D285" s="102" t="s">
        <v>214</v>
      </c>
      <c r="E285" s="103">
        <v>1</v>
      </c>
      <c r="F285" s="104">
        <v>10907.472157472157</v>
      </c>
    </row>
    <row r="286" spans="2:6" ht="22.8" x14ac:dyDescent="0.3">
      <c r="B286" s="100" t="s">
        <v>453</v>
      </c>
      <c r="C286" s="101" t="s">
        <v>454</v>
      </c>
      <c r="D286" s="102" t="s">
        <v>214</v>
      </c>
      <c r="E286" s="103">
        <v>1</v>
      </c>
      <c r="F286" s="104">
        <v>1372900.1554001553</v>
      </c>
    </row>
    <row r="287" spans="2:6" ht="22.8" x14ac:dyDescent="0.3">
      <c r="B287" s="100" t="s">
        <v>455</v>
      </c>
      <c r="C287" s="101" t="s">
        <v>456</v>
      </c>
      <c r="D287" s="102" t="s">
        <v>214</v>
      </c>
      <c r="E287" s="103">
        <v>1</v>
      </c>
      <c r="F287" s="104">
        <v>423901.35327635321</v>
      </c>
    </row>
    <row r="288" spans="2:6" ht="34.200000000000003" x14ac:dyDescent="0.3">
      <c r="B288" s="100" t="s">
        <v>457</v>
      </c>
      <c r="C288" s="101" t="s">
        <v>458</v>
      </c>
      <c r="D288" s="102" t="s">
        <v>214</v>
      </c>
      <c r="E288" s="103">
        <v>1</v>
      </c>
      <c r="F288" s="104">
        <v>35197.163947163943</v>
      </c>
    </row>
    <row r="289" spans="2:6" ht="22.8" x14ac:dyDescent="0.3">
      <c r="B289" s="100" t="s">
        <v>459</v>
      </c>
      <c r="C289" s="101" t="s">
        <v>460</v>
      </c>
      <c r="D289" s="102" t="s">
        <v>214</v>
      </c>
      <c r="E289" s="103">
        <v>1</v>
      </c>
      <c r="F289" s="104">
        <v>103397.75964775964</v>
      </c>
    </row>
    <row r="290" spans="2:6" ht="22.8" x14ac:dyDescent="0.3">
      <c r="B290" s="100" t="s">
        <v>461</v>
      </c>
      <c r="C290" s="101" t="s">
        <v>462</v>
      </c>
      <c r="D290" s="102" t="s">
        <v>164</v>
      </c>
      <c r="E290" s="103">
        <v>1</v>
      </c>
      <c r="F290" s="104">
        <v>33079.351204351202</v>
      </c>
    </row>
    <row r="291" spans="2:6" ht="22.8" x14ac:dyDescent="0.3">
      <c r="B291" s="100" t="s">
        <v>463</v>
      </c>
      <c r="C291" s="101" t="s">
        <v>250</v>
      </c>
      <c r="D291" s="102" t="s">
        <v>214</v>
      </c>
      <c r="E291" s="103">
        <v>1</v>
      </c>
      <c r="F291" s="104">
        <v>24128.787878787876</v>
      </c>
    </row>
    <row r="292" spans="2:6" ht="22.8" x14ac:dyDescent="0.3">
      <c r="B292" s="100" t="s">
        <v>464</v>
      </c>
      <c r="C292" s="101" t="s">
        <v>465</v>
      </c>
      <c r="D292" s="102" t="s">
        <v>164</v>
      </c>
      <c r="E292" s="103">
        <v>1</v>
      </c>
      <c r="F292" s="104">
        <v>61549.14529914529</v>
      </c>
    </row>
    <row r="293" spans="2:6" ht="22.8" x14ac:dyDescent="0.3">
      <c r="B293" s="100" t="s">
        <v>466</v>
      </c>
      <c r="C293" s="101" t="s">
        <v>258</v>
      </c>
      <c r="D293" s="102" t="s">
        <v>214</v>
      </c>
      <c r="E293" s="103">
        <v>1</v>
      </c>
      <c r="F293" s="104">
        <v>88151.547526547511</v>
      </c>
    </row>
    <row r="294" spans="2:6" ht="34.200000000000003" x14ac:dyDescent="0.3">
      <c r="B294" s="100" t="s">
        <v>467</v>
      </c>
      <c r="C294" s="101" t="s">
        <v>468</v>
      </c>
      <c r="D294" s="102" t="s">
        <v>164</v>
      </c>
      <c r="E294" s="103">
        <v>1</v>
      </c>
      <c r="F294" s="104">
        <v>124002.52525252523</v>
      </c>
    </row>
    <row r="295" spans="2:6" ht="34.200000000000003" x14ac:dyDescent="0.3">
      <c r="B295" s="100" t="s">
        <v>469</v>
      </c>
      <c r="C295" s="101" t="s">
        <v>470</v>
      </c>
      <c r="D295" s="102" t="s">
        <v>164</v>
      </c>
      <c r="E295" s="103">
        <v>1</v>
      </c>
      <c r="F295" s="104">
        <v>49573.135198135191</v>
      </c>
    </row>
    <row r="296" spans="2:6" ht="22.8" x14ac:dyDescent="0.3">
      <c r="B296" s="100" t="s">
        <v>471</v>
      </c>
      <c r="C296" s="101" t="s">
        <v>472</v>
      </c>
      <c r="D296" s="102" t="s">
        <v>473</v>
      </c>
      <c r="E296" s="103">
        <v>1</v>
      </c>
      <c r="F296" s="104">
        <v>23025.123025123023</v>
      </c>
    </row>
    <row r="297" spans="2:6" ht="34.200000000000003" x14ac:dyDescent="0.3">
      <c r="B297" s="100" t="s">
        <v>474</v>
      </c>
      <c r="C297" s="101" t="s">
        <v>475</v>
      </c>
      <c r="D297" s="102" t="s">
        <v>19</v>
      </c>
      <c r="E297" s="103">
        <v>1</v>
      </c>
      <c r="F297" s="104">
        <v>328186.18881118874</v>
      </c>
    </row>
    <row r="298" spans="2:6" ht="34.200000000000003" x14ac:dyDescent="0.3">
      <c r="B298" s="100" t="s">
        <v>476</v>
      </c>
      <c r="C298" s="101" t="s">
        <v>477</v>
      </c>
      <c r="D298" s="102" t="s">
        <v>10</v>
      </c>
      <c r="E298" s="103">
        <v>1</v>
      </c>
      <c r="F298" s="104">
        <v>11756.183631183629</v>
      </c>
    </row>
    <row r="299" spans="2:6" ht="102.6" x14ac:dyDescent="0.3">
      <c r="B299" s="105">
        <v>9.1300000000000008</v>
      </c>
      <c r="C299" s="101" t="s">
        <v>478</v>
      </c>
      <c r="D299" s="102" t="s">
        <v>16</v>
      </c>
      <c r="E299" s="106">
        <v>1</v>
      </c>
      <c r="F299" s="107">
        <v>2841046.2190168407</v>
      </c>
    </row>
    <row r="300" spans="2:6" ht="68.400000000000006" x14ac:dyDescent="0.3">
      <c r="B300" s="108">
        <v>11.21</v>
      </c>
      <c r="C300" s="109" t="s">
        <v>479</v>
      </c>
      <c r="D300" s="110" t="s">
        <v>164</v>
      </c>
      <c r="E300" s="111">
        <v>1</v>
      </c>
      <c r="F300" s="112">
        <v>23384.324009324006</v>
      </c>
    </row>
    <row r="301" spans="2:6" ht="136.80000000000001" x14ac:dyDescent="0.3">
      <c r="B301" s="108">
        <v>11.28</v>
      </c>
      <c r="C301" s="109" t="s">
        <v>480</v>
      </c>
      <c r="D301" s="110" t="s">
        <v>16</v>
      </c>
      <c r="E301" s="111">
        <v>1</v>
      </c>
      <c r="F301" s="112">
        <v>49117.618492618487</v>
      </c>
    </row>
    <row r="302" spans="2:6" ht="45.6" x14ac:dyDescent="0.3">
      <c r="B302" s="108">
        <v>11.16</v>
      </c>
      <c r="C302" s="109" t="s">
        <v>481</v>
      </c>
      <c r="D302" s="110" t="s">
        <v>16</v>
      </c>
      <c r="E302" s="111">
        <v>1</v>
      </c>
      <c r="F302" s="112">
        <v>133542.31416731415</v>
      </c>
    </row>
    <row r="303" spans="2:6" ht="114" x14ac:dyDescent="0.3">
      <c r="B303" s="108">
        <v>11.13</v>
      </c>
      <c r="C303" s="109" t="s">
        <v>482</v>
      </c>
      <c r="D303" s="110" t="s">
        <v>16</v>
      </c>
      <c r="E303" s="111">
        <v>1</v>
      </c>
      <c r="F303" s="112">
        <v>775692.8256928256</v>
      </c>
    </row>
    <row r="304" spans="2:6" ht="45.6" x14ac:dyDescent="0.3">
      <c r="B304" s="108">
        <v>11.19</v>
      </c>
      <c r="C304" s="109" t="s">
        <v>483</v>
      </c>
      <c r="D304" s="110" t="s">
        <v>16</v>
      </c>
      <c r="E304" s="111">
        <v>1</v>
      </c>
      <c r="F304" s="112">
        <v>1237928.969178969</v>
      </c>
    </row>
    <row r="305" spans="2:6" ht="68.400000000000006" x14ac:dyDescent="0.3">
      <c r="B305" s="108">
        <v>11.2</v>
      </c>
      <c r="C305" s="109" t="s">
        <v>484</v>
      </c>
      <c r="D305" s="110" t="s">
        <v>485</v>
      </c>
      <c r="E305" s="111">
        <v>1</v>
      </c>
      <c r="F305" s="112">
        <v>133370.07899507898</v>
      </c>
    </row>
    <row r="306" spans="2:6" ht="102.6" x14ac:dyDescent="0.3">
      <c r="B306" s="108">
        <v>11.07</v>
      </c>
      <c r="C306" s="109" t="s">
        <v>486</v>
      </c>
      <c r="D306" s="110" t="s">
        <v>16</v>
      </c>
      <c r="E306" s="111">
        <v>1</v>
      </c>
      <c r="F306" s="112">
        <v>1929279.8174048171</v>
      </c>
    </row>
    <row r="307" spans="2:6" ht="114" x14ac:dyDescent="0.3">
      <c r="B307" s="113">
        <v>11.3</v>
      </c>
      <c r="C307" s="109" t="s">
        <v>487</v>
      </c>
      <c r="D307" s="110" t="s">
        <v>16</v>
      </c>
      <c r="E307" s="111">
        <v>1</v>
      </c>
      <c r="F307" s="112">
        <v>1746046.5229215226</v>
      </c>
    </row>
    <row r="308" spans="2:6" ht="91.2" x14ac:dyDescent="0.3">
      <c r="B308" s="113">
        <v>11.1</v>
      </c>
      <c r="C308" s="114" t="s">
        <v>488</v>
      </c>
      <c r="D308" s="114" t="s">
        <v>16</v>
      </c>
      <c r="E308" s="115">
        <v>1</v>
      </c>
      <c r="F308" s="112">
        <v>3419756.5397565393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Herrera</dc:creator>
  <cp:lastModifiedBy>Tomas Herrera</cp:lastModifiedBy>
  <dcterms:created xsi:type="dcterms:W3CDTF">2026-02-20T03:37:03Z</dcterms:created>
  <dcterms:modified xsi:type="dcterms:W3CDTF">2026-02-20T03:38:13Z</dcterms:modified>
</cp:coreProperties>
</file>