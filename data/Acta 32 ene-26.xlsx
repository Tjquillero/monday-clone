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PORT008\Downloads\"/>
    </mc:Choice>
  </mc:AlternateContent>
  <xr:revisionPtr revIDLastSave="0" documentId="13_ncr:1_{599661A8-BE07-4EFB-ABB5-92B8972C69B3}" xr6:coauthVersionLast="47" xr6:coauthVersionMax="47" xr10:uidLastSave="{00000000-0000-0000-0000-000000000000}"/>
  <bookViews>
    <workbookView xWindow="-108" yWindow="-108" windowWidth="23256" windowHeight="12456" xr2:uid="{38C8FD4F-5F60-4DFC-AA6C-ED0DA8FA25AC}"/>
  </bookViews>
  <sheets>
    <sheet name="ACTA 32" sheetId="1" r:id="rId1"/>
    <sheet name="DETALLE DE ACTA " sheetId="5" r:id="rId2"/>
    <sheet name="GPT cache" sheetId="3" state="veryHidden" r:id="rId3"/>
  </sheets>
  <externalReferences>
    <externalReference r:id="rId4"/>
  </externalReferences>
  <definedNames>
    <definedName name="_xlnm._FilterDatabase" localSheetId="0" hidden="1">'ACTA 32'!$A$11:$T$322</definedName>
    <definedName name="_xlnm._FilterDatabase" localSheetId="1" hidden="1">'DETALLE DE ACTA '!$B$2:$I$253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3" i="5" l="1"/>
  <c r="I114" i="5"/>
  <c r="I113" i="5"/>
  <c r="I112" i="5"/>
  <c r="W19" i="5" l="1"/>
  <c r="X19" i="5" s="1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L133" i="5"/>
  <c r="AL132" i="5"/>
  <c r="AL131" i="5"/>
  <c r="AL130" i="5"/>
  <c r="AL129" i="5"/>
  <c r="AL128" i="5"/>
  <c r="AL127" i="5"/>
  <c r="AL126" i="5"/>
  <c r="AL125" i="5"/>
  <c r="AL124" i="5"/>
  <c r="AL123" i="5"/>
  <c r="AL122" i="5"/>
  <c r="AL121" i="5"/>
  <c r="AL120" i="5"/>
  <c r="AL119" i="5"/>
  <c r="AL118" i="5"/>
  <c r="AL117" i="5"/>
  <c r="AL116" i="5"/>
  <c r="AL115" i="5"/>
  <c r="AL114" i="5"/>
  <c r="AL113" i="5"/>
  <c r="AL112" i="5"/>
  <c r="AL111" i="5"/>
  <c r="AL110" i="5"/>
  <c r="AL109" i="5"/>
  <c r="AL108" i="5"/>
  <c r="AL107" i="5"/>
  <c r="AL106" i="5"/>
  <c r="AL105" i="5"/>
  <c r="AL104" i="5"/>
  <c r="AL103" i="5"/>
  <c r="AL102" i="5"/>
  <c r="AL101" i="5"/>
  <c r="AL100" i="5"/>
  <c r="AL99" i="5"/>
  <c r="AL98" i="5"/>
  <c r="AL97" i="5"/>
  <c r="AL96" i="5"/>
  <c r="AL95" i="5"/>
  <c r="AL94" i="5"/>
  <c r="AL93" i="5"/>
  <c r="AL92" i="5"/>
  <c r="AL91" i="5"/>
  <c r="AL90" i="5"/>
  <c r="AL89" i="5"/>
  <c r="AL88" i="5"/>
  <c r="AL87" i="5"/>
  <c r="AL86" i="5"/>
  <c r="AL85" i="5"/>
  <c r="AL84" i="5"/>
  <c r="AL83" i="5"/>
  <c r="AL82" i="5"/>
  <c r="AL81" i="5"/>
  <c r="AL80" i="5"/>
  <c r="AL79" i="5"/>
  <c r="AL78" i="5"/>
  <c r="AL77" i="5"/>
  <c r="AL76" i="5"/>
  <c r="AL75" i="5"/>
  <c r="AL74" i="5"/>
  <c r="AL73" i="5"/>
  <c r="AL72" i="5"/>
  <c r="AL71" i="5"/>
  <c r="AL70" i="5"/>
  <c r="AL69" i="5"/>
  <c r="AL68" i="5"/>
  <c r="AL67" i="5"/>
  <c r="AL66" i="5"/>
  <c r="AL65" i="5"/>
  <c r="AL64" i="5"/>
  <c r="AL63" i="5"/>
  <c r="AL62" i="5"/>
  <c r="AL61" i="5"/>
  <c r="AL60" i="5"/>
  <c r="AL59" i="5"/>
  <c r="AL58" i="5"/>
  <c r="AL57" i="5"/>
  <c r="AL56" i="5"/>
  <c r="AL55" i="5"/>
  <c r="AL54" i="5"/>
  <c r="AL53" i="5"/>
  <c r="AL52" i="5"/>
  <c r="AL51" i="5"/>
  <c r="AL50" i="5"/>
  <c r="AL49" i="5"/>
  <c r="AL48" i="5"/>
  <c r="AL47" i="5"/>
  <c r="AL46" i="5"/>
  <c r="AL45" i="5"/>
  <c r="AL44" i="5"/>
  <c r="AL43" i="5"/>
  <c r="AL42" i="5"/>
  <c r="AL41" i="5"/>
  <c r="AL40" i="5"/>
  <c r="AL3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8" i="5"/>
  <c r="AL17" i="5"/>
  <c r="AL16" i="5"/>
  <c r="AL15" i="5"/>
  <c r="AL14" i="5"/>
  <c r="AL13" i="5"/>
  <c r="AL12" i="5"/>
  <c r="AL11" i="5"/>
  <c r="AL10" i="5"/>
  <c r="AL9" i="5"/>
  <c r="AL8" i="5"/>
  <c r="AL7" i="5"/>
  <c r="AL6" i="5"/>
  <c r="AL5" i="5"/>
  <c r="AJ248" i="5"/>
  <c r="AJ247" i="5"/>
  <c r="AJ246" i="5"/>
  <c r="AJ245" i="5"/>
  <c r="AJ244" i="5"/>
  <c r="AJ243" i="5"/>
  <c r="AJ242" i="5"/>
  <c r="AJ241" i="5"/>
  <c r="AJ240" i="5"/>
  <c r="AJ239" i="5"/>
  <c r="AJ238" i="5"/>
  <c r="AJ237" i="5"/>
  <c r="AJ236" i="5"/>
  <c r="AJ235" i="5"/>
  <c r="AJ234" i="5"/>
  <c r="AJ233" i="5"/>
  <c r="AJ232" i="5"/>
  <c r="AJ231" i="5"/>
  <c r="AJ230" i="5"/>
  <c r="AJ229" i="5"/>
  <c r="AJ228" i="5"/>
  <c r="AJ227" i="5"/>
  <c r="AJ226" i="5"/>
  <c r="AJ225" i="5"/>
  <c r="AJ224" i="5"/>
  <c r="AJ223" i="5"/>
  <c r="AJ222" i="5"/>
  <c r="AJ221" i="5"/>
  <c r="AJ220" i="5"/>
  <c r="AJ219" i="5"/>
  <c r="AJ218" i="5"/>
  <c r="AJ217" i="5"/>
  <c r="AJ216" i="5"/>
  <c r="AJ215" i="5"/>
  <c r="AJ214" i="5"/>
  <c r="AJ213" i="5"/>
  <c r="AJ212" i="5"/>
  <c r="AJ211" i="5"/>
  <c r="AJ210" i="5"/>
  <c r="AJ209" i="5"/>
  <c r="AJ208" i="5"/>
  <c r="AJ207" i="5"/>
  <c r="AJ206" i="5"/>
  <c r="AJ205" i="5"/>
  <c r="AJ204" i="5"/>
  <c r="AJ203" i="5"/>
  <c r="AJ202" i="5"/>
  <c r="AJ201" i="5"/>
  <c r="AJ200" i="5"/>
  <c r="AJ199" i="5"/>
  <c r="AJ198" i="5"/>
  <c r="AJ197" i="5"/>
  <c r="AJ196" i="5"/>
  <c r="AJ195" i="5"/>
  <c r="AJ194" i="5"/>
  <c r="AJ193" i="5"/>
  <c r="AJ192" i="5"/>
  <c r="AJ191" i="5"/>
  <c r="AJ190" i="5"/>
  <c r="AJ189" i="5"/>
  <c r="AJ188" i="5"/>
  <c r="AJ187" i="5"/>
  <c r="AJ186" i="5"/>
  <c r="AJ185" i="5"/>
  <c r="AJ184" i="5"/>
  <c r="AJ183" i="5"/>
  <c r="AJ182" i="5"/>
  <c r="AJ181" i="5"/>
  <c r="AJ180" i="5"/>
  <c r="AJ179" i="5"/>
  <c r="AJ178" i="5"/>
  <c r="AJ177" i="5"/>
  <c r="AJ176" i="5"/>
  <c r="AJ175" i="5"/>
  <c r="AJ174" i="5"/>
  <c r="AJ173" i="5"/>
  <c r="AJ172" i="5"/>
  <c r="AJ171" i="5"/>
  <c r="AJ170" i="5"/>
  <c r="AJ169" i="5"/>
  <c r="AJ168" i="5"/>
  <c r="AJ167" i="5"/>
  <c r="AJ166" i="5"/>
  <c r="AJ165" i="5"/>
  <c r="AJ164" i="5"/>
  <c r="AJ163" i="5"/>
  <c r="AJ162" i="5"/>
  <c r="AJ161" i="5"/>
  <c r="AJ160" i="5"/>
  <c r="AJ159" i="5"/>
  <c r="AJ158" i="5"/>
  <c r="AJ157" i="5"/>
  <c r="AJ156" i="5"/>
  <c r="AJ155" i="5"/>
  <c r="AJ154" i="5"/>
  <c r="AJ153" i="5"/>
  <c r="AJ152" i="5"/>
  <c r="AJ151" i="5"/>
  <c r="AJ150" i="5"/>
  <c r="AJ149" i="5"/>
  <c r="AJ148" i="5"/>
  <c r="AJ147" i="5"/>
  <c r="AJ146" i="5"/>
  <c r="AJ145" i="5"/>
  <c r="AJ144" i="5"/>
  <c r="AJ143" i="5"/>
  <c r="AJ142" i="5"/>
  <c r="AJ141" i="5"/>
  <c r="AJ140" i="5"/>
  <c r="AJ139" i="5"/>
  <c r="AJ138" i="5"/>
  <c r="AJ137" i="5"/>
  <c r="AJ136" i="5"/>
  <c r="AJ135" i="5"/>
  <c r="AJ134" i="5"/>
  <c r="AJ133" i="5"/>
  <c r="AJ132" i="5"/>
  <c r="AJ131" i="5"/>
  <c r="AJ130" i="5"/>
  <c r="AJ129" i="5"/>
  <c r="AJ128" i="5"/>
  <c r="AJ127" i="5"/>
  <c r="AJ126" i="5"/>
  <c r="AJ125" i="5"/>
  <c r="AJ124" i="5"/>
  <c r="AJ123" i="5"/>
  <c r="AJ122" i="5"/>
  <c r="AJ121" i="5"/>
  <c r="AJ120" i="5"/>
  <c r="AJ119" i="5"/>
  <c r="AJ118" i="5"/>
  <c r="AJ117" i="5"/>
  <c r="AJ116" i="5"/>
  <c r="AJ115" i="5"/>
  <c r="AJ114" i="5"/>
  <c r="AJ113" i="5"/>
  <c r="AJ112" i="5"/>
  <c r="AJ111" i="5"/>
  <c r="AJ110" i="5"/>
  <c r="AJ109" i="5"/>
  <c r="AJ108" i="5"/>
  <c r="AJ107" i="5"/>
  <c r="AJ106" i="5"/>
  <c r="AJ105" i="5"/>
  <c r="AJ104" i="5"/>
  <c r="AJ103" i="5"/>
  <c r="AJ102" i="5"/>
  <c r="AJ101" i="5"/>
  <c r="AJ100" i="5"/>
  <c r="AJ99" i="5"/>
  <c r="AJ98" i="5"/>
  <c r="AJ97" i="5"/>
  <c r="AJ96" i="5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L19" i="5" l="1"/>
  <c r="Z45" i="5" l="1"/>
  <c r="N19" i="5"/>
  <c r="N15" i="5"/>
  <c r="N14" i="5"/>
  <c r="AI249" i="5" l="1"/>
  <c r="AI252" i="5" s="1"/>
  <c r="AM248" i="5"/>
  <c r="AM247" i="5"/>
  <c r="AM246" i="5"/>
  <c r="AM245" i="5"/>
  <c r="AM244" i="5"/>
  <c r="AM243" i="5"/>
  <c r="AM242" i="5"/>
  <c r="AM241" i="5"/>
  <c r="AM240" i="5"/>
  <c r="AM239" i="5"/>
  <c r="AM238" i="5"/>
  <c r="AM237" i="5"/>
  <c r="AM236" i="5"/>
  <c r="AM235" i="5"/>
  <c r="AM234" i="5"/>
  <c r="AM233" i="5"/>
  <c r="AM232" i="5"/>
  <c r="AM231" i="5"/>
  <c r="AM230" i="5"/>
  <c r="AM229" i="5"/>
  <c r="AM228" i="5"/>
  <c r="AM227" i="5"/>
  <c r="AM226" i="5"/>
  <c r="AM225" i="5"/>
  <c r="AM224" i="5"/>
  <c r="AM223" i="5"/>
  <c r="AM222" i="5"/>
  <c r="AM221" i="5"/>
  <c r="AM220" i="5"/>
  <c r="AM219" i="5"/>
  <c r="AM218" i="5"/>
  <c r="AM217" i="5"/>
  <c r="AM216" i="5"/>
  <c r="AM215" i="5"/>
  <c r="AM214" i="5"/>
  <c r="AM213" i="5"/>
  <c r="AM212" i="5"/>
  <c r="AM211" i="5"/>
  <c r="AM210" i="5"/>
  <c r="AM209" i="5"/>
  <c r="AM208" i="5"/>
  <c r="AM207" i="5"/>
  <c r="AM206" i="5"/>
  <c r="AM205" i="5"/>
  <c r="AM204" i="5"/>
  <c r="AM203" i="5"/>
  <c r="AM202" i="5"/>
  <c r="AM201" i="5"/>
  <c r="AM200" i="5"/>
  <c r="AM199" i="5"/>
  <c r="AM198" i="5"/>
  <c r="AM197" i="5"/>
  <c r="AM196" i="5"/>
  <c r="AM195" i="5"/>
  <c r="AM194" i="5"/>
  <c r="AM193" i="5"/>
  <c r="AM192" i="5"/>
  <c r="AM191" i="5"/>
  <c r="AM190" i="5"/>
  <c r="AM189" i="5"/>
  <c r="AM188" i="5"/>
  <c r="AM187" i="5"/>
  <c r="AM186" i="5"/>
  <c r="AM185" i="5"/>
  <c r="AM184" i="5"/>
  <c r="AM183" i="5"/>
  <c r="AM182" i="5"/>
  <c r="AM181" i="5"/>
  <c r="AM180" i="5"/>
  <c r="AM179" i="5"/>
  <c r="AM178" i="5"/>
  <c r="AM177" i="5"/>
  <c r="AM176" i="5"/>
  <c r="AM175" i="5"/>
  <c r="AM174" i="5"/>
  <c r="AM173" i="5"/>
  <c r="AM172" i="5"/>
  <c r="AM171" i="5"/>
  <c r="AM170" i="5"/>
  <c r="AM169" i="5"/>
  <c r="AM168" i="5"/>
  <c r="AM167" i="5"/>
  <c r="AM166" i="5"/>
  <c r="AM165" i="5"/>
  <c r="AM164" i="5"/>
  <c r="AM163" i="5"/>
  <c r="AM162" i="5"/>
  <c r="AM161" i="5"/>
  <c r="AM160" i="5"/>
  <c r="AM159" i="5"/>
  <c r="AM158" i="5"/>
  <c r="AM157" i="5"/>
  <c r="AM156" i="5"/>
  <c r="AM155" i="5"/>
  <c r="AM154" i="5"/>
  <c r="AM153" i="5"/>
  <c r="AM152" i="5"/>
  <c r="AM151" i="5"/>
  <c r="AM150" i="5"/>
  <c r="AM149" i="5"/>
  <c r="AM148" i="5"/>
  <c r="AM147" i="5"/>
  <c r="AM146" i="5"/>
  <c r="AM145" i="5"/>
  <c r="AM144" i="5"/>
  <c r="AM143" i="5"/>
  <c r="AM142" i="5"/>
  <c r="AM141" i="5"/>
  <c r="AM140" i="5"/>
  <c r="AM139" i="5"/>
  <c r="AM138" i="5"/>
  <c r="AM137" i="5"/>
  <c r="AM136" i="5"/>
  <c r="AM135" i="5"/>
  <c r="AM134" i="5"/>
  <c r="AM133" i="5"/>
  <c r="AM132" i="5"/>
  <c r="AM131" i="5"/>
  <c r="AM130" i="5"/>
  <c r="AM129" i="5"/>
  <c r="AM128" i="5"/>
  <c r="AM127" i="5"/>
  <c r="AM126" i="5"/>
  <c r="AM125" i="5"/>
  <c r="AM124" i="5"/>
  <c r="AM123" i="5"/>
  <c r="AM122" i="5"/>
  <c r="AM121" i="5"/>
  <c r="AM120" i="5"/>
  <c r="AM119" i="5"/>
  <c r="AM118" i="5"/>
  <c r="AM117" i="5"/>
  <c r="AM116" i="5"/>
  <c r="AM115" i="5"/>
  <c r="AM114" i="5"/>
  <c r="AM113" i="5"/>
  <c r="AM112" i="5"/>
  <c r="AM111" i="5"/>
  <c r="AM110" i="5"/>
  <c r="AM109" i="5"/>
  <c r="AM108" i="5"/>
  <c r="AM107" i="5"/>
  <c r="AM106" i="5"/>
  <c r="AM105" i="5"/>
  <c r="AM104" i="5"/>
  <c r="AM103" i="5"/>
  <c r="AM102" i="5"/>
  <c r="AM101" i="5"/>
  <c r="AM100" i="5"/>
  <c r="AM99" i="5"/>
  <c r="AM98" i="5"/>
  <c r="AM97" i="5"/>
  <c r="AM96" i="5"/>
  <c r="AM95" i="5"/>
  <c r="AM94" i="5"/>
  <c r="AM93" i="5"/>
  <c r="AM92" i="5"/>
  <c r="AM91" i="5"/>
  <c r="AM90" i="5"/>
  <c r="AM89" i="5"/>
  <c r="AM88" i="5"/>
  <c r="AM87" i="5"/>
  <c r="AM86" i="5"/>
  <c r="AM85" i="5"/>
  <c r="AM84" i="5"/>
  <c r="AM83" i="5"/>
  <c r="AM82" i="5"/>
  <c r="AM81" i="5"/>
  <c r="AM80" i="5"/>
  <c r="AM79" i="5"/>
  <c r="AM78" i="5"/>
  <c r="AM77" i="5"/>
  <c r="AM76" i="5"/>
  <c r="AM75" i="5"/>
  <c r="AM74" i="5"/>
  <c r="AM73" i="5"/>
  <c r="AM72" i="5"/>
  <c r="AM71" i="5"/>
  <c r="AM70" i="5"/>
  <c r="AM69" i="5"/>
  <c r="AM68" i="5"/>
  <c r="AM67" i="5"/>
  <c r="AM66" i="5"/>
  <c r="AM65" i="5"/>
  <c r="AM64" i="5"/>
  <c r="AM63" i="5"/>
  <c r="AM62" i="5"/>
  <c r="AM61" i="5"/>
  <c r="AM60" i="5"/>
  <c r="AM59" i="5"/>
  <c r="AM58" i="5"/>
  <c r="AM57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AM48" i="5"/>
  <c r="AM47" i="5"/>
  <c r="AM18" i="5"/>
  <c r="AM56" i="5"/>
  <c r="AM55" i="5"/>
  <c r="AM54" i="5"/>
  <c r="AM53" i="5"/>
  <c r="AM52" i="5"/>
  <c r="AM51" i="5"/>
  <c r="AM50" i="5"/>
  <c r="AM49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5" i="5"/>
  <c r="AM14" i="5"/>
  <c r="AM13" i="5"/>
  <c r="AM12" i="5"/>
  <c r="AM11" i="5"/>
  <c r="AM10" i="5"/>
  <c r="AM9" i="5"/>
  <c r="AM8" i="5"/>
  <c r="AM6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38" i="5"/>
  <c r="AG39" i="5"/>
  <c r="AG40" i="5"/>
  <c r="AG33" i="5"/>
  <c r="AG34" i="5"/>
  <c r="AG35" i="5"/>
  <c r="AG36" i="5"/>
  <c r="AG37" i="5"/>
  <c r="AG28" i="5"/>
  <c r="AG29" i="5"/>
  <c r="AG30" i="5"/>
  <c r="AG31" i="5"/>
  <c r="AG32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5" i="5"/>
  <c r="AD14" i="5"/>
  <c r="AD13" i="5"/>
  <c r="AD12" i="5"/>
  <c r="AD11" i="5"/>
  <c r="AD10" i="5"/>
  <c r="AD9" i="5"/>
  <c r="AD8" i="5"/>
  <c r="AD7" i="5"/>
  <c r="AD6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5" i="5"/>
  <c r="U14" i="5"/>
  <c r="U13" i="5"/>
  <c r="U12" i="5"/>
  <c r="U11" i="5"/>
  <c r="U10" i="5"/>
  <c r="U9" i="5"/>
  <c r="U8" i="5"/>
  <c r="U6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5" i="5"/>
  <c r="R14" i="5"/>
  <c r="R13" i="5"/>
  <c r="R12" i="5"/>
  <c r="R11" i="5"/>
  <c r="R10" i="5"/>
  <c r="R9" i="5"/>
  <c r="R8" i="5"/>
  <c r="R7" i="5"/>
  <c r="R6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5" i="5"/>
  <c r="L14" i="5"/>
  <c r="L13" i="5"/>
  <c r="L12" i="5"/>
  <c r="L11" i="5"/>
  <c r="L10" i="5"/>
  <c r="L9" i="5"/>
  <c r="L8" i="5"/>
  <c r="L7" i="5"/>
  <c r="L6" i="5"/>
  <c r="AI250" i="5" l="1"/>
  <c r="AI251" i="5"/>
  <c r="AI253" i="5" l="1"/>
  <c r="T17" i="5" l="1"/>
  <c r="U17" i="5" s="1"/>
  <c r="T16" i="5"/>
  <c r="U16" i="5" s="1"/>
  <c r="Q17" i="5"/>
  <c r="Q16" i="5"/>
  <c r="R16" i="5" s="1"/>
  <c r="K16" i="5"/>
  <c r="AC16" i="5"/>
  <c r="AD16" i="5" s="1"/>
  <c r="T7" i="5"/>
  <c r="F3" i="5"/>
  <c r="AM7" i="5" l="1"/>
  <c r="U7" i="5"/>
  <c r="R17" i="5"/>
  <c r="AM17" i="5"/>
  <c r="L16" i="5"/>
  <c r="AM16" i="5"/>
  <c r="W249" i="5"/>
  <c r="W252" i="5" s="1"/>
  <c r="W250" i="5" l="1"/>
  <c r="W251" i="5"/>
  <c r="W253" i="5" l="1"/>
  <c r="AD5" i="5" l="1"/>
  <c r="AC249" i="5" l="1"/>
  <c r="AC250" i="5" s="1"/>
  <c r="AC252" i="5" l="1"/>
  <c r="AC251" i="5"/>
  <c r="AC253" i="5" l="1"/>
  <c r="G1" i="5"/>
  <c r="G3" i="5" s="1"/>
  <c r="E3" i="5"/>
  <c r="T66" i="1" l="1"/>
  <c r="T67" i="1"/>
  <c r="T68" i="1"/>
  <c r="S66" i="1"/>
  <c r="S67" i="1"/>
  <c r="S68" i="1"/>
  <c r="S310" i="1" l="1"/>
  <c r="T310" i="1"/>
  <c r="S65" i="1" l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1" i="1"/>
  <c r="S312" i="1"/>
  <c r="S313" i="1"/>
  <c r="S314" i="1"/>
  <c r="S315" i="1"/>
  <c r="S316" i="1"/>
  <c r="S317" i="1"/>
  <c r="T65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1" i="1"/>
  <c r="T312" i="1"/>
  <c r="T313" i="1"/>
  <c r="T314" i="1"/>
  <c r="T315" i="1"/>
  <c r="T316" i="1"/>
  <c r="T317" i="1"/>
  <c r="T64" i="1"/>
  <c r="S64" i="1"/>
  <c r="AN17" i="5" l="1"/>
  <c r="L5" i="5" l="1"/>
  <c r="E60" i="5" l="1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7" i="5"/>
  <c r="E80" i="5"/>
  <c r="E81" i="5"/>
  <c r="E82" i="5"/>
  <c r="E83" i="5"/>
  <c r="E84" i="5"/>
  <c r="E85" i="5"/>
  <c r="E86" i="5"/>
  <c r="E87" i="5"/>
  <c r="E88" i="5"/>
  <c r="E89" i="5"/>
  <c r="E90" i="5"/>
  <c r="S63" i="1" l="1"/>
  <c r="T63" i="1"/>
  <c r="T62" i="1"/>
  <c r="S62" i="1"/>
  <c r="G271" i="5" l="1"/>
  <c r="C88" i="5"/>
  <c r="C87" i="5"/>
  <c r="C86" i="5"/>
  <c r="C85" i="5"/>
  <c r="C84" i="5"/>
  <c r="C83" i="5"/>
  <c r="C82" i="5"/>
  <c r="C81" i="5"/>
  <c r="C80" i="5"/>
  <c r="C79" i="5"/>
  <c r="C78" i="5"/>
  <c r="C75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F47" i="5"/>
  <c r="AM5" i="5"/>
  <c r="AA5" i="5"/>
  <c r="U5" i="5"/>
  <c r="R5" i="5"/>
  <c r="O5" i="5"/>
  <c r="AF249" i="5" l="1"/>
  <c r="T249" i="5" l="1"/>
  <c r="T251" i="5" s="1"/>
  <c r="N249" i="5"/>
  <c r="N250" i="5" s="1"/>
  <c r="Q249" i="5"/>
  <c r="Q250" i="5" s="1"/>
  <c r="K249" i="5"/>
  <c r="K252" i="5" s="1"/>
  <c r="Z249" i="5"/>
  <c r="Z252" i="5" s="1"/>
  <c r="AL249" i="5"/>
  <c r="AF251" i="5"/>
  <c r="AF250" i="5"/>
  <c r="AF252" i="5"/>
  <c r="N251" i="5" l="1"/>
  <c r="N252" i="5"/>
  <c r="AL250" i="5"/>
  <c r="T250" i="5"/>
  <c r="Z250" i="5"/>
  <c r="Z251" i="5"/>
  <c r="K250" i="5"/>
  <c r="K251" i="5"/>
  <c r="T252" i="5"/>
  <c r="Q252" i="5"/>
  <c r="Q251" i="5"/>
  <c r="AL251" i="5"/>
  <c r="AL252" i="5"/>
  <c r="AF253" i="5"/>
  <c r="N253" i="5" l="1"/>
  <c r="T253" i="5"/>
  <c r="AL253" i="5"/>
  <c r="Q253" i="5"/>
  <c r="K253" i="5"/>
  <c r="Z253" i="5"/>
  <c r="G318" i="1"/>
  <c r="R145" i="1" l="1"/>
  <c r="R127" i="1"/>
  <c r="R109" i="1"/>
  <c r="R91" i="1"/>
  <c r="R73" i="1"/>
  <c r="S61" i="1"/>
  <c r="S55" i="1"/>
  <c r="R49" i="1"/>
  <c r="S43" i="1"/>
  <c r="S37" i="1"/>
  <c r="R31" i="1"/>
  <c r="R25" i="1"/>
  <c r="S19" i="1"/>
  <c r="R13" i="1"/>
  <c r="R158" i="1"/>
  <c r="P158" i="1"/>
  <c r="N158" i="1"/>
  <c r="L158" i="1"/>
  <c r="F158" i="1"/>
  <c r="P157" i="1"/>
  <c r="N157" i="1"/>
  <c r="L157" i="1"/>
  <c r="F157" i="1"/>
  <c r="R156" i="1"/>
  <c r="P156" i="1"/>
  <c r="N156" i="1"/>
  <c r="L156" i="1"/>
  <c r="F156" i="1"/>
  <c r="R155" i="1"/>
  <c r="P155" i="1"/>
  <c r="N155" i="1"/>
  <c r="L155" i="1"/>
  <c r="F155" i="1"/>
  <c r="R154" i="1"/>
  <c r="P154" i="1"/>
  <c r="N154" i="1"/>
  <c r="L154" i="1"/>
  <c r="F154" i="1"/>
  <c r="R153" i="1"/>
  <c r="P153" i="1"/>
  <c r="N153" i="1"/>
  <c r="L153" i="1"/>
  <c r="F153" i="1"/>
  <c r="R152" i="1"/>
  <c r="P152" i="1"/>
  <c r="N152" i="1"/>
  <c r="L152" i="1"/>
  <c r="F152" i="1"/>
  <c r="P151" i="1"/>
  <c r="N151" i="1"/>
  <c r="L151" i="1"/>
  <c r="F151" i="1"/>
  <c r="R150" i="1"/>
  <c r="P150" i="1"/>
  <c r="N150" i="1"/>
  <c r="L150" i="1"/>
  <c r="F150" i="1"/>
  <c r="R149" i="1"/>
  <c r="P149" i="1"/>
  <c r="N149" i="1"/>
  <c r="L149" i="1"/>
  <c r="F149" i="1"/>
  <c r="R148" i="1"/>
  <c r="P148" i="1"/>
  <c r="N148" i="1"/>
  <c r="L148" i="1"/>
  <c r="F148" i="1"/>
  <c r="R147" i="1"/>
  <c r="P147" i="1"/>
  <c r="N147" i="1"/>
  <c r="L147" i="1"/>
  <c r="F147" i="1"/>
  <c r="R146" i="1"/>
  <c r="P146" i="1"/>
  <c r="N146" i="1"/>
  <c r="L146" i="1"/>
  <c r="F146" i="1"/>
  <c r="P145" i="1"/>
  <c r="N145" i="1"/>
  <c r="L145" i="1"/>
  <c r="F145" i="1"/>
  <c r="R144" i="1"/>
  <c r="P144" i="1"/>
  <c r="N144" i="1"/>
  <c r="L144" i="1"/>
  <c r="F144" i="1"/>
  <c r="R143" i="1"/>
  <c r="P143" i="1"/>
  <c r="N143" i="1"/>
  <c r="L143" i="1"/>
  <c r="F143" i="1"/>
  <c r="R142" i="1"/>
  <c r="P142" i="1"/>
  <c r="N142" i="1"/>
  <c r="L142" i="1"/>
  <c r="F142" i="1"/>
  <c r="R141" i="1"/>
  <c r="P141" i="1"/>
  <c r="N141" i="1"/>
  <c r="L141" i="1"/>
  <c r="F141" i="1"/>
  <c r="R140" i="1"/>
  <c r="P140" i="1"/>
  <c r="N140" i="1"/>
  <c r="L140" i="1"/>
  <c r="F140" i="1"/>
  <c r="P139" i="1"/>
  <c r="N139" i="1"/>
  <c r="L139" i="1"/>
  <c r="F139" i="1"/>
  <c r="R138" i="1"/>
  <c r="P138" i="1"/>
  <c r="N138" i="1"/>
  <c r="L138" i="1"/>
  <c r="F138" i="1"/>
  <c r="R137" i="1"/>
  <c r="P137" i="1"/>
  <c r="N137" i="1"/>
  <c r="L137" i="1"/>
  <c r="F137" i="1"/>
  <c r="R136" i="1"/>
  <c r="P136" i="1"/>
  <c r="N136" i="1"/>
  <c r="L136" i="1"/>
  <c r="F136" i="1"/>
  <c r="R135" i="1"/>
  <c r="P135" i="1"/>
  <c r="N135" i="1"/>
  <c r="L135" i="1"/>
  <c r="F135" i="1"/>
  <c r="R134" i="1"/>
  <c r="P134" i="1"/>
  <c r="N134" i="1"/>
  <c r="L134" i="1"/>
  <c r="F134" i="1"/>
  <c r="P133" i="1"/>
  <c r="N133" i="1"/>
  <c r="L133" i="1"/>
  <c r="F133" i="1"/>
  <c r="R132" i="1"/>
  <c r="P132" i="1"/>
  <c r="N132" i="1"/>
  <c r="L132" i="1"/>
  <c r="F132" i="1"/>
  <c r="R131" i="1"/>
  <c r="P131" i="1"/>
  <c r="N131" i="1"/>
  <c r="L131" i="1"/>
  <c r="F131" i="1"/>
  <c r="R130" i="1"/>
  <c r="P130" i="1"/>
  <c r="N130" i="1"/>
  <c r="L130" i="1"/>
  <c r="F130" i="1"/>
  <c r="R129" i="1"/>
  <c r="P129" i="1"/>
  <c r="N129" i="1"/>
  <c r="L129" i="1"/>
  <c r="F129" i="1"/>
  <c r="R128" i="1"/>
  <c r="P128" i="1"/>
  <c r="N128" i="1"/>
  <c r="L128" i="1"/>
  <c r="F128" i="1"/>
  <c r="P127" i="1"/>
  <c r="N127" i="1"/>
  <c r="L127" i="1"/>
  <c r="F127" i="1"/>
  <c r="R126" i="1"/>
  <c r="P126" i="1"/>
  <c r="N126" i="1"/>
  <c r="L126" i="1"/>
  <c r="F126" i="1"/>
  <c r="R125" i="1"/>
  <c r="P125" i="1"/>
  <c r="N125" i="1"/>
  <c r="L125" i="1"/>
  <c r="F125" i="1"/>
  <c r="R124" i="1"/>
  <c r="P124" i="1"/>
  <c r="N124" i="1"/>
  <c r="L124" i="1"/>
  <c r="F124" i="1"/>
  <c r="R123" i="1"/>
  <c r="P123" i="1"/>
  <c r="N123" i="1"/>
  <c r="L123" i="1"/>
  <c r="F123" i="1"/>
  <c r="R122" i="1"/>
  <c r="P122" i="1"/>
  <c r="N122" i="1"/>
  <c r="L122" i="1"/>
  <c r="F122" i="1"/>
  <c r="P121" i="1"/>
  <c r="N121" i="1"/>
  <c r="L121" i="1"/>
  <c r="F121" i="1"/>
  <c r="R120" i="1"/>
  <c r="P120" i="1"/>
  <c r="N120" i="1"/>
  <c r="L120" i="1"/>
  <c r="F120" i="1"/>
  <c r="R119" i="1"/>
  <c r="P119" i="1"/>
  <c r="N119" i="1"/>
  <c r="L119" i="1"/>
  <c r="F119" i="1"/>
  <c r="R118" i="1"/>
  <c r="P118" i="1"/>
  <c r="N118" i="1"/>
  <c r="L118" i="1"/>
  <c r="F118" i="1"/>
  <c r="R117" i="1"/>
  <c r="P117" i="1"/>
  <c r="N117" i="1"/>
  <c r="L117" i="1"/>
  <c r="F117" i="1"/>
  <c r="R116" i="1"/>
  <c r="P116" i="1"/>
  <c r="N116" i="1"/>
  <c r="L116" i="1"/>
  <c r="F116" i="1"/>
  <c r="P115" i="1"/>
  <c r="N115" i="1"/>
  <c r="L115" i="1"/>
  <c r="F115" i="1"/>
  <c r="R114" i="1"/>
  <c r="P114" i="1"/>
  <c r="N114" i="1"/>
  <c r="L114" i="1"/>
  <c r="F114" i="1"/>
  <c r="R113" i="1"/>
  <c r="P113" i="1"/>
  <c r="N113" i="1"/>
  <c r="L113" i="1"/>
  <c r="F113" i="1"/>
  <c r="R112" i="1"/>
  <c r="P112" i="1"/>
  <c r="N112" i="1"/>
  <c r="L112" i="1"/>
  <c r="F112" i="1"/>
  <c r="R111" i="1"/>
  <c r="P111" i="1"/>
  <c r="N111" i="1"/>
  <c r="L111" i="1"/>
  <c r="F111" i="1"/>
  <c r="R110" i="1"/>
  <c r="P110" i="1"/>
  <c r="N110" i="1"/>
  <c r="L110" i="1"/>
  <c r="F110" i="1"/>
  <c r="P109" i="1"/>
  <c r="N109" i="1"/>
  <c r="L109" i="1"/>
  <c r="F109" i="1"/>
  <c r="R108" i="1"/>
  <c r="P108" i="1"/>
  <c r="N108" i="1"/>
  <c r="L108" i="1"/>
  <c r="F108" i="1"/>
  <c r="R107" i="1"/>
  <c r="P107" i="1"/>
  <c r="N107" i="1"/>
  <c r="L107" i="1"/>
  <c r="F107" i="1"/>
  <c r="R106" i="1"/>
  <c r="P106" i="1"/>
  <c r="N106" i="1"/>
  <c r="L106" i="1"/>
  <c r="F106" i="1"/>
  <c r="R105" i="1"/>
  <c r="P105" i="1"/>
  <c r="N105" i="1"/>
  <c r="L105" i="1"/>
  <c r="F105" i="1"/>
  <c r="F104" i="1"/>
  <c r="F103" i="1"/>
  <c r="F102" i="1"/>
  <c r="F101" i="1"/>
  <c r="R100" i="1"/>
  <c r="F100" i="1"/>
  <c r="R99" i="1"/>
  <c r="F99" i="1"/>
  <c r="R98" i="1"/>
  <c r="F98" i="1"/>
  <c r="P97" i="1"/>
  <c r="N97" i="1"/>
  <c r="L97" i="1"/>
  <c r="F97" i="1"/>
  <c r="R96" i="1"/>
  <c r="P96" i="1"/>
  <c r="N96" i="1"/>
  <c r="L96" i="1"/>
  <c r="F96" i="1"/>
  <c r="R95" i="1"/>
  <c r="P95" i="1"/>
  <c r="N95" i="1"/>
  <c r="L95" i="1"/>
  <c r="F95" i="1"/>
  <c r="R94" i="1"/>
  <c r="P94" i="1"/>
  <c r="N94" i="1"/>
  <c r="L94" i="1"/>
  <c r="F94" i="1"/>
  <c r="R93" i="1"/>
  <c r="P93" i="1"/>
  <c r="N93" i="1"/>
  <c r="L93" i="1"/>
  <c r="F93" i="1"/>
  <c r="R92" i="1"/>
  <c r="P92" i="1"/>
  <c r="N92" i="1"/>
  <c r="L92" i="1"/>
  <c r="F92" i="1"/>
  <c r="P91" i="1"/>
  <c r="N91" i="1"/>
  <c r="L91" i="1"/>
  <c r="F91" i="1"/>
  <c r="R90" i="1"/>
  <c r="P90" i="1"/>
  <c r="N90" i="1"/>
  <c r="L90" i="1"/>
  <c r="F90" i="1"/>
  <c r="R89" i="1"/>
  <c r="P89" i="1"/>
  <c r="N89" i="1"/>
  <c r="L89" i="1"/>
  <c r="F89" i="1"/>
  <c r="R88" i="1"/>
  <c r="P88" i="1"/>
  <c r="N88" i="1"/>
  <c r="L88" i="1"/>
  <c r="F88" i="1"/>
  <c r="R87" i="1"/>
  <c r="P87" i="1"/>
  <c r="N87" i="1"/>
  <c r="L87" i="1"/>
  <c r="F87" i="1"/>
  <c r="R86" i="1"/>
  <c r="P86" i="1"/>
  <c r="N86" i="1"/>
  <c r="L86" i="1"/>
  <c r="F86" i="1"/>
  <c r="P85" i="1"/>
  <c r="N85" i="1"/>
  <c r="L85" i="1"/>
  <c r="F85" i="1"/>
  <c r="R84" i="1"/>
  <c r="P84" i="1"/>
  <c r="N84" i="1"/>
  <c r="L84" i="1"/>
  <c r="F84" i="1"/>
  <c r="R83" i="1"/>
  <c r="P83" i="1"/>
  <c r="N83" i="1"/>
  <c r="L83" i="1"/>
  <c r="F83" i="1"/>
  <c r="R82" i="1"/>
  <c r="P82" i="1"/>
  <c r="N82" i="1"/>
  <c r="L82" i="1"/>
  <c r="F82" i="1"/>
  <c r="R81" i="1"/>
  <c r="P81" i="1"/>
  <c r="N81" i="1"/>
  <c r="L81" i="1"/>
  <c r="F81" i="1"/>
  <c r="R80" i="1"/>
  <c r="P80" i="1"/>
  <c r="N80" i="1"/>
  <c r="L80" i="1"/>
  <c r="F80" i="1"/>
  <c r="P79" i="1"/>
  <c r="N79" i="1"/>
  <c r="L79" i="1"/>
  <c r="F79" i="1"/>
  <c r="R78" i="1"/>
  <c r="P78" i="1"/>
  <c r="N78" i="1"/>
  <c r="L78" i="1"/>
  <c r="F78" i="1"/>
  <c r="R77" i="1"/>
  <c r="P77" i="1"/>
  <c r="N77" i="1"/>
  <c r="L77" i="1"/>
  <c r="F77" i="1"/>
  <c r="R76" i="1"/>
  <c r="P76" i="1"/>
  <c r="N76" i="1"/>
  <c r="L76" i="1"/>
  <c r="F76" i="1"/>
  <c r="R75" i="1"/>
  <c r="P75" i="1"/>
  <c r="N75" i="1"/>
  <c r="L75" i="1"/>
  <c r="F75" i="1"/>
  <c r="R74" i="1"/>
  <c r="P74" i="1"/>
  <c r="N74" i="1"/>
  <c r="L74" i="1"/>
  <c r="F74" i="1"/>
  <c r="P73" i="1"/>
  <c r="N73" i="1"/>
  <c r="L73" i="1"/>
  <c r="F73" i="1"/>
  <c r="R72" i="1"/>
  <c r="P72" i="1"/>
  <c r="N72" i="1"/>
  <c r="L72" i="1"/>
  <c r="F72" i="1"/>
  <c r="R71" i="1"/>
  <c r="P71" i="1"/>
  <c r="N71" i="1"/>
  <c r="L71" i="1"/>
  <c r="F71" i="1"/>
  <c r="R70" i="1"/>
  <c r="P70" i="1"/>
  <c r="N70" i="1"/>
  <c r="L70" i="1"/>
  <c r="F70" i="1"/>
  <c r="R69" i="1"/>
  <c r="P69" i="1"/>
  <c r="N69" i="1"/>
  <c r="L69" i="1"/>
  <c r="F69" i="1"/>
  <c r="T61" i="1"/>
  <c r="S60" i="1"/>
  <c r="T60" i="1"/>
  <c r="S59" i="1"/>
  <c r="T59" i="1"/>
  <c r="S58" i="1"/>
  <c r="T58" i="1"/>
  <c r="S57" i="1"/>
  <c r="T57" i="1"/>
  <c r="S56" i="1"/>
  <c r="T56" i="1"/>
  <c r="S54" i="1"/>
  <c r="F54" i="1"/>
  <c r="B54" i="1"/>
  <c r="S53" i="1"/>
  <c r="T53" i="1"/>
  <c r="F53" i="1"/>
  <c r="S52" i="1"/>
  <c r="T52" i="1"/>
  <c r="F52" i="1"/>
  <c r="S51" i="1"/>
  <c r="T51" i="1"/>
  <c r="F51" i="1"/>
  <c r="S50" i="1"/>
  <c r="T50" i="1"/>
  <c r="F50" i="1"/>
  <c r="P49" i="1"/>
  <c r="N49" i="1"/>
  <c r="L49" i="1"/>
  <c r="T49" i="1"/>
  <c r="F49" i="1"/>
  <c r="S48" i="1"/>
  <c r="T48" i="1"/>
  <c r="S47" i="1"/>
  <c r="T47" i="1"/>
  <c r="S46" i="1"/>
  <c r="T46" i="1"/>
  <c r="S45" i="1"/>
  <c r="T45" i="1"/>
  <c r="S44" i="1"/>
  <c r="R44" i="1"/>
  <c r="P44" i="1"/>
  <c r="N44" i="1"/>
  <c r="L44" i="1"/>
  <c r="T44" i="1"/>
  <c r="F44" i="1"/>
  <c r="T43" i="1"/>
  <c r="F43" i="1"/>
  <c r="S42" i="1"/>
  <c r="R42" i="1"/>
  <c r="P42" i="1"/>
  <c r="N42" i="1"/>
  <c r="L42" i="1"/>
  <c r="T42" i="1"/>
  <c r="F42" i="1"/>
  <c r="S41" i="1"/>
  <c r="R41" i="1"/>
  <c r="P41" i="1"/>
  <c r="N41" i="1"/>
  <c r="L41" i="1"/>
  <c r="T41" i="1"/>
  <c r="F41" i="1"/>
  <c r="S40" i="1"/>
  <c r="R40" i="1"/>
  <c r="P40" i="1"/>
  <c r="N40" i="1"/>
  <c r="L40" i="1"/>
  <c r="T40" i="1"/>
  <c r="F40" i="1"/>
  <c r="S39" i="1"/>
  <c r="R39" i="1"/>
  <c r="P39" i="1"/>
  <c r="N39" i="1"/>
  <c r="L39" i="1"/>
  <c r="T39" i="1"/>
  <c r="F39" i="1"/>
  <c r="S38" i="1"/>
  <c r="R38" i="1"/>
  <c r="P38" i="1"/>
  <c r="N38" i="1"/>
  <c r="L38" i="1"/>
  <c r="T38" i="1"/>
  <c r="F38" i="1"/>
  <c r="P37" i="1"/>
  <c r="N37" i="1"/>
  <c r="L37" i="1"/>
  <c r="T37" i="1"/>
  <c r="F37" i="1"/>
  <c r="S36" i="1"/>
  <c r="R36" i="1"/>
  <c r="P36" i="1"/>
  <c r="N36" i="1"/>
  <c r="L36" i="1"/>
  <c r="T36" i="1"/>
  <c r="F36" i="1"/>
  <c r="S35" i="1"/>
  <c r="R35" i="1"/>
  <c r="P35" i="1"/>
  <c r="N35" i="1"/>
  <c r="L35" i="1"/>
  <c r="T35" i="1"/>
  <c r="F35" i="1"/>
  <c r="S34" i="1"/>
  <c r="R34" i="1"/>
  <c r="P34" i="1"/>
  <c r="N34" i="1"/>
  <c r="L34" i="1"/>
  <c r="T34" i="1"/>
  <c r="F34" i="1"/>
  <c r="S33" i="1"/>
  <c r="R33" i="1"/>
  <c r="P33" i="1"/>
  <c r="N33" i="1"/>
  <c r="L33" i="1"/>
  <c r="T33" i="1"/>
  <c r="F33" i="1"/>
  <c r="S32" i="1"/>
  <c r="R32" i="1"/>
  <c r="P32" i="1"/>
  <c r="N32" i="1"/>
  <c r="L32" i="1"/>
  <c r="T32" i="1"/>
  <c r="F32" i="1"/>
  <c r="P31" i="1"/>
  <c r="N31" i="1"/>
  <c r="L31" i="1"/>
  <c r="T31" i="1"/>
  <c r="F31" i="1"/>
  <c r="S30" i="1"/>
  <c r="R30" i="1"/>
  <c r="P30" i="1"/>
  <c r="N30" i="1"/>
  <c r="L30" i="1"/>
  <c r="T30" i="1"/>
  <c r="F30" i="1"/>
  <c r="S29" i="1"/>
  <c r="R29" i="1"/>
  <c r="P29" i="1"/>
  <c r="N29" i="1"/>
  <c r="L29" i="1"/>
  <c r="T29" i="1"/>
  <c r="F29" i="1"/>
  <c r="S28" i="1"/>
  <c r="R28" i="1"/>
  <c r="P28" i="1"/>
  <c r="N28" i="1"/>
  <c r="L28" i="1"/>
  <c r="T28" i="1"/>
  <c r="F28" i="1"/>
  <c r="S27" i="1"/>
  <c r="R27" i="1"/>
  <c r="P27" i="1"/>
  <c r="N27" i="1"/>
  <c r="L27" i="1"/>
  <c r="T27" i="1"/>
  <c r="F27" i="1"/>
  <c r="S26" i="1"/>
  <c r="R26" i="1"/>
  <c r="P26" i="1"/>
  <c r="N26" i="1"/>
  <c r="L26" i="1"/>
  <c r="T26" i="1"/>
  <c r="F26" i="1"/>
  <c r="P25" i="1"/>
  <c r="N25" i="1"/>
  <c r="L25" i="1"/>
  <c r="T25" i="1"/>
  <c r="F25" i="1"/>
  <c r="S24" i="1"/>
  <c r="R24" i="1"/>
  <c r="P24" i="1"/>
  <c r="N24" i="1"/>
  <c r="L24" i="1"/>
  <c r="T24" i="1"/>
  <c r="F24" i="1"/>
  <c r="S23" i="1"/>
  <c r="R23" i="1"/>
  <c r="P23" i="1"/>
  <c r="N23" i="1"/>
  <c r="L23" i="1"/>
  <c r="T23" i="1"/>
  <c r="F23" i="1"/>
  <c r="S22" i="1"/>
  <c r="R22" i="1"/>
  <c r="P22" i="1"/>
  <c r="N22" i="1"/>
  <c r="L22" i="1"/>
  <c r="T22" i="1"/>
  <c r="F22" i="1"/>
  <c r="S21" i="1"/>
  <c r="R21" i="1"/>
  <c r="P21" i="1"/>
  <c r="N21" i="1"/>
  <c r="L21" i="1"/>
  <c r="T21" i="1"/>
  <c r="F21" i="1"/>
  <c r="S20" i="1"/>
  <c r="R20" i="1"/>
  <c r="P20" i="1"/>
  <c r="N20" i="1"/>
  <c r="L20" i="1"/>
  <c r="T20" i="1"/>
  <c r="F20" i="1"/>
  <c r="P19" i="1"/>
  <c r="N19" i="1"/>
  <c r="L19" i="1"/>
  <c r="T19" i="1"/>
  <c r="F19" i="1"/>
  <c r="S18" i="1"/>
  <c r="R18" i="1"/>
  <c r="P18" i="1"/>
  <c r="N18" i="1"/>
  <c r="L18" i="1"/>
  <c r="T18" i="1"/>
  <c r="F18" i="1"/>
  <c r="S17" i="1"/>
  <c r="R17" i="1"/>
  <c r="P17" i="1"/>
  <c r="N17" i="1"/>
  <c r="L17" i="1"/>
  <c r="T17" i="1"/>
  <c r="F17" i="1"/>
  <c r="S16" i="1"/>
  <c r="R16" i="1"/>
  <c r="P16" i="1"/>
  <c r="N16" i="1"/>
  <c r="L16" i="1"/>
  <c r="T16" i="1"/>
  <c r="F16" i="1"/>
  <c r="S15" i="1"/>
  <c r="R15" i="1"/>
  <c r="P15" i="1"/>
  <c r="N15" i="1"/>
  <c r="L15" i="1"/>
  <c r="T15" i="1"/>
  <c r="F15" i="1"/>
  <c r="S14" i="1"/>
  <c r="R14" i="1"/>
  <c r="P14" i="1"/>
  <c r="N14" i="1"/>
  <c r="L14" i="1"/>
  <c r="T14" i="1"/>
  <c r="F14" i="1"/>
  <c r="P13" i="1"/>
  <c r="N13" i="1"/>
  <c r="L13" i="1"/>
  <c r="T13" i="1"/>
  <c r="F13" i="1"/>
  <c r="S12" i="1"/>
  <c r="R12" i="1"/>
  <c r="P12" i="1"/>
  <c r="N12" i="1"/>
  <c r="L12" i="1"/>
  <c r="F12" i="1"/>
  <c r="I318" i="1" l="1"/>
  <c r="O318" i="1"/>
  <c r="O319" i="1" s="1"/>
  <c r="M318" i="1"/>
  <c r="M321" i="1" s="1"/>
  <c r="G321" i="1"/>
  <c r="G320" i="1"/>
  <c r="S13" i="1"/>
  <c r="S31" i="1"/>
  <c r="S49" i="1"/>
  <c r="R85" i="1"/>
  <c r="S25" i="1"/>
  <c r="R121" i="1"/>
  <c r="R139" i="1"/>
  <c r="R157" i="1"/>
  <c r="R19" i="1"/>
  <c r="R37" i="1"/>
  <c r="T55" i="1"/>
  <c r="R79" i="1"/>
  <c r="R97" i="1"/>
  <c r="R115" i="1"/>
  <c r="R133" i="1"/>
  <c r="R151" i="1"/>
  <c r="K318" i="1"/>
  <c r="C318" i="1"/>
  <c r="T12" i="1"/>
  <c r="G319" i="1"/>
  <c r="I319" i="1" l="1"/>
  <c r="S318" i="1"/>
  <c r="G322" i="1"/>
  <c r="T54" i="1"/>
  <c r="O321" i="1"/>
  <c r="O320" i="1"/>
  <c r="M320" i="1"/>
  <c r="M319" i="1"/>
  <c r="Q318" i="1"/>
  <c r="Q319" i="1" s="1"/>
  <c r="C321" i="1"/>
  <c r="C319" i="1"/>
  <c r="C320" i="1"/>
  <c r="C322" i="1" s="1"/>
  <c r="I321" i="1"/>
  <c r="I320" i="1"/>
  <c r="K321" i="1"/>
  <c r="K319" i="1"/>
  <c r="K320" i="1"/>
  <c r="S319" i="1" l="1"/>
  <c r="M322" i="1"/>
  <c r="I322" i="1"/>
  <c r="O322" i="1"/>
  <c r="Q321" i="1"/>
  <c r="Q320" i="1"/>
  <c r="K322" i="1"/>
  <c r="S321" i="1"/>
  <c r="S320" i="1"/>
  <c r="Q322" i="1" l="1"/>
  <c r="S3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Pablo</author>
  </authors>
  <commentList>
    <comment ref="R30" authorId="0" shapeId="0" xr:uid="{FE2DD1CC-986C-491C-A232-534579E60158}">
      <text>
        <r>
          <rPr>
            <b/>
            <sz val="9"/>
            <color indexed="81"/>
            <rFont val="Tahoma"/>
            <family val="2"/>
          </rPr>
          <t>Juan Pablo:</t>
        </r>
        <r>
          <rPr>
            <sz val="9"/>
            <color indexed="81"/>
            <rFont val="Tahoma"/>
            <family val="2"/>
          </rPr>
          <t xml:space="preserve">
Se adiciona 81,04 metros de area podada alrededor de la garita de ingreso
</t>
        </r>
      </text>
    </comment>
  </commentList>
</comments>
</file>

<file path=xl/sharedStrings.xml><?xml version="1.0" encoding="utf-8"?>
<sst xmlns="http://schemas.openxmlformats.org/spreadsheetml/2006/main" count="1685" uniqueCount="632">
  <si>
    <t>CONTRATANTE:  PUERTA DE ORO EMPRESA DE DESARROLLO CARIBE S.A.S</t>
  </si>
  <si>
    <t>NIT.: 900.249.143-1</t>
  </si>
  <si>
    <t>N° CONTRATO :  038 - 2023</t>
  </si>
  <si>
    <t xml:space="preserve">CONTRATISTA: CONSORCIO CONSERVACIÓN COSTERA </t>
  </si>
  <si>
    <t>NIT. :  901.727.371-7</t>
  </si>
  <si>
    <t>OBJETO: CONSERVACIÓN INTEGRAL Y REVITALIZACIÓN DE LOS
PROYECTOS DE INFRAESTRUCTURA TURÍSTICA DEL DEPARTAMENTO DEL
ATLÁNTICO, ASÍ COMO SUS ACTIVIDADES RELACIONADAS Y/O CONEXAS.</t>
  </si>
  <si>
    <t>CONTRATO</t>
  </si>
  <si>
    <t>CANTIDADES DE OBRA</t>
  </si>
  <si>
    <t>ACTAS ANTERIORES</t>
  </si>
  <si>
    <t>ACUMULADO</t>
  </si>
  <si>
    <t>ITEM</t>
  </si>
  <si>
    <t>DESCRIPCION</t>
  </si>
  <si>
    <t>UNID.</t>
  </si>
  <si>
    <t>CANT.</t>
  </si>
  <si>
    <t>V/UNIT</t>
  </si>
  <si>
    <t>V/TOTAL</t>
  </si>
  <si>
    <t>1.01</t>
  </si>
  <si>
    <t>SUMINISTRO DE PERSONAL, INSUMOS Y HERRAMIENTAS PARA LIMPIEZA MANUAL DE INFRAESTRUCTURA COSTERA.</t>
  </si>
  <si>
    <t>M2-MES</t>
  </si>
  <si>
    <t>1.02</t>
  </si>
  <si>
    <t>APOYO LOGISTICO EN EL DESARROLLO DE EVENTOS  Y/O TEMPORADAS.</t>
  </si>
  <si>
    <t>M2</t>
  </si>
  <si>
    <t>1.03</t>
  </si>
  <si>
    <t xml:space="preserve">PERSONAL ADICIONAL PARA EVENTOS Y/O TEMPORADAS... INCLUYE ALIMENTACIÓN, TRANSPORTES, DOTACIÓN Y TODOS LOS ELEMENTOS NECESARIOS PARA LA PRESTACIÓN DEL SERVICIO </t>
  </si>
  <si>
    <t>jr</t>
  </si>
  <si>
    <t>1.04</t>
  </si>
  <si>
    <t>VACIADO DE PAPELERA Y PUNTO Y DISPOSICIÓN DE ACOPIO</t>
  </si>
  <si>
    <t>UND</t>
  </si>
  <si>
    <t>1.05</t>
  </si>
  <si>
    <t>MOVIMIENTO DE TIERRA</t>
  </si>
  <si>
    <t>M3</t>
  </si>
  <si>
    <t>1.06</t>
  </si>
  <si>
    <t>CONFORMACION DE TIERRA</t>
  </si>
  <si>
    <t>1.07</t>
  </si>
  <si>
    <t>EXCAVACIÓN MECANICA  EN TERRENO NATURAL SIN RETIRO</t>
  </si>
  <si>
    <t>1.08</t>
  </si>
  <si>
    <t>EXCAVACIÓN MANUAL EN TERRENO NATURAL SIN RETIRO</t>
  </si>
  <si>
    <t>1.09</t>
  </si>
  <si>
    <t>CORTE DE TRONCOS DE MADERA EN PLAYA (LONG MAX DE 8 m)</t>
  </si>
  <si>
    <t>1.10</t>
  </si>
  <si>
    <t>TRASIEGO CON MAQUINARIA EN SITIO ESTRATEGICO</t>
  </si>
  <si>
    <t>1.11</t>
  </si>
  <si>
    <t>CARGUE CON MAQUINARIA DE MATERIAL ACOPIADO  Y CLASIFICADO EN VOLQUETAS</t>
  </si>
  <si>
    <t>1.12</t>
  </si>
  <si>
    <t>RETIRO Y DISPOSICIÓN FINAL DE MATERIAL ORGÁNICO Y/O TRONCOS DE MADERA EN PLAYAS.( INC. LA GESTIÓN FINAL DEL USUARIO)</t>
  </si>
  <si>
    <t>1.13</t>
  </si>
  <si>
    <t>RETIRO Y DISPOSICIÓN FINAL DE MATERIAL INORGÁNICO Y/O OTROS TIPOS DE RESIDUO (INC. LA GESTIÓN FINAL DEL USUARIO)</t>
  </si>
  <si>
    <t>1.14</t>
  </si>
  <si>
    <t>SUMINISTRO DE PERSONAL, INSUMOS, HERRAMIENTAS Y EQUIPOS PARA NIVELACIÓN MECÁNICA DE PLAYAS</t>
  </si>
  <si>
    <t>1.15</t>
  </si>
  <si>
    <t>SUMINISTRO Y DISPOSICIÓN DE  EQUIPOS Y PERSONAL ESPECIALIZADO PARA LIMPIEZA Y OXIGENACIÓN MECÁNICA DE PLAYAS</t>
  </si>
  <si>
    <t>2.01</t>
  </si>
  <si>
    <t>CONTROL DE MALEZAS MECANICA DE ARBUSTOS Y CUBRESUELOS, INCLUYE TODAS LAS HERRAMIENTAS Y EQUIPOS NECESARIOS PARA LA CORRECTA EJECUCIÓN DE LA ACTIVIDAD.</t>
  </si>
  <si>
    <t>2.02</t>
  </si>
  <si>
    <t>CONTROL DE MALEZAS MECANICA DE GRAMA, INCLUYE TODAS LAS HERRAMIENTAS Y EQUIPOS NECESARIOS PARA LA CORRECTA EJECUCIÓN DE LA ACTIVIDAD</t>
  </si>
  <si>
    <t>2.03</t>
  </si>
  <si>
    <t>CONTROL DE MALEZAS MECANICA DE ARBOLES Y PALMAS, INCLUYE TODAS LAS HERRAMIENTAS Y EQUIPOS NECESARIOS PARA LA CORRECTA EJECUCIÓN DE LA ACTIVIDAD</t>
  </si>
  <si>
    <t>UND-MES</t>
  </si>
  <si>
    <t>2.04</t>
  </si>
  <si>
    <t>SUMINISTRO Y APLICACIÓN DE HERBICIDAS PARA CONTROL DE MALEZAS QUIMICO DE GRAMA, INCLUYE TODOS LOS INSUMOS, HERRAMIENTAS Y EQUIPOS PARA EL CORRECTO CONTROL Y EJECUCIÓN DE LA ACTIVIDAD.</t>
  </si>
  <si>
    <t>2.05</t>
  </si>
  <si>
    <t xml:space="preserve">SUMINISTRO Y APLICACIÓN DE HERBICIDAS PARA CONTROL DE MALEZAS QUIMICO DE ARBOLES, INCLUYE TODOS LOS INSUMOS, HERRAMIENTAS Y EQUIPOS PARA EL CORRECTO CONTROL Y EJECUCIÓN DE LA ACTIVIDAD. </t>
  </si>
  <si>
    <t>2.06</t>
  </si>
  <si>
    <t>SUMINISTRO Y APLICACIÓN DE FUNGICIDAS E INSECTICIDAS SEGÚN CONTROL FITOSANITARIO PARA ARBUSTOS, CUBRESUELOS, INCLUYE TODOS LOS INSUMOS, HERRAMIENTAS Y EQUIPOS PARA EL CORRECTO CONTROL Y EJECUCIÓN DE LA ACTIVIDAD.</t>
  </si>
  <si>
    <t>2.07</t>
  </si>
  <si>
    <t>SUMINISTRO Y APLICACIÓN DE FUNGICIDAS E INSECTICIDAS SEGÚN CONTROL FITOSANITARIO DE GRAMA, INCLUYE TODOS LOS INSUMOS, HERRAMIENTAS Y EQUIPOS PARA EL CORRECTO CONTROL Y EJECUCIÓN DE LA ACTIVIDAD.</t>
  </si>
  <si>
    <t>2.08</t>
  </si>
  <si>
    <t>SUMINISTRO Y APLICACIÓN DE FUNGICIDAS E INSECTICIDAS SEGÚN CONTROL FITOSANITARIO DE ARBOLES Y PALMAS, INCLUYE TODOS LOS INSUMOS, HERRAMIENTAS Y EQUIPOS PARA EL CORRECTO CONTROL Y EJECUCIÓN DE LA ACTIVIDAD.</t>
  </si>
  <si>
    <t>2.09</t>
  </si>
  <si>
    <t>SUMINISTRO Y APLICACIÓN DE FERTILIZANTES PARA ARBUSTOS Y CUBRESUELOS, FERTILIZACIÓN DE SISTESIS ORGANICA, , INCLUYE TODOS LOS INSUMOS, HERRAMIENTAS Y EQUIPOS PARA EL CORRECTO CONTROL Y EJECUCIÓN DE LA ACTIVIDAD.</t>
  </si>
  <si>
    <t>2.10</t>
  </si>
  <si>
    <t>SUMINISTRO Y APLICACIÓN DE FERTILIZANTES PARA GRAMA, FERTILIZACIÓN DE SISTESIS ORGANICA , INCLUYE TODOS LOS INSUMOS, HERRAMIENTAS Y EQUIPOS PARA EL CORRECTO CONTROL Y EJECUCIÓN DE LA ACTIVIDAD.</t>
  </si>
  <si>
    <t>2.11</t>
  </si>
  <si>
    <t>SUMINISTRO Y APLICACIÓN DE FERTILIZANTES PARA MANEJO NUTRICIONAL ARBOLES Y PALMAS, FERTILIZACIÓN DE SISTESIS ORGANICA, , INCLUYE TODOS LOS INSUMOS, HERRAMIENTAS Y EQUIPOS PARA EL CORRECTO CONTROL Y EJECUCIÓN DE LA ACTIVIDAD.</t>
  </si>
  <si>
    <t>2.12</t>
  </si>
  <si>
    <t>SUMINISTRO DE INSUMOS Y PERSONAL PARA PODA TECNICA Y FORMATIVA DE ARBUSTOS Y CUBRESUELOS, INCLUYE TODOS LOS INSUMOS, HERRAMIENTAS Y EQUIPOS PARA EL CORRECTO CONTROL Y EJECUCIÓN DE LA ACTIVIDAD.</t>
  </si>
  <si>
    <t>2.13</t>
  </si>
  <si>
    <t>SUMINISTRO DE INSUMOS Y PERSONAL PARA PODA DE PODA TECNICA DE GRAMA CON MAQUINA, INCLUYE TODOS LOS INSUMOS, HERRAMIENTAS Y EQUIPOS PARA EL CORRECTO CONTROL Y EJECUCIÓN DE LA ACTIVIDAD.</t>
  </si>
  <si>
    <t>2.14</t>
  </si>
  <si>
    <t>SUMINISTRO DE INSUMOS Y PERSONAL PARA PODA TECNICA Y FORMATICA DE ARBOLES Y PALMAS, INCLUYE TODOS LOS INSUMOS, HERRAMIENTAS Y EQUIPOS PARA EL CORRECTO CONTROL Y EJECUCIÓN DE LA ACTIVIDAD.</t>
  </si>
  <si>
    <t>2.15</t>
  </si>
  <si>
    <t>SUMINISTRO DE INSUMOS Y PERSONAL PARA BORDEADA DE GRAMA, INCLUYE LOS EQUIPOS NECESARIOS PARA LA CORRECTA EJECUCIÓN DE LA ACTIVIDAD.</t>
  </si>
  <si>
    <t>ML-MES</t>
  </si>
  <si>
    <t>2.16</t>
  </si>
  <si>
    <t>APLICACIÓN DE AGUA MEDIANTE PUNTO DE AGUA CON MANGUERA EN ZONAS VERDES, INCLUYE LOS EQUIPOS NECESARIOS PARA LA CORRECTA EJECUCIÓN DE LA ACTIVIDAD.</t>
  </si>
  <si>
    <t>2.17</t>
  </si>
  <si>
    <t>AGUA EN CARRO TANQUE PARA RIEGO</t>
  </si>
  <si>
    <t>VJE</t>
  </si>
  <si>
    <t>2.18</t>
  </si>
  <si>
    <t>SUMINISTRO DE INSUMOS Y PERSONAL ASEO Y LIMPIEZA DE ZONAS VERDES, INCLUYE TODOS LOS INSUMOS, HERRAMIENTAS Y EQUIPOS PARA LA CORRECTA EJECUCIÓN DE LA ACTIVIDAD.</t>
  </si>
  <si>
    <t>CONTROL DE MALEZAS MECANICA DE ARBUSTOS Y CUBRESUELOS MURO VERTICAL, INCLUYE TODAS LAS HERRAMIENTAS Y EQUIPOS NECESARIOS PARA LA CORRECTA EJECUCIÓN DE LA ACTIVIDAD.</t>
  </si>
  <si>
    <t>SUMINISTRO DE INSUMOS Y PERSONAL PARA PODA TECNICA Y FORMATIVA DE ARBUSTOS Y CUBRESUELOS MURO VERTICAL, INCLUYE TODOS LOS INSUMOS, HERRAMIENTAS Y EQUIPOS PARA EL CORRECTO CONTROL Y EJECUCIÓN DE LA ACTIVIDAD.</t>
  </si>
  <si>
    <t>SUMINISTRO Y APLICACIÓN DE FUNGICIDAS E INSECTICIDAS SEGÚN CONTROL FITOSANITARIO PARA ARBUSTOS Y CUBRESUELOS MURO VERTICAL, INCLUYE TODOS LOS INSUMOS, HERRAMIENTAS Y EQUIPOS PARA EL CORRECTO CONTROL Y EJECUCIÓN DE LA ACTIVIDAD.</t>
  </si>
  <si>
    <t>SUMINISTRO Y APLICACIÓN DE FERTILIZANTES PARA ARBUSTOS Y CUBRESUELOS MURO VERTICAL, FERTILIZACIÓN DE SISTESIS ORGANICA, , INCLUYE TODOS LOS INSUMOS, HERRAMIENTAS Y EQUIPOS PARA EL CORRECTO CONTROL Y EJECUCIÓN DE LA ACTIVIDAD.</t>
  </si>
  <si>
    <t>SUMINISTRO DE INSUMOS  Y PULIDA DE BARANDAS Y ELEMENTOS EN ACERO INOXIDABLE, INCLUYE REMOCIÓN DE PINTURAS, ESMALTES, CHICLES Y DEMAS ELEMENTOS QUE NO HAGAN PARTE DE SU FUNCIONALIDAD.</t>
  </si>
  <si>
    <t>CONTROL DE MALEZAS MECANICO DE ZONAS DURAS, INCLUYE TODAS LAS HERRAMIENTAS Y EQUIPOS NECESARIOS PARA LA CORRECTA EJECUCIÓN DE LA ACTIVIDAD</t>
  </si>
  <si>
    <t>SUMINISTRO DE INSUMOS Y PERSONAL ASEO Y LIMPIEZA DE ZONAS DURAS, INCLUYE TODOS LOS INSUMOS, HERRAMIENTAS Y EQUIPOS PARA LA CORRECTA EJECUCIÓN DE LA ACTIVIDAD.</t>
  </si>
  <si>
    <t>LAVADA A PRESIÓN DE ZONAS DURAS, INCLUYE TODOS LOS INSUMOS, HERRAMIENTAS Y EQUIPOS PARA LA CORRECTA EJECUCIÓN DE LA ACTIVIDAD.</t>
  </si>
  <si>
    <t>SUMINISTRO Y APLICACIÓN DE HERBICIDAS PARA CONTROL DE MALEZAS QUIMICO DE ZONAS DURAS</t>
  </si>
  <si>
    <t>SUMINISTRO DE INSUMOS Y PERSONAL ASEO Y LIMPIEZA DE UNIDAD SANITARIA DE BAÑO, INCLUYE TODOS LOS INSUMOS, HERRAMIENTAS Y EQUIPOS PARA LA CORRECTA EJECUCIÓN DE LA ACTIVIDAD.</t>
  </si>
  <si>
    <t>UND.SANITARIA-MES</t>
  </si>
  <si>
    <t>SUMINISTRO DE INSUMOS  PARA LIMPIEZA DE BARANDAS Y ELEMENTOS EN PVC, INCLUYE REMOCIÓN DE PINTURAS, ESMALTES, CHICLES Y DEMAS ELEMENTOS QUE NO HAGAN PARTE DE SU FUNCIONALIDAD.</t>
  </si>
  <si>
    <t>SUMINISTRO DE INSUMOS Y PERSONAL PARA ASEO, LIMPIEZA Y MANTENIMIENTO PREVENTIVO SIN SUMNISTRO DE REPUESTOS DE ESCALERA ELECTRICA. INCLUYE ACTIVIDADES DE INSPECCIÓN, AJUSTE Y LUBRICACIÓN PERIODICA DE ELEMENTOS Y ARTES PROPIAS DEL EQUIPO</t>
  </si>
  <si>
    <t xml:space="preserve">MANTENIMIENTO PREVENTIVO TIPO A DE BOMBAS CENTRIFUGAS  PARA SUMINISTRO DE AGUA POTABLE Y CRUDA PARA BAÑOS, FUENTE DE AGUA,SISTEMA DE RIEGO, ACHIQUE, FILTRADO Y REDES CONTRA INCENDIO. INCLUYE: MATERIALES E INSUMOS PARA CALIBRACIÓN DE TANQUES HIDROFLOW,AJUSTE DE PRESOSTATO PARA PRUEBA DE OPERACIÓN DE NIVELES Y CALIBRACIÓN DE PRESIONES DE TRABAJO, INSPECCIÓN DE CHEQUES DE RETENCIÓN, REVISIÓN Y CAMBIO DE SELLOS MECANICOS, REVISIÓN Y CAMBIO DE RODAMIENTOS, REVISIÓN DE TABLEROS DE CONTROL, REVISIÓN DE BOMBINAS Y TODOS LOS ELEMENTOS NECESARIOS PARA CORRECTA EJECUCIÓN </t>
  </si>
  <si>
    <t>LAVADO FISICOQUIMICO DE FUENTE LIMPIEZA PERIODICA</t>
  </si>
  <si>
    <t>MANTENIMIENTO PREVENTIVO Y CORRECTIVO, INCLUYE LIMPIZA DE FILTROS,
CAMBIO DE AGUA DE ESTANQUE, TRATAMIENTO AGUA, ENGRASE PARTES
RODANTES, LIMPIEZA PARTES ELECTRICAS, BALANCEO Y NIVELADO DE AGUA.</t>
  </si>
  <si>
    <t>SUMINISTRO DE INSUMOS Y PERSONAL ASEO Y LIMPIEZA, ACOMODAMIENTO DE MUEBLES, SILLAS  INCLUYE TODOS LOS INSUMOS, HERRAMIENTAS Y EQUIPOS PARA LA CORRECTA EJECUCIÓN DE LA ACTIVIDAD.</t>
  </si>
  <si>
    <t>NP</t>
  </si>
  <si>
    <t>ADMINISTRACION Y PRODUCCION DE EVENTOS CULTURALES POR TEMPORADA DE FIN DE AÑO EN MUELLE 1888(INCLUYE MONTAJE DE ESTACION DE NAVIDEÑA Y PAPA NOEL; GRUPOS MUSICALES EN VIVO)</t>
  </si>
  <si>
    <t>4.01</t>
  </si>
  <si>
    <t>ORNAMENTACION Y JARDINERIA - SIEMBRA DE OLIVO NEGRO. NC.  BUCIDAS BUCERAS</t>
  </si>
  <si>
    <t>ARBOLADA (10 UND)</t>
  </si>
  <si>
    <t>4.02</t>
  </si>
  <si>
    <t>ORNAMENTACION Y JARDINERIA - SIEMBRA DE PEREGRINA. NC.  JATROPHA INTEGERRIMA</t>
  </si>
  <si>
    <t>4.03</t>
  </si>
  <si>
    <t>ORNAMENTACION Y JARDINERIA - SIEMBRA DE SAN JOAQUIN. NC.  CORDIA SEBESTENA</t>
  </si>
  <si>
    <t>4.04</t>
  </si>
  <si>
    <t>ORNAMENTACION Y JARDINERIA - SIEMBRA DE TULIPAN AFRICANO. NC.  SPATHODEA CAMPANULATA</t>
  </si>
  <si>
    <t>4.05</t>
  </si>
  <si>
    <t>ORNAMENTACION Y JARDINERIA - SIEMBRA DE PASTOFUENTE AFRICANO. NC.  PENNISETUM SETACEUM</t>
  </si>
  <si>
    <t>4.06</t>
  </si>
  <si>
    <t>SUMINISTRO, TRANSPORTE Y SIEMBRA DE EUPHORBIA MILII (TU Y YO) H PROM 20CM, NO INCLUYE EXCAVACIÓN NI SUMINISTRO Y CONFORMACIÓN DE TIERRA NEGRA.</t>
  </si>
  <si>
    <t>4.07</t>
  </si>
  <si>
    <t>SUMINISTRO, TRANSPORTE Y SIEMBRA DE DURANTA REPENS (DURANTA GOLD) H PROM 20CM, NO INCLUYE EXCAVACIÓN NI SUMINISTRO Y CONFORMACIÓN DE TIERRA NEGRA.</t>
  </si>
  <si>
    <t>4.08</t>
  </si>
  <si>
    <t>SUMINISTRO, TRANSPORTE Y SIEMBRA DE HELICONIA PSITTACORUM (AVE DEL PARAISO) H PROM 30CM, INCLUYE EXCAVACIÓN NI SUMINISTRO Y CONFORMACIÓN DE TIERRA NEGRA.</t>
  </si>
  <si>
    <t>4.09</t>
  </si>
  <si>
    <t>SUMINISTRO, TRANSPORTE Y SIEMBRA DE IXORA COCCINEA NORA GRANT (CORAL PATILLA) H PROM 40CM , NO INCLUYE EXCAVACIÓN NI SUMINISTRO Y CONFORMACIÓN DE TIERRA NEGRA.</t>
  </si>
  <si>
    <t>4.10</t>
  </si>
  <si>
    <t>SUMINISTRO, TRANSPORTE Y SIEMBRA DE CHEFFLERA ARBORICOLA TRINETTE (CHEFLERA SENSACIÓN) H PROM 40CM, NO INCLUYE EXCAVACIÓN NI SUMINISTRO Y CONFORMACIÓN DE TIERRA NEGRA.</t>
  </si>
  <si>
    <t>4.11</t>
  </si>
  <si>
    <t>SUMINISTRO, TRANSPORTE Y SIEMBRA DE TRADESCANTIA PALLIDA PURPUREA (BARQUITO MORADO) H PROM 20CM, NO INCLUYE EXCAVACIÓN NI SUMINISTRO Y CONFORMACIÓN DE TIERRA NEGRA.</t>
  </si>
  <si>
    <t>4.12</t>
  </si>
  <si>
    <t>SUMINISTRO, TRANSPORTE Y SIEMBRA DE PHILODENDRO LEMONADE (FILODENDRO LIMÓN) H PROM 30CM, NO INCLUYE EXCAVACIÓN NI SUMINISTRO Y CONFORMACIÓN DE TIERRA NEGRA.</t>
  </si>
  <si>
    <t>4.13</t>
  </si>
  <si>
    <t>SUMINISTRO, TRANSPORTE Y SIEMBRA DE EPIPREMNUM AUREUM (MIAMI) H PROM 20CM, NO INCLUYE EXCAVACIÓN NI SUMINISTRO Y CONFORMACIÓN DE TIERRA NEGRA.</t>
  </si>
  <si>
    <t>4.14</t>
  </si>
  <si>
    <t>SUMINISTRO, TRANSPORTE Y SIEMBRA DE DIANELLA TASMANICA  (DIANELLA) H PROM 30CM, NO INCLUYE EXCAVACIÓN NI SUMINISTRO Y CONFORMACIÓN DE TIERRA NEGRA.</t>
  </si>
  <si>
    <t>4.15</t>
  </si>
  <si>
    <t>SUMINISTRO, TRANSPORTE Y SIEMBRA DE CONOCARPUS ERECTUS (MANGLE VERDE), H PROM 30CM NO INCLUYE EXCAVACIÓN NI SUMINISTRO Y CONFORMACIÓN DE TIERRA NEGRA.</t>
  </si>
  <si>
    <t>4.16</t>
  </si>
  <si>
    <t>SUMINISTRO, TRANSPORTE Y SIEMBRA DE ALTERNANTHERA BETTZICKIANNA ( DURANTA ROJA ) H PROM 25CM, NO INCLUYE EXCAVACIÓN NI SUMINISTRO Y CONFORMACIÓN DE TIERRA NEGRA.</t>
  </si>
  <si>
    <t>4.17</t>
  </si>
  <si>
    <t>SUMINISTRO, TRANSPORTE Y SIEMBRA DE BOUGAINVILLIA GLABRA -SPECTABILIS - VARIEGATA (TRINITARIA MORADA, TRINITARIA SURTIDA, TRINITARIA JUANITA) H PROM 40CM,  NO INCLUYE EXCAVACIÓN NI SUMINISTRO Y CONFORMACIÓN DE TIERRA NEGRA.</t>
  </si>
  <si>
    <t>4.18</t>
  </si>
  <si>
    <t>SUMINISTRO, TRANSPORTE Y SIEMBRA DE TRADESCANTIA SPATHACEA (CINTA MORADA) H PROM 20CM, NO INCLUYE EXCAVACIÓN NI SUMINISTRO Y CONFORMACIÓN DE TIERRA NEGRA.</t>
  </si>
  <si>
    <t>4.19</t>
  </si>
  <si>
    <t>SUMINISTRO, TRANSPORTE Y SIEMBRA DE AGAVE BORDE AMARILLO (AGAVE) H PROM 40CM, NO INCLUYE EXCAVACIÓN NI SUMINISTRO Y CONFORMACIÓN DE TIERRA NEGRA.</t>
  </si>
  <si>
    <t>4.20</t>
  </si>
  <si>
    <t>SUMINISTRO, TRANSPORTE Y SIEMBRA DE COCCOLOVA UVIFERA (UVA DE PLAYA) H PROM 30CM, NO INCLUYE EXCAVACIÓN NI SUMINISTRO Y CONFORMACIÓN DE TIERRA NEGRA.</t>
  </si>
  <si>
    <t>4.21</t>
  </si>
  <si>
    <t>SUMINISTRO, TRANSPORTE Y SIEMBRA DE CARISSA MACROCARPA (CARISSA) H PROM 20CM, NO INCLUYE EXCAVACIÓN NI SUMINISTRO Y CONFORMACIÓN DE TIERRA NEGRA.</t>
  </si>
  <si>
    <t>4.22</t>
  </si>
  <si>
    <t>SUMINISTRO, TRANSPORTE Y SIEMBRA DE ASPARAGUS DESINFLORUS SPRENGERI (ESMERALDA CASTILLO) H PROM 25CM, NO INCLUYE EXCAVACIÓN NI SUMINISTRO Y CONFORMACIÓN DE TIERRA NEGRA.</t>
  </si>
  <si>
    <t>4.23</t>
  </si>
  <si>
    <t>SUMINISTRO, TRANSPORTE Y SIEMBRA DE ASPARAGUS MEYERII (ESPARRAGO) H PROM 20CM, NO INCLUYE EXCAVACIÓN NI SUMINISTRO Y CONFORMACIÓN DE TIERRA NEGRA.</t>
  </si>
  <si>
    <t>4.24</t>
  </si>
  <si>
    <t>SUMINISTRO, TRANSPORTE Y SIEMBRA DE PHILODENDRON CONGO (FILODENDRO CONGO) H PROM 35CM, NO INCLUYE EXCAVACIÓN NI SUMINISTRO Y CONFORMACIÓN DE TIERRA NEGRA.</t>
  </si>
  <si>
    <t>4.25</t>
  </si>
  <si>
    <t>SUMINISTRO, TRANSPORTE Y SIEMBRA DE WEDELIA TRILOBATA (WEDELIA AMARILLA) H PROM 20CM, NO INCLUYE EXCAVACIÓN NI SUMINISTRO Y CONFORMACIÓN DE TIERRA NEGRA.</t>
  </si>
  <si>
    <t>4.26</t>
  </si>
  <si>
    <t>SUMINISTRO, TRANSPORTE Y SIEMBRA DE MONSTERA DELICIOSA (BALAZO)H PROM 45CM, NO INCLUYE EXCAVACIÓN NI SUMINISTRO Y CONFORMACIÓN DE TIERRA NEGRA.</t>
  </si>
  <si>
    <t>4.27</t>
  </si>
  <si>
    <t>SUMINISTRO, TRANSPORTE Y SIEMBRA DE CONOCARPUS ERECTUS SERICEUS (MANGLE PLATEADO) H PROM 30CM, NO INCLUYE EXCAVACIÓN NI SUMINISTRO Y CONFORMACIÓN DE TIERRA NEGRA.</t>
  </si>
  <si>
    <t>4.28</t>
  </si>
  <si>
    <t>SUMINISTRO, TRANSPORTE Y SIEMBRA DE CORDYLINE TERMINALIS (CAÑA DE LA INDIA) H PROM 45CM, NO INCLUYE EXCAVACIÓN NI SUMINISTRO Y CONFORMACIÓN DE TIERRA NEGRA.</t>
  </si>
  <si>
    <t>4.29</t>
  </si>
  <si>
    <t>SUMINISTRO, TRANSPORTE Y SIEMBRA DE SANSEVIERA TRIFACIATA LAURENTII (LENGUA DE SUEGRA) H PROM 40CM,  NO INCLUYE EXCAVACIÓN NI SUMINISTRO Y CONFORMACIÓN DE TIERRA NEGRA.</t>
  </si>
  <si>
    <t>4.30</t>
  </si>
  <si>
    <t>SUMINISTRO, TRANSPORTE Y SIEMBRA DE PENNISETUM RUBRUM (PASTO MORADO)H PROM 40CM, NO INCLUYE EXCAVACIÓN NI SUMINISTRO Y CONFORMACIÓN DE TIERRA NEGRA.</t>
  </si>
  <si>
    <t>4.31</t>
  </si>
  <si>
    <t>SUMINISTRO, TRANSPORTE Y SIEMBRA DE PENNISETUM ALBA (PASTO VERDE) H PROM 40CM, NO INCLUYE EXCAVACIÓN NI SUMINISTRO Y CONFORMACIÓN DE TIERRA NEGRA.</t>
  </si>
  <si>
    <t>4.32</t>
  </si>
  <si>
    <t>SUMINISTRO, TRANSPORTE Y SIEMBRA DE M2 GRAMA EN TAPETE TIPO ZOYSIA NO INCLUYE EXCAVACIÓN NI SUMINISTRO Y CONFORMACIÓN DE TIERRA NEGRA.</t>
  </si>
  <si>
    <t>4.33</t>
  </si>
  <si>
    <t>SUMINISTRO E INSTALACIÓN DE PIEDRA DECORATIVA MIXTA ESPESOR DE LA CAPA DE 5 CM</t>
  </si>
  <si>
    <t>4.34</t>
  </si>
  <si>
    <t>SUMINISTRO, APLICACIÓN Y CONFORMACIÓN DE TIERRA NEGRA PARA SIEMBRA</t>
  </si>
  <si>
    <t>4.35</t>
  </si>
  <si>
    <t>SUMINISTRO, TRANSPORTE Y SIEMBRA DE  ALISTONIA SCHOLARIS (ALISTONIA) 3-5M , NO INCLUYE EXCAVACIÓN NI SUMINISTRO Y CONFORMACIÓN DE TIERRA NEGRA.</t>
  </si>
  <si>
    <t>4.36</t>
  </si>
  <si>
    <t>SUMINISTRO, TRANSPORTE Y SIEMBRA DE  ALBIZIA LEBBECK (ALGARROBO BLANCO) 3-5M , NO INCLUYE EXCAVACIÓN NI SUMINISTRO Y CONFORMACIÓN DE TIERRA NEGRA.</t>
  </si>
  <si>
    <t>4.37</t>
  </si>
  <si>
    <t>SUMINISTRO, TRANSPORTE Y SIEMBRA DE  DELONIX REGIA (ARBOL ACACIA ROJO) 3-5M , NO INCLUYE EXCAVACIÓN NI SUMINISTRO Y CONFORMACIÓN DE TIERRA NEGRA.</t>
  </si>
  <si>
    <t>4.38</t>
  </si>
  <si>
    <t>SUMINISTRO, TRANSPORTE Y SIEMBRA DE  TABEBUIA IMPRETIGINOSA (ROBLE MORADO) 3-4M , NO INCLUYE EXCAVACIÓN NI SUMINISTRO Y CONFORMACIÓN DE TIERRA NEGRA.</t>
  </si>
  <si>
    <t>4.39</t>
  </si>
  <si>
    <t>SUMINISTRO, TRANSPORTE Y SIEMBRA DE  CONOCARPUS ERECTUS TALLO LIBRE (MANGLE VERDE ARBOL) 3-4M , NO INCLUYE EXCAVACIÓN NI SUMINISTRO Y CONFORMACIÓN DE TIERRA NEGRA.</t>
  </si>
  <si>
    <t>4.40</t>
  </si>
  <si>
    <t>SUMINISTRO, TRANSPORTE Y SIEMBRA DE  COCCOLOVA UVIFERA TALLO LIBRE (UVA DE PLAYA ARBOL) 3-4M , NO INCLUYE EXCAVACIÓN NI SUMINISTRO Y CONFORMACIÓN DE TIERRA NEGRA.</t>
  </si>
  <si>
    <t>4.41</t>
  </si>
  <si>
    <t>SUMINISTRO, TRANSPORTE Y SIEMBRA DE  PLUMERIA RUBRA (ARBOL FLORON) 3-4M , NO INCLUYE EXCAVACIÓN NI SUMINISTRO Y CONFORMACIÓN DE TIERRA NEGRA.</t>
  </si>
  <si>
    <t>4.42</t>
  </si>
  <si>
    <t>SUMINISTRO, TRANSPORTE Y SIEMBRA DE  COCOS NUCIFERA (PALMA DE COCO) 5-7M , NO INCLUYE EXCAVACIÓN NI SUMINISTRO Y CONFORMACIÓN DE TIERRA NEGRA.</t>
  </si>
  <si>
    <t>4.43</t>
  </si>
  <si>
    <t>SUMINISTRO, TRANSPORTE Y SIEMBRA DE  COCOS NUCIFERA (PALMA DE COCO) 8-10M , NO INCLUYE EXCAVACIÓN NI SUMINISTRO Y CONFORMACIÓN DE TIERRA NEGRA.</t>
  </si>
  <si>
    <t>4.44</t>
  </si>
  <si>
    <t>SUMINISTRO, TRANSPORTE Y SIEMBRA DE  DYPSIS DECARYII (PALMA TRIANGULO) 4-6M , NO INCLUYE EXCAVACIÓN NI SUMINISTRO Y CONFORMACIÓN DE TIERRA NEGRA.</t>
  </si>
  <si>
    <t>4.45</t>
  </si>
  <si>
    <t>SUMINISTRO, TRANSPORTE Y SIEMBRA DE  WODYETIA BIFURCARTA (PALMA COLA DE ZORRO) 6-7M , NO INCLUYE EXCAVACIÓN NI SUMINISTRO Y CONFORMACIÓN DE TIERRA NEGRA.</t>
  </si>
  <si>
    <t>4.46</t>
  </si>
  <si>
    <t>SUMINISTRO, TRANSPORTE Y SIEMBRA DE  WODYETIA BIFURCARTA (PALMA COLA DE ZORRO) 7-8M , NO INCLUYE EXCAVACIÓN NI SUMINISTRO Y CONFORMACIÓN DE TIERRA NEGRA.</t>
  </si>
  <si>
    <t>4.47</t>
  </si>
  <si>
    <t>SUMINISTRO, TRANSPORTE Y SIEMBRA DE  PHOENIX DACTYLIFERA (PALMA DATIL) 6-7M , NO INCLUYE EXCAVACIÓN NI SUMINISTRO Y CONFORMACIÓN DE TIERRA NEGRA.</t>
  </si>
  <si>
    <t>4.48</t>
  </si>
  <si>
    <t>SUMINISTRO, TRANSPORTE Y SIEMBRA DE  PHOENIX DACTYLIFERA (PALMA DATIL) 7-8M , NO INCLUYE EXCAVACIÓN NI SUMINISTRO Y CONFORMACIÓN DE TIERRA NEGRA.</t>
  </si>
  <si>
    <t>4.49</t>
  </si>
  <si>
    <t>SUMINISTRO, TRANSPORTE Y SIEMBRA DE  WASHINGTONIA ROBUSTA (PALMA WASHINGTONIA) 3-6M , NO INCLUYE EXCAVACIÓN NI SUMINISTRO Y CONFORMACIÓN DE TIERRA NEGRA.</t>
  </si>
  <si>
    <t>4.50</t>
  </si>
  <si>
    <t>SUMINISTRO, TRANSPORTE Y SIEMBRA DE  WASHINGTONIA ROBUSTA (PALMA WASHINGTONIA) 8-9M , NO INCLUYE EXCAVACIÓN NI SUMINISTRO Y CONFORMACIÓN DE TIERRA NEGRA.</t>
  </si>
  <si>
    <t>4.51</t>
  </si>
  <si>
    <t>SUMINISTRO, TRANSPORTE Y SIEMBRA DE  COCCOTHRINAX DOBLE (COCOTRINAS DOBLE) 3-4M , NO INCLUYE EXCAVACIÓN NI SUMINISTRO Y CONFORMACIÓN DE TIERRA NEGRA.</t>
  </si>
  <si>
    <t>4.52</t>
  </si>
  <si>
    <t>SUMINISTRO, TRANSPORTE Y SIEMBRA DE  COCCOTHRINAX SENCILLA (COCOTRINAS SENCILLA) 3-4M , NO INCLUYE EXCAVACIÓN NI SUMINISTRO Y CONFORMACIÓN DE TIERRA NEGRA.</t>
  </si>
  <si>
    <t>4.53</t>
  </si>
  <si>
    <t>SUMINISTRO, TRANSPORTE Y SIEMBRA DE  ACCOELORRAPHE WRIGHTII (PALMA PAUROTIS) 4-5M , NO INCLUYE EXCAVACIÓN NI SUMINISTRO Y CONFORMACIÓN DE TIERRA NEGRA.</t>
  </si>
  <si>
    <t>4.54</t>
  </si>
  <si>
    <t>SUMINISTRO, TRANSPORTE Y SIEMBRA DE  CARPENTARIA ACUMINATA DOBLE (PALMA CARPENTARIA) 3-6M , NO INCLUYE EXCAVACIÓN NI SUMINISTRO Y CONFORMACIÓN DE TIERRA NEGRA.</t>
  </si>
  <si>
    <t>4.55</t>
  </si>
  <si>
    <t>SUMINISTRO, TRANSPORTE Y SIEMBRA DE   ROYSTENEA REGIA  (PALMA REAL) 6-8M , NO INCLUYE EXCAVACIÓN NI SUMINISTRO Y CONFORMACIÓN DE TIERRA NEGRA.</t>
  </si>
  <si>
    <t>4.56</t>
  </si>
  <si>
    <t>SUMINISTRO, TRANSPORTE Y SIEMBRA DE  ROYSTENEA REGIA (PALMA REAL) 9-10M , NO INCLUYE EXCAVACIÓN NI SUMINISTRO Y CONFORMACIÓN DE TIERRA NEGRA.</t>
  </si>
  <si>
    <t>CONCRETO  F'C= 14 MPA (E=0.05M)</t>
  </si>
  <si>
    <t>RELLENO EN MATERIAL SELECCIONADO SEGÚN ESTUDIO DE SUELOS</t>
  </si>
  <si>
    <t>ACERO DE REFUERZO</t>
  </si>
  <si>
    <t>KG</t>
  </si>
  <si>
    <t>5.04</t>
  </si>
  <si>
    <t>SUMINISTRO E INSTALACIÓN DE DIVISIONES EN VIDRIO TEMPLADO 10 MM INCOLORO, INCLUYE MUROS DIVISORIOS, PUERTAS BATIENTES, TORNILLOS Y CERRADURAS, SEGÚN DISEÑO</t>
  </si>
  <si>
    <t>5.05</t>
  </si>
  <si>
    <t>LEVANTE EN LADRILLO DE ARCILLA NO 5, DIM 30X20X12.5CMS. H:10CMS</t>
  </si>
  <si>
    <t>ML</t>
  </si>
  <si>
    <t>5.06</t>
  </si>
  <si>
    <t>PAÑETE MORTERO 1:4, ALLANADO SOBRE MURO</t>
  </si>
  <si>
    <t>5.07</t>
  </si>
  <si>
    <t>PAÑETE MORTERO 1:4 IMPERMEABILIZADO, ALLANADO SOBRE MURO</t>
  </si>
  <si>
    <t>5.08</t>
  </si>
  <si>
    <t>ESTUCO PLÁSTICO SOBRE MURO CON PAÑETE ALLANADO</t>
  </si>
  <si>
    <t>5.09</t>
  </si>
  <si>
    <t>PINTURA EN VINILO PARA MUROS A TRES MANOS</t>
  </si>
  <si>
    <t>5.10</t>
  </si>
  <si>
    <t>MORTERO DE NIVELACIÓN 1:4, ESPESOR 4 CM</t>
  </si>
  <si>
    <t>5.11</t>
  </si>
  <si>
    <t>MORTERO DE NIVELACIÓN IMPERMEABILIZADO 1:4, ESPESOR 4 CM</t>
  </si>
  <si>
    <t>5.12</t>
  </si>
  <si>
    <t>PLACA DE CONTRAPISO EN CONCRETO DE 28 MPA, ESP= 12 CM, INCLUYE MALLA ELECTRO SOLDADA 6MM 15X15, CON ACABADO PULIDO</t>
  </si>
  <si>
    <t>5.13</t>
  </si>
  <si>
    <t>PIEDRA NEGRA ACABADO RUSTICO</t>
  </si>
  <si>
    <t>5.14</t>
  </si>
  <si>
    <t xml:space="preserve">LOSETA LISA DIM 30X15X6CM COLORES GRISES </t>
  </si>
  <si>
    <t>5.15</t>
  </si>
  <si>
    <t>ENCHAPE BAÑOS ART 30X90 COLOR BLANCO</t>
  </si>
  <si>
    <t>5.16</t>
  </si>
  <si>
    <t>SUMINISTRO E INSTALACIÓN DE PINTURA PARA EXTERIORES A 2 MANOS COLOR BLANCO</t>
  </si>
  <si>
    <t>5.17</t>
  </si>
  <si>
    <t>CAMBIO O REPOSICIÓN DE MATERIAL PARA SELLADO DE JUNTA DE PISOS, INCLUYE TODOS LOS INSUMOS, HERRAMIENTAS Y EQUIPOS PARA LA CORRECTA EJECUCIÓN DE LA ACTIVIDAD.</t>
  </si>
  <si>
    <t>5.18</t>
  </si>
  <si>
    <t>MAMPOSTERIA PARA REGISTRO ELECTRICO, INCLUYE LOSA DE FONDO, NO INCLUYE TAPA, MARCO NI CONTRAMARCO.</t>
  </si>
  <si>
    <t>5.19</t>
  </si>
  <si>
    <t>CAMBIO O REPOSICIÓN DE TAPA REGISTRO ELÉCTRICO ESPESOR DE 8 CM EN CONCRETO DE 3000PSI, INCLUYE MARCO Y CONTRAMARCO</t>
  </si>
  <si>
    <t>5.20</t>
  </si>
  <si>
    <t>CAMBIO O REPOSICIÓN DE MAMPOSTERÍA EN BLOQUE #15 PARA CONSTRUCCIÓN DE ALCORQUE 1,5M X 1,5M X 1,5M, INCLUYE EXCAVACIÓN, HERRAMIENTAS E INSUMOS NECESARIOS PARA SU CORRECTA EJECUCIÓN</t>
  </si>
  <si>
    <t>5.21</t>
  </si>
  <si>
    <t>RESANE DE ALFAJÍAS EN CONCRETO DE 3000PSI, INCLUYE ACERO DE REFUERZO 3/8", ANCLAJES, HERRAMIENTAS Y EQUIPOS NECESARIOS PARA SU CORRECTA EJECUCIÓN</t>
  </si>
  <si>
    <t>M</t>
  </si>
  <si>
    <t>5.22</t>
  </si>
  <si>
    <t>RESANE DE MUROS EN MAMPOSTERÍA, CON PAÑETE EN MORTERO DE 3000PSI, INCLUYE ESCARIFICACIÓN, HERRAMIENTAS, EQUIPOS Y ACCESORIOS NECESARIOS PARA SU CORRECTA EJECUCIÓN</t>
  </si>
  <si>
    <t>5.23</t>
  </si>
  <si>
    <t>DEMOLICIÓN DE BORDILLOS</t>
  </si>
  <si>
    <t>5.24</t>
  </si>
  <si>
    <t>CAMBIO O REPOSICIÓN DE BORDILLO CON SARDINEL PREFABRICADO EN CONCRETO DE 0,8M, INCLUYE HERRAMIENTAS Y EQUIPOS NECESARIOS PARA SU CORRECTA EJECUCIÓN</t>
  </si>
  <si>
    <t>5.25</t>
  </si>
  <si>
    <t>ARMADO, VACIADO Y DESENCOFRADO DE LOSA MACIZA EN CONCRETO DE 3000 PSI E=0,1M, CON MALLA ELECTROSOLDADA, INCLUYE HERRAMIENTAS Y EQUIPOS NECESARIOS PARA SU CORRECTA EJECUCIÓN</t>
  </si>
  <si>
    <t>5.26</t>
  </si>
  <si>
    <t>PAÑETE EN MORTERO, INCLUYE HERRAMIENTAS Y EQUIPOS NECESARIOS PARA SU CORRECTA EJECUCIÓN</t>
  </si>
  <si>
    <t>5.27</t>
  </si>
  <si>
    <t>DESMONTE APARATOS SANITARIOS</t>
  </si>
  <si>
    <t>5.28</t>
  </si>
  <si>
    <t>DEMOLICIÓN DE PISO EXISTENTE ESPESOR MENOR A 10 CM, NO INCLUYE RETIRO DE ESCOMBROS</t>
  </si>
  <si>
    <t>5.29</t>
  </si>
  <si>
    <t>CAMBIO O REPOSICIÓN DE BARANDAS EN ACERO INOXIDABLE CON PERFIL TUBULAR Y PARALES D 1,9", INCLUYE PERNOS Y DOS LINEAS HORIZONTALES, SEGÚN DISEÑO</t>
  </si>
  <si>
    <t>5.30</t>
  </si>
  <si>
    <t>CAMBIO O REPOSICIÓN DE BARANDAS EN ACERO GALVANIZADO CON PERFIL TUBULAR Y PARALES D 1,9", INCLUYE PERNOS Y DOS LINEAS HORIZONTALES, SOLDADURA, RECUBRIMIENTO EPÓXICO, ACABADO DE COLOR A ELECCIÓN, SEGÚN DISEÑO</t>
  </si>
  <si>
    <t>5.31</t>
  </si>
  <si>
    <t>CAMBIO O REPOSICIÓN DE BARRA DE APOYO PARA DISCAPACITADOS RECTA DE 760MM EN ACERO INOXIDABLE, INCLUYE PERNOS, HERRAMIENTAS Y EQUIPOS NECESARIOS PARA SU CORRECTA EJECUCIÓN</t>
  </si>
  <si>
    <t>5.32</t>
  </si>
  <si>
    <t>CAMBIO O REPOSICIÓN DE BARRA DE APOYO PARA DISCAPACITADOS EN U EN ACERO INOXIDABLE, INCLUYE PERNOS, HERRAMIENTAS Y EQUIPOS NECESARIOS PARA SU CORRECTA EJECUCIÓN</t>
  </si>
  <si>
    <t>5.33</t>
  </si>
  <si>
    <t xml:space="preserve">PISO EN MÁRMOL SINÚ VETA </t>
  </si>
  <si>
    <t>5.34</t>
  </si>
  <si>
    <t>PISO EN POLVILLO DECK GUAYACÁN</t>
  </si>
  <si>
    <t>PINTURA ANTICORROSIVA DE BASE DE KIOSKOS H=25 D=70</t>
  </si>
  <si>
    <t>PINTURA ANTICORROSIVA DE BASE DE KIOSKOS H=55 D=88</t>
  </si>
  <si>
    <t>PINTURA ANTICORROSIVA DE BOLARDOS H=70CM  D=30 CM</t>
  </si>
  <si>
    <t>INSTALACIÓN DE BOLARDOS H=70CM  D=30 CM</t>
  </si>
  <si>
    <t>ANCLAJES DE BANCAS A PISO CONCRETO (8 ANCLAJES)</t>
  </si>
  <si>
    <t>ANCLAJES DE BANCAS A PISO CONCRETO (4 ANCLAJES)</t>
  </si>
  <si>
    <t>PINTURA ANTICORROSIVA DE LAMPARAS H= 1,8M</t>
  </si>
  <si>
    <t>SUMINISTRO E INSTALACION DE CIELO RASO EN LAMINA DE SUPERBOARD, CON ESTRUCTURA METALICA Y PERFIL OMEGA</t>
  </si>
  <si>
    <t>IMPERMEABILIZACIÓN DE CUBIERTA/RETIRO E INSTALACIÓN</t>
  </si>
  <si>
    <t>DEMARCACIÓN LINEAS PARQUEADERO ANCHO 10CM</t>
  </si>
  <si>
    <t>MANTENIMIENTO-LIJADA Y PINTURA DE MATERAS DE MADERA TEKA</t>
  </si>
  <si>
    <t>MANTENIMIENTO DE PISO DECK EN WPC, INCLUYE DISINSTALACION Y REINSTALACION DE MATERIAL EXISTENTE, TORNILLERIA, CHAZOS Y MANO DE OBRA (NO INCLUYE SUMINITRO DE PISO DECK EN WPC)</t>
  </si>
  <si>
    <t>9,1,1</t>
  </si>
  <si>
    <t>PUNTO AF LAVAMANOS PVCP -  1/2"</t>
  </si>
  <si>
    <t>UN</t>
  </si>
  <si>
    <t>9,1,2</t>
  </si>
  <si>
    <t>PUNTO  AF LAVAPLATOS PVCP -  1/2"</t>
  </si>
  <si>
    <t>9,1,3</t>
  </si>
  <si>
    <t>PUNTO AF ORINAL PVCP -  3/4"</t>
  </si>
  <si>
    <t>9,1,4</t>
  </si>
  <si>
    <t>PUNTO AF SANITARIO FLUXOMETRO DE  PVCP -  1-1/4"</t>
  </si>
  <si>
    <t>9,1,5</t>
  </si>
  <si>
    <t>PUNTO AF LLAVES  MANGUERA -  1/2"</t>
  </si>
  <si>
    <t>9,1,6</t>
  </si>
  <si>
    <t>PUNTO AF TAPON PARA LOCAL -  3/4"</t>
  </si>
  <si>
    <t>9,1,7</t>
  </si>
  <si>
    <t>PUNTO AF TAPON PARA FUENTE -  1"</t>
  </si>
  <si>
    <t>9,2,1</t>
  </si>
  <si>
    <t>TUBERIA PVC-P RDE  9 -  1/2"</t>
  </si>
  <si>
    <t>9,2,2</t>
  </si>
  <si>
    <t>ACCESORIO PVC-P -  1/2"</t>
  </si>
  <si>
    <t>9,2,3</t>
  </si>
  <si>
    <t>TUBERIA PVC-P RDE  11 -  3/4"</t>
  </si>
  <si>
    <t>9,2,4</t>
  </si>
  <si>
    <t>ACCESORIO PVC-P -  3/4"</t>
  </si>
  <si>
    <t>9,2,5</t>
  </si>
  <si>
    <t>TUBERIA PVC-P RDE.  21 -  1"</t>
  </si>
  <si>
    <t>9,2,6</t>
  </si>
  <si>
    <t>ACCESORIO PVC-P -  1"</t>
  </si>
  <si>
    <t>9,2,7</t>
  </si>
  <si>
    <t>TUBERIA PVC-P RDE.  21 -  1-1/4"</t>
  </si>
  <si>
    <t>9,2,8</t>
  </si>
  <si>
    <t>ACCESORIO PVC-P -  1-1/4"</t>
  </si>
  <si>
    <t>9,2,9</t>
  </si>
  <si>
    <t>TUBERIA PVCP RDE 21 -  1-1/2"</t>
  </si>
  <si>
    <t>9,2,10</t>
  </si>
  <si>
    <t>ACCESORIOS PVCP -  1-1/2"</t>
  </si>
  <si>
    <t>9,2,11</t>
  </si>
  <si>
    <t>TUBERIA PVCP  RDE 21 -  2"</t>
  </si>
  <si>
    <t>9,2,12</t>
  </si>
  <si>
    <t>ACCESORIOS PVCP -  2"</t>
  </si>
  <si>
    <t>9,2,13</t>
  </si>
  <si>
    <t>TUBERIA PVCP  RDE 21 -  2-1/2"</t>
  </si>
  <si>
    <t>9,2,14</t>
  </si>
  <si>
    <t>ACCESORIOS PVCP -  2-1/2"</t>
  </si>
  <si>
    <t>9,2,15</t>
  </si>
  <si>
    <t>TUBERIA PVCP  RDE 21 -  3"</t>
  </si>
  <si>
    <t>9,2,16</t>
  </si>
  <si>
    <t>ACCESORIOS PVCP -  3"</t>
  </si>
  <si>
    <t>9,3,1</t>
  </si>
  <si>
    <t xml:space="preserve">ACOPLE METALICO LAVAMANOS -  </t>
  </si>
  <si>
    <t>9,3,2</t>
  </si>
  <si>
    <t xml:space="preserve">ACOPLE METALICO LAVAPLATOS -  </t>
  </si>
  <si>
    <t>9,4,1</t>
  </si>
  <si>
    <t>SANITARIOS -  4"</t>
  </si>
  <si>
    <t>9,4,2</t>
  </si>
  <si>
    <t>LAVAMANOS -  2"</t>
  </si>
  <si>
    <t>9,4,3</t>
  </si>
  <si>
    <t>LAVAPLATOS -  2"</t>
  </si>
  <si>
    <t>9,4,4</t>
  </si>
  <si>
    <t>ORINAL -  2"</t>
  </si>
  <si>
    <t>9,4,5</t>
  </si>
  <si>
    <t>SIFON DE PISO -  2"</t>
  </si>
  <si>
    <t>9,4,6</t>
  </si>
  <si>
    <t>SIFON DE PISO -  3"</t>
  </si>
  <si>
    <t>9,4,7</t>
  </si>
  <si>
    <t>SIFON DE PISO -  4"</t>
  </si>
  <si>
    <t>9,4,8</t>
  </si>
  <si>
    <t>SUMINISTRO E INSTALACION BRIDA SANITARIOS -  4"</t>
  </si>
  <si>
    <t>9,4,9</t>
  </si>
  <si>
    <t>CODO INVERTIDO -  4"</t>
  </si>
  <si>
    <t>9,4,10</t>
  </si>
  <si>
    <t>TAPON PREVISTO CONEXIÓN FUTURA -  2"</t>
  </si>
  <si>
    <t>9,4,11</t>
  </si>
  <si>
    <t>TAPON PREVISTO CONEXIÓN FUTURA -  4"</t>
  </si>
  <si>
    <t>9,4,12</t>
  </si>
  <si>
    <t>TAPON PREVISTO CONEXIÓN FUTURA EQUIPOS A.A. PVC.P -  1"</t>
  </si>
  <si>
    <t>9,5,1</t>
  </si>
  <si>
    <t>TUBERIA PVC-SANITARIA -  2"</t>
  </si>
  <si>
    <t>9,5,2</t>
  </si>
  <si>
    <t>TUBERIA PVC-LIVIANA -  2"</t>
  </si>
  <si>
    <t>9,5,3</t>
  </si>
  <si>
    <t>ACCESORIO PVC-S -  2"</t>
  </si>
  <si>
    <t>9,5,4</t>
  </si>
  <si>
    <t>TUBERIA  PVC-SANITARIA -  3"</t>
  </si>
  <si>
    <t>9,5,5</t>
  </si>
  <si>
    <t>TUBERIA PVC-LIVIANA -  3"</t>
  </si>
  <si>
    <t>9,5,6</t>
  </si>
  <si>
    <t>ACCESORIO PVC-S -  3"</t>
  </si>
  <si>
    <t>9,5,7</t>
  </si>
  <si>
    <t>TUBERIA PVC-SANITARIA -  4"</t>
  </si>
  <si>
    <t>9,5,8</t>
  </si>
  <si>
    <t>TUBERIA PVC-LIVIANA -  4"</t>
  </si>
  <si>
    <t>9,5,9</t>
  </si>
  <si>
    <t>ACCESORIO PVC-S -  4"</t>
  </si>
  <si>
    <t>9,5,10</t>
  </si>
  <si>
    <t>TUBERIA PVC-SANITARIA -  6"</t>
  </si>
  <si>
    <t>9,5,11</t>
  </si>
  <si>
    <t>ACCESORIOS PVS -  6"</t>
  </si>
  <si>
    <t>9,5,12</t>
  </si>
  <si>
    <t>JUNTAS DE EXPANSION PVCS -  4"</t>
  </si>
  <si>
    <t>9,6,1</t>
  </si>
  <si>
    <t>TUBERIA PVC-P RDE  11 -  1"</t>
  </si>
  <si>
    <t>9,6,2</t>
  </si>
  <si>
    <t>9,6,3</t>
  </si>
  <si>
    <t>TUBERIA PVC-P RDE.  21 -  2"</t>
  </si>
  <si>
    <t>9,6,4</t>
  </si>
  <si>
    <t>ACCESORIO PVC-P -  2"</t>
  </si>
  <si>
    <t>9,7,1</t>
  </si>
  <si>
    <t>TUBERIA PVC-SANITARIA -  3"</t>
  </si>
  <si>
    <t>9,7,2</t>
  </si>
  <si>
    <t>ACCESORIOS PVS -  3"</t>
  </si>
  <si>
    <t>9,7,3</t>
  </si>
  <si>
    <t>9,7,4</t>
  </si>
  <si>
    <t>ACCESORIOS PVS -  4"</t>
  </si>
  <si>
    <t>9,7,5</t>
  </si>
  <si>
    <t>9,7,6</t>
  </si>
  <si>
    <t>9,7,7</t>
  </si>
  <si>
    <t>TRAGANTES TCI EN ALUMINIO -  3"</t>
  </si>
  <si>
    <t>9,7,8</t>
  </si>
  <si>
    <t>TRAGANTES TCI EN ALUMINIO -  4"</t>
  </si>
  <si>
    <t>9,7,9</t>
  </si>
  <si>
    <t>JUNTAS DE EXPANSION PVCS -  6"</t>
  </si>
  <si>
    <t>9,7,10</t>
  </si>
  <si>
    <t>9,8,1</t>
  </si>
  <si>
    <t>ABRAZADERAS -  1/2"</t>
  </si>
  <si>
    <t>9,8,2</t>
  </si>
  <si>
    <t>ABRAZADERAS -  3/4"</t>
  </si>
  <si>
    <t>9,8,3</t>
  </si>
  <si>
    <t>ABRAZADERAS -  1"</t>
  </si>
  <si>
    <t>9,8,4</t>
  </si>
  <si>
    <t>ABRAZADERAS -  1-1/4"</t>
  </si>
  <si>
    <t>9,8,5</t>
  </si>
  <si>
    <t>ABRAZADERAS -  1-1/2"</t>
  </si>
  <si>
    <t>9,8,6</t>
  </si>
  <si>
    <t>ABRAZADERAS -  2"</t>
  </si>
  <si>
    <t>9,8,7</t>
  </si>
  <si>
    <t>ABRAZADERAS -  2-1/2"</t>
  </si>
  <si>
    <t>9,8,8</t>
  </si>
  <si>
    <t>ABRAZADERAS -  3"</t>
  </si>
  <si>
    <t>9,8,9</t>
  </si>
  <si>
    <t>ABRAZADERAS -  4"</t>
  </si>
  <si>
    <t>9,8,10</t>
  </si>
  <si>
    <t>ABRAZADERAS -  6"</t>
  </si>
  <si>
    <t>9,9,1</t>
  </si>
  <si>
    <t>VALVULA TIPO BOLA -  1/2"</t>
  </si>
  <si>
    <t>9,9,2</t>
  </si>
  <si>
    <t>VALVULA TIPO BOLA -  3/4"</t>
  </si>
  <si>
    <t>9,9,3</t>
  </si>
  <si>
    <t>VALVULA TIPO BOLA -  2"</t>
  </si>
  <si>
    <t>9,9,4</t>
  </si>
  <si>
    <t>VALVULA PASO DIRECTO RED WHITE TIPO PESADO -  1/2"</t>
  </si>
  <si>
    <t>9,9,5</t>
  </si>
  <si>
    <t>VALVULA PASO DIRECTO RED WHITE TIPO PESADO -  3/4"</t>
  </si>
  <si>
    <t>9,9,6</t>
  </si>
  <si>
    <t>VALVULA PASO DIRECTO RED WHITE TIPO PESADO -  1"</t>
  </si>
  <si>
    <t>9,9,7</t>
  </si>
  <si>
    <t>VALVULA PASO DIRECTO RED WHITE TIPO PESADO -  1-1/4"</t>
  </si>
  <si>
    <t>9,9,8</t>
  </si>
  <si>
    <t>VALVULA PASO DIRECTO RED WHITE TIPO PESADO -  2"</t>
  </si>
  <si>
    <t>9,9,9</t>
  </si>
  <si>
    <t>VALVULA PASO DIRECTO RED WHITE TIPO PESADO -  3"</t>
  </si>
  <si>
    <t>9,9,10</t>
  </si>
  <si>
    <t>VALVULA EXPULSORA DE AIRE -  3/4"</t>
  </si>
  <si>
    <t>9,9,11</t>
  </si>
  <si>
    <t xml:space="preserve">MANÒMETRO DIAL GLICERINA -  </t>
  </si>
  <si>
    <t>9,9,12</t>
  </si>
  <si>
    <t>REGISTRO DE CORTE TIPO ANTIFRAUDE -  1/2"</t>
  </si>
  <si>
    <t>9,9,13</t>
  </si>
  <si>
    <t>REGISTRO DE CORTE TIPO ANTIFRAUDE -  3/4"</t>
  </si>
  <si>
    <t>9,9,14</t>
  </si>
  <si>
    <t>REGISTRO DE CORTE TIPO ANTIFRAUDE -  2"</t>
  </si>
  <si>
    <t>9,9,15</t>
  </si>
  <si>
    <t>SUPRESOR GOLPE DE ARIETE (SCHOK HAMMER ARRESTOR) -  1/2"</t>
  </si>
  <si>
    <t>9,9,16</t>
  </si>
  <si>
    <t>SUPRESOR GOLPE DE ARIETE (SCHOK HAMMER ARRESTOR) -  3/4"</t>
  </si>
  <si>
    <t>9,9,17</t>
  </si>
  <si>
    <t>SUPRESOR GOLPE DE ARIETE (SCHOK HAMMER ARRESTOR) -  1"</t>
  </si>
  <si>
    <t>9,10,1</t>
  </si>
  <si>
    <t>CHEQUE CORTINA PERFORADO -  2"</t>
  </si>
  <si>
    <t>9,10,2</t>
  </si>
  <si>
    <t>CHEQUE HIDRO HELBERT -  3/4"</t>
  </si>
  <si>
    <t>9,10,3</t>
  </si>
  <si>
    <t>CHEQUE HIDRO HELBERT -  3"</t>
  </si>
  <si>
    <t>9,10,4</t>
  </si>
  <si>
    <t>JUNTA DE EXPANSION BORRACHA -  2"</t>
  </si>
  <si>
    <t>9,10,5</t>
  </si>
  <si>
    <t>JUNTA DE EXPANSION BORRACHA -  3"</t>
  </si>
  <si>
    <t>9,10,6</t>
  </si>
  <si>
    <t>REDUCCION EXCENTRICA -  4"</t>
  </si>
  <si>
    <t>9,10,7</t>
  </si>
  <si>
    <t>REDUCCION CONCENTRICA -  3"</t>
  </si>
  <si>
    <t>9,10,8</t>
  </si>
  <si>
    <t>VALVULA DE PIE ROSCADA TIPO HELBERT -  4"</t>
  </si>
  <si>
    <t>9,10,9</t>
  </si>
  <si>
    <t>VALVULA P/D RED WHITE TIPO PESADO -  3/4"</t>
  </si>
  <si>
    <t>9,10,10</t>
  </si>
  <si>
    <t>VALVULA P/D RED WHITE TIPO PESADO -  2"</t>
  </si>
  <si>
    <t>9,10,11</t>
  </si>
  <si>
    <t>VALVULA P/D RED WHITE TIPO PESADO -  3"</t>
  </si>
  <si>
    <t>9,10,12</t>
  </si>
  <si>
    <t>VALVULA P/D RED WHITE TIPO PESADO -  4"</t>
  </si>
  <si>
    <t>9,10,13</t>
  </si>
  <si>
    <t>VALVULA DE COMPUERTA VASTAGO ASCENDENTE -  3"</t>
  </si>
  <si>
    <t>9,10,14</t>
  </si>
  <si>
    <t>VALVULA DE COMPUERTA VASTAGO ASCENDENTE -  4"</t>
  </si>
  <si>
    <t>9,10,15</t>
  </si>
  <si>
    <t>FLOTADOR MECANICO TIPO HELBERT -  3/4"</t>
  </si>
  <si>
    <t>9,10,16</t>
  </si>
  <si>
    <t>NIPLE PASAMURO ACERO INOXIDABLE  -  3/4"</t>
  </si>
  <si>
    <t>9,10,17</t>
  </si>
  <si>
    <t>NIPLE PASAMURO ACERO INOXIDABLE  -  1 1/4"</t>
  </si>
  <si>
    <t>9,10,18</t>
  </si>
  <si>
    <t>NIPLE PASAMURO ACERO INOXIDABLE  -  2"</t>
  </si>
  <si>
    <t>9,10,19</t>
  </si>
  <si>
    <t>NIPLE PASAMURO ACERO INOXIDABLE  -  3"</t>
  </si>
  <si>
    <t>9,10,20</t>
  </si>
  <si>
    <t>NIPLE PASAMURO ACERO INOXIDABLE  -  4"</t>
  </si>
  <si>
    <t>9,10,21</t>
  </si>
  <si>
    <t>TUBERIA ACERO INOXIDABLE -  3/4"</t>
  </si>
  <si>
    <t>9,10,22</t>
  </si>
  <si>
    <t>TUBERIA ACERO INOXIDABLE -  2"</t>
  </si>
  <si>
    <t>9,10,23</t>
  </si>
  <si>
    <t>TUBERIA ACERO INOXIDABLE -  3"</t>
  </si>
  <si>
    <t>9,10,24</t>
  </si>
  <si>
    <t>TUBERIA ACERO INOXIDABLE -  4"</t>
  </si>
  <si>
    <t>9,10,25</t>
  </si>
  <si>
    <t>ACCESORIO  ACERO INOXIDABLE -  3/4"</t>
  </si>
  <si>
    <t>9,10,26</t>
  </si>
  <si>
    <t>ACCESORIO  ACERO INOXIDABLE -  2"</t>
  </si>
  <si>
    <t>9,10,27</t>
  </si>
  <si>
    <t>ACCESORIO  ACERO INOXIDABLE -  3"</t>
  </si>
  <si>
    <t>9,10,28</t>
  </si>
  <si>
    <t>ACCESORIO  ACERO INOXIDABLE -  4"</t>
  </si>
  <si>
    <t>9,10,29</t>
  </si>
  <si>
    <t>MANOMETROS  GLICERINA RANGO HASTA 200 PSI -  DIAL 2"</t>
  </si>
  <si>
    <t>9,10,30</t>
  </si>
  <si>
    <t>BASTON DE VENTILACION  -  4"</t>
  </si>
  <si>
    <t>9,11,1</t>
  </si>
  <si>
    <t>VALVULA  CHEQUE  -  2"</t>
  </si>
  <si>
    <t>9,11,2</t>
  </si>
  <si>
    <t>VALVULA DE CORTE PVC -  2"</t>
  </si>
  <si>
    <t>9,11,3</t>
  </si>
  <si>
    <t>ADAPTADOR MACHO PVCP -  2"</t>
  </si>
  <si>
    <t>9,11,4</t>
  </si>
  <si>
    <t>VALVULA  CHEQUE  -  3"</t>
  </si>
  <si>
    <t>9,11,5</t>
  </si>
  <si>
    <t>VALVULA DE BOLA PVC -  3"</t>
  </si>
  <si>
    <t>9,11,6</t>
  </si>
  <si>
    <t>ADAPTADOR MACHO PVCP -  3"</t>
  </si>
  <si>
    <t>9,11,7</t>
  </si>
  <si>
    <t xml:space="preserve">CUERDA PARA  IZAJE   BOMBAS -  </t>
  </si>
  <si>
    <t>9,11,8</t>
  </si>
  <si>
    <t>TUBERIA PVCP -  2"</t>
  </si>
  <si>
    <t>9,11,9</t>
  </si>
  <si>
    <t>9,11,10</t>
  </si>
  <si>
    <t>TUBERIA PVCP -  3"</t>
  </si>
  <si>
    <t>9,11,11</t>
  </si>
  <si>
    <t>9,12,1</t>
  </si>
  <si>
    <t>GEODREN CON TUBERIA CIRCULAR -  4"</t>
  </si>
  <si>
    <t>9,12,2</t>
  </si>
  <si>
    <t>TUBERIA PVC CORRUGADA  -  4"</t>
  </si>
  <si>
    <t>9,12,3</t>
  </si>
  <si>
    <t>ACCESORIOS PVC -  4"</t>
  </si>
  <si>
    <t xml:space="preserve">UN </t>
  </si>
  <si>
    <t>9,12,4</t>
  </si>
  <si>
    <t>GRAVA PARA FILTRO -  1/2"-3/4"</t>
  </si>
  <si>
    <t>9,12,5</t>
  </si>
  <si>
    <t xml:space="preserve">GEOTEXTIL NO TEJIDO REF. 1600 -  </t>
  </si>
  <si>
    <t>DESINSTALACION DE FLUXOMETRO EN MAL ESTADO, E INSTALACIÓN FLUXOMETRO WC CON PALANCA HORIZONTAL</t>
  </si>
  <si>
    <t>REPOSICION DE MOBILIARIO MENOR PARA BAÑOS</t>
  </si>
  <si>
    <t>SUMINISTRO E INSTALACION DE CABLE # 1 2 600V (NO INCLUYE TUBERÍA CONDUIT)</t>
  </si>
  <si>
    <t>CAMBIO O REPOSICIÓN DE BALAS ELECTRICAS DE PISO DE 18W REF P23603-36 O SIMILAR (NO INCLUYE CABLEADO)</t>
  </si>
  <si>
    <t>CAMBIO O REPOSICIÓN DE LUMINARIA LED STREET REF P23853-36 18-35W O SIMILAR (NO INCLUYE CABLEADO)</t>
  </si>
  <si>
    <t>TOTAL COSTOS DIRECTOS</t>
  </si>
  <si>
    <t>ADMINISTRACION 20%</t>
  </si>
  <si>
    <t>IMPREVISTOS 5%</t>
  </si>
  <si>
    <t>UTILIDAD 5%</t>
  </si>
  <si>
    <t>TOTAL A PAGAR 2025</t>
  </si>
  <si>
    <t xml:space="preserve">CONSORCIO CONSERVACIÓN COSTERA </t>
  </si>
  <si>
    <t>PUERTA DE ORO EMPRESA DE DESARROLLO CARIBE S.A.S</t>
  </si>
  <si>
    <t>ALBERTO MARIO GONZALEZ OSPINO</t>
  </si>
  <si>
    <t>ALEXANDER DE BEDOUT NULE</t>
  </si>
  <si>
    <t>SUPERVISOR</t>
  </si>
  <si>
    <t>VICTOR GARRIDO</t>
  </si>
  <si>
    <t>PTO COLOMBIA</t>
  </si>
  <si>
    <t>MANGLARES</t>
  </si>
  <si>
    <t>PLAYAS DEL COUNTRY</t>
  </si>
  <si>
    <t>PLAYA DE SABANILLA 2</t>
  </si>
  <si>
    <t>FARO PLAYA MIRAMAR</t>
  </si>
  <si>
    <t>CENTRO GASTRONÓMICO</t>
  </si>
  <si>
    <t>SENDERO SANTA VERÓNICA</t>
  </si>
  <si>
    <t>ÍTEM</t>
  </si>
  <si>
    <t>DESCRIPCIÓN</t>
  </si>
  <si>
    <t>UNID</t>
  </si>
  <si>
    <t>CANTIDAD</t>
  </si>
  <si>
    <t>VALOR UNITARIO</t>
  </si>
  <si>
    <t>MANTENIMIENTO DE PLAYAS</t>
  </si>
  <si>
    <t xml:space="preserve">MANTENIMIENTO DE ZONAS VERDES </t>
  </si>
  <si>
    <t>ZONA DURA</t>
  </si>
  <si>
    <t xml:space="preserve">ARBORIZACIÓN Y ORNAMENTACIÓN </t>
  </si>
  <si>
    <t>OBRA CIVIL</t>
  </si>
  <si>
    <t>REDES HIDRÁULICAS</t>
  </si>
  <si>
    <t>REDES ELECTRICAS</t>
  </si>
  <si>
    <t>{"hash":"c6da356cd1cba818cc6dd5b24d9a48175e665f246838e08a5abdeed67d8064ad","version":1,"value":"[[\"=I56:I295*1.038\"]]"}</t>
  </si>
  <si>
    <t>PLAYA SALINAS DEL REY</t>
  </si>
  <si>
    <t>SUMINISTRO DE PERSONAL E INSUMOS PARA MANTENIMIENTO PREVENTIVO DE PLANTA ELÉCTRICA GH619CSX POWER, INCLUYE CAMBIO DE ACEITE Y FILTROS</t>
  </si>
  <si>
    <t>FABRICACIÓN E INTALACIÓN DE SEÑALETICA PARA PROYECTO NAUTICO SALINAS DEL REY, INCLUYE: TOTEMS PLAYAS, TOTEMS DE CENTRO NAUTICO, TOTEMS DE DUNAS, TOTEMS DE PARQUEADERO, SEÑALIZACIÓN DE ESCUELAS, SEÑALIZACIÓN DE DUNAS, SEÑALIZACIÓN DE EBAR, SEÑALIZACIÓN DE SUBESTACIÓN Y PLANTA ELÉCTRICA, PUBLIPOSTES EN VIAS DE INGRESO, PASACALLES PARQUEADERO, PASACALLES Y SEÑAL DE TRANSITO EN VIA AL MAR.</t>
  </si>
  <si>
    <t>REPOSICIÓN DE INTERRUPTORES DOBLES, INCLUYE HERRAMIENTAS Y EQUIPOS NECESARIOS PARA SU CORRECTA EJECUCIÓN. NO INCLUYE CABLEADO</t>
  </si>
  <si>
    <t>REPOSICIÓN DE BREAKER 1X20A 10 KA CERO METROS</t>
  </si>
  <si>
    <t>REPOSICIÓN DE TABLERO ELÉCTRICO PARA 24 CIRCUITOS REF TWP24, NO INCLUYE BREAKERS, PROTECTORES NI CABLEADO, SOLO CORAZA</t>
  </si>
  <si>
    <t>PIEDRA NEGRA ACABADO RUSTICO MARS 30X60 E: 10 CMS</t>
  </si>
  <si>
    <t>LOSETA LISA DIM 30X15X6CM COLORES GRISES</t>
  </si>
  <si>
    <t>CUERDA PARA  IZAJE   BOMBAS -</t>
  </si>
  <si>
    <t>GEOTEXTIL NO TEJIDO REF. 1600 -</t>
  </si>
  <si>
    <t>MANTENIMIENTO PREVENTIVO Y CORRECTIVO, INCLUYE LIMPIZA DE FILTROS,
CAMBIO DE AGUA DE ESTANQUE, TRATAMIENTO AGUA, ENGRASE PARTES
RODANTES, LIMPIEZA PARTES ELECTRICAS, BALANCEO Y NIVELADO DE AGUA DE TORRES DE ENFRIAMIENTO DE AA</t>
  </si>
  <si>
    <t>REPOSICIÓN DE TABLERO ELÉCTRICO DE 12 CIRCUITOS REF TWP12 NO INCLUYE BREAKERS, PROTECTORES NI CABLEADO, SOLO CORAZA</t>
  </si>
  <si>
    <t>REPOSICIÓN DE TOTALIZADORES DE 20, 30 O 40 A CERO METROS</t>
  </si>
  <si>
    <t>SUMINISTRO E INSTALACIÓN DE CABLE #1/0 600V (NO INCLUYE TUBERIA CONDUIT)</t>
  </si>
  <si>
    <t>m</t>
  </si>
  <si>
    <t xml:space="preserve">DISEÑO CREATIVO, SUMINISTRO E INSTALACIÓN DE MOSAICO EN CERAMICA ARTÍSTICA MURAL DE PESCADORES . INCLUYE: MATERIALES, ALQUILER Y SERVICIOS, MANO DE OBRA ESPECIALIZADA, TRANSPORTES, OTROS. </t>
  </si>
  <si>
    <t xml:space="preserve"> SUMINISTRO E INSTALACIÓN DE REFLECTOR LED SUMERGIBLE DE 6 W.</t>
  </si>
  <si>
    <t xml:space="preserve">SUMINISTRO E INSTALACIÓN DE BOQUILLA DE RETORNO / SUCCIÓN PARA MEMBRANA
WELTICO </t>
  </si>
  <si>
    <t>SUMINISTRO E INSTALACIÓN DE REJILLA DE FONDO DE MEMBRANA.</t>
  </si>
  <si>
    <t>ACTA 31</t>
  </si>
  <si>
    <t>ACTA 32 - 2026</t>
  </si>
  <si>
    <t>2026
ENERO</t>
  </si>
  <si>
    <t>ACTA 32- 2026</t>
  </si>
  <si>
    <t>ACTA 32</t>
  </si>
  <si>
    <t xml:space="preserve">ACUMULADO PLAYAS
ENERO
2026
</t>
  </si>
  <si>
    <t>SUMINISTRO DE INSUMOS Y PERSONAL PARA ASEO,  LIMPIEZA Y ORGANIZACIÓN DIARIA DE MUEBLES, MESAS Y SILLAS EN ZONAS COMUNES.   INCLUYE TODOS LOS INSUMOS, HERRAMIENTAS Y EQUIPOS PARA LA CORRECTA EJECUCIÓN DE LA ACTIVIDAD.</t>
  </si>
  <si>
    <t>PUNTA ASTILLEROS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</si>
</sst>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_-;\-* #,##0_-;_-* &quot;-&quot;??_-;_-@"/>
    <numFmt numFmtId="166" formatCode="_-&quot;$&quot;* #,##0.00_-;\-&quot;$&quot;* #,##0.00_-;_-&quot;$&quot;* &quot;-&quot;_-;_-@"/>
    <numFmt numFmtId="167" formatCode="_-&quot;$&quot;\ * #,##0_-;\-&quot;$&quot;\ * #,##0_-;_-&quot;$&quot;\ * &quot;-&quot;_-;_-@"/>
    <numFmt numFmtId="168" formatCode="_-* #,##0.00_-;\-* #,##0.00_-;_-* &quot;-&quot;_-;_-@"/>
    <numFmt numFmtId="169" formatCode="_-* #,##0.00_-;\-* #,##0.00_-;_-* &quot;-&quot;??_-;_-@"/>
    <numFmt numFmtId="170" formatCode="_-&quot;$&quot;* #,##0_-;\-&quot;$&quot;* #,##0_-;_-&quot;$&quot;* &quot;-&quot;_-;_-@"/>
    <numFmt numFmtId="171" formatCode="_-* #,##0_-;\-* #,##0_-;_-* &quot;-&quot;_-;_-@"/>
    <numFmt numFmtId="172" formatCode="#,##0.00000000000"/>
    <numFmt numFmtId="173" formatCode="_-&quot;$&quot;\ * #,##0.00_-;\-&quot;$&quot;\ * #,##0.00_-;_-&quot;$&quot;\ * &quot;-&quot;??_-;_-@"/>
    <numFmt numFmtId="174" formatCode="_-&quot;$&quot;* #,##0.0000_-;\-&quot;$&quot;* #,##0.0000_-;_-&quot;$&quot;* &quot;-&quot;_-;_-@"/>
    <numFmt numFmtId="175" formatCode="_-* #,##0.000000_-;\-* #,##0.000000_-;_-* &quot;-&quot;_-;_-@"/>
    <numFmt numFmtId="176" formatCode="_-* #,##0.0000_-;\-* #,##0.0000_-;_-* &quot;-&quot;_-;_-@"/>
    <numFmt numFmtId="177" formatCode="_-* #,##0.0_-;\-* #,##0.0_-;_-* &quot;-&quot;_-;_-@"/>
    <numFmt numFmtId="178" formatCode="_-&quot;$&quot;* #,##0.000000_-;\-&quot;$&quot;* #,##0.000000_-;_-&quot;$&quot;* &quot;-&quot;_-;_-@"/>
    <numFmt numFmtId="179" formatCode="_-&quot;$&quot;* #,##0.00_-;\-&quot;$&quot;* #,##0.00_-;_-&quot;$&quot;* &quot;-&quot;??_-;_-@"/>
    <numFmt numFmtId="180" formatCode="_-&quot;$&quot;\ * #,##0_-;\-&quot;$&quot;\ * #,##0_-;_-&quot;$&quot;\ * &quot;-&quot;??_-;_-@_-"/>
    <numFmt numFmtId="181" formatCode="_-&quot;$&quot;\ * #,##0.0_-;\-&quot;$&quot;\ * #,##0.0_-;_-&quot;$&quot;\ * &quot;-&quot;??_-;_-@_-"/>
    <numFmt numFmtId="182" formatCode="_-&quot;$&quot;\ * #,##0.0_-;\-&quot;$&quot;\ * #,##0.0_-;_-&quot;$&quot;\ * &quot;-&quot;?_-;_-@_-"/>
    <numFmt numFmtId="183" formatCode="_-&quot;$&quot;\ * #,##0_-;\-&quot;$&quot;\ * #,##0_-;_-&quot;$&quot;\ * &quot;-&quot;?_-;_-@_-"/>
    <numFmt numFmtId="184" formatCode="_-* #,##0.0_-;\-* #,##0.0_-;_-* &quot;-&quot;??_-;_-@_-"/>
    <numFmt numFmtId="185" formatCode="_-* #,##0.000_-;\-* #,##0.0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entury Gothic"/>
      <family val="2"/>
    </font>
    <font>
      <sz val="11"/>
      <name val="Calibri"/>
      <family val="2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8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alibri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sz val="14"/>
      <color theme="1"/>
      <name val="Century Gothic"/>
      <family val="2"/>
    </font>
    <font>
      <sz val="14"/>
      <name val="Calibri"/>
      <family val="2"/>
    </font>
    <font>
      <sz val="10"/>
      <color theme="0"/>
      <name val="Century Gothic"/>
      <family val="2"/>
    </font>
    <font>
      <sz val="14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7"/>
      <color theme="1"/>
      <name val="Century Gothic"/>
      <family val="2"/>
    </font>
    <font>
      <b/>
      <sz val="7"/>
      <name val="Century Gothic"/>
      <family val="2"/>
    </font>
    <font>
      <sz val="7"/>
      <color theme="1"/>
      <name val="Century Gothic"/>
      <family val="2"/>
    </font>
    <font>
      <sz val="7"/>
      <name val="Century Gothic"/>
      <family val="2"/>
    </font>
    <font>
      <sz val="11"/>
      <name val="Century Gothic"/>
      <family val="2"/>
    </font>
    <font>
      <sz val="10"/>
      <name val="Arial"/>
      <family val="2"/>
    </font>
    <font>
      <sz val="7"/>
      <color indexed="8"/>
      <name val="Century Gothic"/>
      <family val="2"/>
    </font>
    <font>
      <b/>
      <sz val="18"/>
      <color theme="1"/>
      <name val="Century Gothic"/>
      <family val="2"/>
    </font>
    <font>
      <sz val="1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14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double">
        <color indexed="64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double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5" fillId="0" borderId="0"/>
  </cellStyleXfs>
  <cellXfs count="474">
    <xf numFmtId="0" fontId="0" fillId="0" borderId="0" xfId="0"/>
    <xf numFmtId="0" fontId="5" fillId="2" borderId="0" xfId="3" applyFont="1" applyFill="1" applyAlignment="1">
      <alignment horizontal="center"/>
    </xf>
    <xf numFmtId="0" fontId="6" fillId="0" borderId="0" xfId="3" applyFont="1"/>
    <xf numFmtId="0" fontId="2" fillId="0" borderId="0" xfId="3"/>
    <xf numFmtId="4" fontId="8" fillId="0" borderId="5" xfId="3" applyNumberFormat="1" applyFont="1" applyBorder="1" applyAlignment="1">
      <alignment horizontal="left" wrapText="1"/>
    </xf>
    <xf numFmtId="0" fontId="5" fillId="0" borderId="7" xfId="3" applyFont="1" applyBorder="1" applyAlignment="1">
      <alignment horizontal="left"/>
    </xf>
    <xf numFmtId="0" fontId="9" fillId="2" borderId="0" xfId="3" applyFont="1" applyFill="1" applyAlignment="1">
      <alignment horizontal="center" vertical="center"/>
    </xf>
    <xf numFmtId="4" fontId="8" fillId="0" borderId="11" xfId="3" applyNumberFormat="1" applyFont="1" applyBorder="1" applyAlignment="1">
      <alignment horizontal="left" wrapText="1"/>
    </xf>
    <xf numFmtId="0" fontId="5" fillId="0" borderId="0" xfId="3" applyFont="1" applyAlignment="1">
      <alignment horizontal="left"/>
    </xf>
    <xf numFmtId="0" fontId="10" fillId="2" borderId="0" xfId="3" applyFont="1" applyFill="1" applyAlignment="1">
      <alignment horizontal="center" vertical="center"/>
    </xf>
    <xf numFmtId="4" fontId="8" fillId="0" borderId="17" xfId="3" applyNumberFormat="1" applyFont="1" applyBorder="1" applyAlignment="1">
      <alignment horizontal="left" wrapText="1"/>
    </xf>
    <xf numFmtId="4" fontId="7" fillId="0" borderId="12" xfId="3" applyNumberFormat="1" applyFont="1" applyBorder="1"/>
    <xf numFmtId="4" fontId="8" fillId="0" borderId="0" xfId="3" applyNumberFormat="1" applyFont="1" applyAlignment="1">
      <alignment horizontal="left" wrapText="1"/>
    </xf>
    <xf numFmtId="0" fontId="8" fillId="0" borderId="22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24" xfId="3" applyNumberFormat="1" applyFont="1" applyBorder="1" applyAlignment="1">
      <alignment horizontal="left" wrapText="1"/>
    </xf>
    <xf numFmtId="0" fontId="10" fillId="2" borderId="0" xfId="3" applyFont="1" applyFill="1" applyAlignment="1">
      <alignment horizontal="center" vertical="center" wrapText="1"/>
    </xf>
    <xf numFmtId="4" fontId="8" fillId="0" borderId="25" xfId="3" applyNumberFormat="1" applyFont="1" applyBorder="1" applyAlignment="1">
      <alignment horizontal="left" wrapText="1"/>
    </xf>
    <xf numFmtId="164" fontId="0" fillId="0" borderId="0" xfId="4" applyNumberFormat="1" applyFont="1" applyBorder="1" applyAlignment="1"/>
    <xf numFmtId="4" fontId="8" fillId="0" borderId="6" xfId="3" applyNumberFormat="1" applyFont="1" applyBorder="1" applyAlignment="1">
      <alignment horizontal="left" vertical="center" wrapText="1"/>
    </xf>
    <xf numFmtId="0" fontId="5" fillId="0" borderId="20" xfId="3" applyFont="1" applyBorder="1" applyAlignment="1">
      <alignment horizontal="left"/>
    </xf>
    <xf numFmtId="0" fontId="10" fillId="0" borderId="0" xfId="3" applyFont="1" applyAlignment="1">
      <alignment horizontal="left"/>
    </xf>
    <xf numFmtId="0" fontId="10" fillId="0" borderId="29" xfId="3" applyFont="1" applyBorder="1" applyAlignment="1">
      <alignment horizontal="left" wrapText="1"/>
    </xf>
    <xf numFmtId="0" fontId="10" fillId="0" borderId="22" xfId="3" applyFont="1" applyBorder="1" applyAlignment="1">
      <alignment horizontal="left"/>
    </xf>
    <xf numFmtId="0" fontId="11" fillId="0" borderId="0" xfId="3" applyFont="1" applyAlignment="1">
      <alignment horizontal="center" vertical="center"/>
    </xf>
    <xf numFmtId="0" fontId="6" fillId="2" borderId="0" xfId="3" applyFont="1" applyFill="1"/>
    <xf numFmtId="4" fontId="9" fillId="0" borderId="32" xfId="3" applyNumberFormat="1" applyFont="1" applyBorder="1" applyAlignment="1">
      <alignment horizontal="center" vertical="center"/>
    </xf>
    <xf numFmtId="3" fontId="10" fillId="2" borderId="0" xfId="3" applyNumberFormat="1" applyFont="1" applyFill="1" applyAlignment="1">
      <alignment horizontal="center" vertical="center"/>
    </xf>
    <xf numFmtId="4" fontId="8" fillId="3" borderId="10" xfId="3" applyNumberFormat="1" applyFont="1" applyFill="1" applyBorder="1" applyAlignment="1">
      <alignment horizontal="center" vertical="center"/>
    </xf>
    <xf numFmtId="4" fontId="8" fillId="3" borderId="0" xfId="3" applyNumberFormat="1" applyFont="1" applyFill="1" applyAlignment="1">
      <alignment horizontal="center" wrapText="1"/>
    </xf>
    <xf numFmtId="4" fontId="8" fillId="3" borderId="22" xfId="3" applyNumberFormat="1" applyFont="1" applyFill="1" applyBorder="1" applyAlignment="1">
      <alignment horizontal="center"/>
    </xf>
    <xf numFmtId="4" fontId="8" fillId="3" borderId="36" xfId="3" applyNumberFormat="1" applyFont="1" applyFill="1" applyBorder="1" applyAlignment="1">
      <alignment horizontal="center"/>
    </xf>
    <xf numFmtId="4" fontId="8" fillId="4" borderId="37" xfId="3" applyNumberFormat="1" applyFont="1" applyFill="1" applyBorder="1" applyAlignment="1">
      <alignment horizontal="center"/>
    </xf>
    <xf numFmtId="3" fontId="8" fillId="4" borderId="38" xfId="3" applyNumberFormat="1" applyFont="1" applyFill="1" applyBorder="1" applyAlignment="1">
      <alignment horizontal="center"/>
    </xf>
    <xf numFmtId="3" fontId="8" fillId="4" borderId="13" xfId="3" applyNumberFormat="1" applyFont="1" applyFill="1" applyBorder="1" applyAlignment="1">
      <alignment horizontal="center"/>
    </xf>
    <xf numFmtId="3" fontId="8" fillId="4" borderId="26" xfId="3" applyNumberFormat="1" applyFont="1" applyFill="1" applyBorder="1" applyAlignment="1">
      <alignment horizontal="center"/>
    </xf>
    <xf numFmtId="3" fontId="10" fillId="2" borderId="0" xfId="3" applyNumberFormat="1" applyFont="1" applyFill="1" applyAlignment="1">
      <alignment horizontal="center"/>
    </xf>
    <xf numFmtId="0" fontId="13" fillId="0" borderId="0" xfId="3" applyFont="1"/>
    <xf numFmtId="0" fontId="12" fillId="0" borderId="0" xfId="3" applyFont="1"/>
    <xf numFmtId="0" fontId="12" fillId="3" borderId="0" xfId="3" applyFont="1" applyFill="1"/>
    <xf numFmtId="165" fontId="2" fillId="0" borderId="0" xfId="3" applyNumberFormat="1"/>
    <xf numFmtId="166" fontId="13" fillId="2" borderId="0" xfId="3" applyNumberFormat="1" applyFont="1" applyFill="1" applyAlignment="1">
      <alignment horizontal="right" vertical="center"/>
    </xf>
    <xf numFmtId="167" fontId="2" fillId="0" borderId="0" xfId="3" applyNumberFormat="1"/>
    <xf numFmtId="168" fontId="6" fillId="0" borderId="0" xfId="3" applyNumberFormat="1" applyFont="1"/>
    <xf numFmtId="2" fontId="6" fillId="2" borderId="39" xfId="3" applyNumberFormat="1" applyFont="1" applyFill="1" applyBorder="1" applyAlignment="1">
      <alignment horizontal="center" vertical="center"/>
    </xf>
    <xf numFmtId="0" fontId="6" fillId="2" borderId="40" xfId="3" applyFont="1" applyFill="1" applyBorder="1" applyAlignment="1">
      <alignment horizontal="left" vertical="center" wrapText="1"/>
    </xf>
    <xf numFmtId="1" fontId="6" fillId="2" borderId="41" xfId="3" applyNumberFormat="1" applyFont="1" applyFill="1" applyBorder="1" applyAlignment="1">
      <alignment horizontal="center" vertical="center" wrapText="1"/>
    </xf>
    <xf numFmtId="169" fontId="6" fillId="2" borderId="42" xfId="3" applyNumberFormat="1" applyFont="1" applyFill="1" applyBorder="1" applyAlignment="1">
      <alignment horizontal="right" vertical="center"/>
    </xf>
    <xf numFmtId="166" fontId="6" fillId="2" borderId="43" xfId="3" applyNumberFormat="1" applyFont="1" applyFill="1" applyBorder="1" applyAlignment="1">
      <alignment horizontal="right" vertical="center"/>
    </xf>
    <xf numFmtId="170" fontId="6" fillId="2" borderId="44" xfId="3" applyNumberFormat="1" applyFont="1" applyFill="1" applyBorder="1" applyAlignment="1">
      <alignment horizontal="right" vertical="center"/>
    </xf>
    <xf numFmtId="169" fontId="6" fillId="2" borderId="42" xfId="3" applyNumberFormat="1" applyFont="1" applyFill="1" applyBorder="1" applyAlignment="1">
      <alignment horizontal="center" vertical="center"/>
    </xf>
    <xf numFmtId="171" fontId="6" fillId="2" borderId="45" xfId="3" applyNumberFormat="1" applyFont="1" applyFill="1" applyBorder="1" applyAlignment="1">
      <alignment horizontal="right" vertical="center"/>
    </xf>
    <xf numFmtId="4" fontId="6" fillId="2" borderId="46" xfId="3" applyNumberFormat="1" applyFont="1" applyFill="1" applyBorder="1" applyAlignment="1">
      <alignment horizontal="right" vertical="center"/>
    </xf>
    <xf numFmtId="170" fontId="6" fillId="2" borderId="47" xfId="3" applyNumberFormat="1" applyFont="1" applyFill="1" applyBorder="1" applyAlignment="1">
      <alignment horizontal="center" vertical="center"/>
    </xf>
    <xf numFmtId="3" fontId="6" fillId="2" borderId="46" xfId="3" applyNumberFormat="1" applyFont="1" applyFill="1" applyBorder="1" applyAlignment="1">
      <alignment horizontal="center" vertical="center"/>
    </xf>
    <xf numFmtId="172" fontId="6" fillId="0" borderId="0" xfId="3" applyNumberFormat="1" applyFont="1"/>
    <xf numFmtId="43" fontId="6" fillId="0" borderId="0" xfId="4" applyFont="1" applyBorder="1"/>
    <xf numFmtId="170" fontId="6" fillId="0" borderId="0" xfId="3" applyNumberFormat="1" applyFont="1"/>
    <xf numFmtId="10" fontId="6" fillId="0" borderId="0" xfId="5" applyNumberFormat="1" applyFont="1" applyBorder="1"/>
    <xf numFmtId="1" fontId="13" fillId="2" borderId="0" xfId="3" applyNumberFormat="1" applyFont="1" applyFill="1"/>
    <xf numFmtId="0" fontId="6" fillId="3" borderId="0" xfId="3" applyFont="1" applyFill="1"/>
    <xf numFmtId="4" fontId="9" fillId="3" borderId="0" xfId="3" applyNumberFormat="1" applyFont="1" applyFill="1" applyAlignment="1">
      <alignment vertical="center"/>
    </xf>
    <xf numFmtId="4" fontId="9" fillId="3" borderId="0" xfId="3" applyNumberFormat="1" applyFont="1" applyFill="1" applyAlignment="1">
      <alignment vertical="center" wrapText="1"/>
    </xf>
    <xf numFmtId="3" fontId="9" fillId="3" borderId="0" xfId="3" applyNumberFormat="1" applyFont="1" applyFill="1" applyAlignment="1">
      <alignment vertical="center"/>
    </xf>
    <xf numFmtId="1" fontId="6" fillId="2" borderId="48" xfId="3" applyNumberFormat="1" applyFont="1" applyFill="1" applyBorder="1" applyAlignment="1">
      <alignment horizontal="center" vertical="center" wrapText="1"/>
    </xf>
    <xf numFmtId="169" fontId="6" fillId="2" borderId="49" xfId="3" applyNumberFormat="1" applyFont="1" applyFill="1" applyBorder="1" applyAlignment="1">
      <alignment horizontal="right" vertical="center"/>
    </xf>
    <xf numFmtId="166" fontId="6" fillId="2" borderId="41" xfId="3" applyNumberFormat="1" applyFont="1" applyFill="1" applyBorder="1" applyAlignment="1">
      <alignment horizontal="right" vertical="center"/>
    </xf>
    <xf numFmtId="170" fontId="6" fillId="2" borderId="50" xfId="3" applyNumberFormat="1" applyFont="1" applyFill="1" applyBorder="1" applyAlignment="1">
      <alignment horizontal="right" vertical="center"/>
    </xf>
    <xf numFmtId="169" fontId="6" fillId="2" borderId="51" xfId="3" applyNumberFormat="1" applyFont="1" applyFill="1" applyBorder="1" applyAlignment="1">
      <alignment horizontal="center" vertical="center"/>
    </xf>
    <xf numFmtId="171" fontId="6" fillId="2" borderId="52" xfId="3" applyNumberFormat="1" applyFont="1" applyFill="1" applyBorder="1" applyAlignment="1">
      <alignment horizontal="right" vertical="center"/>
    </xf>
    <xf numFmtId="0" fontId="9" fillId="3" borderId="0" xfId="3" applyFont="1" applyFill="1" applyAlignment="1">
      <alignment vertical="center"/>
    </xf>
    <xf numFmtId="173" fontId="13" fillId="2" borderId="0" xfId="3" applyNumberFormat="1" applyFont="1" applyFill="1"/>
    <xf numFmtId="43" fontId="0" fillId="0" borderId="0" xfId="4" applyFont="1" applyBorder="1" applyAlignment="1"/>
    <xf numFmtId="44" fontId="2" fillId="0" borderId="0" xfId="3" applyNumberFormat="1"/>
    <xf numFmtId="169" fontId="6" fillId="2" borderId="54" xfId="3" applyNumberFormat="1" applyFont="1" applyFill="1" applyBorder="1" applyAlignment="1">
      <alignment horizontal="center" vertical="center"/>
    </xf>
    <xf numFmtId="171" fontId="6" fillId="2" borderId="55" xfId="3" applyNumberFormat="1" applyFont="1" applyFill="1" applyBorder="1" applyAlignment="1">
      <alignment horizontal="right" vertical="center"/>
    </xf>
    <xf numFmtId="3" fontId="10" fillId="2" borderId="0" xfId="3" applyNumberFormat="1" applyFont="1" applyFill="1" applyAlignment="1">
      <alignment horizontal="right" vertical="center"/>
    </xf>
    <xf numFmtId="4" fontId="6" fillId="0" borderId="0" xfId="3" applyNumberFormat="1" applyFont="1"/>
    <xf numFmtId="174" fontId="6" fillId="0" borderId="0" xfId="3" applyNumberFormat="1" applyFont="1"/>
    <xf numFmtId="3" fontId="9" fillId="0" borderId="0" xfId="3" applyNumberFormat="1" applyFont="1" applyAlignment="1">
      <alignment vertical="center"/>
    </xf>
    <xf numFmtId="3" fontId="13" fillId="0" borderId="0" xfId="3" applyNumberFormat="1" applyFont="1"/>
    <xf numFmtId="3" fontId="6" fillId="0" borderId="0" xfId="3" applyNumberFormat="1" applyFont="1"/>
    <xf numFmtId="9" fontId="6" fillId="0" borderId="0" xfId="5" applyFont="1"/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left" vertical="center" wrapText="1"/>
    </xf>
    <xf numFmtId="170" fontId="10" fillId="0" borderId="0" xfId="3" applyNumberFormat="1" applyFont="1" applyAlignment="1">
      <alignment horizontal="right" vertical="center"/>
    </xf>
    <xf numFmtId="170" fontId="10" fillId="2" borderId="0" xfId="3" applyNumberFormat="1" applyFont="1" applyFill="1" applyAlignment="1">
      <alignment horizontal="right" vertical="center"/>
    </xf>
    <xf numFmtId="170" fontId="10" fillId="0" borderId="0" xfId="3" applyNumberFormat="1" applyFont="1" applyAlignment="1">
      <alignment horizontal="right" vertical="center" wrapText="1"/>
    </xf>
    <xf numFmtId="170" fontId="9" fillId="0" borderId="0" xfId="3" applyNumberFormat="1" applyFont="1" applyAlignment="1">
      <alignment horizontal="right" vertical="center" wrapText="1"/>
    </xf>
    <xf numFmtId="170" fontId="5" fillId="0" borderId="0" xfId="3" applyNumberFormat="1" applyFont="1" applyAlignment="1">
      <alignment horizontal="right" vertical="center" wrapText="1"/>
    </xf>
    <xf numFmtId="175" fontId="10" fillId="0" borderId="0" xfId="3" applyNumberFormat="1" applyFont="1" applyAlignment="1">
      <alignment horizontal="right" vertical="center"/>
    </xf>
    <xf numFmtId="170" fontId="9" fillId="2" borderId="0" xfId="3" applyNumberFormat="1" applyFont="1" applyFill="1" applyAlignment="1">
      <alignment horizontal="right" vertical="center"/>
    </xf>
    <xf numFmtId="0" fontId="9" fillId="0" borderId="0" xfId="6" applyFont="1" applyAlignment="1">
      <alignment horizontal="left" vertical="center"/>
    </xf>
    <xf numFmtId="0" fontId="14" fillId="0" borderId="46" xfId="6" applyFont="1" applyBorder="1" applyAlignment="1">
      <alignment horizontal="left" wrapText="1"/>
    </xf>
    <xf numFmtId="0" fontId="14" fillId="0" borderId="0" xfId="6" applyFont="1"/>
    <xf numFmtId="166" fontId="14" fillId="0" borderId="0" xfId="6" applyNumberFormat="1" applyFont="1"/>
    <xf numFmtId="173" fontId="14" fillId="2" borderId="0" xfId="6" applyNumberFormat="1" applyFont="1" applyFill="1"/>
    <xf numFmtId="0" fontId="14" fillId="0" borderId="46" xfId="6" applyFont="1" applyBorder="1"/>
    <xf numFmtId="0" fontId="6" fillId="2" borderId="0" xfId="6" applyFont="1" applyFill="1"/>
    <xf numFmtId="0" fontId="6" fillId="0" borderId="0" xfId="6" applyFont="1"/>
    <xf numFmtId="0" fontId="15" fillId="0" borderId="0" xfId="6" applyFont="1" applyAlignment="1">
      <alignment horizontal="center" wrapText="1"/>
    </xf>
    <xf numFmtId="168" fontId="14" fillId="0" borderId="0" xfId="6" applyNumberFormat="1" applyFont="1"/>
    <xf numFmtId="176" fontId="14" fillId="0" borderId="0" xfId="6" applyNumberFormat="1" applyFont="1"/>
    <xf numFmtId="170" fontId="6" fillId="0" borderId="0" xfId="6" applyNumberFormat="1" applyFont="1"/>
    <xf numFmtId="0" fontId="15" fillId="5" borderId="0" xfId="6" applyFont="1" applyFill="1" applyAlignment="1">
      <alignment horizontal="center" wrapText="1"/>
    </xf>
    <xf numFmtId="177" fontId="14" fillId="0" borderId="0" xfId="6" applyNumberFormat="1" applyFont="1"/>
    <xf numFmtId="3" fontId="17" fillId="0" borderId="0" xfId="6" applyNumberFormat="1" applyFont="1"/>
    <xf numFmtId="3" fontId="6" fillId="0" borderId="0" xfId="6" applyNumberFormat="1" applyFont="1" applyAlignment="1">
      <alignment horizontal="left" wrapText="1"/>
    </xf>
    <xf numFmtId="0" fontId="6" fillId="0" borderId="0" xfId="6" applyFont="1" applyAlignment="1">
      <alignment horizontal="left" wrapText="1"/>
    </xf>
    <xf numFmtId="173" fontId="19" fillId="0" borderId="0" xfId="6" applyNumberFormat="1" applyFont="1"/>
    <xf numFmtId="178" fontId="6" fillId="0" borderId="0" xfId="6" applyNumberFormat="1" applyFont="1"/>
    <xf numFmtId="44" fontId="6" fillId="0" borderId="0" xfId="6" applyNumberFormat="1" applyFont="1"/>
    <xf numFmtId="167" fontId="6" fillId="0" borderId="0" xfId="6" applyNumberFormat="1" applyFont="1"/>
    <xf numFmtId="0" fontId="6" fillId="0" borderId="0" xfId="3" applyFont="1" applyAlignment="1">
      <alignment horizontal="left" wrapText="1"/>
    </xf>
    <xf numFmtId="179" fontId="6" fillId="0" borderId="0" xfId="3" applyNumberFormat="1" applyFont="1" applyAlignment="1">
      <alignment horizontal="center"/>
    </xf>
    <xf numFmtId="167" fontId="6" fillId="0" borderId="0" xfId="3" applyNumberFormat="1" applyFont="1" applyAlignment="1">
      <alignment horizontal="center"/>
    </xf>
    <xf numFmtId="167" fontId="6" fillId="0" borderId="0" xfId="3" applyNumberFormat="1" applyFont="1"/>
    <xf numFmtId="0" fontId="6" fillId="0" borderId="22" xfId="3" applyFont="1" applyBorder="1"/>
    <xf numFmtId="0" fontId="6" fillId="0" borderId="0" xfId="0" applyFont="1"/>
    <xf numFmtId="2" fontId="20" fillId="0" borderId="66" xfId="0" applyNumberFormat="1" applyFont="1" applyBorder="1" applyAlignment="1">
      <alignment horizontal="center" vertical="center" wrapText="1"/>
    </xf>
    <xf numFmtId="0" fontId="20" fillId="0" borderId="67" xfId="0" applyFont="1" applyBorder="1" applyAlignment="1">
      <alignment horizontal="justify" vertical="center" wrapText="1"/>
    </xf>
    <xf numFmtId="0" fontId="20" fillId="0" borderId="67" xfId="0" applyFont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 wrapText="1"/>
    </xf>
    <xf numFmtId="180" fontId="20" fillId="0" borderId="68" xfId="2" applyNumberFormat="1" applyFont="1" applyFill="1" applyBorder="1" applyAlignment="1">
      <alignment horizontal="center" vertical="center" wrapText="1"/>
    </xf>
    <xf numFmtId="2" fontId="22" fillId="6" borderId="70" xfId="0" applyNumberFormat="1" applyFont="1" applyFill="1" applyBorder="1" applyAlignment="1">
      <alignment horizontal="center" vertical="center"/>
    </xf>
    <xf numFmtId="0" fontId="22" fillId="6" borderId="71" xfId="0" applyFont="1" applyFill="1" applyBorder="1" applyAlignment="1">
      <alignment horizontal="justify" vertical="center" wrapText="1"/>
    </xf>
    <xf numFmtId="0" fontId="22" fillId="6" borderId="71" xfId="0" applyFont="1" applyFill="1" applyBorder="1" applyAlignment="1">
      <alignment horizontal="center" vertical="center" wrapText="1"/>
    </xf>
    <xf numFmtId="2" fontId="23" fillId="6" borderId="71" xfId="0" applyNumberFormat="1" applyFont="1" applyFill="1" applyBorder="1" applyAlignment="1">
      <alignment horizontal="center" vertical="center"/>
    </xf>
    <xf numFmtId="181" fontId="22" fillId="6" borderId="44" xfId="7" applyNumberFormat="1" applyFont="1" applyFill="1" applyBorder="1" applyAlignment="1">
      <alignment vertical="center"/>
    </xf>
    <xf numFmtId="2" fontId="22" fillId="6" borderId="73" xfId="0" applyNumberFormat="1" applyFont="1" applyFill="1" applyBorder="1" applyAlignment="1">
      <alignment horizontal="center" vertical="center"/>
    </xf>
    <xf numFmtId="0" fontId="22" fillId="6" borderId="74" xfId="0" applyFont="1" applyFill="1" applyBorder="1" applyAlignment="1">
      <alignment horizontal="justify" vertical="center" wrapText="1"/>
    </xf>
    <xf numFmtId="0" fontId="22" fillId="6" borderId="74" xfId="0" applyFont="1" applyFill="1" applyBorder="1" applyAlignment="1">
      <alignment horizontal="center" vertical="center" wrapText="1"/>
    </xf>
    <xf numFmtId="2" fontId="23" fillId="6" borderId="74" xfId="0" applyNumberFormat="1" applyFont="1" applyFill="1" applyBorder="1" applyAlignment="1">
      <alignment horizontal="center" vertical="center"/>
    </xf>
    <xf numFmtId="181" fontId="22" fillId="6" borderId="50" xfId="7" applyNumberFormat="1" applyFont="1" applyFill="1" applyBorder="1" applyAlignment="1">
      <alignment vertical="center"/>
    </xf>
    <xf numFmtId="180" fontId="22" fillId="6" borderId="50" xfId="7" applyNumberFormat="1" applyFont="1" applyFill="1" applyBorder="1" applyAlignment="1">
      <alignment vertical="center"/>
    </xf>
    <xf numFmtId="44" fontId="22" fillId="6" borderId="50" xfId="7" applyFont="1" applyFill="1" applyBorder="1" applyAlignment="1">
      <alignment vertical="center"/>
    </xf>
    <xf numFmtId="2" fontId="22" fillId="6" borderId="76" xfId="0" applyNumberFormat="1" applyFont="1" applyFill="1" applyBorder="1" applyAlignment="1">
      <alignment horizontal="center" vertical="center"/>
    </xf>
    <xf numFmtId="2" fontId="22" fillId="7" borderId="70" xfId="0" applyNumberFormat="1" applyFont="1" applyFill="1" applyBorder="1" applyAlignment="1">
      <alignment horizontal="center" vertical="center"/>
    </xf>
    <xf numFmtId="0" fontId="22" fillId="7" borderId="71" xfId="0" applyFont="1" applyFill="1" applyBorder="1" applyAlignment="1">
      <alignment horizontal="justify" vertical="center" wrapText="1"/>
    </xf>
    <xf numFmtId="0" fontId="22" fillId="7" borderId="71" xfId="0" applyFont="1" applyFill="1" applyBorder="1" applyAlignment="1">
      <alignment horizontal="center" vertical="center" wrapText="1"/>
    </xf>
    <xf numFmtId="2" fontId="23" fillId="7" borderId="71" xfId="0" applyNumberFormat="1" applyFont="1" applyFill="1" applyBorder="1" applyAlignment="1">
      <alignment horizontal="center" vertical="center"/>
    </xf>
    <xf numFmtId="180" fontId="22" fillId="7" borderId="44" xfId="2" applyNumberFormat="1" applyFont="1" applyFill="1" applyBorder="1" applyAlignment="1">
      <alignment vertical="center"/>
    </xf>
    <xf numFmtId="2" fontId="22" fillId="7" borderId="73" xfId="0" applyNumberFormat="1" applyFont="1" applyFill="1" applyBorder="1" applyAlignment="1">
      <alignment horizontal="center" vertical="center"/>
    </xf>
    <xf numFmtId="0" fontId="22" fillId="7" borderId="74" xfId="0" applyFont="1" applyFill="1" applyBorder="1" applyAlignment="1">
      <alignment horizontal="justify" vertical="center" wrapText="1"/>
    </xf>
    <xf numFmtId="0" fontId="22" fillId="7" borderId="74" xfId="0" applyFont="1" applyFill="1" applyBorder="1" applyAlignment="1">
      <alignment horizontal="center" vertical="center" wrapText="1"/>
    </xf>
    <xf numFmtId="2" fontId="23" fillId="7" borderId="74" xfId="0" applyNumberFormat="1" applyFont="1" applyFill="1" applyBorder="1" applyAlignment="1">
      <alignment horizontal="center" vertical="center"/>
    </xf>
    <xf numFmtId="180" fontId="22" fillId="7" borderId="50" xfId="2" applyNumberFormat="1" applyFont="1" applyFill="1" applyBorder="1" applyAlignment="1">
      <alignment vertical="center"/>
    </xf>
    <xf numFmtId="2" fontId="22" fillId="7" borderId="76" xfId="0" applyNumberFormat="1" applyFont="1" applyFill="1" applyBorder="1" applyAlignment="1">
      <alignment horizontal="center" vertical="center"/>
    </xf>
    <xf numFmtId="2" fontId="22" fillId="8" borderId="70" xfId="0" applyNumberFormat="1" applyFont="1" applyFill="1" applyBorder="1" applyAlignment="1">
      <alignment horizontal="center" vertical="center"/>
    </xf>
    <xf numFmtId="2" fontId="22" fillId="8" borderId="73" xfId="0" applyNumberFormat="1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justify" vertical="center" wrapText="1"/>
    </xf>
    <xf numFmtId="0" fontId="22" fillId="8" borderId="74" xfId="0" applyFont="1" applyFill="1" applyBorder="1" applyAlignment="1">
      <alignment horizontal="center" vertical="center" wrapText="1"/>
    </xf>
    <xf numFmtId="2" fontId="23" fillId="8" borderId="74" xfId="0" applyNumberFormat="1" applyFont="1" applyFill="1" applyBorder="1" applyAlignment="1">
      <alignment horizontal="center" vertical="center"/>
    </xf>
    <xf numFmtId="180" fontId="22" fillId="8" borderId="50" xfId="2" applyNumberFormat="1" applyFont="1" applyFill="1" applyBorder="1" applyAlignment="1">
      <alignment vertical="center"/>
    </xf>
    <xf numFmtId="2" fontId="22" fillId="8" borderId="66" xfId="0" applyNumberFormat="1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justify" vertical="center" wrapText="1"/>
    </xf>
    <xf numFmtId="0" fontId="22" fillId="8" borderId="67" xfId="0" applyFont="1" applyFill="1" applyBorder="1" applyAlignment="1">
      <alignment horizontal="center" vertical="center" wrapText="1"/>
    </xf>
    <xf numFmtId="2" fontId="23" fillId="8" borderId="67" xfId="0" applyNumberFormat="1" applyFont="1" applyFill="1" applyBorder="1" applyAlignment="1">
      <alignment horizontal="center" vertical="center"/>
    </xf>
    <xf numFmtId="180" fontId="22" fillId="8" borderId="68" xfId="2" applyNumberFormat="1" applyFont="1" applyFill="1" applyBorder="1" applyAlignment="1">
      <alignment vertical="center"/>
    </xf>
    <xf numFmtId="2" fontId="22" fillId="8" borderId="76" xfId="0" applyNumberFormat="1" applyFont="1" applyFill="1" applyBorder="1" applyAlignment="1">
      <alignment horizontal="center" vertical="center"/>
    </xf>
    <xf numFmtId="2" fontId="22" fillId="9" borderId="70" xfId="0" applyNumberFormat="1" applyFont="1" applyFill="1" applyBorder="1" applyAlignment="1">
      <alignment horizontal="center" vertical="center"/>
    </xf>
    <xf numFmtId="2" fontId="22" fillId="9" borderId="73" xfId="0" applyNumberFormat="1" applyFont="1" applyFill="1" applyBorder="1" applyAlignment="1">
      <alignment horizontal="center" vertical="center"/>
    </xf>
    <xf numFmtId="164" fontId="6" fillId="0" borderId="74" xfId="0" applyNumberFormat="1" applyFont="1" applyBorder="1"/>
    <xf numFmtId="182" fontId="6" fillId="0" borderId="74" xfId="0" applyNumberFormat="1" applyFont="1" applyBorder="1"/>
    <xf numFmtId="44" fontId="0" fillId="0" borderId="0" xfId="2" applyFont="1"/>
    <xf numFmtId="170" fontId="24" fillId="0" borderId="0" xfId="0" applyNumberFormat="1" applyFont="1"/>
    <xf numFmtId="0" fontId="24" fillId="0" borderId="0" xfId="0" applyFont="1"/>
    <xf numFmtId="2" fontId="22" fillId="11" borderId="73" xfId="0" applyNumberFormat="1" applyFont="1" applyFill="1" applyBorder="1" applyAlignment="1">
      <alignment horizontal="center" vertical="center"/>
    </xf>
    <xf numFmtId="0" fontId="23" fillId="11" borderId="74" xfId="8" applyFont="1" applyFill="1" applyBorder="1" applyAlignment="1">
      <alignment horizontal="justify" vertical="center" wrapText="1"/>
    </xf>
    <xf numFmtId="0" fontId="23" fillId="11" borderId="74" xfId="8" applyFont="1" applyFill="1" applyBorder="1" applyAlignment="1">
      <alignment horizontal="center" vertical="center"/>
    </xf>
    <xf numFmtId="2" fontId="23" fillId="11" borderId="74" xfId="0" applyNumberFormat="1" applyFont="1" applyFill="1" applyBorder="1" applyAlignment="1">
      <alignment horizontal="center" vertical="center"/>
    </xf>
    <xf numFmtId="0" fontId="23" fillId="11" borderId="74" xfId="0" applyFont="1" applyFill="1" applyBorder="1" applyAlignment="1">
      <alignment horizontal="justify" vertical="center" wrapText="1"/>
    </xf>
    <xf numFmtId="0" fontId="26" fillId="11" borderId="74" xfId="0" applyFont="1" applyFill="1" applyBorder="1" applyAlignment="1">
      <alignment horizontal="center" vertical="center"/>
    </xf>
    <xf numFmtId="0" fontId="26" fillId="11" borderId="74" xfId="0" applyFont="1" applyFill="1" applyBorder="1" applyAlignment="1">
      <alignment horizontal="justify" vertical="center" wrapText="1"/>
    </xf>
    <xf numFmtId="0" fontId="22" fillId="11" borderId="74" xfId="0" applyFont="1" applyFill="1" applyBorder="1" applyAlignment="1">
      <alignment horizontal="justify" vertical="center" wrapText="1"/>
    </xf>
    <xf numFmtId="0" fontId="22" fillId="11" borderId="74" xfId="0" applyFont="1" applyFill="1" applyBorder="1" applyAlignment="1">
      <alignment horizontal="center" vertical="center" wrapText="1"/>
    </xf>
    <xf numFmtId="2" fontId="23" fillId="11" borderId="73" xfId="0" applyNumberFormat="1" applyFont="1" applyFill="1" applyBorder="1" applyAlignment="1">
      <alignment horizontal="center" vertical="center"/>
    </xf>
    <xf numFmtId="0" fontId="23" fillId="11" borderId="74" xfId="0" applyFont="1" applyFill="1" applyBorder="1" applyAlignment="1">
      <alignment horizontal="center" vertical="center" wrapText="1"/>
    </xf>
    <xf numFmtId="0" fontId="23" fillId="11" borderId="74" xfId="0" applyFont="1" applyFill="1" applyBorder="1" applyAlignment="1">
      <alignment horizontal="center" vertical="center"/>
    </xf>
    <xf numFmtId="169" fontId="6" fillId="2" borderId="92" xfId="3" applyNumberFormat="1" applyFont="1" applyFill="1" applyBorder="1" applyAlignment="1">
      <alignment horizontal="right" vertical="center"/>
    </xf>
    <xf numFmtId="166" fontId="6" fillId="2" borderId="22" xfId="3" applyNumberFormat="1" applyFont="1" applyFill="1" applyBorder="1" applyAlignment="1">
      <alignment horizontal="right" vertical="center"/>
    </xf>
    <xf numFmtId="170" fontId="6" fillId="2" borderId="68" xfId="3" applyNumberFormat="1" applyFont="1" applyFill="1" applyBorder="1" applyAlignment="1">
      <alignment horizontal="right" vertical="center"/>
    </xf>
    <xf numFmtId="169" fontId="6" fillId="2" borderId="93" xfId="3" applyNumberFormat="1" applyFont="1" applyFill="1" applyBorder="1" applyAlignment="1">
      <alignment horizontal="right" vertical="center"/>
    </xf>
    <xf numFmtId="166" fontId="6" fillId="2" borderId="94" xfId="3" applyNumberFormat="1" applyFont="1" applyFill="1" applyBorder="1" applyAlignment="1">
      <alignment horizontal="right" vertical="center"/>
    </xf>
    <xf numFmtId="166" fontId="6" fillId="2" borderId="95" xfId="3" applyNumberFormat="1" applyFont="1" applyFill="1" applyBorder="1" applyAlignment="1">
      <alignment horizontal="right" vertical="center"/>
    </xf>
    <xf numFmtId="170" fontId="6" fillId="2" borderId="80" xfId="3" applyNumberFormat="1" applyFont="1" applyFill="1" applyBorder="1" applyAlignment="1">
      <alignment horizontal="right" vertical="center"/>
    </xf>
    <xf numFmtId="169" fontId="6" fillId="2" borderId="96" xfId="3" applyNumberFormat="1" applyFont="1" applyFill="1" applyBorder="1" applyAlignment="1">
      <alignment horizontal="right" vertical="center"/>
    </xf>
    <xf numFmtId="166" fontId="6" fillId="2" borderId="97" xfId="3" applyNumberFormat="1" applyFont="1" applyFill="1" applyBorder="1" applyAlignment="1">
      <alignment horizontal="right" vertical="center"/>
    </xf>
    <xf numFmtId="169" fontId="6" fillId="2" borderId="98" xfId="3" applyNumberFormat="1" applyFont="1" applyFill="1" applyBorder="1" applyAlignment="1">
      <alignment horizontal="right" vertical="center"/>
    </xf>
    <xf numFmtId="166" fontId="6" fillId="2" borderId="99" xfId="3" applyNumberFormat="1" applyFont="1" applyFill="1" applyBorder="1" applyAlignment="1">
      <alignment horizontal="right" vertical="center"/>
    </xf>
    <xf numFmtId="170" fontId="6" fillId="2" borderId="84" xfId="3" applyNumberFormat="1" applyFont="1" applyFill="1" applyBorder="1" applyAlignment="1">
      <alignment horizontal="right" vertical="center"/>
    </xf>
    <xf numFmtId="169" fontId="6" fillId="2" borderId="100" xfId="3" applyNumberFormat="1" applyFont="1" applyFill="1" applyBorder="1" applyAlignment="1">
      <alignment horizontal="right" vertical="center"/>
    </xf>
    <xf numFmtId="166" fontId="6" fillId="2" borderId="101" xfId="3" applyNumberFormat="1" applyFont="1" applyFill="1" applyBorder="1" applyAlignment="1">
      <alignment horizontal="right" vertical="center"/>
    </xf>
    <xf numFmtId="169" fontId="6" fillId="2" borderId="102" xfId="3" applyNumberFormat="1" applyFont="1" applyFill="1" applyBorder="1" applyAlignment="1">
      <alignment horizontal="right" vertical="center"/>
    </xf>
    <xf numFmtId="166" fontId="6" fillId="2" borderId="103" xfId="3" applyNumberFormat="1" applyFont="1" applyFill="1" applyBorder="1" applyAlignment="1">
      <alignment horizontal="right" vertical="center"/>
    </xf>
    <xf numFmtId="170" fontId="6" fillId="2" borderId="104" xfId="3" applyNumberFormat="1" applyFont="1" applyFill="1" applyBorder="1" applyAlignment="1">
      <alignment horizontal="right" vertical="center"/>
    </xf>
    <xf numFmtId="2" fontId="22" fillId="6" borderId="112" xfId="0" applyNumberFormat="1" applyFont="1" applyFill="1" applyBorder="1" applyAlignment="1">
      <alignment horizontal="center" vertical="center"/>
    </xf>
    <xf numFmtId="2" fontId="22" fillId="6" borderId="113" xfId="0" applyNumberFormat="1" applyFont="1" applyFill="1" applyBorder="1" applyAlignment="1">
      <alignment horizontal="center" vertical="center"/>
    </xf>
    <xf numFmtId="2" fontId="22" fillId="7" borderId="112" xfId="0" applyNumberFormat="1" applyFont="1" applyFill="1" applyBorder="1" applyAlignment="1">
      <alignment horizontal="center" vertical="center"/>
    </xf>
    <xf numFmtId="2" fontId="22" fillId="7" borderId="113" xfId="0" applyNumberFormat="1" applyFont="1" applyFill="1" applyBorder="1" applyAlignment="1">
      <alignment horizontal="center" vertical="center"/>
    </xf>
    <xf numFmtId="2" fontId="22" fillId="8" borderId="113" xfId="0" applyNumberFormat="1" applyFont="1" applyFill="1" applyBorder="1" applyAlignment="1">
      <alignment horizontal="center" vertical="center"/>
    </xf>
    <xf numFmtId="2" fontId="22" fillId="8" borderId="111" xfId="0" applyNumberFormat="1" applyFont="1" applyFill="1" applyBorder="1" applyAlignment="1">
      <alignment horizontal="center" vertical="center"/>
    </xf>
    <xf numFmtId="2" fontId="23" fillId="12" borderId="74" xfId="0" applyNumberFormat="1" applyFont="1" applyFill="1" applyBorder="1" applyAlignment="1">
      <alignment horizontal="center" vertical="center"/>
    </xf>
    <xf numFmtId="0" fontId="23" fillId="12" borderId="50" xfId="2" applyNumberFormat="1" applyFont="1" applyFill="1" applyBorder="1" applyAlignment="1">
      <alignment horizontal="center" vertical="center"/>
    </xf>
    <xf numFmtId="180" fontId="22" fillId="11" borderId="50" xfId="2" applyNumberFormat="1" applyFont="1" applyFill="1" applyBorder="1" applyAlignment="1">
      <alignment vertical="center" wrapText="1"/>
    </xf>
    <xf numFmtId="180" fontId="23" fillId="11" borderId="50" xfId="2" applyNumberFormat="1" applyFont="1" applyFill="1" applyBorder="1" applyAlignment="1">
      <alignment vertical="center" wrapText="1"/>
    </xf>
    <xf numFmtId="180" fontId="23" fillId="12" borderId="74" xfId="2" applyNumberFormat="1" applyFont="1" applyFill="1" applyBorder="1" applyAlignment="1">
      <alignment horizontal="justify" vertical="center" wrapText="1"/>
    </xf>
    <xf numFmtId="0" fontId="8" fillId="11" borderId="0" xfId="0" applyFont="1" applyFill="1" applyAlignment="1">
      <alignment horizontal="center" vertical="center" textRotation="90"/>
    </xf>
    <xf numFmtId="2" fontId="23" fillId="11" borderId="0" xfId="0" applyNumberFormat="1" applyFont="1" applyFill="1" applyAlignment="1">
      <alignment horizontal="center" vertical="center"/>
    </xf>
    <xf numFmtId="2" fontId="23" fillId="11" borderId="113" xfId="0" applyNumberFormat="1" applyFont="1" applyFill="1" applyBorder="1" applyAlignment="1">
      <alignment horizontal="center" vertical="center"/>
    </xf>
    <xf numFmtId="2" fontId="23" fillId="11" borderId="114" xfId="0" applyNumberFormat="1" applyFont="1" applyFill="1" applyBorder="1" applyAlignment="1">
      <alignment horizontal="center" vertical="center"/>
    </xf>
    <xf numFmtId="180" fontId="23" fillId="11" borderId="114" xfId="2" applyNumberFormat="1" applyFont="1" applyFill="1" applyBorder="1" applyAlignment="1">
      <alignment vertical="center" wrapText="1"/>
    </xf>
    <xf numFmtId="0" fontId="6" fillId="7" borderId="72" xfId="0" applyFont="1" applyFill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0" fontId="23" fillId="12" borderId="74" xfId="0" applyFont="1" applyFill="1" applyBorder="1" applyAlignment="1">
      <alignment horizontal="left" vertical="center" wrapText="1"/>
    </xf>
    <xf numFmtId="2" fontId="22" fillId="7" borderId="83" xfId="0" applyNumberFormat="1" applyFont="1" applyFill="1" applyBorder="1" applyAlignment="1">
      <alignment horizontal="center" vertical="center"/>
    </xf>
    <xf numFmtId="2" fontId="22" fillId="7" borderId="111" xfId="0" applyNumberFormat="1" applyFont="1" applyFill="1" applyBorder="1" applyAlignment="1">
      <alignment horizontal="center" vertical="center"/>
    </xf>
    <xf numFmtId="0" fontId="22" fillId="7" borderId="67" xfId="0" applyFont="1" applyFill="1" applyBorder="1" applyAlignment="1">
      <alignment horizontal="justify" vertical="center" wrapText="1"/>
    </xf>
    <xf numFmtId="0" fontId="22" fillId="7" borderId="67" xfId="0" applyFont="1" applyFill="1" applyBorder="1" applyAlignment="1">
      <alignment horizontal="center" vertical="center" wrapText="1"/>
    </xf>
    <xf numFmtId="2" fontId="23" fillId="7" borderId="67" xfId="0" applyNumberFormat="1" applyFont="1" applyFill="1" applyBorder="1" applyAlignment="1">
      <alignment horizontal="center" vertical="center"/>
    </xf>
    <xf numFmtId="180" fontId="22" fillId="7" borderId="68" xfId="2" applyNumberFormat="1" applyFont="1" applyFill="1" applyBorder="1" applyAlignment="1">
      <alignment vertical="center"/>
    </xf>
    <xf numFmtId="0" fontId="2" fillId="0" borderId="0" xfId="3" applyAlignment="1">
      <alignment wrapText="1"/>
    </xf>
    <xf numFmtId="2" fontId="22" fillId="8" borderId="115" xfId="0" applyNumberFormat="1" applyFont="1" applyFill="1" applyBorder="1" applyAlignment="1">
      <alignment horizontal="center" vertical="center"/>
    </xf>
    <xf numFmtId="44" fontId="0" fillId="0" borderId="0" xfId="2" applyFont="1" applyAlignment="1">
      <alignment wrapText="1"/>
    </xf>
    <xf numFmtId="2" fontId="20" fillId="0" borderId="76" xfId="0" applyNumberFormat="1" applyFont="1" applyBorder="1" applyAlignment="1">
      <alignment horizontal="center" vertical="center" wrapText="1"/>
    </xf>
    <xf numFmtId="2" fontId="22" fillId="6" borderId="111" xfId="0" applyNumberFormat="1" applyFont="1" applyFill="1" applyBorder="1" applyAlignment="1">
      <alignment horizontal="center" vertical="center"/>
    </xf>
    <xf numFmtId="0" fontId="22" fillId="6" borderId="67" xfId="0" applyFont="1" applyFill="1" applyBorder="1" applyAlignment="1">
      <alignment horizontal="justify" vertical="center" wrapText="1"/>
    </xf>
    <xf numFmtId="0" fontId="22" fillId="6" borderId="67" xfId="0" applyFont="1" applyFill="1" applyBorder="1" applyAlignment="1">
      <alignment horizontal="center" vertical="center" wrapText="1"/>
    </xf>
    <xf numFmtId="2" fontId="23" fillId="6" borderId="67" xfId="0" applyNumberFormat="1" applyFont="1" applyFill="1" applyBorder="1" applyAlignment="1">
      <alignment horizontal="center" vertical="center"/>
    </xf>
    <xf numFmtId="180" fontId="22" fillId="6" borderId="68" xfId="7" applyNumberFormat="1" applyFont="1" applyFill="1" applyBorder="1" applyAlignment="1">
      <alignment vertical="center"/>
    </xf>
    <xf numFmtId="182" fontId="6" fillId="0" borderId="67" xfId="0" applyNumberFormat="1" applyFont="1" applyBorder="1"/>
    <xf numFmtId="2" fontId="22" fillId="8" borderId="116" xfId="0" applyNumberFormat="1" applyFont="1" applyFill="1" applyBorder="1" applyAlignment="1">
      <alignment horizontal="center" vertical="center"/>
    </xf>
    <xf numFmtId="0" fontId="22" fillId="8" borderId="91" xfId="0" applyFont="1" applyFill="1" applyBorder="1" applyAlignment="1">
      <alignment horizontal="justify" vertical="center" wrapText="1"/>
    </xf>
    <xf numFmtId="0" fontId="22" fillId="8" borderId="91" xfId="0" applyFont="1" applyFill="1" applyBorder="1" applyAlignment="1">
      <alignment horizontal="center" vertical="center" wrapText="1"/>
    </xf>
    <xf numFmtId="2" fontId="23" fillId="8" borderId="91" xfId="0" applyNumberFormat="1" applyFont="1" applyFill="1" applyBorder="1" applyAlignment="1">
      <alignment horizontal="center" vertical="center"/>
    </xf>
    <xf numFmtId="180" fontId="22" fillId="8" borderId="80" xfId="2" applyNumberFormat="1" applyFont="1" applyFill="1" applyBorder="1" applyAlignment="1">
      <alignment vertical="center"/>
    </xf>
    <xf numFmtId="182" fontId="6" fillId="0" borderId="91" xfId="0" applyNumberFormat="1" applyFont="1" applyBorder="1"/>
    <xf numFmtId="0" fontId="22" fillId="7" borderId="77" xfId="0" applyFont="1" applyFill="1" applyBorder="1" applyAlignment="1">
      <alignment horizontal="justify" vertical="center" wrapText="1"/>
    </xf>
    <xf numFmtId="0" fontId="22" fillId="7" borderId="77" xfId="0" applyFont="1" applyFill="1" applyBorder="1" applyAlignment="1">
      <alignment horizontal="center" vertical="center" wrapText="1"/>
    </xf>
    <xf numFmtId="2" fontId="23" fillId="7" borderId="77" xfId="0" applyNumberFormat="1" applyFont="1" applyFill="1" applyBorder="1" applyAlignment="1">
      <alignment horizontal="center" vertical="center"/>
    </xf>
    <xf numFmtId="180" fontId="22" fillId="7" borderId="53" xfId="2" applyNumberFormat="1" applyFont="1" applyFill="1" applyBorder="1" applyAlignment="1">
      <alignment vertical="center"/>
    </xf>
    <xf numFmtId="0" fontId="0" fillId="0" borderId="117" xfId="0" applyBorder="1"/>
    <xf numFmtId="0" fontId="23" fillId="12" borderId="114" xfId="2" applyNumberFormat="1" applyFont="1" applyFill="1" applyBorder="1" applyAlignment="1">
      <alignment horizontal="center" vertical="center"/>
    </xf>
    <xf numFmtId="180" fontId="23" fillId="12" borderId="73" xfId="2" applyNumberFormat="1" applyFont="1" applyFill="1" applyBorder="1" applyAlignment="1">
      <alignment horizontal="justify" vertical="center" wrapText="1"/>
    </xf>
    <xf numFmtId="0" fontId="22" fillId="8" borderId="121" xfId="0" applyFont="1" applyFill="1" applyBorder="1" applyAlignment="1">
      <alignment horizontal="justify" vertical="center" wrapText="1"/>
    </xf>
    <xf numFmtId="0" fontId="22" fillId="8" borderId="121" xfId="0" applyFont="1" applyFill="1" applyBorder="1" applyAlignment="1">
      <alignment horizontal="center" vertical="center" wrapText="1"/>
    </xf>
    <xf numFmtId="2" fontId="23" fillId="8" borderId="121" xfId="0" applyNumberFormat="1" applyFont="1" applyFill="1" applyBorder="1" applyAlignment="1">
      <alignment horizontal="center" vertical="center"/>
    </xf>
    <xf numFmtId="180" fontId="22" fillId="8" borderId="84" xfId="2" applyNumberFormat="1" applyFont="1" applyFill="1" applyBorder="1" applyAlignment="1">
      <alignment vertical="center"/>
    </xf>
    <xf numFmtId="0" fontId="23" fillId="13" borderId="74" xfId="0" applyFont="1" applyFill="1" applyBorder="1" applyAlignment="1">
      <alignment horizontal="left" vertical="center" wrapText="1"/>
    </xf>
    <xf numFmtId="2" fontId="23" fillId="13" borderId="74" xfId="0" applyNumberFormat="1" applyFont="1" applyFill="1" applyBorder="1" applyAlignment="1">
      <alignment horizontal="center" vertical="center"/>
    </xf>
    <xf numFmtId="0" fontId="23" fillId="13" borderId="114" xfId="2" applyNumberFormat="1" applyFont="1" applyFill="1" applyBorder="1" applyAlignment="1">
      <alignment horizontal="center" vertical="center"/>
    </xf>
    <xf numFmtId="180" fontId="23" fillId="13" borderId="73" xfId="2" applyNumberFormat="1" applyFont="1" applyFill="1" applyBorder="1" applyAlignment="1">
      <alignment horizontal="justify" vertical="center" wrapText="1"/>
    </xf>
    <xf numFmtId="0" fontId="23" fillId="13" borderId="74" xfId="0" applyFont="1" applyFill="1" applyBorder="1" applyAlignment="1">
      <alignment horizontal="center" vertical="center" wrapText="1"/>
    </xf>
    <xf numFmtId="0" fontId="23" fillId="13" borderId="11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83" xfId="0" applyFont="1" applyBorder="1" applyAlignment="1">
      <alignment horizontal="center" vertical="center" wrapText="1"/>
    </xf>
    <xf numFmtId="0" fontId="8" fillId="0" borderId="8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164" fontId="6" fillId="0" borderId="74" xfId="1" applyNumberFormat="1" applyFont="1" applyBorder="1"/>
    <xf numFmtId="182" fontId="6" fillId="0" borderId="0" xfId="0" applyNumberFormat="1" applyFont="1"/>
    <xf numFmtId="164" fontId="6" fillId="0" borderId="74" xfId="1" applyNumberFormat="1" applyFont="1" applyFill="1" applyBorder="1"/>
    <xf numFmtId="164" fontId="6" fillId="0" borderId="67" xfId="1" applyNumberFormat="1" applyFont="1" applyBorder="1"/>
    <xf numFmtId="164" fontId="6" fillId="0" borderId="67" xfId="1" applyNumberFormat="1" applyFont="1" applyFill="1" applyBorder="1"/>
    <xf numFmtId="164" fontId="6" fillId="0" borderId="71" xfId="1" applyNumberFormat="1" applyFont="1" applyBorder="1"/>
    <xf numFmtId="182" fontId="6" fillId="0" borderId="71" xfId="0" applyNumberFormat="1" applyFont="1" applyBorder="1"/>
    <xf numFmtId="43" fontId="6" fillId="0" borderId="71" xfId="1" applyFont="1" applyBorder="1"/>
    <xf numFmtId="43" fontId="6" fillId="0" borderId="74" xfId="1" applyFont="1" applyBorder="1"/>
    <xf numFmtId="164" fontId="6" fillId="0" borderId="77" xfId="1" applyNumberFormat="1" applyFont="1" applyBorder="1"/>
    <xf numFmtId="182" fontId="6" fillId="0" borderId="77" xfId="0" applyNumberFormat="1" applyFont="1" applyBorder="1"/>
    <xf numFmtId="182" fontId="6" fillId="0" borderId="117" xfId="0" applyNumberFormat="1" applyFont="1" applyBorder="1"/>
    <xf numFmtId="164" fontId="6" fillId="0" borderId="91" xfId="1" applyNumberFormat="1" applyFont="1" applyBorder="1"/>
    <xf numFmtId="183" fontId="6" fillId="0" borderId="74" xfId="0" applyNumberFormat="1" applyFont="1" applyBorder="1"/>
    <xf numFmtId="184" fontId="6" fillId="0" borderId="74" xfId="1" applyNumberFormat="1" applyFont="1" applyBorder="1"/>
    <xf numFmtId="164" fontId="6" fillId="0" borderId="74" xfId="1" applyNumberFormat="1" applyFont="1" applyBorder="1" applyAlignment="1">
      <alignment vertical="center"/>
    </xf>
    <xf numFmtId="2" fontId="6" fillId="2" borderId="125" xfId="3" applyNumberFormat="1" applyFont="1" applyFill="1" applyBorder="1" applyAlignment="1">
      <alignment horizontal="center" vertical="center"/>
    </xf>
    <xf numFmtId="0" fontId="6" fillId="2" borderId="36" xfId="3" applyFont="1" applyFill="1" applyBorder="1" applyAlignment="1">
      <alignment horizontal="left" vertical="center" wrapText="1"/>
    </xf>
    <xf numFmtId="1" fontId="6" fillId="2" borderId="126" xfId="3" applyNumberFormat="1" applyFont="1" applyFill="1" applyBorder="1" applyAlignment="1">
      <alignment horizontal="center" vertical="center" wrapText="1"/>
    </xf>
    <xf numFmtId="4" fontId="6" fillId="2" borderId="0" xfId="3" applyNumberFormat="1" applyFont="1" applyFill="1" applyAlignment="1">
      <alignment horizontal="right" vertical="center"/>
    </xf>
    <xf numFmtId="170" fontId="6" fillId="2" borderId="38" xfId="3" applyNumberFormat="1" applyFont="1" applyFill="1" applyBorder="1" applyAlignment="1">
      <alignment horizontal="center" vertical="center"/>
    </xf>
    <xf numFmtId="3" fontId="6" fillId="2" borderId="0" xfId="3" applyNumberFormat="1" applyFont="1" applyFill="1" applyAlignment="1">
      <alignment horizontal="center" vertical="center"/>
    </xf>
    <xf numFmtId="4" fontId="8" fillId="0" borderId="78" xfId="3" applyNumberFormat="1" applyFont="1" applyBorder="1" applyAlignment="1">
      <alignment vertical="center"/>
    </xf>
    <xf numFmtId="4" fontId="8" fillId="0" borderId="79" xfId="3" applyNumberFormat="1" applyFont="1" applyBorder="1" applyAlignment="1">
      <alignment horizontal="left" vertical="center" wrapText="1"/>
    </xf>
    <xf numFmtId="2" fontId="6" fillId="2" borderId="124" xfId="3" applyNumberFormat="1" applyFont="1" applyFill="1" applyBorder="1" applyAlignment="1">
      <alignment horizontal="center" vertical="center"/>
    </xf>
    <xf numFmtId="0" fontId="6" fillId="2" borderId="127" xfId="3" applyFont="1" applyFill="1" applyBorder="1" applyAlignment="1">
      <alignment horizontal="left" vertical="center" wrapText="1"/>
    </xf>
    <xf numFmtId="166" fontId="6" fillId="2" borderId="127" xfId="3" applyNumberFormat="1" applyFont="1" applyFill="1" applyBorder="1" applyAlignment="1">
      <alignment horizontal="right" vertical="center"/>
    </xf>
    <xf numFmtId="170" fontId="6" fillId="2" borderId="127" xfId="3" applyNumberFormat="1" applyFont="1" applyFill="1" applyBorder="1" applyAlignment="1">
      <alignment horizontal="center" vertical="center"/>
    </xf>
    <xf numFmtId="3" fontId="6" fillId="2" borderId="127" xfId="3" applyNumberFormat="1" applyFont="1" applyFill="1" applyBorder="1" applyAlignment="1">
      <alignment horizontal="center" vertical="center"/>
    </xf>
    <xf numFmtId="169" fontId="6" fillId="2" borderId="128" xfId="3" applyNumberFormat="1" applyFont="1" applyFill="1" applyBorder="1" applyAlignment="1">
      <alignment horizontal="right" vertical="center"/>
    </xf>
    <xf numFmtId="169" fontId="6" fillId="2" borderId="58" xfId="3" applyNumberFormat="1" applyFont="1" applyFill="1" applyBorder="1" applyAlignment="1">
      <alignment horizontal="center" vertical="center"/>
    </xf>
    <xf numFmtId="170" fontId="6" fillId="2" borderId="129" xfId="3" applyNumberFormat="1" applyFont="1" applyFill="1" applyBorder="1" applyAlignment="1">
      <alignment horizontal="right" vertical="center"/>
    </xf>
    <xf numFmtId="4" fontId="6" fillId="2" borderId="58" xfId="3" applyNumberFormat="1" applyFont="1" applyFill="1" applyBorder="1" applyAlignment="1">
      <alignment horizontal="right" vertical="center"/>
    </xf>
    <xf numFmtId="171" fontId="6" fillId="2" borderId="129" xfId="3" applyNumberFormat="1" applyFont="1" applyFill="1" applyBorder="1" applyAlignment="1">
      <alignment horizontal="right" vertical="center"/>
    </xf>
    <xf numFmtId="3" fontId="6" fillId="2" borderId="58" xfId="3" applyNumberFormat="1" applyFont="1" applyFill="1" applyBorder="1" applyAlignment="1">
      <alignment horizontal="center" vertical="center"/>
    </xf>
    <xf numFmtId="170" fontId="6" fillId="2" borderId="48" xfId="3" applyNumberFormat="1" applyFont="1" applyFill="1" applyBorder="1" applyAlignment="1">
      <alignment horizontal="center" vertical="center"/>
    </xf>
    <xf numFmtId="0" fontId="0" fillId="0" borderId="121" xfId="0" applyBorder="1"/>
    <xf numFmtId="4" fontId="8" fillId="4" borderId="130" xfId="3" applyNumberFormat="1" applyFont="1" applyFill="1" applyBorder="1" applyAlignment="1">
      <alignment horizontal="center"/>
    </xf>
    <xf numFmtId="3" fontId="8" fillId="4" borderId="131" xfId="3" applyNumberFormat="1" applyFont="1" applyFill="1" applyBorder="1" applyAlignment="1">
      <alignment horizontal="center"/>
    </xf>
    <xf numFmtId="164" fontId="0" fillId="0" borderId="0" xfId="0" applyNumberFormat="1"/>
    <xf numFmtId="0" fontId="8" fillId="8" borderId="72" xfId="0" applyFont="1" applyFill="1" applyBorder="1" applyAlignment="1">
      <alignment horizontal="center" vertical="center" textRotation="90" wrapText="1"/>
    </xf>
    <xf numFmtId="0" fontId="15" fillId="5" borderId="0" xfId="6" applyFont="1" applyFill="1" applyAlignment="1">
      <alignment horizontal="center"/>
    </xf>
    <xf numFmtId="0" fontId="18" fillId="5" borderId="0" xfId="6" applyFont="1" applyFill="1"/>
    <xf numFmtId="0" fontId="15" fillId="0" borderId="62" xfId="6" applyFont="1" applyBorder="1" applyAlignment="1">
      <alignment horizontal="center"/>
    </xf>
    <xf numFmtId="0" fontId="16" fillId="0" borderId="62" xfId="6" applyFont="1" applyBorder="1"/>
    <xf numFmtId="2" fontId="0" fillId="0" borderId="0" xfId="0" applyNumberFormat="1"/>
    <xf numFmtId="2" fontId="23" fillId="12" borderId="74" xfId="0" applyNumberFormat="1" applyFont="1" applyFill="1" applyBorder="1" applyAlignment="1">
      <alignment horizontal="center" vertical="center" wrapText="1"/>
    </xf>
    <xf numFmtId="2" fontId="23" fillId="12" borderId="66" xfId="0" applyNumberFormat="1" applyFont="1" applyFill="1" applyBorder="1" applyAlignment="1">
      <alignment horizontal="center" vertical="center" wrapText="1"/>
    </xf>
    <xf numFmtId="2" fontId="23" fillId="13" borderId="73" xfId="0" applyNumberFormat="1" applyFont="1" applyFill="1" applyBorder="1" applyAlignment="1">
      <alignment horizontal="center" vertical="center" wrapText="1"/>
    </xf>
    <xf numFmtId="2" fontId="23" fillId="13" borderId="123" xfId="0" applyNumberFormat="1" applyFont="1" applyFill="1" applyBorder="1" applyAlignment="1">
      <alignment horizontal="center" vertical="center" wrapText="1"/>
    </xf>
    <xf numFmtId="180" fontId="0" fillId="0" borderId="0" xfId="0" applyNumberFormat="1"/>
    <xf numFmtId="182" fontId="0" fillId="0" borderId="0" xfId="0" applyNumberFormat="1"/>
    <xf numFmtId="180" fontId="0" fillId="0" borderId="0" xfId="0" applyNumberFormat="1" applyAlignment="1">
      <alignment wrapText="1"/>
    </xf>
    <xf numFmtId="185" fontId="6" fillId="0" borderId="74" xfId="1" applyNumberFormat="1" applyFont="1" applyBorder="1"/>
    <xf numFmtId="0" fontId="8" fillId="11" borderId="118" xfId="0" applyFont="1" applyFill="1" applyBorder="1" applyAlignment="1">
      <alignment horizontal="center" vertical="center" textRotation="90"/>
    </xf>
    <xf numFmtId="4" fontId="6" fillId="2" borderId="128" xfId="3" applyNumberFormat="1" applyFont="1" applyFill="1" applyBorder="1" applyAlignment="1">
      <alignment horizontal="right" vertical="center"/>
    </xf>
    <xf numFmtId="169" fontId="6" fillId="2" borderId="132" xfId="3" applyNumberFormat="1" applyFont="1" applyFill="1" applyBorder="1" applyAlignment="1">
      <alignment horizontal="center" vertical="center"/>
    </xf>
    <xf numFmtId="169" fontId="6" fillId="2" borderId="128" xfId="3" applyNumberFormat="1" applyFont="1" applyFill="1" applyBorder="1" applyAlignment="1">
      <alignment horizontal="center" vertical="center"/>
    </xf>
    <xf numFmtId="169" fontId="6" fillId="2" borderId="133" xfId="3" applyNumberFormat="1" applyFont="1" applyFill="1" applyBorder="1" applyAlignment="1">
      <alignment horizontal="center" vertical="center"/>
    </xf>
    <xf numFmtId="171" fontId="6" fillId="2" borderId="134" xfId="3" applyNumberFormat="1" applyFont="1" applyFill="1" applyBorder="1" applyAlignment="1">
      <alignment horizontal="right" vertical="center"/>
    </xf>
    <xf numFmtId="169" fontId="6" fillId="2" borderId="135" xfId="3" applyNumberFormat="1" applyFont="1" applyFill="1" applyBorder="1" applyAlignment="1">
      <alignment horizontal="center" vertical="center"/>
    </xf>
    <xf numFmtId="171" fontId="6" fillId="2" borderId="136" xfId="3" applyNumberFormat="1" applyFont="1" applyFill="1" applyBorder="1" applyAlignment="1">
      <alignment horizontal="right" vertical="center"/>
    </xf>
    <xf numFmtId="169" fontId="6" fillId="2" borderId="98" xfId="3" applyNumberFormat="1" applyFont="1" applyFill="1" applyBorder="1" applyAlignment="1">
      <alignment horizontal="center" vertical="center"/>
    </xf>
    <xf numFmtId="171" fontId="6" fillId="2" borderId="137" xfId="3" applyNumberFormat="1" applyFont="1" applyFill="1" applyBorder="1" applyAlignment="1">
      <alignment horizontal="right" vertical="center"/>
    </xf>
    <xf numFmtId="13" fontId="0" fillId="0" borderId="0" xfId="2" applyNumberFormat="1" applyFont="1"/>
    <xf numFmtId="164" fontId="0" fillId="0" borderId="0" xfId="0" applyNumberFormat="1" applyAlignment="1">
      <alignment wrapText="1"/>
    </xf>
    <xf numFmtId="4" fontId="6" fillId="2" borderId="138" xfId="3" applyNumberFormat="1" applyFont="1" applyFill="1" applyBorder="1" applyAlignment="1">
      <alignment horizontal="right" vertical="center"/>
    </xf>
    <xf numFmtId="182" fontId="6" fillId="0" borderId="121" xfId="0" applyNumberFormat="1" applyFont="1" applyBorder="1"/>
    <xf numFmtId="0" fontId="0" fillId="0" borderId="139" xfId="0" applyBorder="1"/>
    <xf numFmtId="0" fontId="0" fillId="0" borderId="115" xfId="0" applyBorder="1"/>
    <xf numFmtId="0" fontId="22" fillId="8" borderId="77" xfId="0" applyFont="1" applyFill="1" applyBorder="1" applyAlignment="1">
      <alignment horizontal="center" vertical="center" wrapText="1"/>
    </xf>
    <xf numFmtId="2" fontId="23" fillId="8" borderId="77" xfId="0" applyNumberFormat="1" applyFont="1" applyFill="1" applyBorder="1" applyAlignment="1">
      <alignment horizontal="center" vertical="center"/>
    </xf>
    <xf numFmtId="180" fontId="22" fillId="8" borderId="53" xfId="2" applyNumberFormat="1" applyFont="1" applyFill="1" applyBorder="1" applyAlignment="1">
      <alignment vertical="center"/>
    </xf>
    <xf numFmtId="182" fontId="6" fillId="0" borderId="74" xfId="0" applyNumberFormat="1" applyFont="1" applyBorder="1" applyAlignment="1">
      <alignment vertical="center"/>
    </xf>
    <xf numFmtId="164" fontId="6" fillId="0" borderId="98" xfId="1" applyNumberFormat="1" applyFont="1" applyBorder="1" applyAlignment="1">
      <alignment vertical="center"/>
    </xf>
    <xf numFmtId="44" fontId="31" fillId="0" borderId="0" xfId="0" applyNumberFormat="1" applyFont="1" applyAlignment="1">
      <alignment wrapText="1"/>
    </xf>
    <xf numFmtId="164" fontId="6" fillId="0" borderId="71" xfId="1" applyNumberFormat="1" applyFont="1" applyFill="1" applyBorder="1"/>
    <xf numFmtId="164" fontId="6" fillId="0" borderId="77" xfId="1" applyNumberFormat="1" applyFont="1" applyFill="1" applyBorder="1"/>
    <xf numFmtId="164" fontId="6" fillId="0" borderId="91" xfId="1" applyNumberFormat="1" applyFont="1" applyFill="1" applyBorder="1"/>
    <xf numFmtId="170" fontId="0" fillId="0" borderId="0" xfId="0" applyNumberFormat="1"/>
    <xf numFmtId="164" fontId="6" fillId="0" borderId="91" xfId="0" applyNumberFormat="1" applyFont="1" applyBorder="1"/>
    <xf numFmtId="2" fontId="22" fillId="11" borderId="140" xfId="0" applyNumberFormat="1" applyFont="1" applyFill="1" applyBorder="1" applyAlignment="1">
      <alignment horizontal="center" vertical="center"/>
    </xf>
    <xf numFmtId="0" fontId="23" fillId="11" borderId="91" xfId="8" applyFont="1" applyFill="1" applyBorder="1" applyAlignment="1">
      <alignment horizontal="justify" vertical="center" wrapText="1"/>
    </xf>
    <xf numFmtId="0" fontId="23" fillId="11" borderId="91" xfId="8" applyFont="1" applyFill="1" applyBorder="1" applyAlignment="1">
      <alignment horizontal="center" vertical="center"/>
    </xf>
    <xf numFmtId="2" fontId="23" fillId="11" borderId="91" xfId="0" applyNumberFormat="1" applyFont="1" applyFill="1" applyBorder="1" applyAlignment="1">
      <alignment horizontal="center" vertical="center"/>
    </xf>
    <xf numFmtId="164" fontId="6" fillId="0" borderId="77" xfId="0" applyNumberFormat="1" applyFont="1" applyBorder="1"/>
    <xf numFmtId="0" fontId="22" fillId="8" borderId="77" xfId="0" applyFont="1" applyFill="1" applyBorder="1" applyAlignment="1">
      <alignment horizontal="justify" vertical="center" wrapText="1"/>
    </xf>
    <xf numFmtId="170" fontId="8" fillId="0" borderId="25" xfId="3" applyNumberFormat="1" applyFont="1" applyBorder="1" applyAlignment="1">
      <alignment horizontal="right" vertical="center"/>
    </xf>
    <xf numFmtId="170" fontId="8" fillId="0" borderId="11" xfId="3" applyNumberFormat="1" applyFont="1" applyBorder="1" applyAlignment="1">
      <alignment horizontal="right" vertical="center"/>
    </xf>
    <xf numFmtId="170" fontId="8" fillId="0" borderId="56" xfId="3" applyNumberFormat="1" applyFont="1" applyBorder="1" applyAlignment="1">
      <alignment horizontal="right" vertical="center"/>
    </xf>
    <xf numFmtId="4" fontId="9" fillId="0" borderId="30" xfId="3" applyNumberFormat="1" applyFont="1" applyBorder="1" applyAlignment="1">
      <alignment horizontal="center" vertical="center"/>
    </xf>
    <xf numFmtId="0" fontId="4" fillId="0" borderId="31" xfId="3" applyFont="1" applyBorder="1"/>
    <xf numFmtId="4" fontId="9" fillId="0" borderId="33" xfId="3" applyNumberFormat="1" applyFont="1" applyBorder="1" applyAlignment="1">
      <alignment horizontal="center" vertical="center"/>
    </xf>
    <xf numFmtId="0" fontId="4" fillId="0" borderId="34" xfId="3" applyFont="1" applyBorder="1"/>
    <xf numFmtId="4" fontId="9" fillId="0" borderId="34" xfId="3" applyNumberFormat="1" applyFont="1" applyBorder="1" applyAlignment="1">
      <alignment horizontal="center" vertical="center" wrapText="1"/>
    </xf>
    <xf numFmtId="0" fontId="4" fillId="0" borderId="35" xfId="3" applyFont="1" applyBorder="1"/>
    <xf numFmtId="4" fontId="9" fillId="0" borderId="30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4" fillId="0" borderId="2" xfId="3" applyFont="1" applyBorder="1"/>
    <xf numFmtId="0" fontId="4" fillId="0" borderId="3" xfId="3" applyFont="1" applyBorder="1"/>
    <xf numFmtId="4" fontId="7" fillId="0" borderId="4" xfId="3" applyNumberFormat="1" applyFont="1" applyBorder="1" applyAlignment="1">
      <alignment horizontal="center"/>
    </xf>
    <xf numFmtId="0" fontId="4" fillId="0" borderId="10" xfId="3" applyFont="1" applyBorder="1"/>
    <xf numFmtId="0" fontId="4" fillId="0" borderId="16" xfId="3" applyFont="1" applyBorder="1"/>
    <xf numFmtId="4" fontId="9" fillId="0" borderId="6" xfId="3" applyNumberFormat="1" applyFont="1" applyBorder="1" applyAlignment="1">
      <alignment horizontal="center"/>
    </xf>
    <xf numFmtId="4" fontId="9" fillId="0" borderId="7" xfId="3" applyNumberFormat="1" applyFont="1" applyBorder="1" applyAlignment="1">
      <alignment horizontal="center"/>
    </xf>
    <xf numFmtId="4" fontId="9" fillId="0" borderId="8" xfId="3" applyNumberFormat="1" applyFont="1" applyBorder="1" applyAlignment="1">
      <alignment horizontal="center"/>
    </xf>
    <xf numFmtId="4" fontId="9" fillId="0" borderId="12" xfId="3" applyNumberFormat="1" applyFont="1" applyBorder="1" applyAlignment="1">
      <alignment horizontal="center"/>
    </xf>
    <xf numFmtId="4" fontId="9" fillId="0" borderId="0" xfId="3" applyNumberFormat="1" applyFont="1" applyAlignment="1">
      <alignment horizontal="center"/>
    </xf>
    <xf numFmtId="4" fontId="9" fillId="0" borderId="13" xfId="3" applyNumberFormat="1" applyFont="1" applyBorder="1" applyAlignment="1">
      <alignment horizontal="center"/>
    </xf>
    <xf numFmtId="4" fontId="9" fillId="0" borderId="19" xfId="3" applyNumberFormat="1" applyFont="1" applyBorder="1" applyAlignment="1">
      <alignment horizontal="center"/>
    </xf>
    <xf numFmtId="4" fontId="9" fillId="0" borderId="20" xfId="3" applyNumberFormat="1" applyFont="1" applyBorder="1" applyAlignment="1">
      <alignment horizontal="center"/>
    </xf>
    <xf numFmtId="4" fontId="9" fillId="0" borderId="28" xfId="3" applyNumberFormat="1" applyFont="1" applyBorder="1" applyAlignment="1">
      <alignment horizontal="center"/>
    </xf>
    <xf numFmtId="0" fontId="8" fillId="0" borderId="9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4" fillId="0" borderId="18" xfId="3" applyFont="1" applyBorder="1"/>
    <xf numFmtId="0" fontId="27" fillId="0" borderId="6" xfId="3" applyFont="1" applyBorder="1" applyAlignment="1">
      <alignment horizontal="center" vertical="center" wrapText="1"/>
    </xf>
    <xf numFmtId="0" fontId="28" fillId="0" borderId="7" xfId="3" applyFont="1" applyBorder="1"/>
    <xf numFmtId="0" fontId="28" fillId="0" borderId="15" xfId="3" applyFont="1" applyBorder="1"/>
    <xf numFmtId="0" fontId="28" fillId="0" borderId="19" xfId="3" applyFont="1" applyBorder="1"/>
    <xf numFmtId="0" fontId="28" fillId="0" borderId="20" xfId="3" applyFont="1" applyBorder="1"/>
    <xf numFmtId="0" fontId="28" fillId="0" borderId="21" xfId="3" applyFont="1" applyBorder="1"/>
    <xf numFmtId="0" fontId="8" fillId="0" borderId="1" xfId="3" applyFont="1" applyBorder="1" applyAlignment="1">
      <alignment horizontal="center" vertical="center"/>
    </xf>
    <xf numFmtId="0" fontId="4" fillId="0" borderId="23" xfId="3" applyFont="1" applyBorder="1"/>
    <xf numFmtId="0" fontId="4" fillId="0" borderId="26" xfId="3" applyFont="1" applyBorder="1"/>
    <xf numFmtId="17" fontId="8" fillId="0" borderId="6" xfId="3" applyNumberFormat="1" applyFont="1" applyBorder="1" applyAlignment="1">
      <alignment horizontal="center" vertical="center" wrapText="1"/>
    </xf>
    <xf numFmtId="0" fontId="4" fillId="0" borderId="7" xfId="3" applyFont="1" applyBorder="1"/>
    <xf numFmtId="0" fontId="4" fillId="0" borderId="15" xfId="3" applyFont="1" applyBorder="1"/>
    <xf numFmtId="0" fontId="4" fillId="0" borderId="12" xfId="3" applyFont="1" applyBorder="1"/>
    <xf numFmtId="0" fontId="2" fillId="0" borderId="0" xfId="3"/>
    <xf numFmtId="0" fontId="4" fillId="0" borderId="27" xfId="3" applyFont="1" applyBorder="1"/>
    <xf numFmtId="0" fontId="4" fillId="0" borderId="19" xfId="3" applyFont="1" applyBorder="1"/>
    <xf numFmtId="0" fontId="4" fillId="0" borderId="20" xfId="3" applyFont="1" applyBorder="1"/>
    <xf numFmtId="0" fontId="4" fillId="0" borderId="21" xfId="3" applyFont="1" applyBorder="1"/>
    <xf numFmtId="0" fontId="12" fillId="3" borderId="0" xfId="3" applyFont="1" applyFill="1" applyAlignment="1">
      <alignment horizontal="center" vertical="center"/>
    </xf>
    <xf numFmtId="0" fontId="4" fillId="0" borderId="0" xfId="3" applyFont="1"/>
    <xf numFmtId="3" fontId="9" fillId="0" borderId="33" xfId="3" applyNumberFormat="1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170" fontId="8" fillId="0" borderId="78" xfId="3" applyNumberFormat="1" applyFont="1" applyBorder="1" applyAlignment="1">
      <alignment horizontal="right" vertical="center"/>
    </xf>
    <xf numFmtId="170" fontId="8" fillId="0" borderId="79" xfId="3" applyNumberFormat="1" applyFont="1" applyBorder="1" applyAlignment="1">
      <alignment horizontal="right" vertical="center"/>
    </xf>
    <xf numFmtId="0" fontId="4" fillId="0" borderId="56" xfId="3" applyFont="1" applyBorder="1"/>
    <xf numFmtId="0" fontId="4" fillId="0" borderId="79" xfId="3" applyFont="1" applyBorder="1"/>
    <xf numFmtId="0" fontId="8" fillId="0" borderId="25" xfId="3" applyFont="1" applyBorder="1" applyAlignment="1">
      <alignment horizontal="left" vertical="center"/>
    </xf>
    <xf numFmtId="170" fontId="8" fillId="0" borderId="57" xfId="3" applyNumberFormat="1" applyFont="1" applyBorder="1" applyAlignment="1">
      <alignment horizontal="right" vertical="center"/>
    </xf>
    <xf numFmtId="170" fontId="8" fillId="0" borderId="11" xfId="3" applyNumberFormat="1" applyFont="1" applyBorder="1" applyAlignment="1">
      <alignment horizontal="center" vertical="center"/>
    </xf>
    <xf numFmtId="170" fontId="4" fillId="0" borderId="58" xfId="3" applyNumberFormat="1" applyFont="1" applyBorder="1"/>
    <xf numFmtId="0" fontId="8" fillId="0" borderId="60" xfId="3" applyFont="1" applyBorder="1" applyAlignment="1">
      <alignment horizontal="left" vertical="center"/>
    </xf>
    <xf numFmtId="0" fontId="4" fillId="0" borderId="61" xfId="3" applyFont="1" applyBorder="1"/>
    <xf numFmtId="170" fontId="8" fillId="0" borderId="63" xfId="3" applyNumberFormat="1" applyFont="1" applyBorder="1" applyAlignment="1">
      <alignment horizontal="center" vertical="center"/>
    </xf>
    <xf numFmtId="170" fontId="4" fillId="0" borderId="64" xfId="3" applyNumberFormat="1" applyFont="1" applyBorder="1"/>
    <xf numFmtId="170" fontId="8" fillId="0" borderId="60" xfId="3" applyNumberFormat="1" applyFont="1" applyBorder="1" applyAlignment="1">
      <alignment horizontal="right" vertical="center"/>
    </xf>
    <xf numFmtId="170" fontId="8" fillId="0" borderId="65" xfId="3" applyNumberFormat="1" applyFont="1" applyBorder="1" applyAlignment="1">
      <alignment horizontal="right" vertical="center"/>
    </xf>
    <xf numFmtId="0" fontId="4" fillId="0" borderId="64" xfId="3" applyFont="1" applyBorder="1"/>
    <xf numFmtId="170" fontId="8" fillId="0" borderId="64" xfId="3" applyNumberFormat="1" applyFont="1" applyBorder="1" applyAlignment="1">
      <alignment horizontal="right" vertical="center"/>
    </xf>
    <xf numFmtId="170" fontId="8" fillId="0" borderId="59" xfId="3" applyNumberFormat="1" applyFont="1" applyBorder="1" applyAlignment="1">
      <alignment horizontal="center" vertical="center"/>
    </xf>
    <xf numFmtId="170" fontId="4" fillId="0" borderId="56" xfId="3" applyNumberFormat="1" applyFont="1" applyBorder="1"/>
    <xf numFmtId="0" fontId="8" fillId="0" borderId="65" xfId="3" applyFont="1" applyBorder="1" applyAlignment="1">
      <alignment horizontal="left" vertical="center"/>
    </xf>
    <xf numFmtId="170" fontId="8" fillId="0" borderId="17" xfId="3" applyNumberFormat="1" applyFont="1" applyBorder="1" applyAlignment="1">
      <alignment horizontal="right" vertical="center"/>
    </xf>
    <xf numFmtId="179" fontId="6" fillId="0" borderId="0" xfId="3" applyNumberFormat="1" applyFont="1" applyAlignment="1">
      <alignment horizontal="center"/>
    </xf>
    <xf numFmtId="170" fontId="8" fillId="0" borderId="1" xfId="3" applyNumberFormat="1" applyFont="1" applyBorder="1" applyAlignment="1">
      <alignment horizontal="right" vertical="center"/>
    </xf>
    <xf numFmtId="170" fontId="8" fillId="0" borderId="3" xfId="3" applyNumberFormat="1" applyFont="1" applyBorder="1" applyAlignment="1">
      <alignment horizontal="right" vertical="center"/>
    </xf>
    <xf numFmtId="170" fontId="8" fillId="0" borderId="65" xfId="0" applyNumberFormat="1" applyFont="1" applyBorder="1" applyAlignment="1">
      <alignment horizontal="right" vertical="center"/>
    </xf>
    <xf numFmtId="0" fontId="24" fillId="0" borderId="64" xfId="0" applyFont="1" applyBorder="1"/>
    <xf numFmtId="0" fontId="8" fillId="0" borderId="109" xfId="3" applyFont="1" applyBorder="1" applyAlignment="1">
      <alignment horizontal="left" vertical="center"/>
    </xf>
    <xf numFmtId="0" fontId="8" fillId="0" borderId="110" xfId="3" applyFont="1" applyBorder="1" applyAlignment="1">
      <alignment horizontal="left" vertical="center"/>
    </xf>
    <xf numFmtId="0" fontId="8" fillId="0" borderId="105" xfId="3" applyFont="1" applyBorder="1" applyAlignment="1">
      <alignment horizontal="left" vertical="center"/>
    </xf>
    <xf numFmtId="170" fontId="8" fillId="0" borderId="65" xfId="0" applyNumberFormat="1" applyFont="1" applyBorder="1" applyAlignment="1">
      <alignment horizontal="center" vertical="center"/>
    </xf>
    <xf numFmtId="170" fontId="8" fillId="0" borderId="64" xfId="0" applyNumberFormat="1" applyFont="1" applyBorder="1" applyAlignment="1">
      <alignment horizontal="center" vertical="center"/>
    </xf>
    <xf numFmtId="170" fontId="8" fillId="0" borderId="60" xfId="0" applyNumberFormat="1" applyFont="1" applyBorder="1" applyAlignment="1">
      <alignment horizontal="right" vertical="center"/>
    </xf>
    <xf numFmtId="0" fontId="24" fillId="0" borderId="61" xfId="0" applyFont="1" applyBorder="1"/>
    <xf numFmtId="0" fontId="8" fillId="0" borderId="108" xfId="3" applyFont="1" applyBorder="1" applyAlignment="1">
      <alignment horizontal="left" vertical="center"/>
    </xf>
    <xf numFmtId="0" fontId="8" fillId="0" borderId="106" xfId="3" applyFont="1" applyBorder="1" applyAlignment="1">
      <alignment horizontal="left" vertical="center"/>
    </xf>
    <xf numFmtId="0" fontId="8" fillId="0" borderId="107" xfId="3" applyFont="1" applyBorder="1" applyAlignment="1">
      <alignment horizontal="left" vertical="center"/>
    </xf>
    <xf numFmtId="170" fontId="8" fillId="0" borderId="25" xfId="0" applyNumberFormat="1" applyFont="1" applyBorder="1" applyAlignment="1">
      <alignment horizontal="right" vertical="center"/>
    </xf>
    <xf numFmtId="0" fontId="24" fillId="0" borderId="56" xfId="0" applyFont="1" applyBorder="1"/>
    <xf numFmtId="170" fontId="8" fillId="0" borderId="25" xfId="0" applyNumberFormat="1" applyFont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170" fontId="8" fillId="0" borderId="78" xfId="0" applyNumberFormat="1" applyFont="1" applyBorder="1" applyAlignment="1">
      <alignment horizontal="right" vertical="center"/>
    </xf>
    <xf numFmtId="170" fontId="24" fillId="0" borderId="79" xfId="0" applyNumberFormat="1" applyFont="1" applyBorder="1"/>
    <xf numFmtId="170" fontId="8" fillId="0" borderId="85" xfId="0" applyNumberFormat="1" applyFont="1" applyBorder="1" applyAlignment="1">
      <alignment horizontal="center" vertical="center"/>
    </xf>
    <xf numFmtId="170" fontId="8" fillId="0" borderId="86" xfId="0" applyNumberFormat="1" applyFont="1" applyBorder="1" applyAlignment="1">
      <alignment horizontal="center" vertical="center"/>
    </xf>
    <xf numFmtId="0" fontId="8" fillId="11" borderId="72" xfId="0" applyFont="1" applyFill="1" applyBorder="1" applyAlignment="1">
      <alignment horizontal="center" vertical="center" textRotation="90"/>
    </xf>
    <xf numFmtId="0" fontId="8" fillId="11" borderId="75" xfId="0" applyFont="1" applyFill="1" applyBorder="1" applyAlignment="1">
      <alignment horizontal="center" vertical="center" textRotation="90"/>
    </xf>
    <xf numFmtId="0" fontId="8" fillId="11" borderId="88" xfId="0" applyFont="1" applyFill="1" applyBorder="1" applyAlignment="1">
      <alignment horizontal="center" vertical="center" textRotation="90"/>
    </xf>
    <xf numFmtId="0" fontId="8" fillId="11" borderId="118" xfId="0" applyFont="1" applyFill="1" applyBorder="1" applyAlignment="1">
      <alignment horizontal="center" vertical="center" textRotation="90"/>
    </xf>
    <xf numFmtId="0" fontId="8" fillId="11" borderId="90" xfId="0" applyFont="1" applyFill="1" applyBorder="1" applyAlignment="1">
      <alignment horizontal="center" vertical="center" textRotation="90"/>
    </xf>
    <xf numFmtId="0" fontId="8" fillId="12" borderId="88" xfId="0" applyFont="1" applyFill="1" applyBorder="1" applyAlignment="1">
      <alignment horizontal="center" vertical="center" textRotation="90"/>
    </xf>
    <xf numFmtId="0" fontId="8" fillId="12" borderId="118" xfId="0" applyFont="1" applyFill="1" applyBorder="1" applyAlignment="1">
      <alignment horizontal="center" vertical="center" textRotation="90"/>
    </xf>
    <xf numFmtId="0" fontId="8" fillId="13" borderId="88" xfId="0" applyFont="1" applyFill="1" applyBorder="1" applyAlignment="1">
      <alignment horizontal="center" vertical="center" textRotation="90"/>
    </xf>
    <xf numFmtId="0" fontId="8" fillId="13" borderId="118" xfId="0" applyFont="1" applyFill="1" applyBorder="1" applyAlignment="1">
      <alignment horizontal="center" vertical="center" textRotation="90"/>
    </xf>
    <xf numFmtId="4" fontId="8" fillId="0" borderId="119" xfId="3" applyNumberFormat="1" applyFont="1" applyBorder="1" applyAlignment="1">
      <alignment horizontal="left" vertical="center"/>
    </xf>
    <xf numFmtId="4" fontId="8" fillId="0" borderId="120" xfId="3" applyNumberFormat="1" applyFont="1" applyBorder="1" applyAlignment="1">
      <alignment horizontal="left" vertical="center"/>
    </xf>
    <xf numFmtId="4" fontId="8" fillId="0" borderId="122" xfId="3" applyNumberFormat="1" applyFont="1" applyBorder="1" applyAlignment="1">
      <alignment horizontal="left" vertical="center"/>
    </xf>
    <xf numFmtId="0" fontId="6" fillId="7" borderId="69" xfId="0" applyFont="1" applyFill="1" applyBorder="1" applyAlignment="1">
      <alignment horizontal="center" vertical="center" textRotation="90" wrapText="1"/>
    </xf>
    <xf numFmtId="0" fontId="6" fillId="7" borderId="72" xfId="0" applyFont="1" applyFill="1" applyBorder="1" applyAlignment="1">
      <alignment horizontal="center" vertical="center" textRotation="90" wrapText="1"/>
    </xf>
    <xf numFmtId="0" fontId="6" fillId="7" borderId="75" xfId="0" applyFont="1" applyFill="1" applyBorder="1" applyAlignment="1">
      <alignment horizontal="center" vertical="center" textRotation="90" wrapText="1"/>
    </xf>
    <xf numFmtId="0" fontId="8" fillId="7" borderId="69" xfId="0" applyFont="1" applyFill="1" applyBorder="1" applyAlignment="1">
      <alignment horizontal="center" vertical="center" textRotation="90" wrapText="1"/>
    </xf>
    <xf numFmtId="0" fontId="8" fillId="7" borderId="72" xfId="0" applyFont="1" applyFill="1" applyBorder="1" applyAlignment="1">
      <alignment horizontal="center" vertical="center" textRotation="90" wrapText="1"/>
    </xf>
    <xf numFmtId="0" fontId="8" fillId="7" borderId="75" xfId="0" applyFont="1" applyFill="1" applyBorder="1" applyAlignment="1">
      <alignment horizontal="center" vertical="center" textRotation="90" wrapText="1"/>
    </xf>
    <xf numFmtId="0" fontId="8" fillId="8" borderId="69" xfId="0" applyFont="1" applyFill="1" applyBorder="1" applyAlignment="1">
      <alignment horizontal="center" vertical="center" textRotation="90" wrapText="1"/>
    </xf>
    <xf numFmtId="0" fontId="8" fillId="8" borderId="72" xfId="0" applyFont="1" applyFill="1" applyBorder="1" applyAlignment="1">
      <alignment horizontal="center" vertical="center" textRotation="90" wrapText="1"/>
    </xf>
    <xf numFmtId="0" fontId="8" fillId="8" borderId="75" xfId="0" applyFont="1" applyFill="1" applyBorder="1" applyAlignment="1">
      <alignment horizontal="center" vertical="center" textRotation="90" wrapText="1"/>
    </xf>
    <xf numFmtId="0" fontId="8" fillId="9" borderId="69" xfId="0" applyFont="1" applyFill="1" applyBorder="1" applyAlignment="1">
      <alignment horizontal="center" vertical="center" textRotation="90"/>
    </xf>
    <xf numFmtId="0" fontId="8" fillId="9" borderId="72" xfId="0" applyFont="1" applyFill="1" applyBorder="1" applyAlignment="1">
      <alignment horizontal="center" vertical="center" textRotation="90"/>
    </xf>
    <xf numFmtId="0" fontId="6" fillId="6" borderId="69" xfId="0" applyFont="1" applyFill="1" applyBorder="1" applyAlignment="1">
      <alignment horizontal="center" vertical="center" textRotation="90"/>
    </xf>
    <xf numFmtId="0" fontId="6" fillId="6" borderId="72" xfId="0" applyFont="1" applyFill="1" applyBorder="1" applyAlignment="1">
      <alignment horizontal="center" vertical="center" textRotation="90"/>
    </xf>
    <xf numFmtId="0" fontId="6" fillId="6" borderId="75" xfId="0" applyFont="1" applyFill="1" applyBorder="1" applyAlignment="1">
      <alignment horizontal="center" vertical="center" textRotation="90"/>
    </xf>
    <xf numFmtId="0" fontId="8" fillId="6" borderId="69" xfId="0" applyFont="1" applyFill="1" applyBorder="1" applyAlignment="1">
      <alignment horizontal="center" vertical="center" textRotation="90"/>
    </xf>
    <xf numFmtId="0" fontId="8" fillId="6" borderId="72" xfId="0" applyFont="1" applyFill="1" applyBorder="1" applyAlignment="1">
      <alignment horizontal="center" vertical="center" textRotation="90"/>
    </xf>
    <xf numFmtId="0" fontId="8" fillId="10" borderId="81" xfId="0" applyFont="1" applyFill="1" applyBorder="1" applyAlignment="1">
      <alignment horizontal="center" vertical="center" wrapText="1"/>
    </xf>
    <xf numFmtId="0" fontId="8" fillId="10" borderId="82" xfId="0" applyFont="1" applyFill="1" applyBorder="1" applyAlignment="1">
      <alignment horizontal="center" vertical="center" wrapText="1"/>
    </xf>
    <xf numFmtId="0" fontId="8" fillId="10" borderId="89" xfId="0" applyFont="1" applyFill="1" applyBorder="1" applyAlignment="1">
      <alignment horizontal="center" vertical="center" wrapText="1"/>
    </xf>
    <xf numFmtId="0" fontId="8" fillId="10" borderId="90" xfId="0" applyFont="1" applyFill="1" applyBorder="1" applyAlignment="1">
      <alignment horizontal="center" vertical="center" wrapText="1"/>
    </xf>
    <xf numFmtId="0" fontId="8" fillId="10" borderId="87" xfId="0" applyFont="1" applyFill="1" applyBorder="1" applyAlignment="1">
      <alignment horizontal="center" vertical="center" wrapText="1"/>
    </xf>
    <xf numFmtId="0" fontId="8" fillId="10" borderId="88" xfId="0" applyFont="1" applyFill="1" applyBorder="1" applyAlignment="1">
      <alignment horizontal="center" vertical="center" wrapText="1"/>
    </xf>
  </cellXfs>
  <cellStyles count="9">
    <cellStyle name="Millares" xfId="1" builtinId="3"/>
    <cellStyle name="Millares 3" xfId="4" xr:uid="{579EF054-7E77-4179-929C-F257DBB6FC1E}"/>
    <cellStyle name="Moneda" xfId="2" builtinId="4"/>
    <cellStyle name="Moneda 17" xfId="7" xr:uid="{997DB676-1089-4F9E-9BB7-D079C9BD6781}"/>
    <cellStyle name="Normal" xfId="0" builtinId="0"/>
    <cellStyle name="Normal 2 2" xfId="6" xr:uid="{008AC17C-0085-4DEF-932A-A988109B8F5B}"/>
    <cellStyle name="Normal 2 2 2" xfId="8" xr:uid="{AFA66D80-1F75-48BD-A04B-6F15621A4B09}"/>
    <cellStyle name="Normal 3" xfId="3" xr:uid="{261AB8C2-6B45-4CAD-8953-6ED68F2ADF2A}"/>
    <cellStyle name="Porcentaje 2" xfId="5" xr:uid="{D7CF2808-74FA-4E26-BDDB-3E352CF49537}"/>
  </cellStyles>
  <dxfs count="0"/>
  <tableStyles count="0" defaultTableStyle="TableStyleMedium2" defaultPivotStyle="PivotStyleLight16"/>
  <colors>
    <mruColors>
      <color rgb="FFAEC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1017625</xdr:colOff>
      <xdr:row>1</xdr:row>
      <xdr:rowOff>160230</xdr:rowOff>
    </xdr:from>
    <xdr:to>
      <xdr:col>9</xdr:col>
      <xdr:colOff>958883</xdr:colOff>
      <xdr:row>7</xdr:row>
      <xdr:rowOff>623128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598CEE-3622-495D-9D86-1791ACFE6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505" y="594570"/>
          <a:ext cx="5954131" cy="2302955"/>
        </a:xfrm>
        <a:prstGeom prst="rect">
          <a:avLst/>
        </a:prstGeom>
      </xdr:spPr>
    </xdr:pic>
    <xdr:clientData/>
  </xdr:twoCellAnchor>
  <xdr:twoCellAnchor editAs="oneCell">
    <xdr:from>
      <xdr:col>4</xdr:col>
      <xdr:colOff>1017625</xdr:colOff>
      <xdr:row>1</xdr:row>
      <xdr:rowOff>160230</xdr:rowOff>
    </xdr:from>
    <xdr:to>
      <xdr:col>9</xdr:col>
      <xdr:colOff>958883</xdr:colOff>
      <xdr:row>7</xdr:row>
      <xdr:rowOff>623128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7683F4-9C4C-4653-930F-A4268443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505" y="594570"/>
          <a:ext cx="7340971" cy="2312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servacioncostera-my.sharepoint.com/Users/alvar/Desktop/_CRUCE%20DE%20APUS%20-%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4"/>
      <sheetName val="EJERCICIO 15 20"/>
      <sheetName val="PPTO"/>
      <sheetName val="Hoja5"/>
      <sheetName val="DATOS"/>
      <sheetName val="CAP.1"/>
      <sheetName val="CAP.2"/>
      <sheetName val="CAP.3 "/>
      <sheetName val="CAP.4"/>
      <sheetName val="CAP.5 "/>
      <sheetName val="CAP.6 "/>
      <sheetName val="CAP.7 "/>
      <sheetName val="CAP.8 "/>
      <sheetName val="CAP.9 "/>
      <sheetName val="CAP.10"/>
      <sheetName val="CAP.1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1">
          <cell r="H41">
            <v>460010.57287752721</v>
          </cell>
        </row>
        <row r="134">
          <cell r="C134" t="str">
            <v>5.04</v>
          </cell>
        </row>
        <row r="174">
          <cell r="C174" t="str">
            <v>5.05</v>
          </cell>
        </row>
        <row r="216">
          <cell r="C216" t="str">
            <v>5.06</v>
          </cell>
        </row>
        <row r="257">
          <cell r="C257" t="str">
            <v>5.07</v>
          </cell>
        </row>
        <row r="298">
          <cell r="C298" t="str">
            <v>5.08</v>
          </cell>
        </row>
        <row r="340">
          <cell r="C340" t="str">
            <v>5.09</v>
          </cell>
        </row>
        <row r="382">
          <cell r="C382" t="str">
            <v>5.10</v>
          </cell>
        </row>
        <row r="424">
          <cell r="C424" t="str">
            <v>5.11</v>
          </cell>
        </row>
        <row r="466">
          <cell r="C466" t="str">
            <v>5.12</v>
          </cell>
        </row>
        <row r="508">
          <cell r="C508" t="str">
            <v>5.13</v>
          </cell>
        </row>
        <row r="549">
          <cell r="C549" t="str">
            <v>5.14</v>
          </cell>
        </row>
        <row r="591">
          <cell r="C591" t="str">
            <v>5.15</v>
          </cell>
        </row>
        <row r="633">
          <cell r="C633" t="str">
            <v>5.16</v>
          </cell>
        </row>
        <row r="675">
          <cell r="C675" t="str">
            <v>5.17</v>
          </cell>
        </row>
        <row r="859">
          <cell r="C859" t="str">
            <v>5.21</v>
          </cell>
        </row>
        <row r="1001">
          <cell r="C1001" t="str">
            <v>5.24</v>
          </cell>
        </row>
        <row r="1044">
          <cell r="C1044" t="str">
            <v>5.25</v>
          </cell>
        </row>
        <row r="1096">
          <cell r="C1096" t="str">
            <v>5.26</v>
          </cell>
        </row>
        <row r="1140">
          <cell r="C1140" t="str">
            <v>5.27</v>
          </cell>
        </row>
        <row r="1187">
          <cell r="C1187" t="str">
            <v>5.28</v>
          </cell>
        </row>
        <row r="1233">
          <cell r="C1233" t="str">
            <v>5.29</v>
          </cell>
        </row>
        <row r="1284">
          <cell r="C1284" t="str">
            <v>5.30</v>
          </cell>
        </row>
        <row r="1330">
          <cell r="C1330" t="str">
            <v>5.31</v>
          </cell>
        </row>
        <row r="1371">
          <cell r="C1371" t="str">
            <v>5.32</v>
          </cell>
        </row>
        <row r="1411">
          <cell r="C1411" t="str">
            <v>5.33</v>
          </cell>
        </row>
        <row r="1446">
          <cell r="C1446" t="str">
            <v>5.34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6F0880-B2D6-4AFD-B33B-02EB3C49379D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EwyupUf8b-M74EJVpBih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B756-BADB-4A9F-B0BE-E02B44B9F138}">
  <dimension ref="A1:AT1243"/>
  <sheetViews>
    <sheetView tabSelected="1" topLeftCell="A310" zoomScale="55" zoomScaleNormal="55" workbookViewId="0">
      <selection activeCell="E27" sqref="E27:E48"/>
    </sheetView>
  </sheetViews>
  <sheetFormatPr baseColWidth="10" defaultColWidth="14.44140625" defaultRowHeight="15" customHeight="1" x14ac:dyDescent="0.3"/>
  <cols>
    <col min="1" max="1" width="7.44140625" style="3" customWidth="1"/>
    <col min="2" max="2" width="75.44140625" style="221" customWidth="1"/>
    <col min="3" max="3" width="14.5546875" style="3" customWidth="1"/>
    <col min="4" max="4" width="16.33203125" style="3" customWidth="1"/>
    <col min="5" max="5" width="19.33203125" style="3" bestFit="1" customWidth="1"/>
    <col min="6" max="6" width="24" style="3" customWidth="1"/>
    <col min="7" max="7" width="17.109375" style="3" customWidth="1"/>
    <col min="8" max="8" width="21.109375" style="3" customWidth="1"/>
    <col min="9" max="9" width="26.33203125" style="3" customWidth="1"/>
    <col min="10" max="10" width="25.109375" style="3" customWidth="1"/>
    <col min="11" max="11" width="15.44140625" style="3" hidden="1" customWidth="1"/>
    <col min="12" max="12" width="18.5546875" style="3" hidden="1" customWidth="1"/>
    <col min="13" max="13" width="15.44140625" style="3" hidden="1" customWidth="1"/>
    <col min="14" max="14" width="18.5546875" style="3" hidden="1" customWidth="1"/>
    <col min="15" max="15" width="15.44140625" style="3" hidden="1" customWidth="1"/>
    <col min="16" max="16" width="18.5546875" style="3" hidden="1" customWidth="1"/>
    <col min="17" max="17" width="15.44140625" style="3" hidden="1" customWidth="1"/>
    <col min="18" max="18" width="18.5546875" style="3" hidden="1" customWidth="1"/>
    <col min="19" max="19" width="17.109375" style="3" customWidth="1"/>
    <col min="20" max="20" width="24.109375" style="3" customWidth="1"/>
    <col min="21" max="21" width="3.6640625" style="3" customWidth="1"/>
    <col min="22" max="22" width="28.44140625" style="3" bestFit="1" customWidth="1"/>
    <col min="23" max="23" width="22.44140625" style="3" customWidth="1"/>
    <col min="24" max="24" width="20.6640625" style="3" customWidth="1"/>
    <col min="25" max="25" width="11.44140625" style="3" customWidth="1"/>
    <col min="26" max="26" width="21.109375" style="3" customWidth="1"/>
    <col min="27" max="27" width="7.109375" style="3" customWidth="1"/>
    <col min="28" max="28" width="33.88671875" style="3" customWidth="1"/>
    <col min="29" max="29" width="6.44140625" style="3" customWidth="1"/>
    <col min="30" max="30" width="17.44140625" style="3" customWidth="1"/>
    <col min="31" max="31" width="15.5546875" style="3" customWidth="1"/>
    <col min="32" max="32" width="21.6640625" style="3" customWidth="1"/>
    <col min="33" max="34" width="10.6640625" style="3" customWidth="1"/>
    <col min="35" max="35" width="7.109375" style="3" customWidth="1"/>
    <col min="36" max="36" width="34" style="3" customWidth="1"/>
    <col min="37" max="37" width="10.6640625" style="3" customWidth="1"/>
    <col min="38" max="38" width="24.33203125" style="3" customWidth="1"/>
    <col min="39" max="39" width="21.109375" style="3" customWidth="1"/>
    <col min="40" max="40" width="25.109375" style="3" customWidth="1"/>
    <col min="41" max="45" width="14.44140625" style="3"/>
    <col min="46" max="46" width="15.5546875" style="3" bestFit="1" customWidth="1"/>
    <col min="47" max="16384" width="14.44140625" style="3"/>
  </cols>
  <sheetData>
    <row r="1" spans="1:46" ht="34.5" customHeight="1" thickTop="1" thickBot="1" x14ac:dyDescent="0.35">
      <c r="A1" s="357" t="s">
        <v>625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9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6" ht="38.4" customHeight="1" thickTop="1" thickBot="1" x14ac:dyDescent="0.35">
      <c r="A2" s="360"/>
      <c r="B2" s="4" t="s">
        <v>0</v>
      </c>
      <c r="C2" s="363"/>
      <c r="D2" s="364"/>
      <c r="E2" s="364"/>
      <c r="F2" s="364"/>
      <c r="G2" s="364"/>
      <c r="H2" s="364"/>
      <c r="I2" s="364"/>
      <c r="J2" s="365"/>
      <c r="K2" s="5"/>
      <c r="L2" s="5"/>
      <c r="M2" s="5"/>
      <c r="N2" s="5"/>
      <c r="O2" s="372"/>
      <c r="P2" s="358"/>
      <c r="Q2" s="358"/>
      <c r="R2" s="358"/>
      <c r="S2" s="358"/>
      <c r="T2" s="359"/>
      <c r="U2" s="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6" ht="23.25" customHeight="1" thickTop="1" x14ac:dyDescent="0.3">
      <c r="A3" s="361"/>
      <c r="B3" s="7" t="s">
        <v>1</v>
      </c>
      <c r="C3" s="366"/>
      <c r="D3" s="367"/>
      <c r="E3" s="367"/>
      <c r="F3" s="367"/>
      <c r="G3" s="367"/>
      <c r="H3" s="367"/>
      <c r="I3" s="367"/>
      <c r="J3" s="368"/>
      <c r="K3" s="8"/>
      <c r="L3" s="8"/>
      <c r="M3" s="8"/>
      <c r="N3" s="8"/>
      <c r="O3" s="373"/>
      <c r="P3" s="375" t="s">
        <v>626</v>
      </c>
      <c r="Q3" s="376"/>
      <c r="R3" s="376"/>
      <c r="S3" s="376"/>
      <c r="T3" s="377"/>
      <c r="U3" s="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6" ht="26.25" customHeight="1" thickBot="1" x14ac:dyDescent="0.35">
      <c r="A4" s="362"/>
      <c r="B4" s="10" t="s">
        <v>2</v>
      </c>
      <c r="C4" s="366"/>
      <c r="D4" s="367"/>
      <c r="E4" s="367"/>
      <c r="F4" s="367"/>
      <c r="G4" s="367"/>
      <c r="H4" s="367"/>
      <c r="I4" s="367"/>
      <c r="J4" s="368"/>
      <c r="K4" s="8"/>
      <c r="L4" s="8"/>
      <c r="M4" s="8"/>
      <c r="N4" s="8"/>
      <c r="O4" s="374"/>
      <c r="P4" s="378"/>
      <c r="Q4" s="379"/>
      <c r="R4" s="379"/>
      <c r="S4" s="379"/>
      <c r="T4" s="380"/>
      <c r="U4" s="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6" ht="15" customHeight="1" thickTop="1" thickBot="1" x14ac:dyDescent="0.35">
      <c r="A5" s="11"/>
      <c r="B5" s="12"/>
      <c r="C5" s="366"/>
      <c r="D5" s="367"/>
      <c r="E5" s="367"/>
      <c r="F5" s="367"/>
      <c r="G5" s="367"/>
      <c r="H5" s="367"/>
      <c r="I5" s="367"/>
      <c r="J5" s="368"/>
      <c r="K5" s="8"/>
      <c r="L5" s="8"/>
      <c r="M5" s="8"/>
      <c r="N5" s="8"/>
      <c r="O5" s="13"/>
      <c r="P5" s="14"/>
      <c r="Q5" s="13"/>
      <c r="R5" s="14"/>
      <c r="S5" s="381"/>
      <c r="T5" s="382"/>
      <c r="U5" s="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6" ht="23.25" customHeight="1" thickTop="1" x14ac:dyDescent="0.3">
      <c r="A6" s="360"/>
      <c r="B6" s="15" t="s">
        <v>3</v>
      </c>
      <c r="C6" s="366"/>
      <c r="D6" s="367"/>
      <c r="E6" s="367"/>
      <c r="F6" s="367"/>
      <c r="G6" s="367"/>
      <c r="H6" s="367"/>
      <c r="I6" s="367"/>
      <c r="J6" s="368"/>
      <c r="K6" s="8"/>
      <c r="L6" s="8"/>
      <c r="M6" s="8"/>
      <c r="N6" s="8"/>
      <c r="O6" s="373"/>
      <c r="P6" s="384"/>
      <c r="Q6" s="385"/>
      <c r="R6" s="385"/>
      <c r="S6" s="385"/>
      <c r="T6" s="386"/>
      <c r="U6" s="16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6" ht="21" customHeight="1" thickBot="1" x14ac:dyDescent="0.35">
      <c r="A7" s="361"/>
      <c r="B7" s="17" t="s">
        <v>4</v>
      </c>
      <c r="C7" s="366"/>
      <c r="D7" s="367"/>
      <c r="E7" s="367"/>
      <c r="F7" s="367"/>
      <c r="G7" s="367"/>
      <c r="H7" s="367"/>
      <c r="I7" s="367"/>
      <c r="J7" s="368"/>
      <c r="K7" s="8"/>
      <c r="L7" s="8"/>
      <c r="M7" s="8"/>
      <c r="N7" s="8"/>
      <c r="O7" s="383"/>
      <c r="P7" s="387"/>
      <c r="Q7" s="388"/>
      <c r="R7" s="388"/>
      <c r="S7" s="388"/>
      <c r="T7" s="389"/>
      <c r="U7" s="16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T7" s="18"/>
    </row>
    <row r="8" spans="1:46" ht="81" customHeight="1" thickTop="1" thickBot="1" x14ac:dyDescent="0.35">
      <c r="A8" s="362"/>
      <c r="B8" s="19" t="s">
        <v>5</v>
      </c>
      <c r="C8" s="369"/>
      <c r="D8" s="370"/>
      <c r="E8" s="370"/>
      <c r="F8" s="370"/>
      <c r="G8" s="370"/>
      <c r="H8" s="370"/>
      <c r="I8" s="370"/>
      <c r="J8" s="371"/>
      <c r="K8" s="20"/>
      <c r="L8" s="20"/>
      <c r="M8" s="20"/>
      <c r="N8" s="20"/>
      <c r="O8" s="374"/>
      <c r="P8" s="390"/>
      <c r="Q8" s="391"/>
      <c r="R8" s="391"/>
      <c r="S8" s="391"/>
      <c r="T8" s="392"/>
      <c r="U8" s="16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T8" s="18"/>
    </row>
    <row r="9" spans="1:46" ht="18" customHeight="1" thickTop="1" thickBot="1" x14ac:dyDescent="0.35">
      <c r="A9" s="21"/>
      <c r="B9" s="22"/>
      <c r="C9" s="23"/>
      <c r="D9" s="21"/>
      <c r="E9" s="21"/>
      <c r="F9" s="24"/>
      <c r="G9" s="24"/>
      <c r="H9" s="24"/>
      <c r="I9" s="24"/>
      <c r="J9" s="24"/>
      <c r="K9" s="24"/>
      <c r="L9" s="24"/>
      <c r="M9" s="24"/>
      <c r="N9" s="24"/>
      <c r="O9" s="2"/>
      <c r="P9" s="2"/>
      <c r="Q9" s="2"/>
      <c r="R9" s="2"/>
      <c r="S9" s="2"/>
      <c r="T9" s="2"/>
      <c r="U9" s="25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6" ht="17.25" customHeight="1" thickBot="1" x14ac:dyDescent="0.35">
      <c r="A10" s="350" t="s">
        <v>6</v>
      </c>
      <c r="B10" s="351"/>
      <c r="C10" s="26"/>
      <c r="D10" s="352" t="s">
        <v>7</v>
      </c>
      <c r="E10" s="353"/>
      <c r="F10" s="353"/>
      <c r="G10" s="354" t="s">
        <v>8</v>
      </c>
      <c r="H10" s="355"/>
      <c r="I10" s="356" t="s">
        <v>627</v>
      </c>
      <c r="J10" s="355"/>
      <c r="K10" s="356"/>
      <c r="L10" s="355"/>
      <c r="M10" s="356"/>
      <c r="N10" s="355"/>
      <c r="O10" s="356"/>
      <c r="P10" s="351"/>
      <c r="Q10" s="356"/>
      <c r="R10" s="351"/>
      <c r="S10" s="395" t="s">
        <v>9</v>
      </c>
      <c r="T10" s="355"/>
      <c r="U10" s="27"/>
      <c r="V10" s="2"/>
      <c r="W10" s="2"/>
      <c r="X10" s="2"/>
      <c r="Y10" s="2"/>
      <c r="Z10" s="2"/>
      <c r="AA10" s="396"/>
      <c r="AB10" s="394"/>
      <c r="AC10" s="394"/>
      <c r="AD10" s="394"/>
      <c r="AE10" s="394"/>
      <c r="AF10" s="394"/>
      <c r="AG10" s="2"/>
      <c r="AH10" s="2"/>
      <c r="AI10" s="393"/>
      <c r="AJ10" s="394"/>
      <c r="AK10" s="394"/>
      <c r="AL10" s="394"/>
      <c r="AM10" s="394"/>
      <c r="AN10" s="394"/>
    </row>
    <row r="11" spans="1:46" ht="26.25" customHeight="1" thickBot="1" x14ac:dyDescent="0.35">
      <c r="A11" s="28" t="s">
        <v>10</v>
      </c>
      <c r="B11" s="29" t="s">
        <v>11</v>
      </c>
      <c r="C11" s="30" t="s">
        <v>12</v>
      </c>
      <c r="D11" s="31" t="s">
        <v>13</v>
      </c>
      <c r="E11" s="31" t="s">
        <v>14</v>
      </c>
      <c r="F11" s="30" t="s">
        <v>15</v>
      </c>
      <c r="G11" s="32" t="s">
        <v>13</v>
      </c>
      <c r="H11" s="33" t="s">
        <v>15</v>
      </c>
      <c r="I11" s="297" t="s">
        <v>13</v>
      </c>
      <c r="J11" s="298" t="s">
        <v>15</v>
      </c>
      <c r="K11" s="32" t="s">
        <v>13</v>
      </c>
      <c r="L11" s="33" t="s">
        <v>15</v>
      </c>
      <c r="M11" s="32" t="s">
        <v>13</v>
      </c>
      <c r="N11" s="33" t="s">
        <v>15</v>
      </c>
      <c r="O11" s="32" t="s">
        <v>13</v>
      </c>
      <c r="P11" s="33" t="s">
        <v>15</v>
      </c>
      <c r="Q11" s="32" t="s">
        <v>13</v>
      </c>
      <c r="R11" s="33" t="s">
        <v>15</v>
      </c>
      <c r="S11" s="34" t="s">
        <v>13</v>
      </c>
      <c r="T11" s="35" t="s">
        <v>15</v>
      </c>
      <c r="U11" s="36"/>
      <c r="V11" s="2"/>
      <c r="W11" s="2"/>
      <c r="X11" s="2"/>
      <c r="Y11" s="2"/>
      <c r="Z11" s="37"/>
      <c r="AA11" s="38"/>
      <c r="AB11" s="38"/>
      <c r="AC11" s="38"/>
      <c r="AD11" s="38"/>
      <c r="AE11" s="38"/>
      <c r="AF11" s="38"/>
      <c r="AG11" s="2"/>
      <c r="AH11" s="2"/>
      <c r="AI11" s="39"/>
      <c r="AJ11" s="39"/>
      <c r="AK11" s="39"/>
      <c r="AL11" s="39"/>
      <c r="AM11" s="39"/>
      <c r="AN11" s="39"/>
    </row>
    <row r="12" spans="1:46" ht="27.6" x14ac:dyDescent="0.3">
      <c r="A12" s="44" t="s">
        <v>16</v>
      </c>
      <c r="B12" s="45" t="s">
        <v>17</v>
      </c>
      <c r="C12" s="46" t="s">
        <v>18</v>
      </c>
      <c r="D12" s="47">
        <v>1783876.7999999996</v>
      </c>
      <c r="E12" s="48">
        <v>1662.2598225265847</v>
      </c>
      <c r="F12" s="49">
        <f>+D12*E12</f>
        <v>2965266732.9772911</v>
      </c>
      <c r="G12" s="50">
        <v>60244.4</v>
      </c>
      <c r="H12" s="51">
        <v>81712611.305361301</v>
      </c>
      <c r="I12" s="52">
        <v>155957.67255767219</v>
      </c>
      <c r="J12" s="53">
        <v>259242173.10737538</v>
      </c>
      <c r="K12" s="54"/>
      <c r="L12" s="53">
        <f t="shared" ref="L12:L42" si="0">K12*$E12</f>
        <v>0</v>
      </c>
      <c r="M12" s="54"/>
      <c r="N12" s="53">
        <f t="shared" ref="N12:N42" si="1">M12*$E12</f>
        <v>0</v>
      </c>
      <c r="O12" s="54"/>
      <c r="P12" s="53">
        <f t="shared" ref="P12:P42" si="2">O12*E12</f>
        <v>0</v>
      </c>
      <c r="Q12" s="54"/>
      <c r="R12" s="53">
        <f t="shared" ref="R12:R42" si="3">Q12*G12</f>
        <v>0</v>
      </c>
      <c r="S12" s="316">
        <f t="shared" ref="S12:S61" si="4">+I12+G12</f>
        <v>216202.07255767219</v>
      </c>
      <c r="T12" s="51">
        <f>H12+J12</f>
        <v>340954784.41273665</v>
      </c>
      <c r="U12" s="36"/>
      <c r="V12" s="55"/>
      <c r="W12" s="56"/>
      <c r="X12" s="57"/>
      <c r="Y12" s="58"/>
      <c r="Z12" s="59"/>
      <c r="AA12" s="38"/>
      <c r="AD12" s="40"/>
      <c r="AE12" s="41"/>
      <c r="AF12" s="42"/>
      <c r="AG12" s="2"/>
      <c r="AH12" s="43"/>
      <c r="AI12" s="60"/>
      <c r="AJ12" s="60"/>
      <c r="AK12" s="60"/>
      <c r="AL12" s="61"/>
      <c r="AM12" s="62"/>
      <c r="AN12" s="63"/>
    </row>
    <row r="13" spans="1:46" ht="14.4" x14ac:dyDescent="0.3">
      <c r="A13" s="44" t="s">
        <v>19</v>
      </c>
      <c r="B13" s="45" t="s">
        <v>20</v>
      </c>
      <c r="C13" s="64" t="s">
        <v>21</v>
      </c>
      <c r="D13" s="65">
        <v>197175</v>
      </c>
      <c r="E13" s="66">
        <v>154.21794665428655</v>
      </c>
      <c r="F13" s="67">
        <f>+D13*E13</f>
        <v>30407923.631558951</v>
      </c>
      <c r="G13" s="68">
        <v>0</v>
      </c>
      <c r="H13" s="69">
        <v>0</v>
      </c>
      <c r="I13" s="52">
        <v>0</v>
      </c>
      <c r="J13" s="53">
        <v>0</v>
      </c>
      <c r="K13" s="54"/>
      <c r="L13" s="53">
        <f t="shared" si="0"/>
        <v>0</v>
      </c>
      <c r="M13" s="54"/>
      <c r="N13" s="53">
        <f t="shared" si="1"/>
        <v>0</v>
      </c>
      <c r="O13" s="54"/>
      <c r="P13" s="53">
        <f t="shared" si="2"/>
        <v>0</v>
      </c>
      <c r="Q13" s="54"/>
      <c r="R13" s="53">
        <f t="shared" si="3"/>
        <v>0</v>
      </c>
      <c r="S13" s="317">
        <f t="shared" si="4"/>
        <v>0</v>
      </c>
      <c r="T13" s="69">
        <f t="shared" ref="T13:T61" si="5">H13+J13</f>
        <v>0</v>
      </c>
      <c r="U13" s="36"/>
      <c r="V13" s="55"/>
      <c r="W13" s="56"/>
      <c r="X13" s="57"/>
      <c r="Y13" s="58"/>
      <c r="Z13" s="59"/>
      <c r="AA13" s="38"/>
      <c r="AD13" s="40"/>
      <c r="AE13" s="41"/>
      <c r="AF13" s="42"/>
      <c r="AG13" s="2"/>
      <c r="AH13" s="43"/>
      <c r="AI13" s="60"/>
      <c r="AJ13" s="60"/>
      <c r="AK13" s="60"/>
      <c r="AL13" s="70"/>
      <c r="AM13" s="70"/>
      <c r="AN13" s="63"/>
    </row>
    <row r="14" spans="1:46" ht="41.4" x14ac:dyDescent="0.3">
      <c r="A14" s="44" t="s">
        <v>22</v>
      </c>
      <c r="B14" s="45" t="s">
        <v>23</v>
      </c>
      <c r="C14" s="64" t="s">
        <v>24</v>
      </c>
      <c r="D14" s="65">
        <v>1044</v>
      </c>
      <c r="E14" s="66">
        <v>290842.43447819131</v>
      </c>
      <c r="F14" s="67">
        <f>+D14*E14</f>
        <v>303639501.59523171</v>
      </c>
      <c r="G14" s="68">
        <v>273</v>
      </c>
      <c r="H14" s="69">
        <v>66626698.232323229</v>
      </c>
      <c r="I14" s="52">
        <v>352</v>
      </c>
      <c r="J14" s="53">
        <v>102376536.93632334</v>
      </c>
      <c r="K14" s="54"/>
      <c r="L14" s="53">
        <f t="shared" si="0"/>
        <v>0</v>
      </c>
      <c r="M14" s="54"/>
      <c r="N14" s="53">
        <f t="shared" si="1"/>
        <v>0</v>
      </c>
      <c r="O14" s="54"/>
      <c r="P14" s="53">
        <f t="shared" si="2"/>
        <v>0</v>
      </c>
      <c r="Q14" s="54"/>
      <c r="R14" s="53">
        <f t="shared" si="3"/>
        <v>0</v>
      </c>
      <c r="S14" s="317">
        <f t="shared" si="4"/>
        <v>625</v>
      </c>
      <c r="T14" s="69">
        <f t="shared" si="5"/>
        <v>169003235.16864657</v>
      </c>
      <c r="U14" s="36"/>
      <c r="V14" s="55"/>
      <c r="W14" s="56"/>
      <c r="X14" s="57"/>
      <c r="Y14" s="58"/>
      <c r="Z14" s="59"/>
      <c r="AA14" s="38"/>
      <c r="AD14" s="40"/>
      <c r="AE14" s="41"/>
      <c r="AF14" s="42"/>
      <c r="AG14" s="2"/>
      <c r="AH14" s="43"/>
      <c r="AI14" s="60"/>
      <c r="AJ14" s="60"/>
      <c r="AK14" s="60"/>
      <c r="AL14" s="70"/>
      <c r="AM14" s="70"/>
      <c r="AN14" s="63"/>
    </row>
    <row r="15" spans="1:46" ht="14.4" x14ac:dyDescent="0.3">
      <c r="A15" s="44" t="s">
        <v>25</v>
      </c>
      <c r="B15" s="45" t="s">
        <v>26</v>
      </c>
      <c r="C15" s="64" t="s">
        <v>27</v>
      </c>
      <c r="D15" s="65">
        <v>27240</v>
      </c>
      <c r="E15" s="66">
        <v>1728.1855135438595</v>
      </c>
      <c r="F15" s="67">
        <f t="shared" ref="F15:F54" si="6">+D15*E15</f>
        <v>47075773.388934731</v>
      </c>
      <c r="G15" s="68">
        <v>2000</v>
      </c>
      <c r="H15" s="69">
        <v>2975589.2255892255</v>
      </c>
      <c r="I15" s="52">
        <v>2250</v>
      </c>
      <c r="J15" s="53">
        <v>3888417.405473684</v>
      </c>
      <c r="K15" s="54"/>
      <c r="L15" s="53">
        <f t="shared" si="0"/>
        <v>0</v>
      </c>
      <c r="M15" s="54"/>
      <c r="N15" s="53">
        <f t="shared" si="1"/>
        <v>0</v>
      </c>
      <c r="O15" s="54"/>
      <c r="P15" s="53">
        <f t="shared" si="2"/>
        <v>0</v>
      </c>
      <c r="Q15" s="54"/>
      <c r="R15" s="53">
        <f t="shared" si="3"/>
        <v>0</v>
      </c>
      <c r="S15" s="317">
        <f t="shared" si="4"/>
        <v>4250</v>
      </c>
      <c r="T15" s="69">
        <f t="shared" si="5"/>
        <v>6864006.63106291</v>
      </c>
      <c r="U15" s="36"/>
      <c r="V15" s="55"/>
      <c r="W15" s="56"/>
      <c r="X15" s="57"/>
      <c r="Y15" s="58"/>
      <c r="Z15" s="59"/>
      <c r="AA15" s="38"/>
      <c r="AD15" s="40"/>
      <c r="AE15" s="42"/>
      <c r="AF15" s="42"/>
      <c r="AG15" s="2"/>
      <c r="AH15" s="43"/>
      <c r="AI15" s="60"/>
      <c r="AJ15" s="60"/>
      <c r="AK15" s="60"/>
      <c r="AL15" s="70"/>
      <c r="AM15" s="70"/>
      <c r="AN15" s="63"/>
    </row>
    <row r="16" spans="1:46" ht="14.4" x14ac:dyDescent="0.3">
      <c r="A16" s="44" t="s">
        <v>28</v>
      </c>
      <c r="B16" s="45" t="s">
        <v>29</v>
      </c>
      <c r="C16" s="64" t="s">
        <v>30</v>
      </c>
      <c r="D16" s="65">
        <v>180</v>
      </c>
      <c r="E16" s="66">
        <v>100367.89873425654</v>
      </c>
      <c r="F16" s="67">
        <f t="shared" si="6"/>
        <v>18066221.772166178</v>
      </c>
      <c r="G16" s="68">
        <v>30</v>
      </c>
      <c r="H16" s="69">
        <v>2581623.931623931</v>
      </c>
      <c r="I16" s="52">
        <v>30</v>
      </c>
      <c r="J16" s="53">
        <v>3011036.962027696</v>
      </c>
      <c r="K16" s="54"/>
      <c r="L16" s="53">
        <f t="shared" si="0"/>
        <v>0</v>
      </c>
      <c r="M16" s="54"/>
      <c r="N16" s="53">
        <f t="shared" si="1"/>
        <v>0</v>
      </c>
      <c r="O16" s="54"/>
      <c r="P16" s="53">
        <f t="shared" si="2"/>
        <v>0</v>
      </c>
      <c r="Q16" s="54"/>
      <c r="R16" s="53">
        <f t="shared" si="3"/>
        <v>0</v>
      </c>
      <c r="S16" s="317">
        <f t="shared" si="4"/>
        <v>60</v>
      </c>
      <c r="T16" s="69">
        <f t="shared" si="5"/>
        <v>5592660.893651627</v>
      </c>
      <c r="U16" s="36"/>
      <c r="V16" s="55"/>
      <c r="W16" s="56"/>
      <c r="X16" s="57"/>
      <c r="Y16" s="58"/>
      <c r="Z16" s="59"/>
      <c r="AA16" s="38"/>
      <c r="AD16" s="40"/>
      <c r="AE16" s="41"/>
      <c r="AF16" s="42"/>
      <c r="AG16" s="2"/>
      <c r="AH16" s="43"/>
      <c r="AI16" s="60"/>
      <c r="AJ16" s="60"/>
      <c r="AK16" s="60"/>
      <c r="AL16" s="70"/>
      <c r="AM16" s="70"/>
      <c r="AN16" s="63"/>
    </row>
    <row r="17" spans="1:46" ht="14.4" x14ac:dyDescent="0.3">
      <c r="A17" s="44" t="s">
        <v>31</v>
      </c>
      <c r="B17" s="45" t="s">
        <v>32</v>
      </c>
      <c r="C17" s="64" t="s">
        <v>30</v>
      </c>
      <c r="D17" s="65">
        <v>276</v>
      </c>
      <c r="E17" s="66">
        <v>103195.53266872774</v>
      </c>
      <c r="F17" s="67">
        <f t="shared" si="6"/>
        <v>28481967.016568858</v>
      </c>
      <c r="G17" s="68">
        <v>23</v>
      </c>
      <c r="H17" s="69">
        <v>2020631.3131313131</v>
      </c>
      <c r="I17" s="52">
        <v>23</v>
      </c>
      <c r="J17" s="53">
        <v>2373497.2513807379</v>
      </c>
      <c r="K17" s="54"/>
      <c r="L17" s="53">
        <f t="shared" si="0"/>
        <v>0</v>
      </c>
      <c r="M17" s="54"/>
      <c r="N17" s="53">
        <f t="shared" si="1"/>
        <v>0</v>
      </c>
      <c r="O17" s="54"/>
      <c r="P17" s="53">
        <f t="shared" si="2"/>
        <v>0</v>
      </c>
      <c r="Q17" s="54"/>
      <c r="R17" s="53">
        <f t="shared" si="3"/>
        <v>0</v>
      </c>
      <c r="S17" s="317">
        <f t="shared" si="4"/>
        <v>46</v>
      </c>
      <c r="T17" s="69">
        <f t="shared" si="5"/>
        <v>4394128.5645120507</v>
      </c>
      <c r="U17" s="36"/>
      <c r="V17" s="55"/>
      <c r="W17" s="56"/>
      <c r="X17" s="57"/>
      <c r="Y17" s="58"/>
      <c r="Z17" s="71"/>
      <c r="AA17" s="38"/>
      <c r="AD17" s="40"/>
      <c r="AE17" s="42"/>
      <c r="AF17" s="42"/>
      <c r="AG17" s="2"/>
      <c r="AH17" s="43"/>
      <c r="AI17" s="60"/>
      <c r="AJ17" s="60"/>
      <c r="AK17" s="60"/>
      <c r="AL17" s="70"/>
      <c r="AM17" s="70"/>
      <c r="AN17" s="63"/>
    </row>
    <row r="18" spans="1:46" ht="14.4" x14ac:dyDescent="0.3">
      <c r="A18" s="44" t="s">
        <v>33</v>
      </c>
      <c r="B18" s="45" t="s">
        <v>34</v>
      </c>
      <c r="C18" s="64" t="s">
        <v>30</v>
      </c>
      <c r="D18" s="65">
        <v>276</v>
      </c>
      <c r="E18" s="66">
        <v>40788.327355343106</v>
      </c>
      <c r="F18" s="67">
        <f t="shared" si="6"/>
        <v>11257578.350074697</v>
      </c>
      <c r="G18" s="68">
        <v>30</v>
      </c>
      <c r="H18" s="69">
        <v>1092050.3108003105</v>
      </c>
      <c r="I18" s="52">
        <v>30</v>
      </c>
      <c r="J18" s="53">
        <v>1223649.8206602931</v>
      </c>
      <c r="K18" s="54"/>
      <c r="L18" s="53">
        <f t="shared" si="0"/>
        <v>0</v>
      </c>
      <c r="M18" s="54"/>
      <c r="N18" s="53">
        <f t="shared" si="1"/>
        <v>0</v>
      </c>
      <c r="O18" s="54"/>
      <c r="P18" s="53">
        <f t="shared" si="2"/>
        <v>0</v>
      </c>
      <c r="Q18" s="54"/>
      <c r="R18" s="53">
        <f t="shared" si="3"/>
        <v>0</v>
      </c>
      <c r="S18" s="317">
        <f t="shared" si="4"/>
        <v>60</v>
      </c>
      <c r="T18" s="69">
        <f t="shared" si="5"/>
        <v>2315700.1314606033</v>
      </c>
      <c r="U18" s="36"/>
      <c r="V18" s="55"/>
      <c r="W18" s="56"/>
      <c r="X18" s="57"/>
      <c r="Y18" s="58"/>
      <c r="Z18" s="71"/>
      <c r="AA18" s="38"/>
      <c r="AD18" s="40"/>
      <c r="AE18" s="42"/>
      <c r="AF18" s="42"/>
      <c r="AG18" s="2"/>
      <c r="AH18" s="43"/>
      <c r="AI18" s="60"/>
      <c r="AJ18" s="60"/>
      <c r="AK18" s="60"/>
      <c r="AL18" s="70"/>
      <c r="AM18" s="70"/>
      <c r="AN18" s="63"/>
    </row>
    <row r="19" spans="1:46" ht="14.4" x14ac:dyDescent="0.3">
      <c r="A19" s="44" t="s">
        <v>35</v>
      </c>
      <c r="B19" s="45" t="s">
        <v>36</v>
      </c>
      <c r="C19" s="64" t="s">
        <v>30</v>
      </c>
      <c r="D19" s="65">
        <v>192</v>
      </c>
      <c r="E19" s="66">
        <v>55997.942034394458</v>
      </c>
      <c r="F19" s="67">
        <f t="shared" si="6"/>
        <v>10751604.870603736</v>
      </c>
      <c r="G19" s="68">
        <v>16</v>
      </c>
      <c r="H19" s="69">
        <v>645301.73530173523</v>
      </c>
      <c r="I19" s="52">
        <v>16</v>
      </c>
      <c r="J19" s="53">
        <v>895967.07255031134</v>
      </c>
      <c r="K19" s="54"/>
      <c r="L19" s="53">
        <f t="shared" si="0"/>
        <v>0</v>
      </c>
      <c r="M19" s="54"/>
      <c r="N19" s="53">
        <f t="shared" si="1"/>
        <v>0</v>
      </c>
      <c r="O19" s="54"/>
      <c r="P19" s="53">
        <f t="shared" si="2"/>
        <v>0</v>
      </c>
      <c r="Q19" s="54"/>
      <c r="R19" s="53">
        <f t="shared" si="3"/>
        <v>0</v>
      </c>
      <c r="S19" s="317">
        <f t="shared" si="4"/>
        <v>32</v>
      </c>
      <c r="T19" s="69">
        <f t="shared" si="5"/>
        <v>1541268.8078520466</v>
      </c>
      <c r="U19" s="36"/>
      <c r="V19" s="55"/>
      <c r="W19" s="56"/>
      <c r="X19" s="57"/>
      <c r="Y19" s="58"/>
      <c r="Z19" s="59"/>
      <c r="AA19" s="38"/>
      <c r="AD19" s="40"/>
      <c r="AE19" s="42"/>
      <c r="AF19" s="42"/>
      <c r="AG19" s="2"/>
      <c r="AH19" s="43"/>
      <c r="AI19" s="60"/>
      <c r="AJ19" s="60"/>
      <c r="AK19" s="60"/>
      <c r="AL19" s="70"/>
      <c r="AM19" s="70"/>
      <c r="AN19" s="63"/>
    </row>
    <row r="20" spans="1:46" ht="77.25" customHeight="1" thickBot="1" x14ac:dyDescent="0.35">
      <c r="A20" s="44" t="s">
        <v>37</v>
      </c>
      <c r="B20" s="45" t="s">
        <v>38</v>
      </c>
      <c r="C20" s="64" t="s">
        <v>27</v>
      </c>
      <c r="D20" s="65">
        <v>33056</v>
      </c>
      <c r="E20" s="66">
        <v>2244.2080928174714</v>
      </c>
      <c r="F20" s="67">
        <f t="shared" si="6"/>
        <v>74184542.716174334</v>
      </c>
      <c r="G20" s="68">
        <v>1900</v>
      </c>
      <c r="H20" s="69">
        <v>3429632.8671328668</v>
      </c>
      <c r="I20" s="52">
        <v>2200</v>
      </c>
      <c r="J20" s="53">
        <v>4937257.8041984374</v>
      </c>
      <c r="K20" s="54"/>
      <c r="L20" s="53">
        <f t="shared" si="0"/>
        <v>0</v>
      </c>
      <c r="M20" s="54"/>
      <c r="N20" s="53">
        <f t="shared" si="1"/>
        <v>0</v>
      </c>
      <c r="O20" s="54"/>
      <c r="P20" s="53">
        <f t="shared" si="2"/>
        <v>0</v>
      </c>
      <c r="Q20" s="54"/>
      <c r="R20" s="53">
        <f t="shared" si="3"/>
        <v>0</v>
      </c>
      <c r="S20" s="318">
        <f t="shared" si="4"/>
        <v>4100</v>
      </c>
      <c r="T20" s="319">
        <f t="shared" si="5"/>
        <v>8366890.6713313041</v>
      </c>
      <c r="U20" s="36"/>
      <c r="V20" s="55"/>
      <c r="W20" s="56"/>
      <c r="X20" s="57"/>
      <c r="Y20" s="58"/>
      <c r="Z20" s="59"/>
      <c r="AA20" s="38"/>
      <c r="AD20" s="40"/>
      <c r="AE20" s="42"/>
      <c r="AF20" s="42"/>
      <c r="AG20" s="2"/>
      <c r="AH20" s="43"/>
      <c r="AI20" s="60"/>
      <c r="AJ20" s="60"/>
      <c r="AK20" s="60"/>
      <c r="AL20" s="70"/>
      <c r="AM20" s="70"/>
      <c r="AN20" s="63"/>
    </row>
    <row r="21" spans="1:46" ht="14.4" x14ac:dyDescent="0.3">
      <c r="A21" s="44" t="s">
        <v>39</v>
      </c>
      <c r="B21" s="45" t="s">
        <v>40</v>
      </c>
      <c r="C21" s="64" t="s">
        <v>21</v>
      </c>
      <c r="D21" s="65">
        <v>1984972.6000000003</v>
      </c>
      <c r="E21" s="66">
        <v>1225.0546864956552</v>
      </c>
      <c r="F21" s="67">
        <f t="shared" si="6"/>
        <v>2431699986.195466</v>
      </c>
      <c r="G21" s="68">
        <v>51669.4</v>
      </c>
      <c r="H21" s="69">
        <v>54391043.155918151</v>
      </c>
      <c r="I21" s="52">
        <v>153722.6324649388</v>
      </c>
      <c r="J21" s="53">
        <v>188318631.32162243</v>
      </c>
      <c r="K21" s="54"/>
      <c r="L21" s="53">
        <f t="shared" si="0"/>
        <v>0</v>
      </c>
      <c r="M21" s="54"/>
      <c r="N21" s="53">
        <f t="shared" si="1"/>
        <v>0</v>
      </c>
      <c r="O21" s="54"/>
      <c r="P21" s="53">
        <f t="shared" si="2"/>
        <v>0</v>
      </c>
      <c r="Q21" s="54"/>
      <c r="R21" s="53">
        <f t="shared" si="3"/>
        <v>0</v>
      </c>
      <c r="S21" s="320">
        <f t="shared" si="4"/>
        <v>205392.03246493879</v>
      </c>
      <c r="T21" s="321">
        <f t="shared" si="5"/>
        <v>242709674.47754058</v>
      </c>
      <c r="U21" s="36"/>
      <c r="V21" s="56"/>
      <c r="W21" s="56"/>
      <c r="X21" s="57"/>
      <c r="Y21" s="58"/>
      <c r="Z21" s="59"/>
      <c r="AA21" s="38"/>
      <c r="AD21" s="40"/>
      <c r="AE21" s="42"/>
      <c r="AF21" s="42"/>
      <c r="AG21" s="2"/>
      <c r="AH21" s="43"/>
      <c r="AI21" s="60"/>
      <c r="AJ21" s="60"/>
      <c r="AK21" s="60"/>
      <c r="AL21" s="70"/>
      <c r="AM21" s="70"/>
      <c r="AN21" s="63"/>
      <c r="AR21" s="72"/>
      <c r="AT21" s="73"/>
    </row>
    <row r="22" spans="1:46" ht="27.6" x14ac:dyDescent="0.3">
      <c r="A22" s="44" t="s">
        <v>41</v>
      </c>
      <c r="B22" s="45" t="s">
        <v>42</v>
      </c>
      <c r="C22" s="64" t="s">
        <v>21</v>
      </c>
      <c r="D22" s="65">
        <v>1984971.6000000003</v>
      </c>
      <c r="E22" s="66">
        <v>1272.5387378054043</v>
      </c>
      <c r="F22" s="67">
        <f t="shared" si="6"/>
        <v>2525953254.443574</v>
      </c>
      <c r="G22" s="68">
        <v>29357.200000000001</v>
      </c>
      <c r="H22" s="69">
        <v>32566836.894586895</v>
      </c>
      <c r="I22" s="52">
        <v>87229.2</v>
      </c>
      <c r="J22" s="53">
        <v>111002536.06777516</v>
      </c>
      <c r="K22" s="54"/>
      <c r="L22" s="53">
        <f t="shared" si="0"/>
        <v>0</v>
      </c>
      <c r="M22" s="54"/>
      <c r="N22" s="53">
        <f t="shared" si="1"/>
        <v>0</v>
      </c>
      <c r="O22" s="54"/>
      <c r="P22" s="53">
        <f t="shared" si="2"/>
        <v>0</v>
      </c>
      <c r="Q22" s="54"/>
      <c r="R22" s="53">
        <f t="shared" si="3"/>
        <v>0</v>
      </c>
      <c r="S22" s="322">
        <f t="shared" si="4"/>
        <v>116586.4</v>
      </c>
      <c r="T22" s="323">
        <f t="shared" si="5"/>
        <v>143569372.96236205</v>
      </c>
      <c r="U22" s="36"/>
      <c r="V22" s="56"/>
      <c r="W22" s="56"/>
      <c r="X22" s="57"/>
      <c r="Y22" s="58"/>
      <c r="Z22" s="59"/>
      <c r="AA22" s="38"/>
      <c r="AD22" s="40"/>
      <c r="AE22" s="42"/>
      <c r="AF22" s="42"/>
      <c r="AG22" s="2"/>
      <c r="AH22" s="43"/>
      <c r="AI22" s="60"/>
      <c r="AJ22" s="60"/>
      <c r="AK22" s="60"/>
      <c r="AL22" s="70"/>
      <c r="AM22" s="70"/>
      <c r="AN22" s="63"/>
      <c r="AT22" s="73"/>
    </row>
    <row r="23" spans="1:46" ht="27.6" x14ac:dyDescent="0.3">
      <c r="A23" s="44" t="s">
        <v>43</v>
      </c>
      <c r="B23" s="45" t="s">
        <v>44</v>
      </c>
      <c r="C23" s="64" t="s">
        <v>30</v>
      </c>
      <c r="D23" s="65">
        <v>7380</v>
      </c>
      <c r="E23" s="66">
        <v>88383.365703664749</v>
      </c>
      <c r="F23" s="67">
        <f t="shared" si="6"/>
        <v>652269238.8930459</v>
      </c>
      <c r="G23" s="68">
        <v>405</v>
      </c>
      <c r="H23" s="69">
        <v>34315450.174825169</v>
      </c>
      <c r="I23" s="52">
        <v>435</v>
      </c>
      <c r="J23" s="53">
        <v>38446764.081094168</v>
      </c>
      <c r="K23" s="54"/>
      <c r="L23" s="53">
        <f t="shared" si="0"/>
        <v>0</v>
      </c>
      <c r="M23" s="54"/>
      <c r="N23" s="53">
        <f t="shared" si="1"/>
        <v>0</v>
      </c>
      <c r="O23" s="54"/>
      <c r="P23" s="53">
        <f t="shared" si="2"/>
        <v>0</v>
      </c>
      <c r="Q23" s="54"/>
      <c r="R23" s="53">
        <f t="shared" si="3"/>
        <v>0</v>
      </c>
      <c r="S23" s="322">
        <f t="shared" si="4"/>
        <v>840</v>
      </c>
      <c r="T23" s="323">
        <f t="shared" si="5"/>
        <v>72762214.255919337</v>
      </c>
      <c r="U23" s="36"/>
      <c r="V23" s="56"/>
      <c r="W23" s="56"/>
      <c r="X23" s="57"/>
      <c r="Y23" s="58"/>
      <c r="Z23" s="59"/>
      <c r="AA23" s="38"/>
      <c r="AD23" s="40"/>
      <c r="AE23" s="42"/>
      <c r="AF23" s="42"/>
      <c r="AG23" s="2"/>
      <c r="AH23" s="43"/>
      <c r="AI23" s="60"/>
      <c r="AJ23" s="60"/>
      <c r="AK23" s="60"/>
      <c r="AL23" s="70"/>
      <c r="AM23" s="70"/>
      <c r="AN23" s="63"/>
      <c r="AT23" s="73"/>
    </row>
    <row r="24" spans="1:46" ht="27.6" x14ac:dyDescent="0.3">
      <c r="A24" s="44" t="s">
        <v>45</v>
      </c>
      <c r="B24" s="45" t="s">
        <v>46</v>
      </c>
      <c r="C24" s="64" t="s">
        <v>30</v>
      </c>
      <c r="D24" s="65">
        <v>5265</v>
      </c>
      <c r="E24" s="66">
        <v>88383.365703664749</v>
      </c>
      <c r="F24" s="67">
        <f t="shared" si="6"/>
        <v>465338420.42979491</v>
      </c>
      <c r="G24" s="68">
        <v>165</v>
      </c>
      <c r="H24" s="69">
        <v>13980368.589743588</v>
      </c>
      <c r="I24" s="52">
        <v>195</v>
      </c>
      <c r="J24" s="53">
        <v>17234756.312214628</v>
      </c>
      <c r="K24" s="54"/>
      <c r="L24" s="53">
        <f t="shared" si="0"/>
        <v>0</v>
      </c>
      <c r="M24" s="54"/>
      <c r="N24" s="53">
        <f t="shared" si="1"/>
        <v>0</v>
      </c>
      <c r="O24" s="54"/>
      <c r="P24" s="53">
        <f t="shared" si="2"/>
        <v>0</v>
      </c>
      <c r="Q24" s="54"/>
      <c r="R24" s="53">
        <f t="shared" si="3"/>
        <v>0</v>
      </c>
      <c r="S24" s="322">
        <f t="shared" si="4"/>
        <v>360</v>
      </c>
      <c r="T24" s="323">
        <f t="shared" si="5"/>
        <v>31215124.901958216</v>
      </c>
      <c r="U24" s="36"/>
      <c r="V24" s="56"/>
      <c r="W24" s="56"/>
      <c r="X24" s="57"/>
      <c r="Y24" s="58"/>
      <c r="Z24" s="59"/>
      <c r="AA24" s="38"/>
      <c r="AD24" s="40"/>
      <c r="AE24" s="42"/>
      <c r="AF24" s="42"/>
      <c r="AG24" s="2"/>
      <c r="AH24" s="43"/>
      <c r="AI24" s="60"/>
      <c r="AJ24" s="60"/>
      <c r="AK24" s="60"/>
      <c r="AL24" s="70"/>
      <c r="AM24" s="70"/>
      <c r="AN24" s="63"/>
    </row>
    <row r="25" spans="1:46" ht="27.6" x14ac:dyDescent="0.3">
      <c r="A25" s="44" t="s">
        <v>47</v>
      </c>
      <c r="B25" s="45" t="s">
        <v>48</v>
      </c>
      <c r="C25" s="64" t="s">
        <v>21</v>
      </c>
      <c r="D25" s="65">
        <v>3190540.7999999993</v>
      </c>
      <c r="E25" s="66">
        <v>185.43411209588882</v>
      </c>
      <c r="F25" s="67">
        <f t="shared" si="6"/>
        <v>591635100.35370672</v>
      </c>
      <c r="G25" s="68">
        <v>0</v>
      </c>
      <c r="H25" s="69">
        <v>0</v>
      </c>
      <c r="I25" s="52">
        <v>114202.4</v>
      </c>
      <c r="J25" s="53">
        <v>21177020.643219531</v>
      </c>
      <c r="K25" s="54"/>
      <c r="L25" s="53">
        <f t="shared" si="0"/>
        <v>0</v>
      </c>
      <c r="M25" s="54"/>
      <c r="N25" s="53">
        <f t="shared" si="1"/>
        <v>0</v>
      </c>
      <c r="O25" s="54"/>
      <c r="P25" s="53">
        <f t="shared" si="2"/>
        <v>0</v>
      </c>
      <c r="Q25" s="54"/>
      <c r="R25" s="53">
        <f t="shared" si="3"/>
        <v>0</v>
      </c>
      <c r="S25" s="322">
        <f t="shared" si="4"/>
        <v>114202.4</v>
      </c>
      <c r="T25" s="323">
        <f t="shared" si="5"/>
        <v>21177020.643219531</v>
      </c>
      <c r="U25" s="36"/>
      <c r="V25" s="56"/>
      <c r="W25" s="56"/>
      <c r="X25" s="57"/>
      <c r="Y25" s="58"/>
      <c r="Z25" s="59"/>
      <c r="AA25" s="38"/>
      <c r="AD25" s="40"/>
      <c r="AE25" s="42"/>
      <c r="AF25" s="42"/>
      <c r="AG25" s="2"/>
      <c r="AH25" s="43"/>
      <c r="AI25" s="60"/>
      <c r="AJ25" s="60"/>
      <c r="AK25" s="60"/>
      <c r="AL25" s="70"/>
      <c r="AM25" s="70"/>
      <c r="AN25" s="63"/>
    </row>
    <row r="26" spans="1:46" ht="27.6" x14ac:dyDescent="0.3">
      <c r="A26" s="44" t="s">
        <v>49</v>
      </c>
      <c r="B26" s="45" t="s">
        <v>50</v>
      </c>
      <c r="C26" s="64" t="s">
        <v>21</v>
      </c>
      <c r="D26" s="65">
        <v>9160358.4000000004</v>
      </c>
      <c r="E26" s="66">
        <v>221.51865288994117</v>
      </c>
      <c r="F26" s="67">
        <f t="shared" si="6"/>
        <v>2029190252.757057</v>
      </c>
      <c r="G26" s="68">
        <v>281392.40000000002</v>
      </c>
      <c r="H26" s="69">
        <v>53886170.875420868</v>
      </c>
      <c r="I26" s="52">
        <v>499448.4</v>
      </c>
      <c r="J26" s="53">
        <v>110637136.75603649</v>
      </c>
      <c r="K26" s="54"/>
      <c r="L26" s="53">
        <f t="shared" si="0"/>
        <v>0</v>
      </c>
      <c r="M26" s="54"/>
      <c r="N26" s="53">
        <f t="shared" si="1"/>
        <v>0</v>
      </c>
      <c r="O26" s="54"/>
      <c r="P26" s="53">
        <f t="shared" si="2"/>
        <v>0</v>
      </c>
      <c r="Q26" s="54"/>
      <c r="R26" s="53">
        <f t="shared" si="3"/>
        <v>0</v>
      </c>
      <c r="S26" s="322">
        <f t="shared" si="4"/>
        <v>780840.8</v>
      </c>
      <c r="T26" s="323">
        <f t="shared" si="5"/>
        <v>164523307.63145736</v>
      </c>
      <c r="U26" s="36"/>
      <c r="V26" s="56"/>
      <c r="W26" s="56"/>
      <c r="X26" s="57"/>
      <c r="Y26" s="58"/>
      <c r="Z26" s="59"/>
      <c r="AA26" s="38"/>
      <c r="AD26" s="40"/>
      <c r="AE26" s="42"/>
      <c r="AF26" s="42"/>
      <c r="AG26" s="2"/>
      <c r="AH26" s="43"/>
      <c r="AI26" s="60"/>
      <c r="AJ26" s="60"/>
      <c r="AK26" s="60"/>
      <c r="AL26" s="70"/>
      <c r="AM26" s="70"/>
      <c r="AN26" s="63"/>
    </row>
    <row r="27" spans="1:46" ht="41.4" x14ac:dyDescent="0.3">
      <c r="A27" s="44" t="s">
        <v>51</v>
      </c>
      <c r="B27" s="45" t="s">
        <v>52</v>
      </c>
      <c r="C27" s="64" t="s">
        <v>18</v>
      </c>
      <c r="D27" s="65">
        <v>141795.55000000002</v>
      </c>
      <c r="E27" s="66">
        <v>597.15747215747206</v>
      </c>
      <c r="F27" s="67">
        <f t="shared" si="6"/>
        <v>84674272.201178446</v>
      </c>
      <c r="G27" s="68">
        <v>10080.36</v>
      </c>
      <c r="H27" s="69">
        <v>6019562.2960372958</v>
      </c>
      <c r="I27" s="52">
        <v>15852.84</v>
      </c>
      <c r="J27" s="53">
        <v>11593502.725146288</v>
      </c>
      <c r="K27" s="54"/>
      <c r="L27" s="53">
        <f t="shared" si="0"/>
        <v>0</v>
      </c>
      <c r="M27" s="54"/>
      <c r="N27" s="53">
        <f t="shared" si="1"/>
        <v>0</v>
      </c>
      <c r="O27" s="54"/>
      <c r="P27" s="53">
        <f t="shared" si="2"/>
        <v>0</v>
      </c>
      <c r="Q27" s="54"/>
      <c r="R27" s="53">
        <f t="shared" si="3"/>
        <v>0</v>
      </c>
      <c r="S27" s="322">
        <f t="shared" si="4"/>
        <v>25933.200000000001</v>
      </c>
      <c r="T27" s="323">
        <f t="shared" si="5"/>
        <v>17613065.021183584</v>
      </c>
      <c r="U27" s="36"/>
      <c r="V27" s="56"/>
      <c r="W27" s="56"/>
      <c r="X27" s="57"/>
      <c r="Y27" s="58"/>
      <c r="Z27" s="59"/>
      <c r="AA27" s="38"/>
      <c r="AD27" s="40"/>
      <c r="AE27" s="42"/>
      <c r="AF27" s="42"/>
      <c r="AG27" s="2"/>
      <c r="AH27" s="43"/>
      <c r="AI27" s="60"/>
      <c r="AJ27" s="60"/>
      <c r="AK27" s="60"/>
      <c r="AL27" s="70"/>
      <c r="AM27" s="70"/>
      <c r="AN27" s="63"/>
    </row>
    <row r="28" spans="1:46" ht="41.4" x14ac:dyDescent="0.3">
      <c r="A28" s="44" t="s">
        <v>53</v>
      </c>
      <c r="B28" s="45" t="s">
        <v>54</v>
      </c>
      <c r="C28" s="64" t="s">
        <v>18</v>
      </c>
      <c r="D28" s="65">
        <v>15175.46</v>
      </c>
      <c r="E28" s="66">
        <v>691.206941206941</v>
      </c>
      <c r="F28" s="67">
        <f t="shared" si="6"/>
        <v>10489383.288008284</v>
      </c>
      <c r="G28" s="68">
        <v>5273.67</v>
      </c>
      <c r="H28" s="69">
        <v>3645197.3096348085</v>
      </c>
      <c r="I28" s="52">
        <v>6159.38</v>
      </c>
      <c r="J28" s="53">
        <v>5108897.9364572968</v>
      </c>
      <c r="K28" s="54"/>
      <c r="L28" s="53">
        <f t="shared" si="0"/>
        <v>0</v>
      </c>
      <c r="M28" s="54"/>
      <c r="N28" s="53">
        <f t="shared" si="1"/>
        <v>0</v>
      </c>
      <c r="O28" s="54"/>
      <c r="P28" s="53">
        <f t="shared" si="2"/>
        <v>0</v>
      </c>
      <c r="Q28" s="54"/>
      <c r="R28" s="53">
        <f t="shared" si="3"/>
        <v>0</v>
      </c>
      <c r="S28" s="322">
        <f t="shared" si="4"/>
        <v>11433.05</v>
      </c>
      <c r="T28" s="323">
        <f t="shared" si="5"/>
        <v>8754095.2460921053</v>
      </c>
      <c r="U28" s="36"/>
      <c r="V28" s="56"/>
      <c r="W28" s="56"/>
      <c r="X28" s="57"/>
      <c r="Y28" s="58"/>
      <c r="Z28" s="59"/>
      <c r="AA28" s="38"/>
      <c r="AD28" s="40"/>
      <c r="AE28" s="42"/>
      <c r="AF28" s="42"/>
      <c r="AG28" s="2"/>
      <c r="AH28" s="43"/>
      <c r="AI28" s="60"/>
      <c r="AJ28" s="60"/>
      <c r="AK28" s="60"/>
      <c r="AL28" s="70"/>
      <c r="AM28" s="70"/>
      <c r="AN28" s="63"/>
    </row>
    <row r="29" spans="1:46" ht="41.4" x14ac:dyDescent="0.3">
      <c r="A29" s="44" t="s">
        <v>55</v>
      </c>
      <c r="B29" s="45" t="s">
        <v>56</v>
      </c>
      <c r="C29" s="64" t="s">
        <v>57</v>
      </c>
      <c r="D29" s="65">
        <v>7572</v>
      </c>
      <c r="E29" s="66">
        <v>1730.2836052836051</v>
      </c>
      <c r="F29" s="67">
        <f t="shared" si="6"/>
        <v>13101707.459207458</v>
      </c>
      <c r="G29" s="68">
        <v>817</v>
      </c>
      <c r="H29" s="69">
        <v>1413641.7055167053</v>
      </c>
      <c r="I29" s="52">
        <v>1031</v>
      </c>
      <c r="J29" s="53">
        <v>2307856.3447189224</v>
      </c>
      <c r="K29" s="54"/>
      <c r="L29" s="53">
        <f t="shared" si="0"/>
        <v>0</v>
      </c>
      <c r="M29" s="54"/>
      <c r="N29" s="53">
        <f t="shared" si="1"/>
        <v>0</v>
      </c>
      <c r="O29" s="54"/>
      <c r="P29" s="53">
        <f t="shared" si="2"/>
        <v>0</v>
      </c>
      <c r="Q29" s="54"/>
      <c r="R29" s="53">
        <f t="shared" si="3"/>
        <v>0</v>
      </c>
      <c r="S29" s="322">
        <f t="shared" si="4"/>
        <v>1848</v>
      </c>
      <c r="T29" s="323">
        <f t="shared" si="5"/>
        <v>3721498.0502356277</v>
      </c>
      <c r="U29" s="36"/>
      <c r="V29" s="56"/>
      <c r="W29" s="56"/>
      <c r="X29" s="57"/>
      <c r="Y29" s="58"/>
      <c r="Z29" s="59"/>
      <c r="AA29" s="38"/>
      <c r="AD29" s="40"/>
      <c r="AE29" s="42"/>
      <c r="AF29" s="42"/>
      <c r="AG29" s="2"/>
      <c r="AH29" s="43"/>
      <c r="AI29" s="60"/>
      <c r="AJ29" s="60"/>
      <c r="AK29" s="60"/>
      <c r="AL29" s="70"/>
      <c r="AM29" s="70"/>
      <c r="AN29" s="63"/>
    </row>
    <row r="30" spans="1:46" ht="41.4" x14ac:dyDescent="0.3">
      <c r="A30" s="44" t="s">
        <v>58</v>
      </c>
      <c r="B30" s="45" t="s">
        <v>59</v>
      </c>
      <c r="C30" s="64" t="s">
        <v>18</v>
      </c>
      <c r="D30" s="65">
        <v>17203.670000000002</v>
      </c>
      <c r="E30" s="66">
        <v>538.23491323491317</v>
      </c>
      <c r="F30" s="67">
        <f t="shared" si="6"/>
        <v>9259615.8297720794</v>
      </c>
      <c r="G30" s="68">
        <v>4663</v>
      </c>
      <c r="H30" s="69">
        <v>2509789.4004144003</v>
      </c>
      <c r="I30" s="52">
        <v>6159.38</v>
      </c>
      <c r="J30" s="53">
        <v>3664182.6200103848</v>
      </c>
      <c r="K30" s="54"/>
      <c r="L30" s="53">
        <f t="shared" si="0"/>
        <v>0</v>
      </c>
      <c r="M30" s="54"/>
      <c r="N30" s="53">
        <f t="shared" si="1"/>
        <v>0</v>
      </c>
      <c r="O30" s="54"/>
      <c r="P30" s="53">
        <f t="shared" si="2"/>
        <v>0</v>
      </c>
      <c r="Q30" s="54"/>
      <c r="R30" s="53">
        <f t="shared" si="3"/>
        <v>0</v>
      </c>
      <c r="S30" s="322">
        <f t="shared" si="4"/>
        <v>10822.380000000001</v>
      </c>
      <c r="T30" s="323">
        <f t="shared" si="5"/>
        <v>6173972.0204247851</v>
      </c>
      <c r="U30" s="36"/>
      <c r="V30" s="56"/>
      <c r="W30" s="56"/>
      <c r="X30" s="57"/>
      <c r="Y30" s="58"/>
      <c r="Z30" s="59"/>
      <c r="AA30" s="38"/>
      <c r="AD30" s="40"/>
      <c r="AE30" s="42"/>
      <c r="AF30" s="42"/>
      <c r="AG30" s="2"/>
      <c r="AH30" s="43"/>
      <c r="AI30" s="60"/>
      <c r="AJ30" s="60"/>
      <c r="AK30" s="60"/>
      <c r="AL30" s="70"/>
      <c r="AM30" s="70"/>
      <c r="AN30" s="63"/>
    </row>
    <row r="31" spans="1:46" ht="41.4" x14ac:dyDescent="0.3">
      <c r="A31" s="44" t="s">
        <v>60</v>
      </c>
      <c r="B31" s="45" t="s">
        <v>61</v>
      </c>
      <c r="C31" s="64" t="s">
        <v>57</v>
      </c>
      <c r="D31" s="65">
        <v>4618</v>
      </c>
      <c r="E31" s="66">
        <v>2906.4685314685312</v>
      </c>
      <c r="F31" s="67">
        <f t="shared" si="6"/>
        <v>13422071.678321676</v>
      </c>
      <c r="G31" s="68">
        <v>243</v>
      </c>
      <c r="H31" s="69">
        <v>706271.85314685304</v>
      </c>
      <c r="I31" s="52">
        <v>1031</v>
      </c>
      <c r="J31" s="53">
        <v>3818278.439592808</v>
      </c>
      <c r="K31" s="54"/>
      <c r="L31" s="53">
        <f t="shared" si="0"/>
        <v>0</v>
      </c>
      <c r="M31" s="54"/>
      <c r="N31" s="53">
        <f t="shared" si="1"/>
        <v>0</v>
      </c>
      <c r="O31" s="54"/>
      <c r="P31" s="53">
        <f t="shared" si="2"/>
        <v>0</v>
      </c>
      <c r="Q31" s="54"/>
      <c r="R31" s="53">
        <f t="shared" si="3"/>
        <v>0</v>
      </c>
      <c r="S31" s="322">
        <f t="shared" si="4"/>
        <v>1274</v>
      </c>
      <c r="T31" s="323">
        <f t="shared" si="5"/>
        <v>4524550.2927396614</v>
      </c>
      <c r="U31" s="36"/>
      <c r="V31" s="56"/>
      <c r="W31" s="56"/>
      <c r="X31" s="57"/>
      <c r="Y31" s="58"/>
      <c r="Z31" s="59"/>
      <c r="AA31" s="38"/>
      <c r="AD31" s="40"/>
      <c r="AE31" s="42"/>
      <c r="AF31" s="42"/>
      <c r="AG31" s="2"/>
      <c r="AH31" s="43"/>
      <c r="AI31" s="60"/>
      <c r="AJ31" s="60"/>
      <c r="AK31" s="60"/>
      <c r="AL31" s="70"/>
      <c r="AM31" s="70"/>
      <c r="AN31" s="63"/>
    </row>
    <row r="32" spans="1:46" ht="55.2" x14ac:dyDescent="0.3">
      <c r="A32" s="44" t="s">
        <v>62</v>
      </c>
      <c r="B32" s="45" t="s">
        <v>63</v>
      </c>
      <c r="C32" s="64" t="s">
        <v>18</v>
      </c>
      <c r="D32" s="65">
        <v>70703.94</v>
      </c>
      <c r="E32" s="66">
        <v>295.74592074592073</v>
      </c>
      <c r="F32" s="67">
        <f t="shared" si="6"/>
        <v>20910401.835664336</v>
      </c>
      <c r="G32" s="68">
        <v>1225</v>
      </c>
      <c r="H32" s="69">
        <v>362288.75291375292</v>
      </c>
      <c r="I32" s="52">
        <v>15852.84</v>
      </c>
      <c r="J32" s="53">
        <v>5505790.2297466705</v>
      </c>
      <c r="K32" s="54"/>
      <c r="L32" s="53">
        <f t="shared" si="0"/>
        <v>0</v>
      </c>
      <c r="M32" s="54"/>
      <c r="N32" s="53">
        <f t="shared" si="1"/>
        <v>0</v>
      </c>
      <c r="O32" s="54"/>
      <c r="P32" s="53">
        <f t="shared" si="2"/>
        <v>0</v>
      </c>
      <c r="Q32" s="54"/>
      <c r="R32" s="53">
        <f t="shared" si="3"/>
        <v>0</v>
      </c>
      <c r="S32" s="322">
        <f t="shared" si="4"/>
        <v>17077.84</v>
      </c>
      <c r="T32" s="323">
        <f t="shared" si="5"/>
        <v>5868078.982660423</v>
      </c>
      <c r="U32" s="36"/>
      <c r="V32" s="56"/>
      <c r="W32" s="56"/>
      <c r="X32" s="57"/>
      <c r="Y32" s="58"/>
      <c r="Z32" s="59"/>
      <c r="AA32" s="38"/>
      <c r="AD32" s="40"/>
      <c r="AE32" s="42"/>
      <c r="AF32" s="42"/>
      <c r="AG32" s="2"/>
      <c r="AH32" s="43"/>
      <c r="AI32" s="60"/>
      <c r="AJ32" s="60"/>
      <c r="AK32" s="60"/>
      <c r="AL32" s="70"/>
      <c r="AM32" s="70"/>
      <c r="AN32" s="63"/>
    </row>
    <row r="33" spans="1:46" ht="55.2" x14ac:dyDescent="0.3">
      <c r="A33" s="44" t="s">
        <v>64</v>
      </c>
      <c r="B33" s="45" t="s">
        <v>65</v>
      </c>
      <c r="C33" s="64" t="s">
        <v>18</v>
      </c>
      <c r="D33" s="65">
        <v>7487.49</v>
      </c>
      <c r="E33" s="66">
        <v>188.09893809893808</v>
      </c>
      <c r="F33" s="67">
        <f t="shared" si="6"/>
        <v>1408388.9180264177</v>
      </c>
      <c r="G33" s="68">
        <v>4663</v>
      </c>
      <c r="H33" s="69">
        <v>877105.34835534822</v>
      </c>
      <c r="I33" s="52">
        <v>6159.38</v>
      </c>
      <c r="J33" s="53">
        <v>1434271.3669442954</v>
      </c>
      <c r="K33" s="54"/>
      <c r="L33" s="53">
        <f t="shared" si="0"/>
        <v>0</v>
      </c>
      <c r="M33" s="54"/>
      <c r="N33" s="53">
        <f t="shared" si="1"/>
        <v>0</v>
      </c>
      <c r="O33" s="54"/>
      <c r="P33" s="53">
        <f t="shared" si="2"/>
        <v>0</v>
      </c>
      <c r="Q33" s="54"/>
      <c r="R33" s="53">
        <f t="shared" si="3"/>
        <v>0</v>
      </c>
      <c r="S33" s="322">
        <f t="shared" si="4"/>
        <v>10822.380000000001</v>
      </c>
      <c r="T33" s="323">
        <f t="shared" si="5"/>
        <v>2311376.7152996436</v>
      </c>
      <c r="U33" s="36"/>
      <c r="V33" s="56"/>
      <c r="W33" s="56"/>
      <c r="X33" s="57"/>
      <c r="Y33" s="58"/>
      <c r="Z33" s="59"/>
      <c r="AA33" s="38"/>
      <c r="AD33" s="40"/>
      <c r="AE33" s="42"/>
      <c r="AF33" s="42"/>
      <c r="AG33" s="2"/>
      <c r="AH33" s="43"/>
      <c r="AI33" s="60"/>
      <c r="AJ33" s="60"/>
      <c r="AK33" s="60"/>
      <c r="AL33" s="70"/>
      <c r="AM33" s="70"/>
      <c r="AN33" s="63"/>
      <c r="AT33" s="73"/>
    </row>
    <row r="34" spans="1:46" ht="55.2" x14ac:dyDescent="0.3">
      <c r="A34" s="44" t="s">
        <v>66</v>
      </c>
      <c r="B34" s="45" t="s">
        <v>67</v>
      </c>
      <c r="C34" s="64" t="s">
        <v>57</v>
      </c>
      <c r="D34" s="65">
        <v>3762</v>
      </c>
      <c r="E34" s="66">
        <v>1746.1473711473709</v>
      </c>
      <c r="F34" s="67">
        <f t="shared" si="6"/>
        <v>6569006.4102564091</v>
      </c>
      <c r="G34" s="68">
        <v>243</v>
      </c>
      <c r="H34" s="69">
        <v>424313.81118881115</v>
      </c>
      <c r="I34" s="52">
        <v>1031</v>
      </c>
      <c r="J34" s="53">
        <v>2178991.0963453655</v>
      </c>
      <c r="K34" s="54"/>
      <c r="L34" s="53">
        <f t="shared" si="0"/>
        <v>0</v>
      </c>
      <c r="M34" s="54"/>
      <c r="N34" s="53">
        <f t="shared" si="1"/>
        <v>0</v>
      </c>
      <c r="O34" s="54"/>
      <c r="P34" s="53">
        <f t="shared" si="2"/>
        <v>0</v>
      </c>
      <c r="Q34" s="54"/>
      <c r="R34" s="53">
        <f t="shared" si="3"/>
        <v>0</v>
      </c>
      <c r="S34" s="322">
        <f t="shared" si="4"/>
        <v>1274</v>
      </c>
      <c r="T34" s="323">
        <f t="shared" si="5"/>
        <v>2603304.9075341765</v>
      </c>
      <c r="U34" s="36"/>
      <c r="V34" s="56"/>
      <c r="W34" s="56"/>
      <c r="X34" s="57"/>
      <c r="Y34" s="58"/>
      <c r="Z34" s="59"/>
      <c r="AA34" s="38"/>
      <c r="AD34" s="40"/>
      <c r="AE34" s="42"/>
      <c r="AF34" s="42"/>
      <c r="AG34" s="2"/>
      <c r="AH34" s="43"/>
      <c r="AI34" s="60"/>
      <c r="AJ34" s="60"/>
      <c r="AK34" s="60"/>
      <c r="AL34" s="70"/>
      <c r="AM34" s="70"/>
      <c r="AN34" s="63"/>
      <c r="AT34" s="73"/>
    </row>
    <row r="35" spans="1:46" ht="55.2" x14ac:dyDescent="0.3">
      <c r="A35" s="44" t="s">
        <v>68</v>
      </c>
      <c r="B35" s="45" t="s">
        <v>69</v>
      </c>
      <c r="C35" s="64" t="s">
        <v>18</v>
      </c>
      <c r="D35" s="65">
        <v>33377.089999999997</v>
      </c>
      <c r="E35" s="66">
        <v>1711.0204610204607</v>
      </c>
      <c r="F35" s="67">
        <f t="shared" si="6"/>
        <v>57108883.919321403</v>
      </c>
      <c r="G35" s="68">
        <v>1225</v>
      </c>
      <c r="H35" s="69">
        <v>2096000.0647500644</v>
      </c>
      <c r="I35" s="52">
        <v>0</v>
      </c>
      <c r="J35" s="53">
        <v>0</v>
      </c>
      <c r="K35" s="54"/>
      <c r="L35" s="53">
        <f t="shared" si="0"/>
        <v>0</v>
      </c>
      <c r="M35" s="54"/>
      <c r="N35" s="53">
        <f t="shared" si="1"/>
        <v>0</v>
      </c>
      <c r="O35" s="54"/>
      <c r="P35" s="53">
        <f t="shared" si="2"/>
        <v>0</v>
      </c>
      <c r="Q35" s="54"/>
      <c r="R35" s="53">
        <f t="shared" si="3"/>
        <v>0</v>
      </c>
      <c r="S35" s="322">
        <f t="shared" si="4"/>
        <v>1225</v>
      </c>
      <c r="T35" s="323">
        <f t="shared" si="5"/>
        <v>2096000.0647500644</v>
      </c>
      <c r="U35" s="36"/>
      <c r="V35" s="56"/>
      <c r="W35" s="56"/>
      <c r="X35" s="57"/>
      <c r="Y35" s="58"/>
      <c r="Z35" s="59"/>
      <c r="AA35" s="38"/>
      <c r="AD35" s="40"/>
      <c r="AE35" s="42"/>
      <c r="AF35" s="42"/>
      <c r="AG35" s="2"/>
      <c r="AH35" s="43"/>
      <c r="AI35" s="60"/>
      <c r="AJ35" s="60"/>
      <c r="AK35" s="60"/>
      <c r="AL35" s="70"/>
      <c r="AM35" s="70"/>
      <c r="AN35" s="63"/>
    </row>
    <row r="36" spans="1:46" ht="55.2" x14ac:dyDescent="0.3">
      <c r="A36" s="44" t="s">
        <v>70</v>
      </c>
      <c r="B36" s="45" t="s">
        <v>71</v>
      </c>
      <c r="C36" s="64" t="s">
        <v>18</v>
      </c>
      <c r="D36" s="65">
        <v>3688</v>
      </c>
      <c r="E36" s="66">
        <v>1711.0204610204607</v>
      </c>
      <c r="F36" s="67">
        <f t="shared" si="6"/>
        <v>6310243.4602434589</v>
      </c>
      <c r="G36" s="68">
        <v>4663</v>
      </c>
      <c r="H36" s="69">
        <v>7978488.4097384084</v>
      </c>
      <c r="I36" s="52">
        <v>0</v>
      </c>
      <c r="J36" s="53">
        <v>0</v>
      </c>
      <c r="K36" s="54"/>
      <c r="L36" s="53">
        <f t="shared" si="0"/>
        <v>0</v>
      </c>
      <c r="M36" s="54"/>
      <c r="N36" s="53">
        <f t="shared" si="1"/>
        <v>0</v>
      </c>
      <c r="O36" s="54"/>
      <c r="P36" s="53">
        <f t="shared" si="2"/>
        <v>0</v>
      </c>
      <c r="Q36" s="54"/>
      <c r="R36" s="53">
        <f t="shared" si="3"/>
        <v>0</v>
      </c>
      <c r="S36" s="322">
        <f t="shared" si="4"/>
        <v>4663</v>
      </c>
      <c r="T36" s="323">
        <f t="shared" si="5"/>
        <v>7978488.4097384084</v>
      </c>
      <c r="U36" s="36"/>
      <c r="V36" s="56"/>
      <c r="W36" s="56"/>
      <c r="X36" s="57"/>
      <c r="Y36" s="58"/>
      <c r="Z36" s="59"/>
      <c r="AA36" s="38"/>
      <c r="AD36" s="40"/>
      <c r="AE36" s="42"/>
      <c r="AF36" s="42"/>
      <c r="AG36" s="2"/>
      <c r="AH36" s="43"/>
      <c r="AI36" s="60"/>
      <c r="AJ36" s="60"/>
      <c r="AK36" s="60"/>
      <c r="AL36" s="70"/>
      <c r="AM36" s="70"/>
      <c r="AN36" s="63"/>
    </row>
    <row r="37" spans="1:46" ht="55.2" x14ac:dyDescent="0.3">
      <c r="A37" s="44" t="s">
        <v>72</v>
      </c>
      <c r="B37" s="45" t="s">
        <v>73</v>
      </c>
      <c r="C37" s="64" t="s">
        <v>57</v>
      </c>
      <c r="D37" s="65">
        <v>1719</v>
      </c>
      <c r="E37" s="66">
        <v>10812.289562289561</v>
      </c>
      <c r="F37" s="67">
        <f t="shared" si="6"/>
        <v>18586325.757575754</v>
      </c>
      <c r="G37" s="68">
        <v>243</v>
      </c>
      <c r="H37" s="69">
        <v>2627386.3636363633</v>
      </c>
      <c r="I37" s="52">
        <v>0</v>
      </c>
      <c r="J37" s="53">
        <v>0</v>
      </c>
      <c r="K37" s="54"/>
      <c r="L37" s="53">
        <f t="shared" si="0"/>
        <v>0</v>
      </c>
      <c r="M37" s="54"/>
      <c r="N37" s="53">
        <f t="shared" si="1"/>
        <v>0</v>
      </c>
      <c r="O37" s="54"/>
      <c r="P37" s="53">
        <f t="shared" si="2"/>
        <v>0</v>
      </c>
      <c r="Q37" s="54"/>
      <c r="R37" s="53">
        <f t="shared" si="3"/>
        <v>0</v>
      </c>
      <c r="S37" s="322">
        <f t="shared" si="4"/>
        <v>243</v>
      </c>
      <c r="T37" s="323">
        <f t="shared" si="5"/>
        <v>2627386.3636363633</v>
      </c>
      <c r="U37" s="36"/>
      <c r="V37" s="56"/>
      <c r="W37" s="56"/>
      <c r="X37" s="57"/>
      <c r="Y37" s="58"/>
      <c r="Z37" s="59"/>
      <c r="AA37" s="38"/>
      <c r="AD37" s="40"/>
      <c r="AE37" s="42"/>
      <c r="AF37" s="42"/>
      <c r="AG37" s="2"/>
      <c r="AH37" s="43"/>
      <c r="AI37" s="60"/>
      <c r="AJ37" s="60"/>
      <c r="AK37" s="60"/>
      <c r="AL37" s="70"/>
      <c r="AM37" s="70"/>
      <c r="AN37" s="63"/>
      <c r="AT37" s="73"/>
    </row>
    <row r="38" spans="1:46" ht="55.2" x14ac:dyDescent="0.3">
      <c r="A38" s="44" t="s">
        <v>74</v>
      </c>
      <c r="B38" s="45" t="s">
        <v>75</v>
      </c>
      <c r="C38" s="64" t="s">
        <v>18</v>
      </c>
      <c r="D38" s="65">
        <v>141802.15000000002</v>
      </c>
      <c r="E38" s="66">
        <v>904.23465423465416</v>
      </c>
      <c r="F38" s="67">
        <f t="shared" si="6"/>
        <v>128222418.07498059</v>
      </c>
      <c r="G38" s="68">
        <v>10161.4</v>
      </c>
      <c r="H38" s="69">
        <v>9188290.015540015</v>
      </c>
      <c r="I38" s="52">
        <v>15933.88</v>
      </c>
      <c r="J38" s="53">
        <v>18241900.903520651</v>
      </c>
      <c r="K38" s="54"/>
      <c r="L38" s="53">
        <f t="shared" si="0"/>
        <v>0</v>
      </c>
      <c r="M38" s="54"/>
      <c r="N38" s="53">
        <f t="shared" si="1"/>
        <v>0</v>
      </c>
      <c r="O38" s="54"/>
      <c r="P38" s="53">
        <f t="shared" si="2"/>
        <v>0</v>
      </c>
      <c r="Q38" s="54"/>
      <c r="R38" s="53">
        <f t="shared" si="3"/>
        <v>0</v>
      </c>
      <c r="S38" s="322">
        <f t="shared" si="4"/>
        <v>26095.279999999999</v>
      </c>
      <c r="T38" s="323">
        <f t="shared" si="5"/>
        <v>27430190.919060666</v>
      </c>
      <c r="U38" s="36"/>
      <c r="V38" s="56"/>
      <c r="W38" s="56"/>
      <c r="X38" s="57"/>
      <c r="Y38" s="58"/>
      <c r="Z38" s="59"/>
      <c r="AA38" s="38"/>
      <c r="AD38" s="40"/>
      <c r="AE38" s="42"/>
      <c r="AF38" s="42"/>
      <c r="AG38" s="2"/>
      <c r="AH38" s="43"/>
      <c r="AI38" s="60"/>
      <c r="AJ38" s="60"/>
      <c r="AK38" s="60"/>
      <c r="AL38" s="70"/>
      <c r="AM38" s="70"/>
      <c r="AN38" s="63"/>
    </row>
    <row r="39" spans="1:46" ht="41.4" x14ac:dyDescent="0.3">
      <c r="A39" s="44" t="s">
        <v>76</v>
      </c>
      <c r="B39" s="45" t="s">
        <v>77</v>
      </c>
      <c r="C39" s="64" t="s">
        <v>18</v>
      </c>
      <c r="D39" s="65">
        <v>15174.47</v>
      </c>
      <c r="E39" s="66">
        <v>222.09272209272206</v>
      </c>
      <c r="F39" s="67">
        <f t="shared" si="6"/>
        <v>3370139.3486143481</v>
      </c>
      <c r="G39" s="68">
        <v>5273.67</v>
      </c>
      <c r="H39" s="69">
        <v>1171243.7257187255</v>
      </c>
      <c r="I39" s="52">
        <v>6159.38</v>
      </c>
      <c r="J39" s="53">
        <v>1601370.3747038911</v>
      </c>
      <c r="K39" s="54"/>
      <c r="L39" s="53">
        <f t="shared" si="0"/>
        <v>0</v>
      </c>
      <c r="M39" s="54"/>
      <c r="N39" s="53">
        <f t="shared" si="1"/>
        <v>0</v>
      </c>
      <c r="O39" s="54"/>
      <c r="P39" s="53">
        <f t="shared" si="2"/>
        <v>0</v>
      </c>
      <c r="Q39" s="54"/>
      <c r="R39" s="53">
        <f t="shared" si="3"/>
        <v>0</v>
      </c>
      <c r="S39" s="322">
        <f t="shared" si="4"/>
        <v>11433.05</v>
      </c>
      <c r="T39" s="323">
        <f t="shared" si="5"/>
        <v>2772614.1004226166</v>
      </c>
      <c r="U39" s="36"/>
      <c r="V39" s="56"/>
      <c r="W39" s="56"/>
      <c r="X39" s="57"/>
      <c r="Y39" s="58"/>
      <c r="Z39" s="59"/>
      <c r="AA39" s="38"/>
      <c r="AD39" s="40"/>
      <c r="AE39" s="42"/>
      <c r="AF39" s="42"/>
      <c r="AG39" s="2"/>
      <c r="AH39" s="43"/>
      <c r="AI39" s="60"/>
      <c r="AJ39" s="60"/>
      <c r="AK39" s="60"/>
      <c r="AL39" s="70"/>
      <c r="AM39" s="70"/>
      <c r="AN39" s="63"/>
    </row>
    <row r="40" spans="1:46" ht="55.2" x14ac:dyDescent="0.3">
      <c r="A40" s="44" t="s">
        <v>78</v>
      </c>
      <c r="B40" s="45" t="s">
        <v>79</v>
      </c>
      <c r="C40" s="64" t="s">
        <v>57</v>
      </c>
      <c r="D40" s="65">
        <v>4554</v>
      </c>
      <c r="E40" s="66">
        <v>13636.039886039885</v>
      </c>
      <c r="F40" s="67">
        <f t="shared" si="6"/>
        <v>62098525.64102564</v>
      </c>
      <c r="G40" s="68">
        <v>468</v>
      </c>
      <c r="H40" s="69">
        <v>6381666.666666666</v>
      </c>
      <c r="I40" s="52">
        <v>967.5</v>
      </c>
      <c r="J40" s="53">
        <v>17441330.182970956</v>
      </c>
      <c r="K40" s="54"/>
      <c r="L40" s="53">
        <f t="shared" si="0"/>
        <v>0</v>
      </c>
      <c r="M40" s="54"/>
      <c r="N40" s="53">
        <f t="shared" si="1"/>
        <v>0</v>
      </c>
      <c r="O40" s="54"/>
      <c r="P40" s="53">
        <f t="shared" si="2"/>
        <v>0</v>
      </c>
      <c r="Q40" s="54"/>
      <c r="R40" s="53">
        <f t="shared" si="3"/>
        <v>0</v>
      </c>
      <c r="S40" s="322">
        <f t="shared" si="4"/>
        <v>1435.5</v>
      </c>
      <c r="T40" s="323">
        <f t="shared" si="5"/>
        <v>23822996.84963762</v>
      </c>
      <c r="U40" s="36"/>
      <c r="V40" s="56"/>
      <c r="W40" s="56"/>
      <c r="X40" s="57"/>
      <c r="Y40" s="58"/>
      <c r="Z40" s="59"/>
      <c r="AA40" s="38"/>
      <c r="AD40" s="40"/>
      <c r="AE40" s="42"/>
      <c r="AF40" s="42"/>
      <c r="AG40" s="2"/>
      <c r="AH40" s="43"/>
      <c r="AI40" s="60"/>
      <c r="AJ40" s="60"/>
      <c r="AK40" s="60"/>
      <c r="AL40" s="70"/>
      <c r="AM40" s="70"/>
      <c r="AN40" s="63"/>
    </row>
    <row r="41" spans="1:46" ht="41.4" x14ac:dyDescent="0.3">
      <c r="A41" s="44" t="s">
        <v>80</v>
      </c>
      <c r="B41" s="45" t="s">
        <v>81</v>
      </c>
      <c r="C41" s="64" t="s">
        <v>82</v>
      </c>
      <c r="D41" s="65">
        <v>18945.249797500001</v>
      </c>
      <c r="E41" s="66">
        <v>2146.1408961408961</v>
      </c>
      <c r="F41" s="67">
        <f t="shared" si="6"/>
        <v>40659175.37801978</v>
      </c>
      <c r="G41" s="68">
        <v>4037.67</v>
      </c>
      <c r="H41" s="69">
        <v>8665408.7121212129</v>
      </c>
      <c r="I41" s="52">
        <v>4923.38</v>
      </c>
      <c r="J41" s="53">
        <v>13602268.662395855</v>
      </c>
      <c r="K41" s="54"/>
      <c r="L41" s="53">
        <f t="shared" si="0"/>
        <v>0</v>
      </c>
      <c r="M41" s="54"/>
      <c r="N41" s="53">
        <f t="shared" si="1"/>
        <v>0</v>
      </c>
      <c r="O41" s="54"/>
      <c r="P41" s="53">
        <f t="shared" si="2"/>
        <v>0</v>
      </c>
      <c r="Q41" s="54"/>
      <c r="R41" s="53">
        <f t="shared" si="3"/>
        <v>0</v>
      </c>
      <c r="S41" s="322">
        <f t="shared" si="4"/>
        <v>8961.0499999999993</v>
      </c>
      <c r="T41" s="323">
        <f t="shared" si="5"/>
        <v>22267677.374517068</v>
      </c>
      <c r="U41" s="36"/>
      <c r="V41" s="56"/>
      <c r="W41" s="56"/>
      <c r="X41" s="57"/>
      <c r="Y41" s="58"/>
      <c r="Z41" s="59"/>
      <c r="AA41" s="38"/>
      <c r="AD41" s="40"/>
      <c r="AE41" s="42"/>
      <c r="AF41" s="42"/>
      <c r="AG41" s="2"/>
      <c r="AH41" s="43"/>
      <c r="AI41" s="60"/>
      <c r="AJ41" s="60"/>
      <c r="AK41" s="60"/>
      <c r="AL41" s="70"/>
      <c r="AM41" s="70"/>
      <c r="AN41" s="63"/>
    </row>
    <row r="42" spans="1:46" ht="41.4" x14ac:dyDescent="0.3">
      <c r="A42" s="44" t="s">
        <v>83</v>
      </c>
      <c r="B42" s="45" t="s">
        <v>84</v>
      </c>
      <c r="C42" s="64" t="s">
        <v>18</v>
      </c>
      <c r="D42" s="65">
        <v>148925.13999999998</v>
      </c>
      <c r="E42" s="66">
        <v>427.18855218855214</v>
      </c>
      <c r="F42" s="67">
        <f t="shared" si="6"/>
        <v>63619114.941077426</v>
      </c>
      <c r="G42" s="68">
        <v>15492.03</v>
      </c>
      <c r="H42" s="69">
        <v>6618017.8661616156</v>
      </c>
      <c r="I42" s="52">
        <v>22364.22</v>
      </c>
      <c r="J42" s="53">
        <v>11778377.684721576</v>
      </c>
      <c r="K42" s="54"/>
      <c r="L42" s="53">
        <f t="shared" si="0"/>
        <v>0</v>
      </c>
      <c r="M42" s="54"/>
      <c r="N42" s="53">
        <f t="shared" si="1"/>
        <v>0</v>
      </c>
      <c r="O42" s="54"/>
      <c r="P42" s="53">
        <f t="shared" si="2"/>
        <v>0</v>
      </c>
      <c r="Q42" s="54"/>
      <c r="R42" s="53">
        <f t="shared" si="3"/>
        <v>0</v>
      </c>
      <c r="S42" s="322">
        <f t="shared" si="4"/>
        <v>37856.25</v>
      </c>
      <c r="T42" s="323">
        <f t="shared" si="5"/>
        <v>18396395.550883193</v>
      </c>
      <c r="U42" s="36"/>
      <c r="V42" s="56"/>
      <c r="W42" s="56"/>
      <c r="X42" s="57"/>
      <c r="Y42" s="58"/>
      <c r="Z42" s="59"/>
      <c r="AA42" s="38"/>
      <c r="AD42" s="40"/>
      <c r="AE42" s="42"/>
      <c r="AF42" s="42"/>
      <c r="AG42" s="2"/>
      <c r="AH42" s="43"/>
      <c r="AI42" s="60"/>
      <c r="AJ42" s="60"/>
      <c r="AK42" s="60"/>
      <c r="AL42" s="70"/>
      <c r="AM42" s="70"/>
      <c r="AN42" s="63"/>
    </row>
    <row r="43" spans="1:46" ht="14.4" x14ac:dyDescent="0.3">
      <c r="A43" s="44" t="s">
        <v>85</v>
      </c>
      <c r="B43" s="45" t="s">
        <v>86</v>
      </c>
      <c r="C43" s="64" t="s">
        <v>87</v>
      </c>
      <c r="D43" s="65">
        <v>240</v>
      </c>
      <c r="E43" s="66">
        <v>774294.5480445479</v>
      </c>
      <c r="F43" s="67">
        <f t="shared" si="6"/>
        <v>185830691.5306915</v>
      </c>
      <c r="G43" s="68">
        <v>51</v>
      </c>
      <c r="H43" s="69">
        <v>39489021.950271942</v>
      </c>
      <c r="I43" s="52">
        <v>66</v>
      </c>
      <c r="J43" s="53">
        <v>55936223.850083143</v>
      </c>
      <c r="K43" s="54"/>
      <c r="L43" s="53"/>
      <c r="M43" s="54"/>
      <c r="N43" s="53"/>
      <c r="O43" s="54"/>
      <c r="P43" s="53"/>
      <c r="Q43" s="54"/>
      <c r="R43" s="53"/>
      <c r="S43" s="322">
        <f t="shared" si="4"/>
        <v>117</v>
      </c>
      <c r="T43" s="323">
        <f t="shared" si="5"/>
        <v>95425245.800355077</v>
      </c>
      <c r="U43" s="36"/>
      <c r="V43" s="56"/>
      <c r="W43" s="56"/>
      <c r="X43" s="57"/>
      <c r="Y43" s="58"/>
      <c r="Z43" s="59"/>
      <c r="AA43" s="38"/>
      <c r="AD43" s="40"/>
      <c r="AE43" s="42"/>
      <c r="AF43" s="42"/>
      <c r="AG43" s="2"/>
      <c r="AH43" s="43"/>
      <c r="AI43" s="60"/>
      <c r="AJ43" s="60"/>
      <c r="AK43" s="60"/>
      <c r="AL43" s="70"/>
      <c r="AM43" s="70"/>
      <c r="AN43" s="63"/>
      <c r="AT43" s="73"/>
    </row>
    <row r="44" spans="1:46" ht="41.4" x14ac:dyDescent="0.3">
      <c r="A44" s="44" t="s">
        <v>88</v>
      </c>
      <c r="B44" s="45" t="s">
        <v>89</v>
      </c>
      <c r="C44" s="64" t="s">
        <v>18</v>
      </c>
      <c r="D44" s="65">
        <v>149158.77999999997</v>
      </c>
      <c r="E44" s="66">
        <v>1036.8104118104118</v>
      </c>
      <c r="F44" s="67">
        <f t="shared" si="6"/>
        <v>154649376.11693859</v>
      </c>
      <c r="G44" s="68">
        <v>20590.03</v>
      </c>
      <c r="H44" s="69">
        <v>21347957.483488731</v>
      </c>
      <c r="I44" s="52">
        <v>27462.22</v>
      </c>
      <c r="J44" s="53">
        <v>37518226.273810811</v>
      </c>
      <c r="K44" s="54"/>
      <c r="L44" s="53">
        <f t="shared" ref="L44:L49" si="7">K44*$E44</f>
        <v>0</v>
      </c>
      <c r="M44" s="54"/>
      <c r="N44" s="53">
        <f t="shared" ref="N44:N49" si="8">M44*$E44</f>
        <v>0</v>
      </c>
      <c r="O44" s="54"/>
      <c r="P44" s="53">
        <f t="shared" ref="P44:P49" si="9">O44*E44</f>
        <v>0</v>
      </c>
      <c r="Q44" s="54"/>
      <c r="R44" s="53">
        <f>Q44*G44</f>
        <v>0</v>
      </c>
      <c r="S44" s="322">
        <f t="shared" si="4"/>
        <v>48052.25</v>
      </c>
      <c r="T44" s="323">
        <f t="shared" si="5"/>
        <v>58866183.757299542</v>
      </c>
      <c r="U44" s="36"/>
      <c r="V44" s="56"/>
      <c r="W44" s="56"/>
      <c r="X44" s="57"/>
      <c r="Y44" s="58"/>
      <c r="Z44" s="59"/>
      <c r="AA44" s="38"/>
      <c r="AD44" s="40"/>
      <c r="AE44" s="42"/>
      <c r="AF44" s="42"/>
      <c r="AG44" s="2"/>
      <c r="AH44" s="43"/>
      <c r="AI44" s="60"/>
      <c r="AJ44" s="60"/>
      <c r="AK44" s="60"/>
      <c r="AL44" s="70"/>
      <c r="AM44" s="70"/>
      <c r="AN44" s="63"/>
    </row>
    <row r="45" spans="1:46" ht="41.4" x14ac:dyDescent="0.3">
      <c r="A45" s="44">
        <v>2.19</v>
      </c>
      <c r="B45" s="45" t="s">
        <v>90</v>
      </c>
      <c r="C45" s="64" t="s">
        <v>18</v>
      </c>
      <c r="D45" s="65">
        <v>1</v>
      </c>
      <c r="E45" s="66">
        <v>2825.4654886148005</v>
      </c>
      <c r="F45" s="67"/>
      <c r="G45" s="68">
        <v>153</v>
      </c>
      <c r="H45" s="69">
        <v>432296.21975806449</v>
      </c>
      <c r="I45" s="52">
        <v>153</v>
      </c>
      <c r="J45" s="53">
        <v>471040.08026586496</v>
      </c>
      <c r="K45" s="54"/>
      <c r="L45" s="53"/>
      <c r="M45" s="54"/>
      <c r="N45" s="53"/>
      <c r="O45" s="54"/>
      <c r="P45" s="53"/>
      <c r="Q45" s="54"/>
      <c r="R45" s="53"/>
      <c r="S45" s="322">
        <f t="shared" si="4"/>
        <v>306</v>
      </c>
      <c r="T45" s="323">
        <f t="shared" si="5"/>
        <v>903336.30002392945</v>
      </c>
      <c r="U45" s="36"/>
      <c r="V45" s="56"/>
      <c r="W45" s="56"/>
      <c r="X45" s="57"/>
      <c r="Y45" s="58"/>
      <c r="Z45" s="59"/>
      <c r="AA45" s="38"/>
      <c r="AD45" s="40"/>
      <c r="AE45" s="42"/>
      <c r="AF45" s="42"/>
      <c r="AG45" s="2"/>
      <c r="AH45" s="43"/>
      <c r="AI45" s="60"/>
      <c r="AJ45" s="60"/>
      <c r="AK45" s="60"/>
      <c r="AL45" s="70"/>
      <c r="AM45" s="70"/>
      <c r="AN45" s="63"/>
    </row>
    <row r="46" spans="1:46" ht="55.2" x14ac:dyDescent="0.3">
      <c r="A46" s="44">
        <v>2.2000000000000002</v>
      </c>
      <c r="B46" s="45" t="s">
        <v>91</v>
      </c>
      <c r="C46" s="64" t="s">
        <v>18</v>
      </c>
      <c r="D46" s="65">
        <v>1</v>
      </c>
      <c r="E46" s="66">
        <v>3058.5670659392786</v>
      </c>
      <c r="F46" s="67"/>
      <c r="G46" s="68">
        <v>153</v>
      </c>
      <c r="H46" s="69">
        <v>467960.76108870964</v>
      </c>
      <c r="I46" s="52">
        <v>153</v>
      </c>
      <c r="J46" s="53">
        <v>520811.75069483195</v>
      </c>
      <c r="K46" s="54"/>
      <c r="L46" s="53"/>
      <c r="M46" s="54"/>
      <c r="N46" s="53"/>
      <c r="O46" s="54"/>
      <c r="P46" s="53"/>
      <c r="Q46" s="54"/>
      <c r="R46" s="53"/>
      <c r="S46" s="322">
        <f t="shared" si="4"/>
        <v>306</v>
      </c>
      <c r="T46" s="323">
        <f t="shared" si="5"/>
        <v>988772.51178354165</v>
      </c>
      <c r="U46" s="36"/>
      <c r="V46" s="56"/>
      <c r="W46" s="56"/>
      <c r="X46" s="57"/>
      <c r="Y46" s="58"/>
      <c r="Z46" s="59"/>
      <c r="AA46" s="38"/>
      <c r="AD46" s="40"/>
      <c r="AE46" s="42"/>
      <c r="AF46" s="42"/>
      <c r="AG46" s="2"/>
      <c r="AH46" s="43"/>
      <c r="AI46" s="60"/>
      <c r="AJ46" s="60"/>
      <c r="AK46" s="60"/>
      <c r="AL46" s="70"/>
      <c r="AM46" s="70"/>
      <c r="AN46" s="63"/>
    </row>
    <row r="47" spans="1:46" ht="55.2" x14ac:dyDescent="0.3">
      <c r="A47" s="44">
        <v>2.21</v>
      </c>
      <c r="B47" s="45" t="s">
        <v>92</v>
      </c>
      <c r="C47" s="64" t="s">
        <v>18</v>
      </c>
      <c r="D47" s="65">
        <v>1</v>
      </c>
      <c r="E47" s="66">
        <v>2720.9366105313093</v>
      </c>
      <c r="F47" s="67"/>
      <c r="G47" s="68">
        <v>0</v>
      </c>
      <c r="H47" s="69">
        <v>0</v>
      </c>
      <c r="I47" s="52">
        <v>153</v>
      </c>
      <c r="J47" s="53">
        <v>438994.1201289125</v>
      </c>
      <c r="K47" s="54"/>
      <c r="L47" s="53"/>
      <c r="M47" s="54"/>
      <c r="N47" s="53"/>
      <c r="O47" s="54"/>
      <c r="P47" s="53"/>
      <c r="Q47" s="54"/>
      <c r="R47" s="53"/>
      <c r="S47" s="322">
        <f t="shared" si="4"/>
        <v>153</v>
      </c>
      <c r="T47" s="323">
        <f t="shared" si="5"/>
        <v>438994.1201289125</v>
      </c>
      <c r="U47" s="36"/>
      <c r="V47" s="56"/>
      <c r="W47" s="56"/>
      <c r="X47" s="57"/>
      <c r="Y47" s="58"/>
      <c r="Z47" s="59"/>
      <c r="AA47" s="38"/>
      <c r="AD47" s="40"/>
      <c r="AE47" s="42"/>
      <c r="AF47" s="42"/>
      <c r="AG47" s="2"/>
      <c r="AH47" s="43"/>
      <c r="AI47" s="60"/>
      <c r="AJ47" s="60"/>
      <c r="AK47" s="60"/>
      <c r="AL47" s="70"/>
      <c r="AM47" s="70"/>
      <c r="AN47" s="63"/>
    </row>
    <row r="48" spans="1:46" ht="55.2" x14ac:dyDescent="0.3">
      <c r="A48" s="44">
        <v>2.2200000000000002</v>
      </c>
      <c r="B48" s="45" t="s">
        <v>93</v>
      </c>
      <c r="C48" s="64" t="s">
        <v>18</v>
      </c>
      <c r="D48" s="65">
        <v>1</v>
      </c>
      <c r="E48" s="66">
        <v>3276.4453866223903</v>
      </c>
      <c r="F48" s="67"/>
      <c r="G48" s="68">
        <v>0</v>
      </c>
      <c r="H48" s="69">
        <v>0</v>
      </c>
      <c r="I48" s="52">
        <v>0</v>
      </c>
      <c r="J48" s="53">
        <v>0</v>
      </c>
      <c r="K48" s="54"/>
      <c r="L48" s="53"/>
      <c r="M48" s="54"/>
      <c r="N48" s="53"/>
      <c r="O48" s="54"/>
      <c r="P48" s="53"/>
      <c r="Q48" s="54"/>
      <c r="R48" s="53"/>
      <c r="S48" s="322">
        <f t="shared" si="4"/>
        <v>0</v>
      </c>
      <c r="T48" s="323">
        <f t="shared" si="5"/>
        <v>0</v>
      </c>
      <c r="U48" s="36"/>
      <c r="V48" s="56"/>
      <c r="W48" s="56"/>
      <c r="X48" s="57"/>
      <c r="Y48" s="58"/>
      <c r="Z48" s="59"/>
      <c r="AA48" s="38"/>
      <c r="AD48" s="40"/>
      <c r="AE48" s="42"/>
      <c r="AF48" s="42"/>
      <c r="AG48" s="2"/>
      <c r="AH48" s="43"/>
      <c r="AI48" s="60"/>
      <c r="AJ48" s="60"/>
      <c r="AK48" s="60"/>
      <c r="AL48" s="70"/>
      <c r="AM48" s="70"/>
      <c r="AN48" s="63"/>
    </row>
    <row r="49" spans="1:40" ht="55.2" x14ac:dyDescent="0.3">
      <c r="A49" s="44">
        <v>3.01</v>
      </c>
      <c r="B49" s="45" t="s">
        <v>94</v>
      </c>
      <c r="C49" s="64" t="s">
        <v>82</v>
      </c>
      <c r="D49" s="65">
        <v>4080</v>
      </c>
      <c r="E49" s="66">
        <v>28364.413364413362</v>
      </c>
      <c r="F49" s="67">
        <f t="shared" si="6"/>
        <v>115726806.52680652</v>
      </c>
      <c r="G49" s="68">
        <v>340</v>
      </c>
      <c r="H49" s="69">
        <v>9643900.5439005438</v>
      </c>
      <c r="I49" s="52">
        <v>340</v>
      </c>
      <c r="J49" s="53">
        <v>10092232.118760595</v>
      </c>
      <c r="K49" s="54"/>
      <c r="L49" s="53">
        <f t="shared" si="7"/>
        <v>0</v>
      </c>
      <c r="M49" s="54"/>
      <c r="N49" s="53">
        <f t="shared" si="8"/>
        <v>0</v>
      </c>
      <c r="O49" s="54"/>
      <c r="P49" s="53">
        <f t="shared" si="9"/>
        <v>0</v>
      </c>
      <c r="Q49" s="54"/>
      <c r="R49" s="53">
        <f>Q49*G49</f>
        <v>0</v>
      </c>
      <c r="S49" s="322">
        <f t="shared" si="4"/>
        <v>680</v>
      </c>
      <c r="T49" s="323">
        <f t="shared" si="5"/>
        <v>19736132.662661139</v>
      </c>
      <c r="U49" s="36"/>
      <c r="V49" s="56"/>
      <c r="W49" s="56"/>
      <c r="X49" s="57"/>
      <c r="Y49" s="58"/>
      <c r="Z49" s="59"/>
      <c r="AA49" s="38"/>
      <c r="AD49" s="40"/>
      <c r="AE49" s="42"/>
      <c r="AF49" s="42"/>
      <c r="AG49" s="2"/>
      <c r="AH49" s="43"/>
      <c r="AI49" s="60"/>
      <c r="AJ49" s="60"/>
      <c r="AK49" s="60"/>
      <c r="AL49" s="70"/>
      <c r="AM49" s="70"/>
      <c r="AN49" s="63"/>
    </row>
    <row r="50" spans="1:40" ht="41.4" x14ac:dyDescent="0.3">
      <c r="A50" s="44">
        <v>3.02</v>
      </c>
      <c r="B50" s="45" t="s">
        <v>95</v>
      </c>
      <c r="C50" s="64" t="s">
        <v>18</v>
      </c>
      <c r="D50" s="65">
        <v>309056.03999999992</v>
      </c>
      <c r="E50" s="66">
        <v>151.83890183890182</v>
      </c>
      <c r="F50" s="67">
        <f t="shared" si="6"/>
        <v>46926729.720279701</v>
      </c>
      <c r="G50" s="68">
        <v>19030.86</v>
      </c>
      <c r="H50" s="69">
        <v>2889624.8834498832</v>
      </c>
      <c r="I50" s="52">
        <v>39312.54</v>
      </c>
      <c r="J50" s="53">
        <v>8280903.2428985229</v>
      </c>
      <c r="K50" s="54"/>
      <c r="L50" s="53"/>
      <c r="M50" s="54"/>
      <c r="N50" s="53"/>
      <c r="O50" s="54"/>
      <c r="P50" s="53"/>
      <c r="Q50" s="54"/>
      <c r="R50" s="53"/>
      <c r="S50" s="322">
        <f t="shared" si="4"/>
        <v>58343.4</v>
      </c>
      <c r="T50" s="323">
        <f t="shared" si="5"/>
        <v>11170528.126348406</v>
      </c>
      <c r="U50" s="36"/>
      <c r="V50" s="56"/>
      <c r="W50" s="56"/>
      <c r="X50" s="57"/>
      <c r="Y50" s="58"/>
      <c r="Z50" s="59"/>
      <c r="AA50" s="38"/>
      <c r="AD50" s="40"/>
      <c r="AE50" s="42"/>
      <c r="AF50" s="42"/>
      <c r="AG50" s="2"/>
      <c r="AH50" s="43"/>
      <c r="AI50" s="60"/>
      <c r="AJ50" s="60"/>
      <c r="AK50" s="60"/>
      <c r="AL50" s="70"/>
      <c r="AM50" s="70"/>
      <c r="AN50" s="63"/>
    </row>
    <row r="51" spans="1:40" ht="41.4" x14ac:dyDescent="0.3">
      <c r="A51" s="44">
        <v>3.03</v>
      </c>
      <c r="B51" s="45" t="s">
        <v>96</v>
      </c>
      <c r="C51" s="64" t="s">
        <v>18</v>
      </c>
      <c r="D51" s="65">
        <v>397940.03999999986</v>
      </c>
      <c r="E51" s="66">
        <v>1206.7793317793316</v>
      </c>
      <c r="F51" s="67">
        <f t="shared" si="6"/>
        <v>480225815.55944031</v>
      </c>
      <c r="G51" s="68">
        <v>38097.300000000003</v>
      </c>
      <c r="H51" s="69">
        <v>45975034.236596733</v>
      </c>
      <c r="I51" s="52">
        <v>59272.290000000008</v>
      </c>
      <c r="J51" s="53">
        <v>89712704.886575997</v>
      </c>
      <c r="K51" s="54"/>
      <c r="L51" s="53"/>
      <c r="M51" s="54"/>
      <c r="N51" s="53"/>
      <c r="O51" s="54"/>
      <c r="P51" s="53"/>
      <c r="Q51" s="54"/>
      <c r="R51" s="53"/>
      <c r="S51" s="322">
        <f t="shared" si="4"/>
        <v>97369.590000000011</v>
      </c>
      <c r="T51" s="323">
        <f t="shared" si="5"/>
        <v>135687739.12317273</v>
      </c>
      <c r="U51" s="36"/>
      <c r="V51" s="56"/>
      <c r="W51" s="56"/>
      <c r="X51" s="57"/>
      <c r="Y51" s="58"/>
      <c r="Z51" s="59"/>
      <c r="AA51" s="38"/>
      <c r="AD51" s="40"/>
      <c r="AE51" s="42"/>
      <c r="AF51" s="42"/>
      <c r="AG51" s="2"/>
      <c r="AH51" s="43"/>
      <c r="AI51" s="60"/>
      <c r="AJ51" s="60"/>
      <c r="AK51" s="60"/>
      <c r="AL51" s="70"/>
      <c r="AM51" s="70"/>
      <c r="AN51" s="63"/>
    </row>
    <row r="52" spans="1:40" ht="41.4" x14ac:dyDescent="0.3">
      <c r="A52" s="44">
        <v>3.04</v>
      </c>
      <c r="B52" s="45" t="s">
        <v>97</v>
      </c>
      <c r="C52" s="64" t="s">
        <v>21</v>
      </c>
      <c r="D52" s="65">
        <v>486824.03999999986</v>
      </c>
      <c r="E52" s="66">
        <v>499.7086247086246</v>
      </c>
      <c r="F52" s="67">
        <f t="shared" si="6"/>
        <v>243270171.50349638</v>
      </c>
      <c r="G52" s="68">
        <v>45562.6</v>
      </c>
      <c r="H52" s="69">
        <v>22768024.18414918</v>
      </c>
      <c r="I52" s="52">
        <v>72870.37999999999</v>
      </c>
      <c r="J52" s="53">
        <v>44005089.5201943</v>
      </c>
      <c r="K52" s="54"/>
      <c r="L52" s="53"/>
      <c r="M52" s="54"/>
      <c r="N52" s="53"/>
      <c r="O52" s="54"/>
      <c r="P52" s="53"/>
      <c r="Q52" s="54"/>
      <c r="R52" s="53"/>
      <c r="S52" s="322">
        <f t="shared" si="4"/>
        <v>118432.97999999998</v>
      </c>
      <c r="T52" s="323">
        <f t="shared" si="5"/>
        <v>66773113.704343483</v>
      </c>
      <c r="U52" s="36"/>
      <c r="V52" s="56"/>
      <c r="W52" s="56"/>
      <c r="X52" s="57"/>
      <c r="Y52" s="58"/>
      <c r="Z52" s="59"/>
      <c r="AA52" s="38"/>
      <c r="AD52" s="40"/>
      <c r="AE52" s="42"/>
      <c r="AF52" s="42"/>
      <c r="AG52" s="2"/>
      <c r="AH52" s="43"/>
      <c r="AI52" s="60"/>
      <c r="AJ52" s="60"/>
      <c r="AK52" s="60"/>
      <c r="AL52" s="70"/>
      <c r="AM52" s="70"/>
      <c r="AN52" s="63"/>
    </row>
    <row r="53" spans="1:40" ht="27.6" x14ac:dyDescent="0.3">
      <c r="A53" s="44">
        <v>3.05</v>
      </c>
      <c r="B53" s="45" t="s">
        <v>98</v>
      </c>
      <c r="C53" s="64" t="s">
        <v>18</v>
      </c>
      <c r="D53" s="65">
        <v>154528.01999999999</v>
      </c>
      <c r="E53" s="66">
        <v>139.37451437451435</v>
      </c>
      <c r="F53" s="67">
        <f t="shared" si="6"/>
        <v>21537267.744755238</v>
      </c>
      <c r="G53" s="68">
        <v>19030.86</v>
      </c>
      <c r="H53" s="69">
        <v>2652416.8706293702</v>
      </c>
      <c r="I53" s="52">
        <v>31637.800000000003</v>
      </c>
      <c r="J53" s="53">
        <v>4629284.8713838169</v>
      </c>
      <c r="K53" s="54"/>
      <c r="L53" s="53"/>
      <c r="M53" s="54"/>
      <c r="N53" s="53"/>
      <c r="O53" s="54"/>
      <c r="P53" s="53"/>
      <c r="Q53" s="54"/>
      <c r="R53" s="53"/>
      <c r="S53" s="322">
        <f t="shared" si="4"/>
        <v>50668.66</v>
      </c>
      <c r="T53" s="323">
        <f t="shared" si="5"/>
        <v>7281701.7420131871</v>
      </c>
      <c r="U53" s="36"/>
      <c r="V53" s="56"/>
      <c r="W53" s="56"/>
      <c r="X53" s="57"/>
      <c r="Y53" s="58"/>
      <c r="Z53" s="59"/>
      <c r="AA53" s="38"/>
      <c r="AD53" s="40"/>
      <c r="AE53" s="42"/>
      <c r="AF53" s="42"/>
      <c r="AG53" s="2"/>
      <c r="AH53" s="43"/>
      <c r="AI53" s="60"/>
      <c r="AJ53" s="60"/>
      <c r="AK53" s="60"/>
      <c r="AL53" s="70"/>
      <c r="AM53" s="70"/>
      <c r="AN53" s="63"/>
    </row>
    <row r="54" spans="1:40" ht="29.4" customHeight="1" x14ac:dyDescent="0.3">
      <c r="A54" s="44">
        <v>3.06</v>
      </c>
      <c r="B54" s="45" t="str">
        <f>UPPER("Pulido y encerado de pisos  de mármol por medios mecánicos y manuales")</f>
        <v>PULIDO Y ENCERADO DE PISOS  DE MÁRMOL POR MEDIOS MECÁNICOS Y MANUALES</v>
      </c>
      <c r="C54" s="64" t="s">
        <v>21</v>
      </c>
      <c r="D54" s="65">
        <v>28608</v>
      </c>
      <c r="E54" s="66">
        <v>19770.517077798861</v>
      </c>
      <c r="F54" s="67">
        <f t="shared" si="6"/>
        <v>565594952.56166983</v>
      </c>
      <c r="G54" s="68">
        <v>5245.49</v>
      </c>
      <c r="H54" s="69">
        <v>103706049.62642314</v>
      </c>
      <c r="I54" s="52">
        <v>9110.14</v>
      </c>
      <c r="J54" s="53">
        <v>203011023.6544638</v>
      </c>
      <c r="K54" s="54"/>
      <c r="L54" s="53"/>
      <c r="M54" s="54"/>
      <c r="N54" s="53"/>
      <c r="O54" s="54"/>
      <c r="P54" s="53"/>
      <c r="Q54" s="54"/>
      <c r="R54" s="53"/>
      <c r="S54" s="322">
        <f t="shared" si="4"/>
        <v>14355.63</v>
      </c>
      <c r="T54" s="323">
        <f t="shared" si="5"/>
        <v>306717073.28088695</v>
      </c>
      <c r="U54" s="36"/>
      <c r="V54" s="56"/>
      <c r="W54" s="56"/>
      <c r="X54" s="57"/>
      <c r="Y54" s="58"/>
      <c r="Z54" s="59"/>
      <c r="AA54" s="38"/>
      <c r="AD54" s="40"/>
      <c r="AE54" s="42"/>
      <c r="AF54" s="42"/>
      <c r="AG54" s="2"/>
      <c r="AH54" s="43"/>
      <c r="AI54" s="60"/>
      <c r="AJ54" s="60"/>
      <c r="AK54" s="60"/>
      <c r="AL54" s="70"/>
      <c r="AM54" s="70"/>
      <c r="AN54" s="63"/>
    </row>
    <row r="55" spans="1:40" ht="50.4" customHeight="1" x14ac:dyDescent="0.3">
      <c r="A55" s="44">
        <v>3.07</v>
      </c>
      <c r="B55" s="45" t="s">
        <v>99</v>
      </c>
      <c r="C55" s="64" t="s">
        <v>100</v>
      </c>
      <c r="D55" s="65">
        <v>1</v>
      </c>
      <c r="E55" s="66">
        <v>796272.48725094867</v>
      </c>
      <c r="F55" s="67"/>
      <c r="G55" s="68">
        <v>69</v>
      </c>
      <c r="H55" s="69">
        <v>54942801.620315455</v>
      </c>
      <c r="I55" s="52">
        <v>76</v>
      </c>
      <c r="J55" s="53">
        <v>71617722.83233586</v>
      </c>
      <c r="K55" s="54"/>
      <c r="L55" s="53"/>
      <c r="M55" s="54"/>
      <c r="N55" s="53"/>
      <c r="O55" s="54"/>
      <c r="P55" s="53"/>
      <c r="Q55" s="54"/>
      <c r="R55" s="53"/>
      <c r="S55" s="322">
        <f t="shared" si="4"/>
        <v>145</v>
      </c>
      <c r="T55" s="323">
        <f t="shared" si="5"/>
        <v>126560524.45265132</v>
      </c>
      <c r="U55" s="36"/>
      <c r="V55" s="56"/>
      <c r="W55" s="56"/>
      <c r="X55" s="57"/>
      <c r="Y55" s="58"/>
      <c r="Z55" s="59"/>
      <c r="AA55" s="38"/>
      <c r="AD55" s="40"/>
      <c r="AE55" s="42"/>
      <c r="AF55" s="42"/>
      <c r="AG55" s="2"/>
      <c r="AH55" s="43"/>
      <c r="AI55" s="60"/>
      <c r="AJ55" s="60"/>
      <c r="AK55" s="60"/>
      <c r="AL55" s="70"/>
      <c r="AM55" s="70"/>
      <c r="AN55" s="63"/>
    </row>
    <row r="56" spans="1:40" ht="37.200000000000003" customHeight="1" x14ac:dyDescent="0.3">
      <c r="A56" s="44">
        <v>3.08</v>
      </c>
      <c r="B56" s="45" t="s">
        <v>101</v>
      </c>
      <c r="C56" s="64" t="s">
        <v>82</v>
      </c>
      <c r="D56" s="65">
        <v>1</v>
      </c>
      <c r="E56" s="66">
        <v>9031.2203510436429</v>
      </c>
      <c r="F56" s="67"/>
      <c r="G56" s="68">
        <v>865</v>
      </c>
      <c r="H56" s="69">
        <v>7812005.6036527511</v>
      </c>
      <c r="I56" s="52">
        <v>865</v>
      </c>
      <c r="J56" s="53">
        <v>8859200.0366668683</v>
      </c>
      <c r="K56" s="54"/>
      <c r="L56" s="53"/>
      <c r="M56" s="54"/>
      <c r="N56" s="53"/>
      <c r="O56" s="54"/>
      <c r="P56" s="53"/>
      <c r="Q56" s="54"/>
      <c r="R56" s="53"/>
      <c r="S56" s="322">
        <f t="shared" si="4"/>
        <v>1730</v>
      </c>
      <c r="T56" s="323">
        <f t="shared" si="5"/>
        <v>16671205.640319619</v>
      </c>
      <c r="U56" s="36"/>
      <c r="V56" s="56"/>
      <c r="W56" s="56"/>
      <c r="X56" s="57"/>
      <c r="Y56" s="58"/>
      <c r="Z56" s="59"/>
      <c r="AA56" s="38"/>
      <c r="AD56" s="40"/>
      <c r="AE56" s="42"/>
      <c r="AF56" s="42"/>
      <c r="AG56" s="2"/>
      <c r="AH56" s="43"/>
      <c r="AI56" s="60"/>
      <c r="AJ56" s="60"/>
      <c r="AK56" s="60"/>
      <c r="AL56" s="70"/>
      <c r="AM56" s="70"/>
      <c r="AN56" s="63"/>
    </row>
    <row r="57" spans="1:40" ht="37.200000000000003" customHeight="1" x14ac:dyDescent="0.3">
      <c r="A57" s="44">
        <v>3.09</v>
      </c>
      <c r="B57" s="45" t="s">
        <v>102</v>
      </c>
      <c r="C57" s="64" t="s">
        <v>57</v>
      </c>
      <c r="D57" s="65"/>
      <c r="E57" s="66">
        <v>4941985.8870967738</v>
      </c>
      <c r="F57" s="67"/>
      <c r="G57" s="68">
        <v>1</v>
      </c>
      <c r="H57" s="69">
        <v>4941985.8870967738</v>
      </c>
      <c r="I57" s="52">
        <v>1</v>
      </c>
      <c r="J57" s="53">
        <v>5814402.3451612899</v>
      </c>
      <c r="K57" s="54"/>
      <c r="L57" s="53"/>
      <c r="M57" s="54"/>
      <c r="N57" s="53"/>
      <c r="O57" s="54"/>
      <c r="P57" s="53"/>
      <c r="Q57" s="54"/>
      <c r="R57" s="53"/>
      <c r="S57" s="322">
        <f t="shared" si="4"/>
        <v>2</v>
      </c>
      <c r="T57" s="323">
        <f t="shared" si="5"/>
        <v>10756388.232258063</v>
      </c>
      <c r="U57" s="36"/>
      <c r="V57" s="56"/>
      <c r="W57" s="56"/>
      <c r="X57" s="57"/>
      <c r="Y57" s="58"/>
      <c r="Z57" s="59"/>
      <c r="AA57" s="38"/>
      <c r="AD57" s="40"/>
      <c r="AE57" s="42"/>
      <c r="AF57" s="42"/>
      <c r="AG57" s="2"/>
      <c r="AH57" s="43"/>
      <c r="AI57" s="60"/>
      <c r="AJ57" s="60"/>
      <c r="AK57" s="60"/>
      <c r="AL57" s="70"/>
      <c r="AM57" s="70"/>
      <c r="AN57" s="63"/>
    </row>
    <row r="58" spans="1:40" ht="37.200000000000003" customHeight="1" x14ac:dyDescent="0.3">
      <c r="A58" s="44">
        <v>3.1</v>
      </c>
      <c r="B58" s="45" t="s">
        <v>103</v>
      </c>
      <c r="C58" s="64" t="s">
        <v>27</v>
      </c>
      <c r="D58" s="65"/>
      <c r="E58" s="66">
        <v>3929177.968347515</v>
      </c>
      <c r="F58" s="67"/>
      <c r="G58" s="68">
        <v>0</v>
      </c>
      <c r="H58" s="69">
        <v>0</v>
      </c>
      <c r="I58" s="52">
        <v>9</v>
      </c>
      <c r="J58" s="53">
        <v>36887571.815757133</v>
      </c>
      <c r="K58" s="54"/>
      <c r="L58" s="53"/>
      <c r="M58" s="54"/>
      <c r="N58" s="53"/>
      <c r="O58" s="54"/>
      <c r="P58" s="53"/>
      <c r="Q58" s="54"/>
      <c r="R58" s="53"/>
      <c r="S58" s="322">
        <f t="shared" si="4"/>
        <v>9</v>
      </c>
      <c r="T58" s="323">
        <f t="shared" si="5"/>
        <v>36887571.815757133</v>
      </c>
      <c r="U58" s="36"/>
      <c r="V58" s="56"/>
      <c r="W58" s="56"/>
      <c r="X58" s="57"/>
      <c r="Y58" s="58"/>
      <c r="Z58" s="59"/>
      <c r="AA58" s="38"/>
      <c r="AD58" s="40"/>
      <c r="AE58" s="42"/>
      <c r="AF58" s="42"/>
      <c r="AG58" s="2"/>
      <c r="AH58" s="43"/>
      <c r="AI58" s="60"/>
      <c r="AJ58" s="60"/>
      <c r="AK58" s="60"/>
      <c r="AL58" s="70"/>
      <c r="AM58" s="70"/>
      <c r="AN58" s="63"/>
    </row>
    <row r="59" spans="1:40" ht="37.200000000000003" customHeight="1" x14ac:dyDescent="0.3">
      <c r="A59" s="44">
        <v>3.11</v>
      </c>
      <c r="B59" s="45" t="s">
        <v>104</v>
      </c>
      <c r="C59" s="64" t="s">
        <v>21</v>
      </c>
      <c r="D59" s="65"/>
      <c r="E59" s="66">
        <v>70644.95220588235</v>
      </c>
      <c r="F59" s="67"/>
      <c r="G59" s="68">
        <v>35</v>
      </c>
      <c r="H59" s="69">
        <v>2472573.3272058824</v>
      </c>
      <c r="I59" s="52">
        <v>35</v>
      </c>
      <c r="J59" s="53">
        <v>2745161.0326686269</v>
      </c>
      <c r="K59" s="54"/>
      <c r="L59" s="53"/>
      <c r="M59" s="54"/>
      <c r="N59" s="53"/>
      <c r="O59" s="54"/>
      <c r="P59" s="53"/>
      <c r="Q59" s="54"/>
      <c r="R59" s="53"/>
      <c r="S59" s="322">
        <f t="shared" si="4"/>
        <v>70</v>
      </c>
      <c r="T59" s="323">
        <f t="shared" si="5"/>
        <v>5217734.3598745093</v>
      </c>
      <c r="U59" s="36"/>
      <c r="V59" s="56"/>
      <c r="W59" s="56"/>
      <c r="X59" s="57"/>
      <c r="Y59" s="58"/>
      <c r="Z59" s="59"/>
      <c r="AA59" s="38"/>
      <c r="AD59" s="40"/>
      <c r="AE59" s="42"/>
      <c r="AF59" s="42"/>
      <c r="AG59" s="2"/>
      <c r="AH59" s="43"/>
      <c r="AI59" s="60"/>
      <c r="AJ59" s="60"/>
      <c r="AK59" s="60"/>
      <c r="AL59" s="70"/>
      <c r="AM59" s="70"/>
      <c r="AN59" s="63"/>
    </row>
    <row r="60" spans="1:40" ht="37.200000000000003" customHeight="1" x14ac:dyDescent="0.3">
      <c r="A60" s="44">
        <v>3.12</v>
      </c>
      <c r="B60" s="45" t="s">
        <v>105</v>
      </c>
      <c r="C60" s="64" t="s">
        <v>27</v>
      </c>
      <c r="D60" s="65"/>
      <c r="E60" s="66">
        <v>15559475.806451611</v>
      </c>
      <c r="F60" s="67"/>
      <c r="G60" s="68">
        <v>1</v>
      </c>
      <c r="H60" s="69">
        <v>15559475.806451611</v>
      </c>
      <c r="I60" s="52">
        <v>1</v>
      </c>
      <c r="J60" s="53">
        <v>17812777.757419351</v>
      </c>
      <c r="K60" s="54"/>
      <c r="L60" s="53"/>
      <c r="M60" s="54"/>
      <c r="N60" s="53"/>
      <c r="O60" s="54"/>
      <c r="P60" s="53"/>
      <c r="Q60" s="54"/>
      <c r="R60" s="53"/>
      <c r="S60" s="322">
        <f t="shared" si="4"/>
        <v>2</v>
      </c>
      <c r="T60" s="323">
        <f t="shared" si="5"/>
        <v>33372253.563870963</v>
      </c>
      <c r="U60" s="36"/>
      <c r="V60" s="56"/>
      <c r="W60" s="56"/>
      <c r="X60" s="57"/>
      <c r="Y60" s="58"/>
      <c r="Z60" s="59"/>
      <c r="AA60" s="38"/>
      <c r="AD60" s="40"/>
      <c r="AE60" s="42"/>
      <c r="AF60" s="42"/>
      <c r="AG60" s="2"/>
      <c r="AH60" s="43"/>
      <c r="AI60" s="60"/>
      <c r="AJ60" s="60"/>
      <c r="AK60" s="60"/>
      <c r="AL60" s="70"/>
      <c r="AM60" s="70"/>
      <c r="AN60" s="63"/>
    </row>
    <row r="61" spans="1:40" ht="37.200000000000003" customHeight="1" x14ac:dyDescent="0.3">
      <c r="A61" s="44">
        <v>3.13</v>
      </c>
      <c r="B61" s="45" t="s">
        <v>106</v>
      </c>
      <c r="C61" s="64" t="s">
        <v>21</v>
      </c>
      <c r="D61" s="65"/>
      <c r="E61" s="66">
        <v>44531.319907588273</v>
      </c>
      <c r="F61" s="67"/>
      <c r="G61" s="68">
        <v>610</v>
      </c>
      <c r="H61" s="69">
        <v>27164105.143628847</v>
      </c>
      <c r="I61" s="52">
        <v>610</v>
      </c>
      <c r="J61" s="53">
        <v>31008210.6895607</v>
      </c>
      <c r="K61" s="54"/>
      <c r="L61" s="53"/>
      <c r="M61" s="54"/>
      <c r="N61" s="53"/>
      <c r="O61" s="54"/>
      <c r="P61" s="53"/>
      <c r="Q61" s="54"/>
      <c r="R61" s="53"/>
      <c r="S61" s="322">
        <f t="shared" si="4"/>
        <v>1220</v>
      </c>
      <c r="T61" s="323">
        <f t="shared" si="5"/>
        <v>58172315.833189547</v>
      </c>
      <c r="U61" s="36"/>
      <c r="V61" s="56"/>
      <c r="W61" s="56"/>
      <c r="X61" s="57"/>
      <c r="Y61" s="58"/>
      <c r="Z61" s="59"/>
      <c r="AA61" s="38"/>
      <c r="AD61" s="40"/>
      <c r="AE61" s="42"/>
      <c r="AF61" s="42"/>
      <c r="AG61" s="2"/>
      <c r="AH61" s="43"/>
      <c r="AI61" s="60"/>
      <c r="AJ61" s="60"/>
      <c r="AK61" s="60"/>
      <c r="AL61" s="70"/>
      <c r="AM61" s="70"/>
      <c r="AN61" s="63"/>
    </row>
    <row r="62" spans="1:40" ht="66.599999999999994" customHeight="1" x14ac:dyDescent="0.3">
      <c r="A62" s="44">
        <v>3.14</v>
      </c>
      <c r="B62" s="45" t="s">
        <v>606</v>
      </c>
      <c r="C62" s="64" t="s">
        <v>27</v>
      </c>
      <c r="D62" s="65">
        <v>1</v>
      </c>
      <c r="E62" s="66">
        <v>10250000</v>
      </c>
      <c r="F62" s="67"/>
      <c r="G62" s="68">
        <v>0</v>
      </c>
      <c r="H62" s="69">
        <v>0</v>
      </c>
      <c r="I62" s="275">
        <v>0</v>
      </c>
      <c r="J62" s="53">
        <v>0</v>
      </c>
      <c r="K62" s="54"/>
      <c r="L62" s="53"/>
      <c r="M62" s="54"/>
      <c r="N62" s="53"/>
      <c r="O62" s="54"/>
      <c r="P62" s="53"/>
      <c r="Q62" s="54"/>
      <c r="R62" s="53"/>
      <c r="S62" s="322">
        <f>+I62+G62</f>
        <v>0</v>
      </c>
      <c r="T62" s="323">
        <f>H62+J62</f>
        <v>0</v>
      </c>
      <c r="U62" s="36"/>
      <c r="V62" s="56"/>
      <c r="W62" s="56"/>
      <c r="X62" s="57"/>
      <c r="Y62" s="58"/>
      <c r="Z62" s="59"/>
      <c r="AA62" s="38"/>
      <c r="AD62" s="40"/>
      <c r="AE62" s="42"/>
      <c r="AF62" s="42"/>
      <c r="AG62" s="2"/>
      <c r="AH62" s="43"/>
      <c r="AI62" s="60"/>
      <c r="AJ62" s="60"/>
      <c r="AK62" s="60"/>
      <c r="AL62" s="70"/>
      <c r="AM62" s="70"/>
      <c r="AN62" s="63"/>
    </row>
    <row r="63" spans="1:40" ht="41.4" x14ac:dyDescent="0.3">
      <c r="A63" s="44" t="s">
        <v>107</v>
      </c>
      <c r="B63" s="45" t="s">
        <v>108</v>
      </c>
      <c r="C63" s="64" t="s">
        <v>27</v>
      </c>
      <c r="D63" s="65">
        <v>1</v>
      </c>
      <c r="E63" s="66">
        <v>43500000</v>
      </c>
      <c r="F63" s="67"/>
      <c r="G63" s="68">
        <v>0</v>
      </c>
      <c r="H63" s="69">
        <v>0</v>
      </c>
      <c r="I63" s="52">
        <v>0</v>
      </c>
      <c r="J63" s="53">
        <v>0</v>
      </c>
      <c r="K63" s="54"/>
      <c r="L63" s="53"/>
      <c r="M63" s="54"/>
      <c r="N63" s="53"/>
      <c r="O63" s="54"/>
      <c r="P63" s="53"/>
      <c r="Q63" s="54"/>
      <c r="R63" s="53"/>
      <c r="S63" s="322">
        <f t="shared" ref="S63" si="10">+I63+G63</f>
        <v>0</v>
      </c>
      <c r="T63" s="323">
        <f t="shared" ref="T63" si="11">H63+J63</f>
        <v>0</v>
      </c>
      <c r="U63" s="36"/>
      <c r="V63" s="56"/>
      <c r="W63" s="56"/>
      <c r="X63" s="57"/>
      <c r="Y63" s="58"/>
      <c r="Z63" s="59"/>
      <c r="AA63" s="38"/>
      <c r="AD63" s="40"/>
      <c r="AE63" s="42"/>
      <c r="AF63" s="42"/>
      <c r="AG63" s="2"/>
      <c r="AH63" s="43"/>
      <c r="AI63" s="60"/>
      <c r="AJ63" s="60"/>
      <c r="AK63" s="60"/>
      <c r="AL63" s="70"/>
      <c r="AM63" s="70"/>
      <c r="AN63" s="63"/>
    </row>
    <row r="64" spans="1:40" ht="60" customHeight="1" x14ac:dyDescent="0.3">
      <c r="A64" s="44" t="s">
        <v>107</v>
      </c>
      <c r="B64" s="45" t="s">
        <v>620</v>
      </c>
      <c r="C64" s="64" t="s">
        <v>21</v>
      </c>
      <c r="D64" s="65">
        <v>1</v>
      </c>
      <c r="E64" s="66">
        <v>2836242.542265594</v>
      </c>
      <c r="F64" s="67"/>
      <c r="G64" s="68">
        <v>0</v>
      </c>
      <c r="H64" s="69">
        <v>0</v>
      </c>
      <c r="I64" s="279"/>
      <c r="J64" s="53"/>
      <c r="K64" s="54">
        <v>30177620.64970592</v>
      </c>
      <c r="L64" s="53"/>
      <c r="M64" s="54"/>
      <c r="N64" s="53"/>
      <c r="O64" s="54"/>
      <c r="P64" s="53"/>
      <c r="Q64" s="54"/>
      <c r="R64" s="53"/>
      <c r="S64" s="322">
        <f>+I64+G64</f>
        <v>0</v>
      </c>
      <c r="T64" s="323">
        <f>H64+J64</f>
        <v>0</v>
      </c>
      <c r="U64" s="36"/>
      <c r="V64" s="56"/>
      <c r="W64" s="56"/>
      <c r="X64" s="57"/>
      <c r="Y64" s="58"/>
      <c r="Z64" s="59"/>
      <c r="AA64" s="38"/>
      <c r="AD64" s="40"/>
      <c r="AE64" s="42"/>
      <c r="AF64" s="42"/>
      <c r="AG64" s="2"/>
      <c r="AH64" s="43"/>
      <c r="AI64" s="60"/>
      <c r="AJ64" s="60"/>
      <c r="AK64" s="60"/>
      <c r="AL64" s="70"/>
      <c r="AM64" s="70"/>
      <c r="AN64" s="63"/>
    </row>
    <row r="65" spans="1:40" ht="96.6" x14ac:dyDescent="0.3">
      <c r="A65" s="44" t="s">
        <v>107</v>
      </c>
      <c r="B65" s="45" t="s">
        <v>607</v>
      </c>
      <c r="C65" s="64" t="s">
        <v>27</v>
      </c>
      <c r="D65" s="65">
        <v>1</v>
      </c>
      <c r="E65" s="66">
        <v>351000000</v>
      </c>
      <c r="F65" s="67"/>
      <c r="G65" s="68">
        <v>0</v>
      </c>
      <c r="H65" s="69">
        <v>0</v>
      </c>
      <c r="I65" s="275"/>
      <c r="J65" s="53"/>
      <c r="K65" s="54"/>
      <c r="L65" s="53"/>
      <c r="M65" s="54"/>
      <c r="N65" s="53"/>
      <c r="O65" s="54"/>
      <c r="P65" s="53"/>
      <c r="Q65" s="54"/>
      <c r="R65" s="53"/>
      <c r="S65" s="322">
        <f t="shared" ref="S65:S130" si="12">+I65+G65</f>
        <v>0</v>
      </c>
      <c r="T65" s="323">
        <f t="shared" ref="T65:T130" si="13">H65+J65</f>
        <v>0</v>
      </c>
      <c r="U65" s="36"/>
      <c r="V65" s="56"/>
      <c r="W65" s="56"/>
      <c r="X65" s="57"/>
      <c r="Y65" s="58"/>
      <c r="Z65" s="59"/>
      <c r="AA65" s="38"/>
      <c r="AD65" s="40"/>
      <c r="AE65" s="42"/>
      <c r="AF65" s="42"/>
      <c r="AG65" s="2"/>
      <c r="AH65" s="43"/>
      <c r="AI65" s="60"/>
      <c r="AJ65" s="60"/>
      <c r="AK65" s="60"/>
      <c r="AL65" s="70"/>
      <c r="AM65" s="70"/>
      <c r="AN65" s="63"/>
    </row>
    <row r="66" spans="1:40" ht="23.4" customHeight="1" x14ac:dyDescent="0.3">
      <c r="A66" s="44" t="s">
        <v>107</v>
      </c>
      <c r="B66" s="45" t="s">
        <v>621</v>
      </c>
      <c r="C66" s="64" t="s">
        <v>27</v>
      </c>
      <c r="D66" s="65">
        <v>1</v>
      </c>
      <c r="E66" s="66">
        <v>764566</v>
      </c>
      <c r="F66" s="67"/>
      <c r="G66" s="68">
        <v>0</v>
      </c>
      <c r="H66" s="69">
        <v>0</v>
      </c>
      <c r="I66" s="334"/>
      <c r="J66" s="53"/>
      <c r="K66" s="54"/>
      <c r="L66" s="53"/>
      <c r="M66" s="54"/>
      <c r="N66" s="53"/>
      <c r="O66" s="54"/>
      <c r="P66" s="53"/>
      <c r="Q66" s="54"/>
      <c r="R66" s="53"/>
      <c r="S66" s="322">
        <f t="shared" si="12"/>
        <v>0</v>
      </c>
      <c r="T66" s="323">
        <f t="shared" si="13"/>
        <v>0</v>
      </c>
      <c r="U66" s="36"/>
      <c r="V66" s="56"/>
      <c r="W66" s="56"/>
      <c r="X66" s="57"/>
      <c r="Y66" s="58"/>
      <c r="Z66" s="59"/>
      <c r="AA66" s="38"/>
      <c r="AD66" s="40"/>
      <c r="AE66" s="42"/>
      <c r="AF66" s="42"/>
      <c r="AG66" s="2"/>
      <c r="AH66" s="43"/>
      <c r="AI66" s="60"/>
      <c r="AJ66" s="60"/>
      <c r="AK66" s="60"/>
      <c r="AL66" s="70"/>
      <c r="AM66" s="70"/>
      <c r="AN66" s="63"/>
    </row>
    <row r="67" spans="1:40" ht="47.4" customHeight="1" x14ac:dyDescent="0.3">
      <c r="A67" s="44" t="s">
        <v>107</v>
      </c>
      <c r="B67" s="45" t="s">
        <v>622</v>
      </c>
      <c r="C67" s="64" t="s">
        <v>27</v>
      </c>
      <c r="D67" s="65">
        <v>1</v>
      </c>
      <c r="E67" s="66">
        <v>424325.5</v>
      </c>
      <c r="F67" s="67"/>
      <c r="G67" s="68">
        <v>0</v>
      </c>
      <c r="H67" s="69">
        <v>0</v>
      </c>
      <c r="I67" s="334"/>
      <c r="J67" s="53"/>
      <c r="K67" s="54"/>
      <c r="L67" s="53"/>
      <c r="M67" s="54"/>
      <c r="N67" s="53"/>
      <c r="O67" s="54"/>
      <c r="P67" s="53"/>
      <c r="Q67" s="54"/>
      <c r="R67" s="53"/>
      <c r="S67" s="322">
        <f t="shared" si="12"/>
        <v>0</v>
      </c>
      <c r="T67" s="323">
        <f t="shared" si="13"/>
        <v>0</v>
      </c>
      <c r="U67" s="36"/>
      <c r="V67" s="56"/>
      <c r="W67" s="56"/>
      <c r="X67" s="57"/>
      <c r="Y67" s="58"/>
      <c r="Z67" s="59"/>
      <c r="AA67" s="38"/>
      <c r="AD67" s="40"/>
      <c r="AE67" s="42"/>
      <c r="AF67" s="42"/>
      <c r="AG67" s="2"/>
      <c r="AH67" s="43"/>
      <c r="AI67" s="60"/>
      <c r="AJ67" s="60"/>
      <c r="AK67" s="60"/>
      <c r="AL67" s="70"/>
      <c r="AM67" s="70"/>
      <c r="AN67" s="63"/>
    </row>
    <row r="68" spans="1:40" ht="23.4" customHeight="1" x14ac:dyDescent="0.3">
      <c r="A68" s="44" t="s">
        <v>107</v>
      </c>
      <c r="B68" s="45" t="s">
        <v>623</v>
      </c>
      <c r="C68" s="64" t="s">
        <v>27</v>
      </c>
      <c r="D68" s="65">
        <v>1</v>
      </c>
      <c r="E68" s="66">
        <v>626625.5</v>
      </c>
      <c r="F68" s="67"/>
      <c r="G68" s="68">
        <v>0</v>
      </c>
      <c r="H68" s="69">
        <v>0</v>
      </c>
      <c r="I68" s="334"/>
      <c r="J68" s="53"/>
      <c r="K68" s="54"/>
      <c r="L68" s="53"/>
      <c r="M68" s="54"/>
      <c r="N68" s="53"/>
      <c r="O68" s="54"/>
      <c r="P68" s="53"/>
      <c r="Q68" s="54"/>
      <c r="R68" s="53"/>
      <c r="S68" s="322">
        <f t="shared" si="12"/>
        <v>0</v>
      </c>
      <c r="T68" s="323">
        <f t="shared" si="13"/>
        <v>0</v>
      </c>
      <c r="U68" s="36"/>
      <c r="V68" s="56"/>
      <c r="W68" s="56"/>
      <c r="X68" s="57"/>
      <c r="Y68" s="58"/>
      <c r="Z68" s="59"/>
      <c r="AA68" s="38"/>
      <c r="AD68" s="40"/>
      <c r="AE68" s="42"/>
      <c r="AF68" s="42"/>
      <c r="AG68" s="2"/>
      <c r="AH68" s="43"/>
      <c r="AI68" s="60"/>
      <c r="AJ68" s="60"/>
      <c r="AK68" s="60"/>
      <c r="AL68" s="70"/>
      <c r="AM68" s="70"/>
      <c r="AN68" s="63"/>
    </row>
    <row r="69" spans="1:40" ht="27.6" x14ac:dyDescent="0.3">
      <c r="A69" s="44" t="s">
        <v>109</v>
      </c>
      <c r="B69" s="45" t="s">
        <v>110</v>
      </c>
      <c r="C69" s="64" t="s">
        <v>111</v>
      </c>
      <c r="D69" s="65"/>
      <c r="E69" s="66">
        <v>2871863.9924889919</v>
      </c>
      <c r="F69" s="67">
        <f t="shared" ref="F69:F100" si="14">+D69*E69</f>
        <v>0</v>
      </c>
      <c r="G69" s="68">
        <v>0</v>
      </c>
      <c r="H69" s="69">
        <v>0</v>
      </c>
      <c r="I69" s="52"/>
      <c r="J69" s="53"/>
      <c r="K69" s="54"/>
      <c r="L69" s="53">
        <f t="shared" ref="L69:L97" si="15">K69*$E69</f>
        <v>0</v>
      </c>
      <c r="M69" s="54"/>
      <c r="N69" s="53">
        <f t="shared" ref="N69:N97" si="16">M69*$E69</f>
        <v>0</v>
      </c>
      <c r="O69" s="54"/>
      <c r="P69" s="53">
        <f t="shared" ref="P69:P97" si="17">O69*E69</f>
        <v>0</v>
      </c>
      <c r="Q69" s="54"/>
      <c r="R69" s="53">
        <f t="shared" ref="R69:R100" si="18">Q69*G69</f>
        <v>0</v>
      </c>
      <c r="S69" s="322">
        <f t="shared" si="12"/>
        <v>0</v>
      </c>
      <c r="T69" s="323">
        <f t="shared" si="13"/>
        <v>0</v>
      </c>
      <c r="U69" s="36"/>
      <c r="V69" s="56"/>
      <c r="W69" s="56"/>
      <c r="X69" s="57"/>
      <c r="Y69" s="58"/>
      <c r="Z69" s="59"/>
      <c r="AA69" s="38"/>
      <c r="AD69" s="40"/>
      <c r="AE69" s="42"/>
      <c r="AF69" s="42"/>
      <c r="AG69" s="2"/>
      <c r="AH69" s="43"/>
      <c r="AI69" s="60"/>
      <c r="AJ69" s="60"/>
      <c r="AK69" s="60"/>
      <c r="AL69" s="70"/>
      <c r="AM69" s="70"/>
      <c r="AN69" s="63"/>
    </row>
    <row r="70" spans="1:40" ht="27.6" x14ac:dyDescent="0.3">
      <c r="A70" s="44" t="s">
        <v>112</v>
      </c>
      <c r="B70" s="45" t="s">
        <v>113</v>
      </c>
      <c r="C70" s="64" t="s">
        <v>111</v>
      </c>
      <c r="D70" s="65"/>
      <c r="E70" s="66">
        <v>2556087.8010878009</v>
      </c>
      <c r="F70" s="67">
        <f t="shared" si="14"/>
        <v>0</v>
      </c>
      <c r="G70" s="68">
        <v>0</v>
      </c>
      <c r="H70" s="69">
        <v>0</v>
      </c>
      <c r="I70" s="52"/>
      <c r="J70" s="53"/>
      <c r="K70" s="54"/>
      <c r="L70" s="53">
        <f t="shared" si="15"/>
        <v>0</v>
      </c>
      <c r="M70" s="54"/>
      <c r="N70" s="53">
        <f t="shared" si="16"/>
        <v>0</v>
      </c>
      <c r="O70" s="54"/>
      <c r="P70" s="53">
        <f t="shared" si="17"/>
        <v>0</v>
      </c>
      <c r="Q70" s="54"/>
      <c r="R70" s="53">
        <f t="shared" si="18"/>
        <v>0</v>
      </c>
      <c r="S70" s="322">
        <f t="shared" si="12"/>
        <v>0</v>
      </c>
      <c r="T70" s="323">
        <f t="shared" si="13"/>
        <v>0</v>
      </c>
      <c r="U70" s="36"/>
      <c r="V70" s="56"/>
      <c r="W70" s="56"/>
      <c r="X70" s="57"/>
      <c r="Y70" s="58"/>
      <c r="Z70" s="59"/>
      <c r="AA70" s="38"/>
      <c r="AD70" s="40"/>
      <c r="AE70" s="42"/>
      <c r="AF70" s="42"/>
      <c r="AG70" s="2"/>
      <c r="AH70" s="43"/>
      <c r="AI70" s="60"/>
      <c r="AJ70" s="60"/>
      <c r="AK70" s="60"/>
      <c r="AL70" s="70"/>
      <c r="AM70" s="70"/>
      <c r="AN70" s="63"/>
    </row>
    <row r="71" spans="1:40" ht="78.75" customHeight="1" x14ac:dyDescent="0.3">
      <c r="A71" s="44" t="s">
        <v>114</v>
      </c>
      <c r="B71" s="45" t="s">
        <v>115</v>
      </c>
      <c r="C71" s="64" t="s">
        <v>111</v>
      </c>
      <c r="D71" s="65"/>
      <c r="E71" s="66">
        <v>2767388.6298886295</v>
      </c>
      <c r="F71" s="67">
        <f t="shared" si="14"/>
        <v>0</v>
      </c>
      <c r="G71" s="68">
        <v>0</v>
      </c>
      <c r="H71" s="69">
        <v>0</v>
      </c>
      <c r="I71" s="52"/>
      <c r="J71" s="53"/>
      <c r="K71" s="54"/>
      <c r="L71" s="53">
        <f t="shared" si="15"/>
        <v>0</v>
      </c>
      <c r="M71" s="54"/>
      <c r="N71" s="53">
        <f t="shared" si="16"/>
        <v>0</v>
      </c>
      <c r="O71" s="54"/>
      <c r="P71" s="53">
        <f t="shared" si="17"/>
        <v>0</v>
      </c>
      <c r="Q71" s="54"/>
      <c r="R71" s="53">
        <f t="shared" si="18"/>
        <v>0</v>
      </c>
      <c r="S71" s="322">
        <f t="shared" si="12"/>
        <v>0</v>
      </c>
      <c r="T71" s="323">
        <f t="shared" si="13"/>
        <v>0</v>
      </c>
      <c r="U71" s="36"/>
      <c r="V71" s="56"/>
      <c r="W71" s="56"/>
      <c r="X71" s="57"/>
      <c r="Y71" s="58"/>
      <c r="Z71" s="59"/>
      <c r="AA71" s="38"/>
      <c r="AD71" s="40"/>
      <c r="AE71" s="42"/>
      <c r="AF71" s="42"/>
      <c r="AG71" s="2"/>
      <c r="AH71" s="43"/>
      <c r="AI71" s="60"/>
      <c r="AJ71" s="60"/>
      <c r="AK71" s="60"/>
      <c r="AL71" s="70"/>
      <c r="AM71" s="70"/>
      <c r="AN71" s="63"/>
    </row>
    <row r="72" spans="1:40" ht="78.75" customHeight="1" x14ac:dyDescent="0.3">
      <c r="A72" s="44" t="s">
        <v>116</v>
      </c>
      <c r="B72" s="45" t="s">
        <v>117</v>
      </c>
      <c r="C72" s="64" t="s">
        <v>111</v>
      </c>
      <c r="D72" s="65"/>
      <c r="E72" s="66">
        <v>2628433.3721833718</v>
      </c>
      <c r="F72" s="67">
        <f t="shared" si="14"/>
        <v>0</v>
      </c>
      <c r="G72" s="68">
        <v>0</v>
      </c>
      <c r="H72" s="69">
        <v>0</v>
      </c>
      <c r="I72" s="52"/>
      <c r="J72" s="53"/>
      <c r="K72" s="54"/>
      <c r="L72" s="53">
        <f t="shared" si="15"/>
        <v>0</v>
      </c>
      <c r="M72" s="54"/>
      <c r="N72" s="53">
        <f t="shared" si="16"/>
        <v>0</v>
      </c>
      <c r="O72" s="54"/>
      <c r="P72" s="53">
        <f t="shared" si="17"/>
        <v>0</v>
      </c>
      <c r="Q72" s="54"/>
      <c r="R72" s="53">
        <f t="shared" si="18"/>
        <v>0</v>
      </c>
      <c r="S72" s="322">
        <f t="shared" si="12"/>
        <v>0</v>
      </c>
      <c r="T72" s="323">
        <f t="shared" si="13"/>
        <v>0</v>
      </c>
      <c r="U72" s="36"/>
      <c r="V72" s="56"/>
      <c r="W72" s="56"/>
      <c r="X72" s="57"/>
      <c r="Y72" s="58"/>
      <c r="Z72" s="59"/>
      <c r="AA72" s="38"/>
      <c r="AD72" s="40"/>
      <c r="AE72" s="42"/>
      <c r="AF72" s="42"/>
      <c r="AG72" s="2"/>
      <c r="AH72" s="43"/>
      <c r="AI72" s="60"/>
      <c r="AJ72" s="60"/>
      <c r="AK72" s="60"/>
      <c r="AL72" s="70"/>
      <c r="AM72" s="70"/>
      <c r="AN72" s="63"/>
    </row>
    <row r="73" spans="1:40" ht="91.5" customHeight="1" x14ac:dyDescent="0.3">
      <c r="A73" s="44" t="s">
        <v>118</v>
      </c>
      <c r="B73" s="45" t="s">
        <v>119</v>
      </c>
      <c r="C73" s="64" t="s">
        <v>21</v>
      </c>
      <c r="D73" s="65"/>
      <c r="E73" s="66">
        <v>89360.593110593094</v>
      </c>
      <c r="F73" s="67">
        <f t="shared" si="14"/>
        <v>0</v>
      </c>
      <c r="G73" s="68">
        <v>0</v>
      </c>
      <c r="H73" s="69">
        <v>0</v>
      </c>
      <c r="I73" s="52"/>
      <c r="J73" s="53"/>
      <c r="K73" s="54"/>
      <c r="L73" s="53">
        <f t="shared" si="15"/>
        <v>0</v>
      </c>
      <c r="M73" s="54"/>
      <c r="N73" s="53">
        <f t="shared" si="16"/>
        <v>0</v>
      </c>
      <c r="O73" s="54"/>
      <c r="P73" s="53">
        <f t="shared" si="17"/>
        <v>0</v>
      </c>
      <c r="Q73" s="54"/>
      <c r="R73" s="53">
        <f t="shared" si="18"/>
        <v>0</v>
      </c>
      <c r="S73" s="322">
        <f t="shared" si="12"/>
        <v>0</v>
      </c>
      <c r="T73" s="323">
        <f t="shared" si="13"/>
        <v>0</v>
      </c>
      <c r="U73" s="36"/>
      <c r="V73" s="56"/>
      <c r="W73" s="56"/>
      <c r="X73" s="57"/>
      <c r="Y73" s="58"/>
      <c r="Z73" s="59"/>
      <c r="AA73" s="38"/>
      <c r="AD73" s="40"/>
      <c r="AE73" s="42"/>
      <c r="AF73" s="42"/>
      <c r="AG73" s="2"/>
      <c r="AH73" s="43"/>
      <c r="AI73" s="60"/>
      <c r="AJ73" s="60"/>
      <c r="AK73" s="60"/>
      <c r="AL73" s="70"/>
      <c r="AM73" s="70"/>
      <c r="AN73" s="63"/>
    </row>
    <row r="74" spans="1:40" ht="73.5" customHeight="1" x14ac:dyDescent="0.3">
      <c r="A74" s="44" t="s">
        <v>120</v>
      </c>
      <c r="B74" s="45" t="s">
        <v>121</v>
      </c>
      <c r="C74" s="64" t="s">
        <v>21</v>
      </c>
      <c r="D74" s="65">
        <v>0</v>
      </c>
      <c r="E74" s="66">
        <v>88224.067599067581</v>
      </c>
      <c r="F74" s="67">
        <f t="shared" si="14"/>
        <v>0</v>
      </c>
      <c r="G74" s="68">
        <v>0</v>
      </c>
      <c r="H74" s="69">
        <v>0</v>
      </c>
      <c r="I74" s="52"/>
      <c r="J74" s="53"/>
      <c r="K74" s="54"/>
      <c r="L74" s="53">
        <f t="shared" si="15"/>
        <v>0</v>
      </c>
      <c r="M74" s="54"/>
      <c r="N74" s="53">
        <f t="shared" si="16"/>
        <v>0</v>
      </c>
      <c r="O74" s="54"/>
      <c r="P74" s="53">
        <f t="shared" si="17"/>
        <v>0</v>
      </c>
      <c r="Q74" s="54"/>
      <c r="R74" s="53">
        <f t="shared" si="18"/>
        <v>0</v>
      </c>
      <c r="S74" s="322">
        <f t="shared" si="12"/>
        <v>0</v>
      </c>
      <c r="T74" s="323">
        <f t="shared" si="13"/>
        <v>0</v>
      </c>
      <c r="U74" s="36"/>
      <c r="V74" s="56"/>
      <c r="W74" s="56"/>
      <c r="X74" s="57"/>
      <c r="Y74" s="58"/>
      <c r="Z74" s="59"/>
      <c r="AA74" s="38"/>
      <c r="AD74" s="40"/>
      <c r="AE74" s="42"/>
      <c r="AF74" s="42"/>
      <c r="AG74" s="2"/>
      <c r="AH74" s="43"/>
      <c r="AI74" s="60"/>
      <c r="AJ74" s="60"/>
      <c r="AK74" s="60"/>
      <c r="AL74" s="70"/>
      <c r="AM74" s="70"/>
      <c r="AN74" s="63"/>
    </row>
    <row r="75" spans="1:40" ht="41.4" x14ac:dyDescent="0.3">
      <c r="A75" s="44" t="s">
        <v>122</v>
      </c>
      <c r="B75" s="45" t="s">
        <v>123</v>
      </c>
      <c r="C75" s="64" t="s">
        <v>21</v>
      </c>
      <c r="D75" s="65">
        <v>0</v>
      </c>
      <c r="E75" s="66">
        <v>88441.627816627806</v>
      </c>
      <c r="F75" s="67">
        <f t="shared" si="14"/>
        <v>0</v>
      </c>
      <c r="G75" s="68">
        <v>0</v>
      </c>
      <c r="H75" s="69">
        <v>0</v>
      </c>
      <c r="I75" s="52"/>
      <c r="J75" s="53"/>
      <c r="K75" s="54"/>
      <c r="L75" s="53">
        <f t="shared" si="15"/>
        <v>0</v>
      </c>
      <c r="M75" s="54"/>
      <c r="N75" s="53">
        <f t="shared" si="16"/>
        <v>0</v>
      </c>
      <c r="O75" s="54"/>
      <c r="P75" s="53">
        <f t="shared" si="17"/>
        <v>0</v>
      </c>
      <c r="Q75" s="54"/>
      <c r="R75" s="53">
        <f t="shared" si="18"/>
        <v>0</v>
      </c>
      <c r="S75" s="322">
        <f t="shared" si="12"/>
        <v>0</v>
      </c>
      <c r="T75" s="323">
        <f t="shared" si="13"/>
        <v>0</v>
      </c>
      <c r="U75" s="36"/>
      <c r="V75" s="56"/>
      <c r="W75" s="56"/>
      <c r="X75" s="57"/>
      <c r="Y75" s="58"/>
      <c r="Z75" s="59"/>
      <c r="AA75" s="38"/>
      <c r="AD75" s="40"/>
      <c r="AE75" s="42"/>
      <c r="AF75" s="42"/>
      <c r="AG75" s="2"/>
      <c r="AH75" s="43"/>
      <c r="AI75" s="60"/>
      <c r="AJ75" s="60"/>
      <c r="AK75" s="60"/>
      <c r="AL75" s="70"/>
      <c r="AM75" s="70"/>
      <c r="AN75" s="63"/>
    </row>
    <row r="76" spans="1:40" ht="41.4" x14ac:dyDescent="0.3">
      <c r="A76" s="44" t="s">
        <v>124</v>
      </c>
      <c r="B76" s="45" t="s">
        <v>125</v>
      </c>
      <c r="C76" s="64" t="s">
        <v>21</v>
      </c>
      <c r="D76" s="65">
        <v>0</v>
      </c>
      <c r="E76" s="66">
        <v>97757.057757057744</v>
      </c>
      <c r="F76" s="67">
        <f t="shared" si="14"/>
        <v>0</v>
      </c>
      <c r="G76" s="68">
        <v>0</v>
      </c>
      <c r="H76" s="69">
        <v>0</v>
      </c>
      <c r="I76" s="52"/>
      <c r="J76" s="53"/>
      <c r="K76" s="54"/>
      <c r="L76" s="53">
        <f t="shared" si="15"/>
        <v>0</v>
      </c>
      <c r="M76" s="54"/>
      <c r="N76" s="53">
        <f t="shared" si="16"/>
        <v>0</v>
      </c>
      <c r="O76" s="54"/>
      <c r="P76" s="53">
        <f t="shared" si="17"/>
        <v>0</v>
      </c>
      <c r="Q76" s="54"/>
      <c r="R76" s="53">
        <f t="shared" si="18"/>
        <v>0</v>
      </c>
      <c r="S76" s="322">
        <f t="shared" si="12"/>
        <v>0</v>
      </c>
      <c r="T76" s="323">
        <f t="shared" si="13"/>
        <v>0</v>
      </c>
      <c r="U76" s="36"/>
      <c r="V76" s="56"/>
      <c r="W76" s="56"/>
      <c r="X76" s="57"/>
      <c r="Y76" s="58"/>
      <c r="Z76" s="59"/>
      <c r="AA76" s="38"/>
      <c r="AD76" s="40"/>
      <c r="AE76" s="42"/>
      <c r="AF76" s="42"/>
      <c r="AG76" s="2"/>
      <c r="AH76" s="43"/>
      <c r="AI76" s="60"/>
      <c r="AJ76" s="60"/>
      <c r="AK76" s="60"/>
      <c r="AL76" s="70"/>
      <c r="AM76" s="70"/>
      <c r="AN76" s="63"/>
    </row>
    <row r="77" spans="1:40" ht="41.4" x14ac:dyDescent="0.3">
      <c r="A77" s="44" t="s">
        <v>126</v>
      </c>
      <c r="B77" s="45" t="s">
        <v>127</v>
      </c>
      <c r="C77" s="64" t="s">
        <v>21</v>
      </c>
      <c r="D77" s="65">
        <v>0</v>
      </c>
      <c r="E77" s="66">
        <v>94946.904946904935</v>
      </c>
      <c r="F77" s="67">
        <f t="shared" si="14"/>
        <v>0</v>
      </c>
      <c r="G77" s="68">
        <v>0</v>
      </c>
      <c r="H77" s="69">
        <v>0</v>
      </c>
      <c r="I77" s="52"/>
      <c r="J77" s="53"/>
      <c r="K77" s="54"/>
      <c r="L77" s="53">
        <f t="shared" si="15"/>
        <v>0</v>
      </c>
      <c r="M77" s="54"/>
      <c r="N77" s="53">
        <f t="shared" si="16"/>
        <v>0</v>
      </c>
      <c r="O77" s="54"/>
      <c r="P77" s="53">
        <f t="shared" si="17"/>
        <v>0</v>
      </c>
      <c r="Q77" s="54"/>
      <c r="R77" s="53">
        <f t="shared" si="18"/>
        <v>0</v>
      </c>
      <c r="S77" s="322">
        <f t="shared" si="12"/>
        <v>0</v>
      </c>
      <c r="T77" s="323">
        <f t="shared" si="13"/>
        <v>0</v>
      </c>
      <c r="U77" s="36"/>
      <c r="V77" s="56"/>
      <c r="W77" s="56"/>
      <c r="X77" s="57"/>
      <c r="Y77" s="58"/>
      <c r="Z77" s="59"/>
      <c r="AA77" s="38"/>
      <c r="AD77" s="40"/>
      <c r="AE77" s="42"/>
      <c r="AF77" s="42"/>
      <c r="AG77" s="2"/>
      <c r="AH77" s="43"/>
      <c r="AI77" s="60"/>
      <c r="AJ77" s="60"/>
      <c r="AK77" s="60"/>
      <c r="AL77" s="70"/>
      <c r="AM77" s="70"/>
      <c r="AN77" s="63"/>
    </row>
    <row r="78" spans="1:40" ht="41.4" x14ac:dyDescent="0.3">
      <c r="A78" s="44" t="s">
        <v>128</v>
      </c>
      <c r="B78" s="45" t="s">
        <v>129</v>
      </c>
      <c r="C78" s="64" t="s">
        <v>21</v>
      </c>
      <c r="D78" s="65">
        <v>0</v>
      </c>
      <c r="E78" s="66">
        <v>92560.541310541288</v>
      </c>
      <c r="F78" s="67">
        <f t="shared" si="14"/>
        <v>0</v>
      </c>
      <c r="G78" s="68">
        <v>0</v>
      </c>
      <c r="H78" s="69">
        <v>0</v>
      </c>
      <c r="I78" s="52"/>
      <c r="J78" s="53"/>
      <c r="K78" s="54"/>
      <c r="L78" s="53">
        <f t="shared" si="15"/>
        <v>0</v>
      </c>
      <c r="M78" s="54"/>
      <c r="N78" s="53">
        <f t="shared" si="16"/>
        <v>0</v>
      </c>
      <c r="O78" s="54"/>
      <c r="P78" s="53">
        <f t="shared" si="17"/>
        <v>0</v>
      </c>
      <c r="Q78" s="54"/>
      <c r="R78" s="53">
        <f t="shared" si="18"/>
        <v>0</v>
      </c>
      <c r="S78" s="322">
        <f t="shared" si="12"/>
        <v>0</v>
      </c>
      <c r="T78" s="323">
        <f t="shared" si="13"/>
        <v>0</v>
      </c>
      <c r="U78" s="36"/>
      <c r="V78" s="56"/>
      <c r="W78" s="56"/>
      <c r="X78" s="57"/>
      <c r="Y78" s="58"/>
      <c r="Z78" s="59"/>
      <c r="AA78" s="38"/>
      <c r="AD78" s="40"/>
      <c r="AE78" s="42"/>
      <c r="AF78" s="42"/>
      <c r="AG78" s="2"/>
      <c r="AH78" s="43"/>
      <c r="AI78" s="60"/>
      <c r="AJ78" s="60"/>
      <c r="AK78" s="60"/>
      <c r="AL78" s="70"/>
      <c r="AM78" s="70"/>
      <c r="AN78" s="63"/>
    </row>
    <row r="79" spans="1:40" ht="41.4" x14ac:dyDescent="0.3">
      <c r="A79" s="44" t="s">
        <v>130</v>
      </c>
      <c r="B79" s="45" t="s">
        <v>131</v>
      </c>
      <c r="C79" s="64" t="s">
        <v>21</v>
      </c>
      <c r="D79" s="65">
        <v>0</v>
      </c>
      <c r="E79" s="66">
        <v>72914.400414400414</v>
      </c>
      <c r="F79" s="67">
        <f t="shared" si="14"/>
        <v>0</v>
      </c>
      <c r="G79" s="68">
        <v>0</v>
      </c>
      <c r="H79" s="69">
        <v>0</v>
      </c>
      <c r="I79" s="52"/>
      <c r="J79" s="53"/>
      <c r="K79" s="54"/>
      <c r="L79" s="53">
        <f t="shared" si="15"/>
        <v>0</v>
      </c>
      <c r="M79" s="54"/>
      <c r="N79" s="53">
        <f t="shared" si="16"/>
        <v>0</v>
      </c>
      <c r="O79" s="54"/>
      <c r="P79" s="53">
        <f t="shared" si="17"/>
        <v>0</v>
      </c>
      <c r="Q79" s="54"/>
      <c r="R79" s="53">
        <f t="shared" si="18"/>
        <v>0</v>
      </c>
      <c r="S79" s="322">
        <f t="shared" si="12"/>
        <v>0</v>
      </c>
      <c r="T79" s="323">
        <f t="shared" si="13"/>
        <v>0</v>
      </c>
      <c r="U79" s="36"/>
      <c r="V79" s="56"/>
      <c r="W79" s="56"/>
      <c r="X79" s="57"/>
      <c r="Y79" s="58"/>
      <c r="Z79" s="59"/>
      <c r="AA79" s="38"/>
      <c r="AD79" s="40"/>
      <c r="AE79" s="42"/>
      <c r="AF79" s="42"/>
      <c r="AG79" s="2"/>
      <c r="AH79" s="43"/>
      <c r="AI79" s="60"/>
      <c r="AJ79" s="60"/>
      <c r="AK79" s="60"/>
      <c r="AL79" s="70"/>
      <c r="AM79" s="70"/>
      <c r="AN79" s="63"/>
    </row>
    <row r="80" spans="1:40" ht="41.4" x14ac:dyDescent="0.3">
      <c r="A80" s="44" t="s">
        <v>132</v>
      </c>
      <c r="B80" s="45" t="s">
        <v>133</v>
      </c>
      <c r="C80" s="64" t="s">
        <v>21</v>
      </c>
      <c r="D80" s="65">
        <v>0</v>
      </c>
      <c r="E80" s="66">
        <v>80398.698523698506</v>
      </c>
      <c r="F80" s="67">
        <f t="shared" si="14"/>
        <v>0</v>
      </c>
      <c r="G80" s="68">
        <v>0</v>
      </c>
      <c r="H80" s="69">
        <v>0</v>
      </c>
      <c r="I80" s="52"/>
      <c r="J80" s="53"/>
      <c r="K80" s="54"/>
      <c r="L80" s="53">
        <f t="shared" si="15"/>
        <v>0</v>
      </c>
      <c r="M80" s="54"/>
      <c r="N80" s="53">
        <f t="shared" si="16"/>
        <v>0</v>
      </c>
      <c r="O80" s="54"/>
      <c r="P80" s="53">
        <f t="shared" si="17"/>
        <v>0</v>
      </c>
      <c r="Q80" s="54"/>
      <c r="R80" s="53">
        <f t="shared" si="18"/>
        <v>0</v>
      </c>
      <c r="S80" s="322">
        <f t="shared" si="12"/>
        <v>0</v>
      </c>
      <c r="T80" s="323">
        <f t="shared" si="13"/>
        <v>0</v>
      </c>
      <c r="U80" s="36"/>
      <c r="V80" s="56"/>
      <c r="W80" s="56"/>
      <c r="X80" s="57"/>
      <c r="Y80" s="58"/>
      <c r="Z80" s="59"/>
      <c r="AA80" s="38"/>
      <c r="AD80" s="40"/>
      <c r="AE80" s="42"/>
      <c r="AF80" s="42"/>
      <c r="AG80" s="2"/>
      <c r="AH80" s="43"/>
      <c r="AI80" s="60"/>
      <c r="AJ80" s="60"/>
      <c r="AK80" s="60"/>
      <c r="AL80" s="70"/>
      <c r="AM80" s="70"/>
      <c r="AN80" s="63"/>
    </row>
    <row r="81" spans="1:40" ht="41.4" x14ac:dyDescent="0.3">
      <c r="A81" s="44" t="s">
        <v>134</v>
      </c>
      <c r="B81" s="45" t="s">
        <v>135</v>
      </c>
      <c r="C81" s="64" t="s">
        <v>21</v>
      </c>
      <c r="D81" s="65">
        <v>0</v>
      </c>
      <c r="E81" s="66">
        <v>73922.882672882668</v>
      </c>
      <c r="F81" s="67">
        <f t="shared" si="14"/>
        <v>0</v>
      </c>
      <c r="G81" s="68">
        <v>0</v>
      </c>
      <c r="H81" s="69">
        <v>0</v>
      </c>
      <c r="I81" s="52"/>
      <c r="J81" s="53"/>
      <c r="K81" s="54"/>
      <c r="L81" s="53">
        <f t="shared" si="15"/>
        <v>0</v>
      </c>
      <c r="M81" s="54"/>
      <c r="N81" s="53">
        <f t="shared" si="16"/>
        <v>0</v>
      </c>
      <c r="O81" s="54"/>
      <c r="P81" s="53">
        <f t="shared" si="17"/>
        <v>0</v>
      </c>
      <c r="Q81" s="54"/>
      <c r="R81" s="53">
        <f t="shared" si="18"/>
        <v>0</v>
      </c>
      <c r="S81" s="322">
        <f t="shared" si="12"/>
        <v>0</v>
      </c>
      <c r="T81" s="323">
        <f t="shared" si="13"/>
        <v>0</v>
      </c>
      <c r="U81" s="36"/>
      <c r="V81" s="56"/>
      <c r="W81" s="56"/>
      <c r="X81" s="57"/>
      <c r="Y81" s="58"/>
      <c r="Z81" s="59"/>
      <c r="AA81" s="38"/>
      <c r="AD81" s="40"/>
      <c r="AE81" s="42"/>
      <c r="AF81" s="42"/>
      <c r="AG81" s="2"/>
      <c r="AH81" s="43"/>
      <c r="AI81" s="60"/>
      <c r="AJ81" s="60"/>
      <c r="AK81" s="60"/>
      <c r="AL81" s="70"/>
      <c r="AM81" s="70"/>
      <c r="AN81" s="63"/>
    </row>
    <row r="82" spans="1:40" ht="41.4" x14ac:dyDescent="0.3">
      <c r="A82" s="44" t="s">
        <v>136</v>
      </c>
      <c r="B82" s="45" t="s">
        <v>137</v>
      </c>
      <c r="C82" s="64" t="s">
        <v>21</v>
      </c>
      <c r="D82" s="65">
        <v>0</v>
      </c>
      <c r="E82" s="66">
        <v>84978.79435379435</v>
      </c>
      <c r="F82" s="67">
        <f t="shared" si="14"/>
        <v>0</v>
      </c>
      <c r="G82" s="68">
        <v>0</v>
      </c>
      <c r="H82" s="69">
        <v>0</v>
      </c>
      <c r="I82" s="52"/>
      <c r="J82" s="53"/>
      <c r="K82" s="54"/>
      <c r="L82" s="53">
        <f t="shared" si="15"/>
        <v>0</v>
      </c>
      <c r="M82" s="54"/>
      <c r="N82" s="53">
        <f t="shared" si="16"/>
        <v>0</v>
      </c>
      <c r="O82" s="54"/>
      <c r="P82" s="53">
        <f t="shared" si="17"/>
        <v>0</v>
      </c>
      <c r="Q82" s="54"/>
      <c r="R82" s="53">
        <f t="shared" si="18"/>
        <v>0</v>
      </c>
      <c r="S82" s="322">
        <f t="shared" si="12"/>
        <v>0</v>
      </c>
      <c r="T82" s="323">
        <f t="shared" si="13"/>
        <v>0</v>
      </c>
      <c r="U82" s="36"/>
      <c r="V82" s="56"/>
      <c r="W82" s="56"/>
      <c r="X82" s="57"/>
      <c r="Y82" s="58"/>
      <c r="Z82" s="59"/>
      <c r="AA82" s="38"/>
      <c r="AD82" s="40"/>
      <c r="AE82" s="42"/>
      <c r="AF82" s="42"/>
      <c r="AG82" s="2"/>
      <c r="AH82" s="43"/>
      <c r="AI82" s="60"/>
      <c r="AJ82" s="60"/>
      <c r="AK82" s="60"/>
      <c r="AL82" s="70"/>
      <c r="AM82" s="70"/>
      <c r="AN82" s="63"/>
    </row>
    <row r="83" spans="1:40" ht="41.4" x14ac:dyDescent="0.3">
      <c r="A83" s="44" t="s">
        <v>138</v>
      </c>
      <c r="B83" s="45" t="s">
        <v>139</v>
      </c>
      <c r="C83" s="64" t="s">
        <v>21</v>
      </c>
      <c r="D83" s="65">
        <v>0</v>
      </c>
      <c r="E83" s="66">
        <v>75935.314685314675</v>
      </c>
      <c r="F83" s="67">
        <f t="shared" si="14"/>
        <v>0</v>
      </c>
      <c r="G83" s="68">
        <v>0</v>
      </c>
      <c r="H83" s="69">
        <v>0</v>
      </c>
      <c r="I83" s="52"/>
      <c r="J83" s="53"/>
      <c r="K83" s="54"/>
      <c r="L83" s="53">
        <f t="shared" si="15"/>
        <v>0</v>
      </c>
      <c r="M83" s="54"/>
      <c r="N83" s="53">
        <f t="shared" si="16"/>
        <v>0</v>
      </c>
      <c r="O83" s="54"/>
      <c r="P83" s="53">
        <f t="shared" si="17"/>
        <v>0</v>
      </c>
      <c r="Q83" s="54"/>
      <c r="R83" s="53">
        <f t="shared" si="18"/>
        <v>0</v>
      </c>
      <c r="S83" s="322">
        <f t="shared" si="12"/>
        <v>0</v>
      </c>
      <c r="T83" s="323">
        <f t="shared" si="13"/>
        <v>0</v>
      </c>
      <c r="U83" s="36"/>
      <c r="V83" s="56"/>
      <c r="W83" s="56"/>
      <c r="X83" s="57"/>
      <c r="Y83" s="58"/>
      <c r="Z83" s="59"/>
      <c r="AA83" s="38"/>
      <c r="AD83" s="40"/>
      <c r="AE83" s="42"/>
      <c r="AF83" s="42"/>
      <c r="AG83" s="2"/>
      <c r="AH83" s="43"/>
      <c r="AI83" s="60"/>
      <c r="AJ83" s="60"/>
      <c r="AK83" s="60"/>
      <c r="AL83" s="70"/>
      <c r="AM83" s="70"/>
      <c r="AN83" s="63"/>
    </row>
    <row r="84" spans="1:40" ht="41.4" x14ac:dyDescent="0.3">
      <c r="A84" s="44" t="s">
        <v>140</v>
      </c>
      <c r="B84" s="45" t="s">
        <v>141</v>
      </c>
      <c r="C84" s="64" t="s">
        <v>21</v>
      </c>
      <c r="D84" s="65">
        <v>0</v>
      </c>
      <c r="E84" s="66">
        <v>75926.249676249674</v>
      </c>
      <c r="F84" s="67">
        <f t="shared" si="14"/>
        <v>0</v>
      </c>
      <c r="G84" s="68">
        <v>0</v>
      </c>
      <c r="H84" s="69">
        <v>0</v>
      </c>
      <c r="I84" s="52"/>
      <c r="J84" s="53"/>
      <c r="K84" s="54"/>
      <c r="L84" s="53">
        <f t="shared" si="15"/>
        <v>0</v>
      </c>
      <c r="M84" s="54"/>
      <c r="N84" s="53">
        <f t="shared" si="16"/>
        <v>0</v>
      </c>
      <c r="O84" s="54"/>
      <c r="P84" s="53">
        <f t="shared" si="17"/>
        <v>0</v>
      </c>
      <c r="Q84" s="54"/>
      <c r="R84" s="53">
        <f t="shared" si="18"/>
        <v>0</v>
      </c>
      <c r="S84" s="322">
        <f t="shared" si="12"/>
        <v>0</v>
      </c>
      <c r="T84" s="323">
        <f t="shared" si="13"/>
        <v>0</v>
      </c>
      <c r="U84" s="36"/>
      <c r="V84" s="56"/>
      <c r="W84" s="56"/>
      <c r="X84" s="57"/>
      <c r="Y84" s="58"/>
      <c r="Z84" s="59"/>
      <c r="AA84" s="38"/>
      <c r="AD84" s="40"/>
      <c r="AE84" s="42"/>
      <c r="AF84" s="42"/>
      <c r="AG84" s="2"/>
      <c r="AH84" s="43"/>
      <c r="AI84" s="60"/>
      <c r="AJ84" s="60"/>
      <c r="AK84" s="60"/>
      <c r="AL84" s="70"/>
      <c r="AM84" s="70"/>
      <c r="AN84" s="63"/>
    </row>
    <row r="85" spans="1:40" ht="55.2" x14ac:dyDescent="0.3">
      <c r="A85" s="44" t="s">
        <v>142</v>
      </c>
      <c r="B85" s="45" t="s">
        <v>143</v>
      </c>
      <c r="C85" s="64" t="s">
        <v>21</v>
      </c>
      <c r="D85" s="65">
        <v>0</v>
      </c>
      <c r="E85" s="66">
        <v>84978.79435379435</v>
      </c>
      <c r="F85" s="67">
        <f t="shared" si="14"/>
        <v>0</v>
      </c>
      <c r="G85" s="68">
        <v>0</v>
      </c>
      <c r="H85" s="69">
        <v>0</v>
      </c>
      <c r="I85" s="52"/>
      <c r="J85" s="53"/>
      <c r="K85" s="54"/>
      <c r="L85" s="53">
        <f t="shared" si="15"/>
        <v>0</v>
      </c>
      <c r="M85" s="54"/>
      <c r="N85" s="53">
        <f t="shared" si="16"/>
        <v>0</v>
      </c>
      <c r="O85" s="54"/>
      <c r="P85" s="53">
        <f t="shared" si="17"/>
        <v>0</v>
      </c>
      <c r="Q85" s="54"/>
      <c r="R85" s="53">
        <f t="shared" si="18"/>
        <v>0</v>
      </c>
      <c r="S85" s="322">
        <f t="shared" si="12"/>
        <v>0</v>
      </c>
      <c r="T85" s="323">
        <f t="shared" si="13"/>
        <v>0</v>
      </c>
      <c r="U85" s="36"/>
      <c r="V85" s="56"/>
      <c r="W85" s="56"/>
      <c r="X85" s="57"/>
      <c r="Y85" s="58"/>
      <c r="Z85" s="59"/>
      <c r="AA85" s="38"/>
      <c r="AD85" s="40"/>
      <c r="AE85" s="42"/>
      <c r="AF85" s="42"/>
      <c r="AG85" s="2"/>
      <c r="AH85" s="43"/>
      <c r="AI85" s="60"/>
      <c r="AJ85" s="60"/>
      <c r="AK85" s="60"/>
      <c r="AL85" s="70"/>
      <c r="AM85" s="70"/>
      <c r="AN85" s="63"/>
    </row>
    <row r="86" spans="1:40" ht="41.4" x14ac:dyDescent="0.3">
      <c r="A86" s="44" t="s">
        <v>144</v>
      </c>
      <c r="B86" s="45" t="s">
        <v>145</v>
      </c>
      <c r="C86" s="64" t="s">
        <v>21</v>
      </c>
      <c r="D86" s="65">
        <v>0</v>
      </c>
      <c r="E86" s="66">
        <v>84540.27454027452</v>
      </c>
      <c r="F86" s="67">
        <f t="shared" si="14"/>
        <v>0</v>
      </c>
      <c r="G86" s="68">
        <v>0</v>
      </c>
      <c r="H86" s="69">
        <v>0</v>
      </c>
      <c r="I86" s="52"/>
      <c r="J86" s="53"/>
      <c r="K86" s="54"/>
      <c r="L86" s="53">
        <f t="shared" si="15"/>
        <v>0</v>
      </c>
      <c r="M86" s="54"/>
      <c r="N86" s="53">
        <f t="shared" si="16"/>
        <v>0</v>
      </c>
      <c r="O86" s="54"/>
      <c r="P86" s="53">
        <f t="shared" si="17"/>
        <v>0</v>
      </c>
      <c r="Q86" s="54"/>
      <c r="R86" s="53">
        <f t="shared" si="18"/>
        <v>0</v>
      </c>
      <c r="S86" s="322">
        <f t="shared" si="12"/>
        <v>0</v>
      </c>
      <c r="T86" s="323">
        <f t="shared" si="13"/>
        <v>0</v>
      </c>
      <c r="U86" s="36"/>
      <c r="V86" s="56"/>
      <c r="W86" s="56"/>
      <c r="X86" s="57"/>
      <c r="Y86" s="58"/>
      <c r="Z86" s="59"/>
      <c r="AA86" s="38"/>
      <c r="AD86" s="40"/>
      <c r="AE86" s="42"/>
      <c r="AF86" s="42"/>
      <c r="AG86" s="2"/>
      <c r="AH86" s="43"/>
      <c r="AI86" s="60"/>
      <c r="AJ86" s="60"/>
      <c r="AK86" s="60"/>
      <c r="AL86" s="70"/>
      <c r="AM86" s="70"/>
      <c r="AN86" s="63"/>
    </row>
    <row r="87" spans="1:40" ht="41.4" x14ac:dyDescent="0.3">
      <c r="A87" s="44" t="s">
        <v>146</v>
      </c>
      <c r="B87" s="45" t="s">
        <v>147</v>
      </c>
      <c r="C87" s="64" t="s">
        <v>21</v>
      </c>
      <c r="D87" s="65">
        <v>0</v>
      </c>
      <c r="E87" s="66">
        <v>159498.83449883445</v>
      </c>
      <c r="F87" s="67">
        <f t="shared" si="14"/>
        <v>0</v>
      </c>
      <c r="G87" s="68">
        <v>0</v>
      </c>
      <c r="H87" s="69">
        <v>0</v>
      </c>
      <c r="I87" s="52"/>
      <c r="J87" s="53"/>
      <c r="K87" s="54"/>
      <c r="L87" s="53">
        <f t="shared" si="15"/>
        <v>0</v>
      </c>
      <c r="M87" s="54"/>
      <c r="N87" s="53">
        <f t="shared" si="16"/>
        <v>0</v>
      </c>
      <c r="O87" s="54"/>
      <c r="P87" s="53">
        <f t="shared" si="17"/>
        <v>0</v>
      </c>
      <c r="Q87" s="54"/>
      <c r="R87" s="53">
        <f t="shared" si="18"/>
        <v>0</v>
      </c>
      <c r="S87" s="322">
        <f t="shared" si="12"/>
        <v>0</v>
      </c>
      <c r="T87" s="323">
        <f t="shared" si="13"/>
        <v>0</v>
      </c>
      <c r="U87" s="36"/>
      <c r="V87" s="56"/>
      <c r="W87" s="56"/>
      <c r="X87" s="57"/>
      <c r="Y87" s="58"/>
      <c r="Z87" s="59"/>
      <c r="AA87" s="38"/>
      <c r="AD87" s="40"/>
      <c r="AE87" s="42"/>
      <c r="AF87" s="42"/>
      <c r="AG87" s="2"/>
      <c r="AH87" s="43"/>
      <c r="AI87" s="60"/>
      <c r="AJ87" s="60"/>
      <c r="AK87" s="60"/>
      <c r="AL87" s="70"/>
      <c r="AM87" s="70"/>
      <c r="AN87" s="63"/>
    </row>
    <row r="88" spans="1:40" ht="41.4" x14ac:dyDescent="0.3">
      <c r="A88" s="44" t="s">
        <v>148</v>
      </c>
      <c r="B88" s="45" t="s">
        <v>149</v>
      </c>
      <c r="C88" s="64" t="s">
        <v>21</v>
      </c>
      <c r="D88" s="65">
        <v>0</v>
      </c>
      <c r="E88" s="66">
        <v>94060.800310800289</v>
      </c>
      <c r="F88" s="67">
        <f t="shared" si="14"/>
        <v>0</v>
      </c>
      <c r="G88" s="68">
        <v>0</v>
      </c>
      <c r="H88" s="69">
        <v>0</v>
      </c>
      <c r="I88" s="52"/>
      <c r="J88" s="53"/>
      <c r="K88" s="54"/>
      <c r="L88" s="53">
        <f t="shared" si="15"/>
        <v>0</v>
      </c>
      <c r="M88" s="54"/>
      <c r="N88" s="53">
        <f t="shared" si="16"/>
        <v>0</v>
      </c>
      <c r="O88" s="54"/>
      <c r="P88" s="53">
        <f t="shared" si="17"/>
        <v>0</v>
      </c>
      <c r="Q88" s="54"/>
      <c r="R88" s="53">
        <f t="shared" si="18"/>
        <v>0</v>
      </c>
      <c r="S88" s="322">
        <f t="shared" si="12"/>
        <v>0</v>
      </c>
      <c r="T88" s="323">
        <f t="shared" si="13"/>
        <v>0</v>
      </c>
      <c r="U88" s="36"/>
      <c r="V88" s="56"/>
      <c r="W88" s="56"/>
      <c r="X88" s="57"/>
      <c r="Y88" s="58"/>
      <c r="Z88" s="59"/>
      <c r="AA88" s="38"/>
      <c r="AD88" s="40"/>
      <c r="AE88" s="42"/>
      <c r="AF88" s="42"/>
      <c r="AG88" s="2"/>
      <c r="AH88" s="43"/>
      <c r="AI88" s="60"/>
      <c r="AJ88" s="60"/>
      <c r="AK88" s="60"/>
      <c r="AL88" s="70"/>
      <c r="AM88" s="70"/>
      <c r="AN88" s="63"/>
    </row>
    <row r="89" spans="1:40" ht="41.4" x14ac:dyDescent="0.3">
      <c r="A89" s="44" t="s">
        <v>150</v>
      </c>
      <c r="B89" s="45" t="s">
        <v>151</v>
      </c>
      <c r="C89" s="64" t="s">
        <v>21</v>
      </c>
      <c r="D89" s="65">
        <v>0</v>
      </c>
      <c r="E89" s="66">
        <v>73970.473970473962</v>
      </c>
      <c r="F89" s="67">
        <f t="shared" si="14"/>
        <v>0</v>
      </c>
      <c r="G89" s="68">
        <v>0</v>
      </c>
      <c r="H89" s="69">
        <v>0</v>
      </c>
      <c r="I89" s="52"/>
      <c r="J89" s="53"/>
      <c r="K89" s="54"/>
      <c r="L89" s="53">
        <f t="shared" si="15"/>
        <v>0</v>
      </c>
      <c r="M89" s="54"/>
      <c r="N89" s="53">
        <f t="shared" si="16"/>
        <v>0</v>
      </c>
      <c r="O89" s="54"/>
      <c r="P89" s="53">
        <f t="shared" si="17"/>
        <v>0</v>
      </c>
      <c r="Q89" s="54"/>
      <c r="R89" s="53">
        <f t="shared" si="18"/>
        <v>0</v>
      </c>
      <c r="S89" s="322">
        <f t="shared" si="12"/>
        <v>0</v>
      </c>
      <c r="T89" s="323">
        <f t="shared" si="13"/>
        <v>0</v>
      </c>
      <c r="U89" s="36"/>
      <c r="V89" s="56"/>
      <c r="W89" s="56"/>
      <c r="X89" s="57"/>
      <c r="Y89" s="58"/>
      <c r="Z89" s="59"/>
      <c r="AA89" s="38"/>
      <c r="AD89" s="40"/>
      <c r="AE89" s="42"/>
      <c r="AF89" s="42"/>
      <c r="AG89" s="2"/>
      <c r="AH89" s="43"/>
      <c r="AI89" s="60"/>
      <c r="AJ89" s="60"/>
      <c r="AK89" s="60"/>
      <c r="AL89" s="70"/>
      <c r="AM89" s="70"/>
      <c r="AN89" s="63"/>
    </row>
    <row r="90" spans="1:40" ht="41.4" x14ac:dyDescent="0.3">
      <c r="A90" s="44" t="s">
        <v>152</v>
      </c>
      <c r="B90" s="45" t="s">
        <v>153</v>
      </c>
      <c r="C90" s="64" t="s">
        <v>21</v>
      </c>
      <c r="D90" s="65">
        <v>0</v>
      </c>
      <c r="E90" s="66">
        <v>79205.516705516697</v>
      </c>
      <c r="F90" s="67">
        <f t="shared" si="14"/>
        <v>0</v>
      </c>
      <c r="G90" s="68">
        <v>0</v>
      </c>
      <c r="H90" s="69">
        <v>0</v>
      </c>
      <c r="I90" s="52"/>
      <c r="J90" s="53"/>
      <c r="K90" s="54"/>
      <c r="L90" s="53">
        <f t="shared" si="15"/>
        <v>0</v>
      </c>
      <c r="M90" s="54"/>
      <c r="N90" s="53">
        <f t="shared" si="16"/>
        <v>0</v>
      </c>
      <c r="O90" s="54"/>
      <c r="P90" s="53">
        <f t="shared" si="17"/>
        <v>0</v>
      </c>
      <c r="Q90" s="54"/>
      <c r="R90" s="53">
        <f t="shared" si="18"/>
        <v>0</v>
      </c>
      <c r="S90" s="322">
        <f t="shared" si="12"/>
        <v>0</v>
      </c>
      <c r="T90" s="323">
        <f t="shared" si="13"/>
        <v>0</v>
      </c>
      <c r="U90" s="36"/>
      <c r="V90" s="56"/>
      <c r="W90" s="56"/>
      <c r="X90" s="57"/>
      <c r="Y90" s="58"/>
      <c r="Z90" s="59"/>
      <c r="AA90" s="38"/>
      <c r="AD90" s="40"/>
      <c r="AE90" s="42"/>
      <c r="AF90" s="42"/>
      <c r="AG90" s="2"/>
      <c r="AH90" s="43"/>
      <c r="AI90" s="60"/>
      <c r="AJ90" s="60"/>
      <c r="AK90" s="60"/>
      <c r="AL90" s="70"/>
      <c r="AM90" s="70"/>
      <c r="AN90" s="63"/>
    </row>
    <row r="91" spans="1:40" ht="41.4" x14ac:dyDescent="0.3">
      <c r="A91" s="44" t="s">
        <v>154</v>
      </c>
      <c r="B91" s="45" t="s">
        <v>155</v>
      </c>
      <c r="C91" s="64" t="s">
        <v>21</v>
      </c>
      <c r="D91" s="65">
        <v>0</v>
      </c>
      <c r="E91" s="66">
        <v>80335.243460243451</v>
      </c>
      <c r="F91" s="67">
        <f t="shared" si="14"/>
        <v>0</v>
      </c>
      <c r="G91" s="68">
        <v>0</v>
      </c>
      <c r="H91" s="69">
        <v>0</v>
      </c>
      <c r="I91" s="52"/>
      <c r="J91" s="53"/>
      <c r="K91" s="54"/>
      <c r="L91" s="53">
        <f t="shared" si="15"/>
        <v>0</v>
      </c>
      <c r="M91" s="54"/>
      <c r="N91" s="53">
        <f t="shared" si="16"/>
        <v>0</v>
      </c>
      <c r="O91" s="54"/>
      <c r="P91" s="53">
        <f t="shared" si="17"/>
        <v>0</v>
      </c>
      <c r="Q91" s="54"/>
      <c r="R91" s="53">
        <f t="shared" si="18"/>
        <v>0</v>
      </c>
      <c r="S91" s="322">
        <f t="shared" si="12"/>
        <v>0</v>
      </c>
      <c r="T91" s="323">
        <f t="shared" si="13"/>
        <v>0</v>
      </c>
      <c r="U91" s="36"/>
      <c r="V91" s="56"/>
      <c r="W91" s="56"/>
      <c r="X91" s="57"/>
      <c r="Y91" s="58"/>
      <c r="Z91" s="59"/>
      <c r="AA91" s="38"/>
      <c r="AD91" s="40"/>
      <c r="AE91" s="42"/>
      <c r="AF91" s="42"/>
      <c r="AG91" s="2"/>
      <c r="AH91" s="43"/>
      <c r="AI91" s="60"/>
      <c r="AJ91" s="60"/>
      <c r="AK91" s="60"/>
      <c r="AL91" s="70"/>
      <c r="AM91" s="70"/>
      <c r="AN91" s="63"/>
    </row>
    <row r="92" spans="1:40" ht="41.4" x14ac:dyDescent="0.3">
      <c r="A92" s="44" t="s">
        <v>156</v>
      </c>
      <c r="B92" s="45" t="s">
        <v>157</v>
      </c>
      <c r="C92" s="64" t="s">
        <v>21</v>
      </c>
      <c r="D92" s="65">
        <v>0</v>
      </c>
      <c r="E92" s="66">
        <v>164012.07588707586</v>
      </c>
      <c r="F92" s="67">
        <f t="shared" si="14"/>
        <v>0</v>
      </c>
      <c r="G92" s="68">
        <v>0</v>
      </c>
      <c r="H92" s="69">
        <v>0</v>
      </c>
      <c r="I92" s="52"/>
      <c r="J92" s="53"/>
      <c r="K92" s="54"/>
      <c r="L92" s="53">
        <f t="shared" si="15"/>
        <v>0</v>
      </c>
      <c r="M92" s="54"/>
      <c r="N92" s="53">
        <f t="shared" si="16"/>
        <v>0</v>
      </c>
      <c r="O92" s="54"/>
      <c r="P92" s="53">
        <f t="shared" si="17"/>
        <v>0</v>
      </c>
      <c r="Q92" s="54"/>
      <c r="R92" s="53">
        <f t="shared" si="18"/>
        <v>0</v>
      </c>
      <c r="S92" s="322">
        <f t="shared" si="12"/>
        <v>0</v>
      </c>
      <c r="T92" s="323">
        <f t="shared" si="13"/>
        <v>0</v>
      </c>
      <c r="U92" s="36"/>
      <c r="V92" s="56"/>
      <c r="W92" s="56"/>
      <c r="X92" s="57"/>
      <c r="Y92" s="58"/>
      <c r="Z92" s="59"/>
      <c r="AA92" s="38"/>
      <c r="AD92" s="40"/>
      <c r="AE92" s="42"/>
      <c r="AF92" s="42"/>
      <c r="AG92" s="2"/>
      <c r="AH92" s="43"/>
      <c r="AI92" s="60"/>
      <c r="AJ92" s="60"/>
      <c r="AK92" s="60"/>
      <c r="AL92" s="70"/>
      <c r="AM92" s="70"/>
      <c r="AN92" s="63"/>
    </row>
    <row r="93" spans="1:40" ht="41.4" x14ac:dyDescent="0.3">
      <c r="A93" s="44" t="s">
        <v>158</v>
      </c>
      <c r="B93" s="45" t="s">
        <v>159</v>
      </c>
      <c r="C93" s="64" t="s">
        <v>21</v>
      </c>
      <c r="D93" s="65">
        <v>0</v>
      </c>
      <c r="E93" s="66">
        <v>73729.118104118097</v>
      </c>
      <c r="F93" s="67">
        <f t="shared" si="14"/>
        <v>0</v>
      </c>
      <c r="G93" s="68">
        <v>0</v>
      </c>
      <c r="H93" s="69">
        <v>0</v>
      </c>
      <c r="I93" s="52"/>
      <c r="J93" s="53"/>
      <c r="K93" s="54"/>
      <c r="L93" s="53">
        <f t="shared" si="15"/>
        <v>0</v>
      </c>
      <c r="M93" s="54"/>
      <c r="N93" s="53">
        <f t="shared" si="16"/>
        <v>0</v>
      </c>
      <c r="O93" s="54"/>
      <c r="P93" s="53">
        <f t="shared" si="17"/>
        <v>0</v>
      </c>
      <c r="Q93" s="54"/>
      <c r="R93" s="53">
        <f t="shared" si="18"/>
        <v>0</v>
      </c>
      <c r="S93" s="322">
        <f t="shared" si="12"/>
        <v>0</v>
      </c>
      <c r="T93" s="323">
        <f t="shared" si="13"/>
        <v>0</v>
      </c>
      <c r="U93" s="36"/>
      <c r="V93" s="56"/>
      <c r="W93" s="56"/>
      <c r="X93" s="57"/>
      <c r="Y93" s="58"/>
      <c r="Z93" s="59"/>
      <c r="AA93" s="38"/>
      <c r="AD93" s="40"/>
      <c r="AE93" s="42"/>
      <c r="AF93" s="42"/>
      <c r="AG93" s="2"/>
      <c r="AH93" s="43"/>
      <c r="AI93" s="60"/>
      <c r="AJ93" s="60"/>
      <c r="AK93" s="60"/>
      <c r="AL93" s="70"/>
      <c r="AM93" s="70"/>
      <c r="AN93" s="63"/>
    </row>
    <row r="94" spans="1:40" ht="41.4" x14ac:dyDescent="0.3">
      <c r="A94" s="44" t="s">
        <v>160</v>
      </c>
      <c r="B94" s="45" t="s">
        <v>161</v>
      </c>
      <c r="C94" s="64" t="s">
        <v>21</v>
      </c>
      <c r="D94" s="65">
        <v>0</v>
      </c>
      <c r="E94" s="66">
        <v>101877.10437710436</v>
      </c>
      <c r="F94" s="67">
        <f t="shared" si="14"/>
        <v>0</v>
      </c>
      <c r="G94" s="68">
        <v>0</v>
      </c>
      <c r="H94" s="69">
        <v>0</v>
      </c>
      <c r="I94" s="52"/>
      <c r="J94" s="53"/>
      <c r="K94" s="54"/>
      <c r="L94" s="53">
        <f t="shared" si="15"/>
        <v>0</v>
      </c>
      <c r="M94" s="54"/>
      <c r="N94" s="53">
        <f t="shared" si="16"/>
        <v>0</v>
      </c>
      <c r="O94" s="54"/>
      <c r="P94" s="53">
        <f t="shared" si="17"/>
        <v>0</v>
      </c>
      <c r="Q94" s="54"/>
      <c r="R94" s="53">
        <f t="shared" si="18"/>
        <v>0</v>
      </c>
      <c r="S94" s="322">
        <f t="shared" si="12"/>
        <v>0</v>
      </c>
      <c r="T94" s="323">
        <f t="shared" si="13"/>
        <v>0</v>
      </c>
      <c r="U94" s="36"/>
      <c r="V94" s="56"/>
      <c r="W94" s="56"/>
      <c r="X94" s="57"/>
      <c r="Y94" s="58"/>
      <c r="Z94" s="59"/>
      <c r="AA94" s="38"/>
      <c r="AD94" s="40"/>
      <c r="AE94" s="42"/>
      <c r="AF94" s="42"/>
      <c r="AG94" s="2"/>
      <c r="AH94" s="43"/>
      <c r="AI94" s="60"/>
      <c r="AJ94" s="60"/>
      <c r="AK94" s="60"/>
      <c r="AL94" s="70"/>
      <c r="AM94" s="70"/>
      <c r="AN94" s="63"/>
    </row>
    <row r="95" spans="1:40" ht="41.4" x14ac:dyDescent="0.3">
      <c r="A95" s="44" t="s">
        <v>162</v>
      </c>
      <c r="B95" s="45" t="s">
        <v>163</v>
      </c>
      <c r="C95" s="64" t="s">
        <v>21</v>
      </c>
      <c r="D95" s="65">
        <v>0</v>
      </c>
      <c r="E95" s="66">
        <v>77300.731675731673</v>
      </c>
      <c r="F95" s="67">
        <f t="shared" si="14"/>
        <v>0</v>
      </c>
      <c r="G95" s="68">
        <v>0</v>
      </c>
      <c r="H95" s="69">
        <v>0</v>
      </c>
      <c r="I95" s="52"/>
      <c r="J95" s="53"/>
      <c r="K95" s="54"/>
      <c r="L95" s="53">
        <f t="shared" si="15"/>
        <v>0</v>
      </c>
      <c r="M95" s="54"/>
      <c r="N95" s="53">
        <f t="shared" si="16"/>
        <v>0</v>
      </c>
      <c r="O95" s="54"/>
      <c r="P95" s="53">
        <f t="shared" si="17"/>
        <v>0</v>
      </c>
      <c r="Q95" s="54"/>
      <c r="R95" s="53">
        <f t="shared" si="18"/>
        <v>0</v>
      </c>
      <c r="S95" s="322">
        <f t="shared" si="12"/>
        <v>0</v>
      </c>
      <c r="T95" s="323">
        <f t="shared" si="13"/>
        <v>0</v>
      </c>
      <c r="U95" s="36"/>
      <c r="V95" s="56"/>
      <c r="W95" s="56"/>
      <c r="X95" s="57"/>
      <c r="Y95" s="58"/>
      <c r="Z95" s="59"/>
      <c r="AA95" s="38"/>
      <c r="AD95" s="40"/>
      <c r="AE95" s="42"/>
      <c r="AF95" s="42"/>
      <c r="AG95" s="2"/>
      <c r="AH95" s="43"/>
      <c r="AI95" s="60"/>
      <c r="AJ95" s="60"/>
      <c r="AK95" s="60"/>
      <c r="AL95" s="70"/>
      <c r="AM95" s="70"/>
      <c r="AN95" s="63"/>
    </row>
    <row r="96" spans="1:40" ht="41.4" x14ac:dyDescent="0.3">
      <c r="A96" s="44" t="s">
        <v>164</v>
      </c>
      <c r="B96" s="45" t="s">
        <v>165</v>
      </c>
      <c r="C96" s="64" t="s">
        <v>21</v>
      </c>
      <c r="D96" s="65">
        <v>0</v>
      </c>
      <c r="E96" s="66">
        <v>87638.241388241382</v>
      </c>
      <c r="F96" s="67">
        <f t="shared" si="14"/>
        <v>0</v>
      </c>
      <c r="G96" s="68">
        <v>0</v>
      </c>
      <c r="H96" s="69">
        <v>0</v>
      </c>
      <c r="I96" s="52"/>
      <c r="J96" s="53"/>
      <c r="K96" s="54"/>
      <c r="L96" s="53">
        <f t="shared" si="15"/>
        <v>0</v>
      </c>
      <c r="M96" s="54"/>
      <c r="N96" s="53">
        <f t="shared" si="16"/>
        <v>0</v>
      </c>
      <c r="O96" s="54"/>
      <c r="P96" s="53">
        <f t="shared" si="17"/>
        <v>0</v>
      </c>
      <c r="Q96" s="54"/>
      <c r="R96" s="53">
        <f t="shared" si="18"/>
        <v>0</v>
      </c>
      <c r="S96" s="322">
        <f t="shared" si="12"/>
        <v>0</v>
      </c>
      <c r="T96" s="323">
        <f t="shared" si="13"/>
        <v>0</v>
      </c>
      <c r="U96" s="36"/>
      <c r="V96" s="56"/>
      <c r="W96" s="56"/>
      <c r="X96" s="57"/>
      <c r="Y96" s="58"/>
      <c r="Z96" s="59"/>
      <c r="AA96" s="38"/>
      <c r="AD96" s="40"/>
      <c r="AE96" s="42"/>
      <c r="AF96" s="42"/>
      <c r="AG96" s="2"/>
      <c r="AH96" s="43"/>
      <c r="AI96" s="60"/>
      <c r="AJ96" s="60"/>
      <c r="AK96" s="60"/>
      <c r="AL96" s="70"/>
      <c r="AM96" s="70"/>
      <c r="AN96" s="63"/>
    </row>
    <row r="97" spans="1:40" ht="41.4" x14ac:dyDescent="0.3">
      <c r="A97" s="44" t="s">
        <v>166</v>
      </c>
      <c r="B97" s="45" t="s">
        <v>167</v>
      </c>
      <c r="C97" s="64" t="s">
        <v>21</v>
      </c>
      <c r="D97" s="65">
        <v>0</v>
      </c>
      <c r="E97" s="66">
        <v>80543.738668738646</v>
      </c>
      <c r="F97" s="67">
        <f t="shared" si="14"/>
        <v>0</v>
      </c>
      <c r="G97" s="68">
        <v>0</v>
      </c>
      <c r="H97" s="69">
        <v>0</v>
      </c>
      <c r="I97" s="52"/>
      <c r="J97" s="53"/>
      <c r="K97" s="54"/>
      <c r="L97" s="53">
        <f t="shared" si="15"/>
        <v>0</v>
      </c>
      <c r="M97" s="54"/>
      <c r="N97" s="53">
        <f t="shared" si="16"/>
        <v>0</v>
      </c>
      <c r="O97" s="54"/>
      <c r="P97" s="53">
        <f t="shared" si="17"/>
        <v>0</v>
      </c>
      <c r="Q97" s="54"/>
      <c r="R97" s="53">
        <f t="shared" si="18"/>
        <v>0</v>
      </c>
      <c r="S97" s="322">
        <f t="shared" si="12"/>
        <v>0</v>
      </c>
      <c r="T97" s="323">
        <f t="shared" si="13"/>
        <v>0</v>
      </c>
      <c r="U97" s="36"/>
      <c r="V97" s="56"/>
      <c r="W97" s="56"/>
      <c r="X97" s="57"/>
      <c r="Y97" s="58"/>
      <c r="Z97" s="59"/>
      <c r="AA97" s="38"/>
      <c r="AD97" s="40"/>
      <c r="AE97" s="42"/>
      <c r="AF97" s="42"/>
      <c r="AG97" s="2"/>
      <c r="AH97" s="43"/>
      <c r="AI97" s="60"/>
      <c r="AJ97" s="60"/>
      <c r="AK97" s="60"/>
      <c r="AL97" s="70"/>
      <c r="AM97" s="70"/>
      <c r="AN97" s="63"/>
    </row>
    <row r="98" spans="1:40" ht="41.4" x14ac:dyDescent="0.3">
      <c r="A98" s="44" t="s">
        <v>168</v>
      </c>
      <c r="B98" s="45" t="s">
        <v>169</v>
      </c>
      <c r="C98" s="64" t="s">
        <v>21</v>
      </c>
      <c r="D98" s="65">
        <v>0</v>
      </c>
      <c r="E98" s="66">
        <v>73996.53587153586</v>
      </c>
      <c r="F98" s="67">
        <f t="shared" si="14"/>
        <v>0</v>
      </c>
      <c r="G98" s="68">
        <v>0</v>
      </c>
      <c r="H98" s="69">
        <v>0</v>
      </c>
      <c r="I98" s="52"/>
      <c r="J98" s="53"/>
      <c r="K98" s="54"/>
      <c r="L98" s="53"/>
      <c r="M98" s="54"/>
      <c r="N98" s="53"/>
      <c r="O98" s="54"/>
      <c r="P98" s="53"/>
      <c r="Q98" s="54"/>
      <c r="R98" s="53">
        <f t="shared" si="18"/>
        <v>0</v>
      </c>
      <c r="S98" s="322">
        <f t="shared" si="12"/>
        <v>0</v>
      </c>
      <c r="T98" s="323">
        <f t="shared" si="13"/>
        <v>0</v>
      </c>
      <c r="U98" s="36"/>
      <c r="V98" s="56"/>
      <c r="W98" s="56"/>
      <c r="X98" s="57"/>
      <c r="Y98" s="58"/>
      <c r="Z98" s="59"/>
      <c r="AA98" s="38"/>
      <c r="AD98" s="40"/>
      <c r="AE98" s="42"/>
      <c r="AF98" s="42"/>
      <c r="AG98" s="2"/>
      <c r="AH98" s="43"/>
      <c r="AI98" s="60"/>
      <c r="AJ98" s="60"/>
      <c r="AK98" s="60"/>
      <c r="AL98" s="70"/>
      <c r="AM98" s="70"/>
      <c r="AN98" s="63"/>
    </row>
    <row r="99" spans="1:40" ht="41.4" x14ac:dyDescent="0.3">
      <c r="A99" s="44" t="s">
        <v>170</v>
      </c>
      <c r="B99" s="45" t="s">
        <v>171</v>
      </c>
      <c r="C99" s="64" t="s">
        <v>21</v>
      </c>
      <c r="D99" s="65">
        <v>0</v>
      </c>
      <c r="E99" s="66">
        <v>80543.738668738646</v>
      </c>
      <c r="F99" s="67">
        <f t="shared" si="14"/>
        <v>0</v>
      </c>
      <c r="G99" s="68">
        <v>0</v>
      </c>
      <c r="H99" s="69">
        <v>0</v>
      </c>
      <c r="I99" s="52"/>
      <c r="J99" s="53"/>
      <c r="K99" s="54"/>
      <c r="L99" s="53"/>
      <c r="M99" s="54"/>
      <c r="N99" s="53"/>
      <c r="O99" s="54"/>
      <c r="P99" s="53"/>
      <c r="Q99" s="54"/>
      <c r="R99" s="53">
        <f t="shared" si="18"/>
        <v>0</v>
      </c>
      <c r="S99" s="322">
        <f t="shared" si="12"/>
        <v>0</v>
      </c>
      <c r="T99" s="323">
        <f t="shared" si="13"/>
        <v>0</v>
      </c>
      <c r="U99" s="36"/>
      <c r="V99" s="56"/>
      <c r="W99" s="56"/>
      <c r="X99" s="57"/>
      <c r="Y99" s="58"/>
      <c r="Z99" s="59"/>
      <c r="AA99" s="38"/>
      <c r="AD99" s="40"/>
      <c r="AE99" s="42"/>
      <c r="AF99" s="42"/>
      <c r="AG99" s="2"/>
      <c r="AH99" s="43"/>
      <c r="AI99" s="60"/>
      <c r="AJ99" s="60"/>
      <c r="AK99" s="60"/>
      <c r="AL99" s="70"/>
      <c r="AM99" s="70"/>
      <c r="AN99" s="63"/>
    </row>
    <row r="100" spans="1:40" ht="41.4" x14ac:dyDescent="0.3">
      <c r="A100" s="44" t="s">
        <v>172</v>
      </c>
      <c r="B100" s="45" t="s">
        <v>173</v>
      </c>
      <c r="C100" s="64" t="s">
        <v>21</v>
      </c>
      <c r="D100" s="65">
        <v>0</v>
      </c>
      <c r="E100" s="66">
        <v>48623.575498575497</v>
      </c>
      <c r="F100" s="67">
        <f t="shared" si="14"/>
        <v>0</v>
      </c>
      <c r="G100" s="68">
        <v>0</v>
      </c>
      <c r="H100" s="69">
        <v>0</v>
      </c>
      <c r="I100" s="52"/>
      <c r="J100" s="53"/>
      <c r="K100" s="54"/>
      <c r="L100" s="53"/>
      <c r="M100" s="54"/>
      <c r="N100" s="53"/>
      <c r="O100" s="54"/>
      <c r="P100" s="53"/>
      <c r="Q100" s="54"/>
      <c r="R100" s="53">
        <f t="shared" si="18"/>
        <v>0</v>
      </c>
      <c r="S100" s="322">
        <f t="shared" si="12"/>
        <v>0</v>
      </c>
      <c r="T100" s="323">
        <f t="shared" si="13"/>
        <v>0</v>
      </c>
      <c r="U100" s="36"/>
      <c r="V100" s="56"/>
      <c r="W100" s="56"/>
      <c r="X100" s="57"/>
      <c r="Y100" s="58"/>
      <c r="Z100" s="59"/>
      <c r="AA100" s="38"/>
      <c r="AD100" s="40"/>
      <c r="AE100" s="42"/>
      <c r="AF100" s="42"/>
      <c r="AG100" s="2"/>
      <c r="AH100" s="43"/>
      <c r="AI100" s="60"/>
      <c r="AJ100" s="60"/>
      <c r="AK100" s="60"/>
      <c r="AL100" s="70"/>
      <c r="AM100" s="70"/>
      <c r="AN100" s="63"/>
    </row>
    <row r="101" spans="1:40" ht="27.6" x14ac:dyDescent="0.3">
      <c r="A101" s="44" t="s">
        <v>174</v>
      </c>
      <c r="B101" s="45" t="s">
        <v>175</v>
      </c>
      <c r="C101" s="64" t="s">
        <v>21</v>
      </c>
      <c r="D101" s="65">
        <v>0</v>
      </c>
      <c r="E101" s="66">
        <v>91509.000259000255</v>
      </c>
      <c r="F101" s="67">
        <f t="shared" ref="F101:F132" si="19">+D101*E101</f>
        <v>0</v>
      </c>
      <c r="G101" s="68">
        <v>0</v>
      </c>
      <c r="H101" s="69">
        <v>0</v>
      </c>
      <c r="I101" s="52"/>
      <c r="J101" s="53"/>
      <c r="K101" s="54"/>
      <c r="L101" s="53"/>
      <c r="M101" s="54"/>
      <c r="N101" s="53"/>
      <c r="O101" s="54"/>
      <c r="P101" s="53"/>
      <c r="Q101" s="54"/>
      <c r="R101" s="53"/>
      <c r="S101" s="322">
        <f t="shared" si="12"/>
        <v>0</v>
      </c>
      <c r="T101" s="323">
        <f t="shared" si="13"/>
        <v>0</v>
      </c>
      <c r="U101" s="36"/>
      <c r="V101" s="56"/>
      <c r="W101" s="56"/>
      <c r="X101" s="57"/>
      <c r="Y101" s="58"/>
      <c r="Z101" s="59"/>
      <c r="AA101" s="38"/>
      <c r="AD101" s="40"/>
      <c r="AE101" s="42"/>
      <c r="AF101" s="42"/>
      <c r="AG101" s="2"/>
      <c r="AH101" s="43"/>
      <c r="AI101" s="60"/>
      <c r="AJ101" s="60"/>
      <c r="AK101" s="60"/>
      <c r="AL101" s="70"/>
      <c r="AM101" s="70"/>
      <c r="AN101" s="63"/>
    </row>
    <row r="102" spans="1:40" ht="27.6" x14ac:dyDescent="0.3">
      <c r="A102" s="44" t="s">
        <v>176</v>
      </c>
      <c r="B102" s="45" t="s">
        <v>177</v>
      </c>
      <c r="C102" s="64" t="s">
        <v>30</v>
      </c>
      <c r="D102" s="65">
        <v>0</v>
      </c>
      <c r="E102" s="66">
        <v>83313.098938098934</v>
      </c>
      <c r="F102" s="67">
        <f t="shared" si="19"/>
        <v>0</v>
      </c>
      <c r="G102" s="68">
        <v>0</v>
      </c>
      <c r="H102" s="69">
        <v>0</v>
      </c>
      <c r="I102" s="52"/>
      <c r="J102" s="53"/>
      <c r="K102" s="54"/>
      <c r="L102" s="53"/>
      <c r="M102" s="54"/>
      <c r="N102" s="53"/>
      <c r="O102" s="54"/>
      <c r="P102" s="53"/>
      <c r="Q102" s="54"/>
      <c r="R102" s="53"/>
      <c r="S102" s="322">
        <f t="shared" si="12"/>
        <v>0</v>
      </c>
      <c r="T102" s="323">
        <f t="shared" si="13"/>
        <v>0</v>
      </c>
      <c r="U102" s="36"/>
      <c r="V102" s="56"/>
      <c r="W102" s="56"/>
      <c r="X102" s="57"/>
      <c r="Y102" s="58"/>
      <c r="Z102" s="59"/>
      <c r="AA102" s="38"/>
      <c r="AD102" s="40"/>
      <c r="AE102" s="42"/>
      <c r="AF102" s="42"/>
      <c r="AG102" s="2"/>
      <c r="AH102" s="43"/>
      <c r="AI102" s="60"/>
      <c r="AJ102" s="60"/>
      <c r="AK102" s="60"/>
      <c r="AL102" s="70"/>
      <c r="AM102" s="70"/>
      <c r="AN102" s="63"/>
    </row>
    <row r="103" spans="1:40" ht="41.4" x14ac:dyDescent="0.3">
      <c r="A103" s="44" t="s">
        <v>178</v>
      </c>
      <c r="B103" s="45" t="s">
        <v>179</v>
      </c>
      <c r="C103" s="64" t="s">
        <v>111</v>
      </c>
      <c r="D103" s="65">
        <v>0</v>
      </c>
      <c r="E103" s="66">
        <v>6408335.9233359229</v>
      </c>
      <c r="F103" s="67">
        <f t="shared" si="19"/>
        <v>0</v>
      </c>
      <c r="G103" s="68">
        <v>0</v>
      </c>
      <c r="H103" s="69">
        <v>0</v>
      </c>
      <c r="I103" s="52"/>
      <c r="J103" s="53"/>
      <c r="K103" s="54"/>
      <c r="L103" s="53"/>
      <c r="M103" s="54"/>
      <c r="N103" s="53"/>
      <c r="O103" s="54"/>
      <c r="P103" s="53"/>
      <c r="Q103" s="54"/>
      <c r="R103" s="53"/>
      <c r="S103" s="322">
        <f t="shared" si="12"/>
        <v>0</v>
      </c>
      <c r="T103" s="323">
        <f t="shared" si="13"/>
        <v>0</v>
      </c>
      <c r="U103" s="36"/>
      <c r="V103" s="56"/>
      <c r="W103" s="56"/>
      <c r="X103" s="57"/>
      <c r="Y103" s="58"/>
      <c r="Z103" s="59"/>
      <c r="AA103" s="38"/>
      <c r="AD103" s="40"/>
      <c r="AE103" s="42"/>
      <c r="AF103" s="42"/>
      <c r="AG103" s="2"/>
      <c r="AH103" s="43"/>
      <c r="AI103" s="60"/>
      <c r="AJ103" s="60"/>
      <c r="AK103" s="60"/>
      <c r="AL103" s="70"/>
      <c r="AM103" s="70"/>
      <c r="AN103" s="63"/>
    </row>
    <row r="104" spans="1:40" ht="41.4" x14ac:dyDescent="0.3">
      <c r="A104" s="44" t="s">
        <v>180</v>
      </c>
      <c r="B104" s="45" t="s">
        <v>181</v>
      </c>
      <c r="C104" s="64" t="s">
        <v>111</v>
      </c>
      <c r="D104" s="65">
        <v>0</v>
      </c>
      <c r="E104" s="66">
        <v>6320349.8122248109</v>
      </c>
      <c r="F104" s="67">
        <f t="shared" si="19"/>
        <v>0</v>
      </c>
      <c r="G104" s="68">
        <v>0</v>
      </c>
      <c r="H104" s="69">
        <v>0</v>
      </c>
      <c r="I104" s="52"/>
      <c r="J104" s="53"/>
      <c r="K104" s="54"/>
      <c r="L104" s="53"/>
      <c r="M104" s="54"/>
      <c r="N104" s="53"/>
      <c r="O104" s="54"/>
      <c r="P104" s="53"/>
      <c r="Q104" s="54"/>
      <c r="R104" s="53"/>
      <c r="S104" s="322">
        <f t="shared" si="12"/>
        <v>0</v>
      </c>
      <c r="T104" s="323">
        <f t="shared" si="13"/>
        <v>0</v>
      </c>
      <c r="U104" s="36"/>
      <c r="V104" s="56"/>
      <c r="W104" s="56"/>
      <c r="X104" s="57"/>
      <c r="Y104" s="58"/>
      <c r="Z104" s="59"/>
      <c r="AA104" s="38"/>
      <c r="AD104" s="40"/>
      <c r="AE104" s="42"/>
      <c r="AF104" s="42"/>
      <c r="AG104" s="2"/>
      <c r="AH104" s="43"/>
      <c r="AI104" s="60"/>
      <c r="AJ104" s="60"/>
      <c r="AK104" s="60"/>
      <c r="AL104" s="70"/>
      <c r="AM104" s="70"/>
      <c r="AN104" s="63"/>
    </row>
    <row r="105" spans="1:40" ht="91.5" customHeight="1" x14ac:dyDescent="0.3">
      <c r="A105" s="44" t="s">
        <v>182</v>
      </c>
      <c r="B105" s="45" t="s">
        <v>183</v>
      </c>
      <c r="C105" s="64" t="s">
        <v>111</v>
      </c>
      <c r="D105" s="65">
        <v>0</v>
      </c>
      <c r="E105" s="66">
        <v>6320349.8122248109</v>
      </c>
      <c r="F105" s="67">
        <f t="shared" si="19"/>
        <v>0</v>
      </c>
      <c r="G105" s="68">
        <v>0</v>
      </c>
      <c r="H105" s="69">
        <v>0</v>
      </c>
      <c r="I105" s="52"/>
      <c r="J105" s="53"/>
      <c r="K105" s="54"/>
      <c r="L105" s="53">
        <f t="shared" ref="L105:L136" si="20">K105*$E105</f>
        <v>0</v>
      </c>
      <c r="M105" s="54"/>
      <c r="N105" s="53">
        <f t="shared" ref="N105:N136" si="21">M105*$E105</f>
        <v>0</v>
      </c>
      <c r="O105" s="54"/>
      <c r="P105" s="53">
        <f t="shared" ref="P105:P136" si="22">O105*E105</f>
        <v>0</v>
      </c>
      <c r="Q105" s="54"/>
      <c r="R105" s="53">
        <f t="shared" ref="R105:R136" si="23">Q105*G105</f>
        <v>0</v>
      </c>
      <c r="S105" s="322">
        <f t="shared" si="12"/>
        <v>0</v>
      </c>
      <c r="T105" s="323">
        <f t="shared" si="13"/>
        <v>0</v>
      </c>
      <c r="U105" s="36"/>
      <c r="V105" s="56"/>
      <c r="W105" s="56"/>
      <c r="X105" s="57"/>
      <c r="Y105" s="58"/>
      <c r="Z105" s="59"/>
      <c r="AA105" s="38"/>
      <c r="AD105" s="40"/>
      <c r="AE105" s="42"/>
      <c r="AF105" s="42"/>
      <c r="AG105" s="2"/>
      <c r="AH105" s="43"/>
      <c r="AI105" s="60"/>
      <c r="AJ105" s="60"/>
      <c r="AK105" s="60"/>
      <c r="AL105" s="70"/>
      <c r="AM105" s="70"/>
      <c r="AN105" s="63"/>
    </row>
    <row r="106" spans="1:40" ht="73.5" customHeight="1" x14ac:dyDescent="0.3">
      <c r="A106" s="44" t="s">
        <v>184</v>
      </c>
      <c r="B106" s="45" t="s">
        <v>185</v>
      </c>
      <c r="C106" s="64" t="s">
        <v>111</v>
      </c>
      <c r="D106" s="65">
        <v>0</v>
      </c>
      <c r="E106" s="66">
        <v>5482276.126651126</v>
      </c>
      <c r="F106" s="67">
        <f t="shared" si="19"/>
        <v>0</v>
      </c>
      <c r="G106" s="68">
        <v>0</v>
      </c>
      <c r="H106" s="69">
        <v>0</v>
      </c>
      <c r="I106" s="52"/>
      <c r="J106" s="53"/>
      <c r="K106" s="54"/>
      <c r="L106" s="53">
        <f t="shared" si="20"/>
        <v>0</v>
      </c>
      <c r="M106" s="54"/>
      <c r="N106" s="53">
        <f t="shared" si="21"/>
        <v>0</v>
      </c>
      <c r="O106" s="54"/>
      <c r="P106" s="53">
        <f t="shared" si="22"/>
        <v>0</v>
      </c>
      <c r="Q106" s="54"/>
      <c r="R106" s="53">
        <f t="shared" si="23"/>
        <v>0</v>
      </c>
      <c r="S106" s="322">
        <f t="shared" si="12"/>
        <v>0</v>
      </c>
      <c r="T106" s="323">
        <f t="shared" si="13"/>
        <v>0</v>
      </c>
      <c r="U106" s="36"/>
      <c r="V106" s="56"/>
      <c r="W106" s="56"/>
      <c r="X106" s="57"/>
      <c r="Y106" s="58"/>
      <c r="Z106" s="59"/>
      <c r="AA106" s="38"/>
      <c r="AD106" s="40"/>
      <c r="AE106" s="42"/>
      <c r="AF106" s="42"/>
      <c r="AG106" s="2"/>
      <c r="AH106" s="43"/>
      <c r="AI106" s="60"/>
      <c r="AJ106" s="60"/>
      <c r="AK106" s="60"/>
      <c r="AL106" s="70"/>
      <c r="AM106" s="70"/>
      <c r="AN106" s="63"/>
    </row>
    <row r="107" spans="1:40" ht="41.4" x14ac:dyDescent="0.3">
      <c r="A107" s="44" t="s">
        <v>186</v>
      </c>
      <c r="B107" s="45" t="s">
        <v>187</v>
      </c>
      <c r="C107" s="64" t="s">
        <v>111</v>
      </c>
      <c r="D107" s="65">
        <v>0</v>
      </c>
      <c r="E107" s="66">
        <v>5666903.1662781658</v>
      </c>
      <c r="F107" s="67">
        <f t="shared" si="19"/>
        <v>0</v>
      </c>
      <c r="G107" s="68">
        <v>0</v>
      </c>
      <c r="H107" s="69">
        <v>0</v>
      </c>
      <c r="I107" s="52"/>
      <c r="J107" s="53"/>
      <c r="K107" s="54"/>
      <c r="L107" s="53">
        <f t="shared" si="20"/>
        <v>0</v>
      </c>
      <c r="M107" s="54"/>
      <c r="N107" s="53">
        <f t="shared" si="21"/>
        <v>0</v>
      </c>
      <c r="O107" s="54"/>
      <c r="P107" s="53">
        <f t="shared" si="22"/>
        <v>0</v>
      </c>
      <c r="Q107" s="54"/>
      <c r="R107" s="53">
        <f t="shared" si="23"/>
        <v>0</v>
      </c>
      <c r="S107" s="322">
        <f t="shared" si="12"/>
        <v>0</v>
      </c>
      <c r="T107" s="323">
        <f t="shared" si="13"/>
        <v>0</v>
      </c>
      <c r="U107" s="36"/>
      <c r="V107" s="56"/>
      <c r="W107" s="56"/>
      <c r="X107" s="57"/>
      <c r="Y107" s="58"/>
      <c r="Z107" s="59"/>
      <c r="AA107" s="38"/>
      <c r="AD107" s="40"/>
      <c r="AE107" s="42"/>
      <c r="AF107" s="42"/>
      <c r="AG107" s="2"/>
      <c r="AH107" s="43"/>
      <c r="AI107" s="60"/>
      <c r="AJ107" s="60"/>
      <c r="AK107" s="60"/>
      <c r="AL107" s="70"/>
      <c r="AM107" s="70"/>
      <c r="AN107" s="63"/>
    </row>
    <row r="108" spans="1:40" ht="41.4" x14ac:dyDescent="0.3">
      <c r="A108" s="44" t="s">
        <v>188</v>
      </c>
      <c r="B108" s="45" t="s">
        <v>189</v>
      </c>
      <c r="C108" s="64" t="s">
        <v>111</v>
      </c>
      <c r="D108" s="65">
        <v>0</v>
      </c>
      <c r="E108" s="66">
        <v>5874735.4959854949</v>
      </c>
      <c r="F108" s="67">
        <f t="shared" si="19"/>
        <v>0</v>
      </c>
      <c r="G108" s="68">
        <v>0</v>
      </c>
      <c r="H108" s="69">
        <v>0</v>
      </c>
      <c r="I108" s="52"/>
      <c r="J108" s="53"/>
      <c r="K108" s="54"/>
      <c r="L108" s="53">
        <f t="shared" si="20"/>
        <v>0</v>
      </c>
      <c r="M108" s="54"/>
      <c r="N108" s="53">
        <f t="shared" si="21"/>
        <v>0</v>
      </c>
      <c r="O108" s="54"/>
      <c r="P108" s="53">
        <f t="shared" si="22"/>
        <v>0</v>
      </c>
      <c r="Q108" s="54"/>
      <c r="R108" s="53">
        <f t="shared" si="23"/>
        <v>0</v>
      </c>
      <c r="S108" s="322">
        <f t="shared" si="12"/>
        <v>0</v>
      </c>
      <c r="T108" s="323">
        <f t="shared" si="13"/>
        <v>0</v>
      </c>
      <c r="U108" s="36"/>
      <c r="V108" s="56"/>
      <c r="W108" s="56"/>
      <c r="X108" s="57"/>
      <c r="Y108" s="58"/>
      <c r="Z108" s="59"/>
      <c r="AA108" s="38"/>
      <c r="AD108" s="40"/>
      <c r="AE108" s="42"/>
      <c r="AF108" s="42"/>
      <c r="AG108" s="2"/>
      <c r="AH108" s="43"/>
      <c r="AI108" s="60"/>
      <c r="AJ108" s="60"/>
      <c r="AK108" s="60"/>
      <c r="AL108" s="70"/>
      <c r="AM108" s="70"/>
      <c r="AN108" s="63"/>
    </row>
    <row r="109" spans="1:40" ht="41.4" x14ac:dyDescent="0.3">
      <c r="A109" s="44" t="s">
        <v>190</v>
      </c>
      <c r="B109" s="45" t="s">
        <v>191</v>
      </c>
      <c r="C109" s="64" t="s">
        <v>111</v>
      </c>
      <c r="D109" s="65">
        <v>0</v>
      </c>
      <c r="E109" s="66">
        <v>6205028.1662781648</v>
      </c>
      <c r="F109" s="67">
        <f t="shared" si="19"/>
        <v>0</v>
      </c>
      <c r="G109" s="68">
        <v>0</v>
      </c>
      <c r="H109" s="69">
        <v>0</v>
      </c>
      <c r="I109" s="52"/>
      <c r="J109" s="53"/>
      <c r="K109" s="54"/>
      <c r="L109" s="53">
        <f t="shared" si="20"/>
        <v>0</v>
      </c>
      <c r="M109" s="54"/>
      <c r="N109" s="53">
        <f t="shared" si="21"/>
        <v>0</v>
      </c>
      <c r="O109" s="54"/>
      <c r="P109" s="53">
        <f t="shared" si="22"/>
        <v>0</v>
      </c>
      <c r="Q109" s="54"/>
      <c r="R109" s="53">
        <f t="shared" si="23"/>
        <v>0</v>
      </c>
      <c r="S109" s="322">
        <f t="shared" si="12"/>
        <v>0</v>
      </c>
      <c r="T109" s="323">
        <f t="shared" si="13"/>
        <v>0</v>
      </c>
      <c r="U109" s="36"/>
      <c r="V109" s="56"/>
      <c r="W109" s="56"/>
      <c r="X109" s="57"/>
      <c r="Y109" s="58"/>
      <c r="Z109" s="59"/>
      <c r="AA109" s="38"/>
      <c r="AD109" s="40"/>
      <c r="AE109" s="42"/>
      <c r="AF109" s="42"/>
      <c r="AG109" s="2"/>
      <c r="AH109" s="43"/>
      <c r="AI109" s="60"/>
      <c r="AJ109" s="60"/>
      <c r="AK109" s="60"/>
      <c r="AL109" s="70"/>
      <c r="AM109" s="70"/>
      <c r="AN109" s="63"/>
    </row>
    <row r="110" spans="1:40" ht="41.4" x14ac:dyDescent="0.3">
      <c r="A110" s="44" t="s">
        <v>192</v>
      </c>
      <c r="B110" s="45" t="s">
        <v>193</v>
      </c>
      <c r="C110" s="64" t="s">
        <v>111</v>
      </c>
      <c r="D110" s="65">
        <v>0</v>
      </c>
      <c r="E110" s="66">
        <v>7791780.95053095</v>
      </c>
      <c r="F110" s="67">
        <f t="shared" si="19"/>
        <v>0</v>
      </c>
      <c r="G110" s="68">
        <v>0</v>
      </c>
      <c r="H110" s="69">
        <v>0</v>
      </c>
      <c r="I110" s="52"/>
      <c r="J110" s="53"/>
      <c r="K110" s="54"/>
      <c r="L110" s="53">
        <f t="shared" si="20"/>
        <v>0</v>
      </c>
      <c r="M110" s="54"/>
      <c r="N110" s="53">
        <f t="shared" si="21"/>
        <v>0</v>
      </c>
      <c r="O110" s="54"/>
      <c r="P110" s="53">
        <f t="shared" si="22"/>
        <v>0</v>
      </c>
      <c r="Q110" s="54"/>
      <c r="R110" s="53">
        <f t="shared" si="23"/>
        <v>0</v>
      </c>
      <c r="S110" s="322">
        <f t="shared" si="12"/>
        <v>0</v>
      </c>
      <c r="T110" s="323">
        <f t="shared" si="13"/>
        <v>0</v>
      </c>
      <c r="U110" s="36"/>
      <c r="V110" s="56"/>
      <c r="W110" s="56"/>
      <c r="X110" s="57"/>
      <c r="Y110" s="58"/>
      <c r="Z110" s="59"/>
      <c r="AA110" s="38"/>
      <c r="AD110" s="40"/>
      <c r="AE110" s="42"/>
      <c r="AF110" s="42"/>
      <c r="AG110" s="2"/>
      <c r="AH110" s="43"/>
      <c r="AI110" s="60"/>
      <c r="AJ110" s="60"/>
      <c r="AK110" s="60"/>
      <c r="AL110" s="70"/>
      <c r="AM110" s="70"/>
      <c r="AN110" s="63"/>
    </row>
    <row r="111" spans="1:40" ht="41.4" x14ac:dyDescent="0.3">
      <c r="A111" s="44" t="s">
        <v>194</v>
      </c>
      <c r="B111" s="45" t="s">
        <v>195</v>
      </c>
      <c r="C111" s="64" t="s">
        <v>111</v>
      </c>
      <c r="D111" s="65">
        <v>0</v>
      </c>
      <c r="E111" s="66">
        <v>8773527.0979020968</v>
      </c>
      <c r="F111" s="67">
        <f t="shared" si="19"/>
        <v>0</v>
      </c>
      <c r="G111" s="68">
        <v>0</v>
      </c>
      <c r="H111" s="69">
        <v>0</v>
      </c>
      <c r="I111" s="52"/>
      <c r="J111" s="53"/>
      <c r="K111" s="54"/>
      <c r="L111" s="53">
        <f t="shared" si="20"/>
        <v>0</v>
      </c>
      <c r="M111" s="54"/>
      <c r="N111" s="53">
        <f t="shared" si="21"/>
        <v>0</v>
      </c>
      <c r="O111" s="54"/>
      <c r="P111" s="53">
        <f t="shared" si="22"/>
        <v>0</v>
      </c>
      <c r="Q111" s="54"/>
      <c r="R111" s="53">
        <f t="shared" si="23"/>
        <v>0</v>
      </c>
      <c r="S111" s="322">
        <f t="shared" si="12"/>
        <v>0</v>
      </c>
      <c r="T111" s="323">
        <f t="shared" si="13"/>
        <v>0</v>
      </c>
      <c r="U111" s="36"/>
      <c r="V111" s="56"/>
      <c r="W111" s="56"/>
      <c r="X111" s="57"/>
      <c r="Y111" s="58"/>
      <c r="Z111" s="59"/>
      <c r="AA111" s="38"/>
      <c r="AD111" s="40"/>
      <c r="AE111" s="42"/>
      <c r="AF111" s="42"/>
      <c r="AG111" s="2"/>
      <c r="AH111" s="43"/>
      <c r="AI111" s="60"/>
      <c r="AJ111" s="60"/>
      <c r="AK111" s="60"/>
      <c r="AL111" s="70"/>
      <c r="AM111" s="70"/>
      <c r="AN111" s="63"/>
    </row>
    <row r="112" spans="1:40" ht="41.4" x14ac:dyDescent="0.3">
      <c r="A112" s="44" t="s">
        <v>196</v>
      </c>
      <c r="B112" s="45" t="s">
        <v>197</v>
      </c>
      <c r="C112" s="64" t="s">
        <v>111</v>
      </c>
      <c r="D112" s="65">
        <v>0</v>
      </c>
      <c r="E112" s="66">
        <v>7553378.0108780097</v>
      </c>
      <c r="F112" s="67">
        <f t="shared" si="19"/>
        <v>0</v>
      </c>
      <c r="G112" s="68">
        <v>0</v>
      </c>
      <c r="H112" s="69">
        <v>0</v>
      </c>
      <c r="I112" s="52"/>
      <c r="J112" s="53"/>
      <c r="K112" s="54"/>
      <c r="L112" s="53">
        <f t="shared" si="20"/>
        <v>0</v>
      </c>
      <c r="M112" s="54"/>
      <c r="N112" s="53">
        <f t="shared" si="21"/>
        <v>0</v>
      </c>
      <c r="O112" s="54"/>
      <c r="P112" s="53">
        <f t="shared" si="22"/>
        <v>0</v>
      </c>
      <c r="Q112" s="54"/>
      <c r="R112" s="53">
        <f t="shared" si="23"/>
        <v>0</v>
      </c>
      <c r="S112" s="322">
        <f t="shared" si="12"/>
        <v>0</v>
      </c>
      <c r="T112" s="323">
        <f t="shared" si="13"/>
        <v>0</v>
      </c>
      <c r="U112" s="36"/>
      <c r="V112" s="56"/>
      <c r="W112" s="56"/>
      <c r="X112" s="57"/>
      <c r="Y112" s="58"/>
      <c r="Z112" s="59"/>
      <c r="AA112" s="38"/>
      <c r="AD112" s="40"/>
      <c r="AE112" s="42"/>
      <c r="AF112" s="42"/>
      <c r="AG112" s="2"/>
      <c r="AH112" s="43"/>
      <c r="AI112" s="60"/>
      <c r="AJ112" s="60"/>
      <c r="AK112" s="60"/>
      <c r="AL112" s="70"/>
      <c r="AM112" s="70"/>
      <c r="AN112" s="63"/>
    </row>
    <row r="113" spans="1:40" ht="41.4" x14ac:dyDescent="0.3">
      <c r="A113" s="44" t="s">
        <v>198</v>
      </c>
      <c r="B113" s="45" t="s">
        <v>199</v>
      </c>
      <c r="C113" s="64" t="s">
        <v>111</v>
      </c>
      <c r="D113" s="65">
        <v>0</v>
      </c>
      <c r="E113" s="66">
        <v>8060374.9028749019</v>
      </c>
      <c r="F113" s="67">
        <f t="shared" si="19"/>
        <v>0</v>
      </c>
      <c r="G113" s="68">
        <v>0</v>
      </c>
      <c r="H113" s="69">
        <v>0</v>
      </c>
      <c r="I113" s="52"/>
      <c r="J113" s="53"/>
      <c r="K113" s="54"/>
      <c r="L113" s="53">
        <f t="shared" si="20"/>
        <v>0</v>
      </c>
      <c r="M113" s="54"/>
      <c r="N113" s="53">
        <f t="shared" si="21"/>
        <v>0</v>
      </c>
      <c r="O113" s="54"/>
      <c r="P113" s="53">
        <f t="shared" si="22"/>
        <v>0</v>
      </c>
      <c r="Q113" s="54"/>
      <c r="R113" s="53">
        <f t="shared" si="23"/>
        <v>0</v>
      </c>
      <c r="S113" s="322">
        <f t="shared" si="12"/>
        <v>0</v>
      </c>
      <c r="T113" s="323">
        <f t="shared" si="13"/>
        <v>0</v>
      </c>
      <c r="U113" s="36"/>
      <c r="V113" s="56"/>
      <c r="W113" s="56"/>
      <c r="X113" s="57"/>
      <c r="Y113" s="58"/>
      <c r="Z113" s="59"/>
      <c r="AA113" s="38"/>
      <c r="AD113" s="40"/>
      <c r="AE113" s="42"/>
      <c r="AF113" s="42"/>
      <c r="AG113" s="2"/>
      <c r="AH113" s="43"/>
      <c r="AI113" s="60"/>
      <c r="AJ113" s="60"/>
      <c r="AK113" s="60"/>
      <c r="AL113" s="70"/>
      <c r="AM113" s="70"/>
      <c r="AN113" s="63"/>
    </row>
    <row r="114" spans="1:40" ht="41.4" x14ac:dyDescent="0.3">
      <c r="A114" s="44" t="s">
        <v>200</v>
      </c>
      <c r="B114" s="45" t="s">
        <v>201</v>
      </c>
      <c r="C114" s="64" t="s">
        <v>111</v>
      </c>
      <c r="D114" s="65">
        <v>0</v>
      </c>
      <c r="E114" s="66">
        <v>8637277.745402744</v>
      </c>
      <c r="F114" s="67">
        <f t="shared" si="19"/>
        <v>0</v>
      </c>
      <c r="G114" s="68">
        <v>0</v>
      </c>
      <c r="H114" s="69">
        <v>0</v>
      </c>
      <c r="I114" s="52"/>
      <c r="J114" s="53"/>
      <c r="K114" s="54"/>
      <c r="L114" s="53">
        <f t="shared" si="20"/>
        <v>0</v>
      </c>
      <c r="M114" s="54"/>
      <c r="N114" s="53">
        <f t="shared" si="21"/>
        <v>0</v>
      </c>
      <c r="O114" s="54"/>
      <c r="P114" s="53">
        <f t="shared" si="22"/>
        <v>0</v>
      </c>
      <c r="Q114" s="54"/>
      <c r="R114" s="53">
        <f t="shared" si="23"/>
        <v>0</v>
      </c>
      <c r="S114" s="322">
        <f t="shared" si="12"/>
        <v>0</v>
      </c>
      <c r="T114" s="323">
        <f t="shared" si="13"/>
        <v>0</v>
      </c>
      <c r="U114" s="36"/>
      <c r="V114" s="56"/>
      <c r="W114" s="56"/>
      <c r="X114" s="57"/>
      <c r="Y114" s="58"/>
      <c r="Z114" s="59"/>
      <c r="AA114" s="38"/>
      <c r="AD114" s="40"/>
      <c r="AE114" s="42"/>
      <c r="AF114" s="42"/>
      <c r="AG114" s="2"/>
      <c r="AH114" s="43"/>
      <c r="AI114" s="60"/>
      <c r="AJ114" s="60"/>
      <c r="AK114" s="60"/>
      <c r="AL114" s="70"/>
      <c r="AM114" s="70"/>
      <c r="AN114" s="63"/>
    </row>
    <row r="115" spans="1:40" ht="41.4" x14ac:dyDescent="0.3">
      <c r="A115" s="44" t="s">
        <v>202</v>
      </c>
      <c r="B115" s="45" t="s">
        <v>203</v>
      </c>
      <c r="C115" s="64" t="s">
        <v>111</v>
      </c>
      <c r="D115" s="65">
        <v>0</v>
      </c>
      <c r="E115" s="66">
        <v>10153476.43097643</v>
      </c>
      <c r="F115" s="67">
        <f t="shared" si="19"/>
        <v>0</v>
      </c>
      <c r="G115" s="68">
        <v>0</v>
      </c>
      <c r="H115" s="69">
        <v>0</v>
      </c>
      <c r="I115" s="52"/>
      <c r="J115" s="53"/>
      <c r="K115" s="54"/>
      <c r="L115" s="53">
        <f t="shared" si="20"/>
        <v>0</v>
      </c>
      <c r="M115" s="54"/>
      <c r="N115" s="53">
        <f t="shared" si="21"/>
        <v>0</v>
      </c>
      <c r="O115" s="54"/>
      <c r="P115" s="53">
        <f t="shared" si="22"/>
        <v>0</v>
      </c>
      <c r="Q115" s="54"/>
      <c r="R115" s="53">
        <f t="shared" si="23"/>
        <v>0</v>
      </c>
      <c r="S115" s="322">
        <f t="shared" si="12"/>
        <v>0</v>
      </c>
      <c r="T115" s="323">
        <f t="shared" si="13"/>
        <v>0</v>
      </c>
      <c r="U115" s="36"/>
      <c r="V115" s="56"/>
      <c r="W115" s="56"/>
      <c r="X115" s="57"/>
      <c r="Y115" s="58"/>
      <c r="Z115" s="59"/>
      <c r="AA115" s="38"/>
      <c r="AD115" s="40"/>
      <c r="AE115" s="42"/>
      <c r="AF115" s="42"/>
      <c r="AG115" s="2"/>
      <c r="AH115" s="43"/>
      <c r="AI115" s="60"/>
      <c r="AJ115" s="60"/>
      <c r="AK115" s="60"/>
      <c r="AL115" s="70"/>
      <c r="AM115" s="70"/>
      <c r="AN115" s="63"/>
    </row>
    <row r="116" spans="1:40" ht="41.4" x14ac:dyDescent="0.3">
      <c r="A116" s="44" t="s">
        <v>204</v>
      </c>
      <c r="B116" s="45" t="s">
        <v>205</v>
      </c>
      <c r="C116" s="64" t="s">
        <v>111</v>
      </c>
      <c r="D116" s="65">
        <v>0</v>
      </c>
      <c r="E116" s="66">
        <v>11066112.082362082</v>
      </c>
      <c r="F116" s="67">
        <f t="shared" si="19"/>
        <v>0</v>
      </c>
      <c r="G116" s="68">
        <v>0</v>
      </c>
      <c r="H116" s="69">
        <v>0</v>
      </c>
      <c r="I116" s="52"/>
      <c r="J116" s="53"/>
      <c r="K116" s="54"/>
      <c r="L116" s="53">
        <f t="shared" si="20"/>
        <v>0</v>
      </c>
      <c r="M116" s="54"/>
      <c r="N116" s="53">
        <f t="shared" si="21"/>
        <v>0</v>
      </c>
      <c r="O116" s="54"/>
      <c r="P116" s="53">
        <f t="shared" si="22"/>
        <v>0</v>
      </c>
      <c r="Q116" s="54"/>
      <c r="R116" s="53">
        <f t="shared" si="23"/>
        <v>0</v>
      </c>
      <c r="S116" s="322">
        <f t="shared" si="12"/>
        <v>0</v>
      </c>
      <c r="T116" s="323">
        <f t="shared" si="13"/>
        <v>0</v>
      </c>
      <c r="U116" s="36"/>
      <c r="V116" s="56"/>
      <c r="W116" s="56"/>
      <c r="X116" s="57"/>
      <c r="Y116" s="58"/>
      <c r="Z116" s="59"/>
      <c r="AA116" s="38"/>
      <c r="AD116" s="40"/>
      <c r="AE116" s="42"/>
      <c r="AF116" s="42"/>
      <c r="AG116" s="2"/>
      <c r="AH116" s="43"/>
      <c r="AI116" s="60"/>
      <c r="AJ116" s="60"/>
      <c r="AK116" s="60"/>
      <c r="AL116" s="70"/>
      <c r="AM116" s="70"/>
      <c r="AN116" s="63"/>
    </row>
    <row r="117" spans="1:40" ht="41.4" x14ac:dyDescent="0.3">
      <c r="A117" s="44" t="s">
        <v>206</v>
      </c>
      <c r="B117" s="45" t="s">
        <v>207</v>
      </c>
      <c r="C117" s="64" t="s">
        <v>111</v>
      </c>
      <c r="D117" s="65">
        <v>0</v>
      </c>
      <c r="E117" s="66">
        <v>7440986.629111628</v>
      </c>
      <c r="F117" s="67">
        <f t="shared" si="19"/>
        <v>0</v>
      </c>
      <c r="G117" s="68">
        <v>0</v>
      </c>
      <c r="H117" s="69">
        <v>0</v>
      </c>
      <c r="I117" s="52"/>
      <c r="J117" s="53"/>
      <c r="K117" s="54"/>
      <c r="L117" s="53">
        <f t="shared" si="20"/>
        <v>0</v>
      </c>
      <c r="M117" s="54"/>
      <c r="N117" s="53">
        <f t="shared" si="21"/>
        <v>0</v>
      </c>
      <c r="O117" s="54"/>
      <c r="P117" s="53">
        <f t="shared" si="22"/>
        <v>0</v>
      </c>
      <c r="Q117" s="54"/>
      <c r="R117" s="53">
        <f t="shared" si="23"/>
        <v>0</v>
      </c>
      <c r="S117" s="322">
        <f t="shared" si="12"/>
        <v>0</v>
      </c>
      <c r="T117" s="323">
        <f t="shared" si="13"/>
        <v>0</v>
      </c>
      <c r="U117" s="36"/>
      <c r="V117" s="56"/>
      <c r="W117" s="56"/>
      <c r="X117" s="57"/>
      <c r="Y117" s="58"/>
      <c r="Z117" s="59"/>
      <c r="AA117" s="38"/>
      <c r="AD117" s="40"/>
      <c r="AE117" s="42"/>
      <c r="AF117" s="42"/>
      <c r="AG117" s="2"/>
      <c r="AH117" s="43"/>
      <c r="AI117" s="60"/>
      <c r="AJ117" s="60"/>
      <c r="AK117" s="60"/>
      <c r="AL117" s="70"/>
      <c r="AM117" s="70"/>
      <c r="AN117" s="63"/>
    </row>
    <row r="118" spans="1:40" ht="41.4" x14ac:dyDescent="0.3">
      <c r="A118" s="44" t="s">
        <v>208</v>
      </c>
      <c r="B118" s="45" t="s">
        <v>209</v>
      </c>
      <c r="C118" s="64" t="s">
        <v>111</v>
      </c>
      <c r="D118" s="65">
        <v>0</v>
      </c>
      <c r="E118" s="66">
        <v>8205000.3237503227</v>
      </c>
      <c r="F118" s="67">
        <f t="shared" si="19"/>
        <v>0</v>
      </c>
      <c r="G118" s="68">
        <v>0</v>
      </c>
      <c r="H118" s="69">
        <v>0</v>
      </c>
      <c r="I118" s="52"/>
      <c r="J118" s="53"/>
      <c r="K118" s="54"/>
      <c r="L118" s="53">
        <f t="shared" si="20"/>
        <v>0</v>
      </c>
      <c r="M118" s="54"/>
      <c r="N118" s="53">
        <f t="shared" si="21"/>
        <v>0</v>
      </c>
      <c r="O118" s="54"/>
      <c r="P118" s="53">
        <f t="shared" si="22"/>
        <v>0</v>
      </c>
      <c r="Q118" s="54"/>
      <c r="R118" s="53">
        <f t="shared" si="23"/>
        <v>0</v>
      </c>
      <c r="S118" s="322">
        <f t="shared" si="12"/>
        <v>0</v>
      </c>
      <c r="T118" s="323">
        <f t="shared" si="13"/>
        <v>0</v>
      </c>
      <c r="U118" s="36"/>
      <c r="V118" s="56"/>
      <c r="W118" s="56"/>
      <c r="X118" s="57"/>
      <c r="Y118" s="58"/>
      <c r="Z118" s="59"/>
      <c r="AA118" s="38"/>
      <c r="AD118" s="40"/>
      <c r="AE118" s="42"/>
      <c r="AF118" s="42"/>
      <c r="AG118" s="2"/>
      <c r="AH118" s="43"/>
      <c r="AI118" s="60"/>
      <c r="AJ118" s="60"/>
      <c r="AK118" s="60"/>
      <c r="AL118" s="70"/>
      <c r="AM118" s="70"/>
      <c r="AN118" s="63"/>
    </row>
    <row r="119" spans="1:40" ht="41.4" x14ac:dyDescent="0.3">
      <c r="A119" s="44" t="s">
        <v>210</v>
      </c>
      <c r="B119" s="45" t="s">
        <v>211</v>
      </c>
      <c r="C119" s="64" t="s">
        <v>111</v>
      </c>
      <c r="D119" s="65">
        <v>0</v>
      </c>
      <c r="E119" s="66">
        <v>6182338.4485884486</v>
      </c>
      <c r="F119" s="67">
        <f t="shared" si="19"/>
        <v>0</v>
      </c>
      <c r="G119" s="68">
        <v>0</v>
      </c>
      <c r="H119" s="69">
        <v>0</v>
      </c>
      <c r="I119" s="52"/>
      <c r="J119" s="53"/>
      <c r="K119" s="54"/>
      <c r="L119" s="53">
        <f t="shared" si="20"/>
        <v>0</v>
      </c>
      <c r="M119" s="54"/>
      <c r="N119" s="53">
        <f t="shared" si="21"/>
        <v>0</v>
      </c>
      <c r="O119" s="54"/>
      <c r="P119" s="53">
        <f t="shared" si="22"/>
        <v>0</v>
      </c>
      <c r="Q119" s="54"/>
      <c r="R119" s="53">
        <f t="shared" si="23"/>
        <v>0</v>
      </c>
      <c r="S119" s="322">
        <f t="shared" si="12"/>
        <v>0</v>
      </c>
      <c r="T119" s="323">
        <f t="shared" si="13"/>
        <v>0</v>
      </c>
      <c r="U119" s="36"/>
      <c r="V119" s="56"/>
      <c r="W119" s="56"/>
      <c r="X119" s="57"/>
      <c r="Y119" s="58"/>
      <c r="Z119" s="59"/>
      <c r="AA119" s="38"/>
      <c r="AD119" s="40"/>
      <c r="AE119" s="42"/>
      <c r="AF119" s="42"/>
      <c r="AG119" s="2"/>
      <c r="AH119" s="43"/>
      <c r="AI119" s="60"/>
      <c r="AJ119" s="60"/>
      <c r="AK119" s="60"/>
      <c r="AL119" s="70"/>
      <c r="AM119" s="70"/>
      <c r="AN119" s="63"/>
    </row>
    <row r="120" spans="1:40" ht="41.4" x14ac:dyDescent="0.3">
      <c r="A120" s="44" t="s">
        <v>212</v>
      </c>
      <c r="B120" s="45" t="s">
        <v>213</v>
      </c>
      <c r="C120" s="64" t="s">
        <v>111</v>
      </c>
      <c r="D120" s="65">
        <v>0</v>
      </c>
      <c r="E120" s="66">
        <v>5977621.0826210817</v>
      </c>
      <c r="F120" s="67">
        <f t="shared" si="19"/>
        <v>0</v>
      </c>
      <c r="G120" s="68">
        <v>0</v>
      </c>
      <c r="H120" s="69">
        <v>0</v>
      </c>
      <c r="I120" s="52"/>
      <c r="J120" s="53"/>
      <c r="K120" s="54"/>
      <c r="L120" s="53">
        <f t="shared" si="20"/>
        <v>0</v>
      </c>
      <c r="M120" s="54"/>
      <c r="N120" s="53">
        <f t="shared" si="21"/>
        <v>0</v>
      </c>
      <c r="O120" s="54"/>
      <c r="P120" s="53">
        <f t="shared" si="22"/>
        <v>0</v>
      </c>
      <c r="Q120" s="54"/>
      <c r="R120" s="53">
        <f t="shared" si="23"/>
        <v>0</v>
      </c>
      <c r="S120" s="322">
        <f t="shared" si="12"/>
        <v>0</v>
      </c>
      <c r="T120" s="323">
        <f t="shared" si="13"/>
        <v>0</v>
      </c>
      <c r="U120" s="36"/>
      <c r="V120" s="56"/>
      <c r="W120" s="56"/>
      <c r="X120" s="57"/>
      <c r="Y120" s="58"/>
      <c r="Z120" s="59"/>
      <c r="AA120" s="38"/>
      <c r="AD120" s="40"/>
      <c r="AE120" s="42"/>
      <c r="AF120" s="42"/>
      <c r="AG120" s="2"/>
      <c r="AH120" s="43"/>
      <c r="AI120" s="60"/>
      <c r="AJ120" s="60"/>
      <c r="AK120" s="60"/>
      <c r="AL120" s="70"/>
      <c r="AM120" s="70"/>
      <c r="AN120" s="63"/>
    </row>
    <row r="121" spans="1:40" ht="41.4" x14ac:dyDescent="0.3">
      <c r="A121" s="44" t="s">
        <v>214</v>
      </c>
      <c r="B121" s="45" t="s">
        <v>215</v>
      </c>
      <c r="C121" s="64" t="s">
        <v>111</v>
      </c>
      <c r="D121" s="65">
        <v>0</v>
      </c>
      <c r="E121" s="66">
        <v>6888872.0538720535</v>
      </c>
      <c r="F121" s="67">
        <f t="shared" si="19"/>
        <v>0</v>
      </c>
      <c r="G121" s="68">
        <v>0</v>
      </c>
      <c r="H121" s="69">
        <v>0</v>
      </c>
      <c r="I121" s="52"/>
      <c r="J121" s="53"/>
      <c r="K121" s="54"/>
      <c r="L121" s="53">
        <f t="shared" si="20"/>
        <v>0</v>
      </c>
      <c r="M121" s="54"/>
      <c r="N121" s="53">
        <f t="shared" si="21"/>
        <v>0</v>
      </c>
      <c r="O121" s="54"/>
      <c r="P121" s="53">
        <f t="shared" si="22"/>
        <v>0</v>
      </c>
      <c r="Q121" s="54"/>
      <c r="R121" s="53">
        <f t="shared" si="23"/>
        <v>0</v>
      </c>
      <c r="S121" s="322">
        <f t="shared" si="12"/>
        <v>0</v>
      </c>
      <c r="T121" s="323">
        <f t="shared" si="13"/>
        <v>0</v>
      </c>
      <c r="U121" s="36"/>
      <c r="V121" s="56"/>
      <c r="W121" s="56"/>
      <c r="X121" s="57"/>
      <c r="Y121" s="58"/>
      <c r="Z121" s="59"/>
      <c r="AA121" s="38"/>
      <c r="AD121" s="40"/>
      <c r="AE121" s="42"/>
      <c r="AF121" s="42"/>
      <c r="AG121" s="2"/>
      <c r="AH121" s="43"/>
      <c r="AI121" s="60"/>
      <c r="AJ121" s="60"/>
      <c r="AK121" s="60"/>
      <c r="AL121" s="70"/>
      <c r="AM121" s="70"/>
      <c r="AN121" s="63"/>
    </row>
    <row r="122" spans="1:40" ht="41.4" x14ac:dyDescent="0.3">
      <c r="A122" s="44" t="s">
        <v>216</v>
      </c>
      <c r="B122" s="45" t="s">
        <v>217</v>
      </c>
      <c r="C122" s="64" t="s">
        <v>111</v>
      </c>
      <c r="D122" s="65">
        <v>0</v>
      </c>
      <c r="E122" s="66">
        <v>7745058.7606837591</v>
      </c>
      <c r="F122" s="67">
        <f t="shared" si="19"/>
        <v>0</v>
      </c>
      <c r="G122" s="68">
        <v>0</v>
      </c>
      <c r="H122" s="69">
        <v>0</v>
      </c>
      <c r="I122" s="52"/>
      <c r="J122" s="53"/>
      <c r="K122" s="54"/>
      <c r="L122" s="53">
        <f t="shared" si="20"/>
        <v>0</v>
      </c>
      <c r="M122" s="54"/>
      <c r="N122" s="53">
        <f t="shared" si="21"/>
        <v>0</v>
      </c>
      <c r="O122" s="54"/>
      <c r="P122" s="53">
        <f t="shared" si="22"/>
        <v>0</v>
      </c>
      <c r="Q122" s="54"/>
      <c r="R122" s="53">
        <f t="shared" si="23"/>
        <v>0</v>
      </c>
      <c r="S122" s="322">
        <f t="shared" si="12"/>
        <v>0</v>
      </c>
      <c r="T122" s="323">
        <f t="shared" si="13"/>
        <v>0</v>
      </c>
      <c r="U122" s="36"/>
      <c r="V122" s="56"/>
      <c r="W122" s="56"/>
      <c r="X122" s="57"/>
      <c r="Y122" s="58"/>
      <c r="Z122" s="59"/>
      <c r="AA122" s="38"/>
      <c r="AD122" s="40"/>
      <c r="AE122" s="42"/>
      <c r="AF122" s="42"/>
      <c r="AG122" s="2"/>
      <c r="AH122" s="43"/>
      <c r="AI122" s="60"/>
      <c r="AJ122" s="60"/>
      <c r="AK122" s="60"/>
      <c r="AL122" s="70"/>
      <c r="AM122" s="70"/>
      <c r="AN122" s="63"/>
    </row>
    <row r="123" spans="1:40" ht="41.4" x14ac:dyDescent="0.3">
      <c r="A123" s="44" t="s">
        <v>218</v>
      </c>
      <c r="B123" s="45" t="s">
        <v>219</v>
      </c>
      <c r="C123" s="64" t="s">
        <v>111</v>
      </c>
      <c r="D123" s="65">
        <v>0</v>
      </c>
      <c r="E123" s="66">
        <v>8745064.1025641002</v>
      </c>
      <c r="F123" s="67">
        <f t="shared" si="19"/>
        <v>0</v>
      </c>
      <c r="G123" s="68">
        <v>0</v>
      </c>
      <c r="H123" s="69">
        <v>0</v>
      </c>
      <c r="I123" s="52"/>
      <c r="J123" s="53"/>
      <c r="K123" s="54"/>
      <c r="L123" s="53">
        <f t="shared" si="20"/>
        <v>0</v>
      </c>
      <c r="M123" s="54"/>
      <c r="N123" s="53">
        <f t="shared" si="21"/>
        <v>0</v>
      </c>
      <c r="O123" s="54"/>
      <c r="P123" s="53">
        <f t="shared" si="22"/>
        <v>0</v>
      </c>
      <c r="Q123" s="54"/>
      <c r="R123" s="53">
        <f t="shared" si="23"/>
        <v>0</v>
      </c>
      <c r="S123" s="322">
        <f t="shared" si="12"/>
        <v>0</v>
      </c>
      <c r="T123" s="323">
        <f t="shared" si="13"/>
        <v>0</v>
      </c>
      <c r="U123" s="36"/>
      <c r="V123" s="56"/>
      <c r="W123" s="56"/>
      <c r="X123" s="57"/>
      <c r="Y123" s="58"/>
      <c r="Z123" s="59"/>
      <c r="AA123" s="38"/>
      <c r="AD123" s="40"/>
      <c r="AE123" s="42"/>
      <c r="AF123" s="42"/>
      <c r="AG123" s="2"/>
      <c r="AH123" s="43"/>
      <c r="AI123" s="60"/>
      <c r="AJ123" s="60"/>
      <c r="AK123" s="60"/>
      <c r="AL123" s="70"/>
      <c r="AM123" s="70"/>
      <c r="AN123" s="63"/>
    </row>
    <row r="124" spans="1:40" ht="41.4" x14ac:dyDescent="0.3">
      <c r="A124" s="44" t="s">
        <v>220</v>
      </c>
      <c r="B124" s="45" t="s">
        <v>221</v>
      </c>
      <c r="C124" s="64" t="s">
        <v>111</v>
      </c>
      <c r="D124" s="179">
        <v>0</v>
      </c>
      <c r="E124" s="180">
        <v>10506956.26133126</v>
      </c>
      <c r="F124" s="181">
        <f t="shared" si="19"/>
        <v>0</v>
      </c>
      <c r="G124" s="74">
        <v>0</v>
      </c>
      <c r="H124" s="75">
        <v>0</v>
      </c>
      <c r="I124" s="52"/>
      <c r="J124" s="53"/>
      <c r="K124" s="54"/>
      <c r="L124" s="53">
        <f t="shared" si="20"/>
        <v>0</v>
      </c>
      <c r="M124" s="54"/>
      <c r="N124" s="53">
        <f t="shared" si="21"/>
        <v>0</v>
      </c>
      <c r="O124" s="54"/>
      <c r="P124" s="53">
        <f t="shared" si="22"/>
        <v>0</v>
      </c>
      <c r="Q124" s="54"/>
      <c r="R124" s="53">
        <f t="shared" si="23"/>
        <v>0</v>
      </c>
      <c r="S124" s="322">
        <f t="shared" si="12"/>
        <v>0</v>
      </c>
      <c r="T124" s="323">
        <f t="shared" si="13"/>
        <v>0</v>
      </c>
      <c r="U124" s="36"/>
      <c r="V124" s="56"/>
      <c r="W124" s="56"/>
      <c r="X124" s="57"/>
      <c r="Y124" s="58"/>
      <c r="Z124" s="59"/>
      <c r="AA124" s="38"/>
      <c r="AD124" s="40"/>
      <c r="AE124" s="42"/>
      <c r="AF124" s="42"/>
      <c r="AG124" s="2"/>
      <c r="AH124" s="43"/>
      <c r="AI124" s="60"/>
      <c r="AJ124" s="60"/>
      <c r="AK124" s="60"/>
      <c r="AL124" s="70"/>
      <c r="AM124" s="70"/>
      <c r="AN124" s="63"/>
    </row>
    <row r="125" spans="1:40" ht="48.75" customHeight="1" x14ac:dyDescent="0.3">
      <c r="A125" s="44">
        <v>5.01</v>
      </c>
      <c r="B125" s="45" t="s">
        <v>222</v>
      </c>
      <c r="C125" s="64" t="s">
        <v>30</v>
      </c>
      <c r="D125" s="182">
        <v>1</v>
      </c>
      <c r="E125" s="183">
        <v>502331.54558225948</v>
      </c>
      <c r="F125" s="67">
        <f t="shared" si="19"/>
        <v>502331.54558225948</v>
      </c>
      <c r="G125" s="68">
        <v>0</v>
      </c>
      <c r="H125" s="69">
        <v>0</v>
      </c>
      <c r="I125" s="52">
        <v>3</v>
      </c>
      <c r="J125" s="53">
        <v>1665484.2515319341</v>
      </c>
      <c r="K125" s="54"/>
      <c r="L125" s="53">
        <f t="shared" si="20"/>
        <v>0</v>
      </c>
      <c r="M125" s="54"/>
      <c r="N125" s="53">
        <f t="shared" si="21"/>
        <v>0</v>
      </c>
      <c r="O125" s="54"/>
      <c r="P125" s="53">
        <f t="shared" si="22"/>
        <v>0</v>
      </c>
      <c r="Q125" s="54"/>
      <c r="R125" s="53">
        <f t="shared" si="23"/>
        <v>0</v>
      </c>
      <c r="S125" s="322">
        <f t="shared" si="12"/>
        <v>3</v>
      </c>
      <c r="T125" s="323">
        <f t="shared" si="13"/>
        <v>1665484.2515319341</v>
      </c>
      <c r="U125" s="36"/>
      <c r="V125" s="56"/>
      <c r="W125" s="56"/>
      <c r="X125" s="57"/>
      <c r="Y125" s="58"/>
      <c r="Z125" s="59"/>
      <c r="AA125" s="38"/>
      <c r="AD125" s="40"/>
      <c r="AE125" s="42"/>
      <c r="AF125" s="42"/>
      <c r="AG125" s="2"/>
      <c r="AH125" s="43"/>
      <c r="AI125" s="60"/>
      <c r="AJ125" s="60"/>
      <c r="AK125" s="60"/>
      <c r="AL125" s="70"/>
      <c r="AM125" s="70"/>
      <c r="AN125" s="63"/>
    </row>
    <row r="126" spans="1:40" ht="43.5" customHeight="1" x14ac:dyDescent="0.3">
      <c r="A126" s="44">
        <v>5.0199999999999996</v>
      </c>
      <c r="B126" s="45" t="s">
        <v>223</v>
      </c>
      <c r="C126" s="64" t="s">
        <v>30</v>
      </c>
      <c r="D126" s="65">
        <v>1</v>
      </c>
      <c r="E126" s="66">
        <v>80612.210709333362</v>
      </c>
      <c r="F126" s="67">
        <f t="shared" si="19"/>
        <v>80612.210709333362</v>
      </c>
      <c r="G126" s="68">
        <v>1</v>
      </c>
      <c r="H126" s="69">
        <v>519686.77156177146</v>
      </c>
      <c r="I126" s="52">
        <v>2</v>
      </c>
      <c r="J126" s="53">
        <v>202893.32492312382</v>
      </c>
      <c r="K126" s="54"/>
      <c r="L126" s="53">
        <f t="shared" si="20"/>
        <v>0</v>
      </c>
      <c r="M126" s="54"/>
      <c r="N126" s="53">
        <f t="shared" si="21"/>
        <v>0</v>
      </c>
      <c r="O126" s="54"/>
      <c r="P126" s="53">
        <f t="shared" si="22"/>
        <v>0</v>
      </c>
      <c r="Q126" s="54"/>
      <c r="R126" s="53">
        <f t="shared" si="23"/>
        <v>0</v>
      </c>
      <c r="S126" s="322">
        <f t="shared" si="12"/>
        <v>3</v>
      </c>
      <c r="T126" s="323">
        <f t="shared" si="13"/>
        <v>722580.09648489533</v>
      </c>
      <c r="U126" s="36"/>
      <c r="V126" s="56"/>
      <c r="W126" s="56"/>
      <c r="X126" s="57"/>
      <c r="Y126" s="58"/>
      <c r="Z126" s="59"/>
      <c r="AA126" s="38"/>
      <c r="AD126" s="40"/>
      <c r="AE126" s="42"/>
      <c r="AF126" s="42"/>
      <c r="AG126" s="2"/>
      <c r="AH126" s="43"/>
      <c r="AI126" s="60"/>
      <c r="AJ126" s="60"/>
      <c r="AK126" s="60"/>
      <c r="AL126" s="70"/>
      <c r="AM126" s="70"/>
      <c r="AN126" s="63"/>
    </row>
    <row r="127" spans="1:40" ht="43.5" customHeight="1" x14ac:dyDescent="0.3">
      <c r="A127" s="44">
        <v>5.03</v>
      </c>
      <c r="B127" s="45" t="s">
        <v>224</v>
      </c>
      <c r="C127" s="64" t="s">
        <v>225</v>
      </c>
      <c r="D127" s="65">
        <v>1</v>
      </c>
      <c r="E127" s="66">
        <v>9457.7087710958913</v>
      </c>
      <c r="F127" s="67">
        <f t="shared" si="19"/>
        <v>9457.7087710958913</v>
      </c>
      <c r="G127" s="68">
        <v>3</v>
      </c>
      <c r="H127" s="69">
        <v>250194.25019425014</v>
      </c>
      <c r="I127" s="52">
        <v>35</v>
      </c>
      <c r="J127" s="53">
        <v>362285.43015551596</v>
      </c>
      <c r="K127" s="54"/>
      <c r="L127" s="53">
        <f t="shared" si="20"/>
        <v>0</v>
      </c>
      <c r="M127" s="54"/>
      <c r="N127" s="53">
        <f t="shared" si="21"/>
        <v>0</v>
      </c>
      <c r="O127" s="54"/>
      <c r="P127" s="53">
        <f t="shared" si="22"/>
        <v>0</v>
      </c>
      <c r="Q127" s="54"/>
      <c r="R127" s="53">
        <f t="shared" si="23"/>
        <v>0</v>
      </c>
      <c r="S127" s="322">
        <f t="shared" si="12"/>
        <v>38</v>
      </c>
      <c r="T127" s="323">
        <f t="shared" si="13"/>
        <v>612479.68034976604</v>
      </c>
      <c r="U127" s="36"/>
      <c r="V127" s="56"/>
      <c r="W127" s="56"/>
      <c r="X127" s="57"/>
      <c r="Y127" s="58"/>
      <c r="Z127" s="59"/>
      <c r="AA127" s="38"/>
      <c r="AD127" s="40"/>
      <c r="AE127" s="42"/>
      <c r="AF127" s="42"/>
      <c r="AG127" s="2"/>
      <c r="AH127" s="43"/>
      <c r="AI127" s="60"/>
      <c r="AJ127" s="60"/>
      <c r="AK127" s="60"/>
      <c r="AL127" s="70"/>
      <c r="AM127" s="70"/>
      <c r="AN127" s="63"/>
    </row>
    <row r="128" spans="1:40" ht="41.4" x14ac:dyDescent="0.3">
      <c r="A128" s="44" t="s">
        <v>226</v>
      </c>
      <c r="B128" s="45" t="s">
        <v>227</v>
      </c>
      <c r="C128" s="64" t="s">
        <v>21</v>
      </c>
      <c r="D128" s="186">
        <v>1</v>
      </c>
      <c r="E128" s="187">
        <v>1476231.1855200001</v>
      </c>
      <c r="F128" s="67">
        <f t="shared" si="19"/>
        <v>1476231.1855200001</v>
      </c>
      <c r="G128" s="74">
        <v>12</v>
      </c>
      <c r="H128" s="75">
        <v>117414.52991452988</v>
      </c>
      <c r="I128" s="52">
        <v>0</v>
      </c>
      <c r="J128" s="53">
        <v>0</v>
      </c>
      <c r="K128" s="54"/>
      <c r="L128" s="53">
        <f t="shared" si="20"/>
        <v>0</v>
      </c>
      <c r="M128" s="54"/>
      <c r="N128" s="53">
        <f t="shared" si="21"/>
        <v>0</v>
      </c>
      <c r="O128" s="54"/>
      <c r="P128" s="53">
        <f t="shared" si="22"/>
        <v>0</v>
      </c>
      <c r="Q128" s="54"/>
      <c r="R128" s="53">
        <f t="shared" si="23"/>
        <v>0</v>
      </c>
      <c r="S128" s="322">
        <f t="shared" si="12"/>
        <v>12</v>
      </c>
      <c r="T128" s="323">
        <f t="shared" si="13"/>
        <v>117414.52991452988</v>
      </c>
      <c r="U128" s="36"/>
      <c r="V128" s="56"/>
      <c r="W128" s="56"/>
      <c r="X128" s="57"/>
      <c r="Y128" s="58"/>
      <c r="Z128" s="59"/>
      <c r="AA128" s="38"/>
      <c r="AD128" s="40"/>
      <c r="AE128" s="42"/>
      <c r="AF128" s="42"/>
      <c r="AG128" s="2"/>
      <c r="AH128" s="43"/>
      <c r="AI128" s="60"/>
      <c r="AJ128" s="60"/>
      <c r="AK128" s="60"/>
      <c r="AL128" s="70"/>
      <c r="AM128" s="70"/>
      <c r="AN128" s="63"/>
    </row>
    <row r="129" spans="1:40" ht="48.75" customHeight="1" x14ac:dyDescent="0.3">
      <c r="A129" s="44" t="s">
        <v>228</v>
      </c>
      <c r="B129" s="45" t="s">
        <v>229</v>
      </c>
      <c r="C129" s="64" t="s">
        <v>230</v>
      </c>
      <c r="D129" s="65">
        <v>1</v>
      </c>
      <c r="E129" s="184">
        <v>39219.610830399972</v>
      </c>
      <c r="F129" s="185">
        <f t="shared" si="19"/>
        <v>39219.610830399972</v>
      </c>
      <c r="G129" s="68">
        <v>0</v>
      </c>
      <c r="H129" s="69">
        <v>0</v>
      </c>
      <c r="I129" s="52">
        <v>0</v>
      </c>
      <c r="J129" s="53">
        <v>0</v>
      </c>
      <c r="K129" s="54"/>
      <c r="L129" s="53">
        <f t="shared" si="20"/>
        <v>0</v>
      </c>
      <c r="M129" s="54"/>
      <c r="N129" s="53">
        <f t="shared" si="21"/>
        <v>0</v>
      </c>
      <c r="O129" s="54"/>
      <c r="P129" s="53">
        <f t="shared" si="22"/>
        <v>0</v>
      </c>
      <c r="Q129" s="54"/>
      <c r="R129" s="53">
        <f t="shared" si="23"/>
        <v>0</v>
      </c>
      <c r="S129" s="322">
        <f t="shared" si="12"/>
        <v>0</v>
      </c>
      <c r="T129" s="323">
        <f t="shared" si="13"/>
        <v>0</v>
      </c>
      <c r="U129" s="36"/>
      <c r="V129" s="56"/>
      <c r="W129" s="56"/>
      <c r="X129" s="57"/>
      <c r="Y129" s="58"/>
      <c r="Z129" s="59"/>
      <c r="AA129" s="38"/>
      <c r="AD129" s="40"/>
      <c r="AE129" s="42"/>
      <c r="AF129" s="42"/>
      <c r="AG129" s="2"/>
      <c r="AH129" s="43"/>
      <c r="AI129" s="60"/>
      <c r="AJ129" s="60"/>
      <c r="AK129" s="60"/>
      <c r="AL129" s="70"/>
      <c r="AM129" s="70"/>
      <c r="AN129" s="63"/>
    </row>
    <row r="130" spans="1:40" ht="43.5" customHeight="1" x14ac:dyDescent="0.3">
      <c r="A130" s="44" t="s">
        <v>231</v>
      </c>
      <c r="B130" s="45" t="s">
        <v>232</v>
      </c>
      <c r="C130" s="64" t="s">
        <v>21</v>
      </c>
      <c r="D130" s="65">
        <v>1</v>
      </c>
      <c r="E130" s="66">
        <v>36235.760695680008</v>
      </c>
      <c r="F130" s="67">
        <f t="shared" si="19"/>
        <v>36235.760695680008</v>
      </c>
      <c r="G130" s="68">
        <v>0</v>
      </c>
      <c r="H130" s="69">
        <v>0</v>
      </c>
      <c r="I130" s="52">
        <v>0</v>
      </c>
      <c r="J130" s="53">
        <v>0</v>
      </c>
      <c r="K130" s="54"/>
      <c r="L130" s="53">
        <f t="shared" si="20"/>
        <v>0</v>
      </c>
      <c r="M130" s="54"/>
      <c r="N130" s="53">
        <f t="shared" si="21"/>
        <v>0</v>
      </c>
      <c r="O130" s="54"/>
      <c r="P130" s="53">
        <f t="shared" si="22"/>
        <v>0</v>
      </c>
      <c r="Q130" s="54"/>
      <c r="R130" s="53">
        <f t="shared" si="23"/>
        <v>0</v>
      </c>
      <c r="S130" s="322">
        <f t="shared" si="12"/>
        <v>0</v>
      </c>
      <c r="T130" s="323">
        <f t="shared" si="13"/>
        <v>0</v>
      </c>
      <c r="U130" s="36"/>
      <c r="V130" s="56"/>
      <c r="W130" s="56"/>
      <c r="X130" s="57"/>
      <c r="Y130" s="58"/>
      <c r="Z130" s="59"/>
      <c r="AA130" s="38"/>
      <c r="AD130" s="40"/>
      <c r="AE130" s="42"/>
      <c r="AF130" s="42"/>
      <c r="AG130" s="2"/>
      <c r="AH130" s="43"/>
      <c r="AI130" s="60"/>
      <c r="AJ130" s="60"/>
      <c r="AK130" s="60"/>
      <c r="AL130" s="70"/>
      <c r="AM130" s="70"/>
      <c r="AN130" s="63"/>
    </row>
    <row r="131" spans="1:40" ht="43.5" customHeight="1" x14ac:dyDescent="0.3">
      <c r="A131" s="44" t="s">
        <v>233</v>
      </c>
      <c r="B131" s="45" t="s">
        <v>234</v>
      </c>
      <c r="C131" s="64" t="s">
        <v>21</v>
      </c>
      <c r="D131" s="65">
        <v>1</v>
      </c>
      <c r="E131" s="66">
        <v>52707.155895679964</v>
      </c>
      <c r="F131" s="67">
        <f t="shared" si="19"/>
        <v>52707.155895679964</v>
      </c>
      <c r="G131" s="68">
        <v>0</v>
      </c>
      <c r="H131" s="69">
        <v>0</v>
      </c>
      <c r="I131" s="52">
        <v>0</v>
      </c>
      <c r="J131" s="53">
        <v>0</v>
      </c>
      <c r="K131" s="54"/>
      <c r="L131" s="53">
        <f t="shared" si="20"/>
        <v>0</v>
      </c>
      <c r="M131" s="54"/>
      <c r="N131" s="53">
        <f t="shared" si="21"/>
        <v>0</v>
      </c>
      <c r="O131" s="54"/>
      <c r="P131" s="53">
        <f t="shared" si="22"/>
        <v>0</v>
      </c>
      <c r="Q131" s="54"/>
      <c r="R131" s="53">
        <f t="shared" si="23"/>
        <v>0</v>
      </c>
      <c r="S131" s="322">
        <f t="shared" ref="S131:S194" si="24">+I131+G131</f>
        <v>0</v>
      </c>
      <c r="T131" s="323">
        <f t="shared" ref="T131:T194" si="25">H131+J131</f>
        <v>0</v>
      </c>
      <c r="U131" s="36"/>
      <c r="V131" s="56"/>
      <c r="W131" s="56"/>
      <c r="X131" s="57"/>
      <c r="Y131" s="58"/>
      <c r="Z131" s="59"/>
      <c r="AA131" s="38"/>
      <c r="AD131" s="40"/>
      <c r="AE131" s="42"/>
      <c r="AF131" s="42"/>
      <c r="AG131" s="2"/>
      <c r="AH131" s="43"/>
      <c r="AI131" s="60"/>
      <c r="AJ131" s="60"/>
      <c r="AK131" s="60"/>
      <c r="AL131" s="70"/>
      <c r="AM131" s="70"/>
      <c r="AN131" s="63"/>
    </row>
    <row r="132" spans="1:40" ht="46.5" customHeight="1" x14ac:dyDescent="0.3">
      <c r="A132" s="44" t="s">
        <v>235</v>
      </c>
      <c r="B132" s="45" t="s">
        <v>236</v>
      </c>
      <c r="C132" s="64" t="s">
        <v>21</v>
      </c>
      <c r="D132" s="179">
        <v>1</v>
      </c>
      <c r="E132" s="180">
        <v>13986.406000000001</v>
      </c>
      <c r="F132" s="181">
        <f t="shared" si="19"/>
        <v>13986.406000000001</v>
      </c>
      <c r="G132" s="74">
        <v>0</v>
      </c>
      <c r="H132" s="75">
        <v>0</v>
      </c>
      <c r="I132" s="52">
        <v>479.09999999999997</v>
      </c>
      <c r="J132" s="53">
        <v>9494222.9361322727</v>
      </c>
      <c r="K132" s="54"/>
      <c r="L132" s="53">
        <f t="shared" si="20"/>
        <v>0</v>
      </c>
      <c r="M132" s="54"/>
      <c r="N132" s="53">
        <f t="shared" si="21"/>
        <v>0</v>
      </c>
      <c r="O132" s="54"/>
      <c r="P132" s="53">
        <f t="shared" si="22"/>
        <v>0</v>
      </c>
      <c r="Q132" s="54"/>
      <c r="R132" s="53">
        <f t="shared" si="23"/>
        <v>0</v>
      </c>
      <c r="S132" s="322">
        <f t="shared" si="24"/>
        <v>479.09999999999997</v>
      </c>
      <c r="T132" s="323">
        <f t="shared" si="25"/>
        <v>9494222.9361322727</v>
      </c>
      <c r="U132" s="36"/>
      <c r="V132" s="56"/>
      <c r="W132" s="56"/>
      <c r="X132" s="57"/>
      <c r="Y132" s="58"/>
      <c r="Z132" s="59"/>
      <c r="AA132" s="38"/>
      <c r="AD132" s="40"/>
      <c r="AE132" s="42"/>
      <c r="AF132" s="42"/>
      <c r="AG132" s="2"/>
      <c r="AH132" s="43"/>
      <c r="AI132" s="60"/>
      <c r="AJ132" s="60"/>
      <c r="AK132" s="60"/>
      <c r="AL132" s="70"/>
      <c r="AM132" s="70"/>
      <c r="AN132" s="63"/>
    </row>
    <row r="133" spans="1:40" ht="46.5" customHeight="1" x14ac:dyDescent="0.3">
      <c r="A133" s="44" t="s">
        <v>237</v>
      </c>
      <c r="B133" s="45" t="s">
        <v>238</v>
      </c>
      <c r="C133" s="64" t="s">
        <v>21</v>
      </c>
      <c r="D133" s="188">
        <v>1</v>
      </c>
      <c r="E133" s="189">
        <v>23518.838616000005</v>
      </c>
      <c r="F133" s="67">
        <f t="shared" ref="F133:F158" si="26">+D133*E133</f>
        <v>23518.838616000005</v>
      </c>
      <c r="G133" s="74">
        <v>0</v>
      </c>
      <c r="H133" s="75">
        <v>0</v>
      </c>
      <c r="I133" s="52">
        <v>0</v>
      </c>
      <c r="J133" s="53">
        <v>0</v>
      </c>
      <c r="K133" s="54"/>
      <c r="L133" s="53">
        <f t="shared" si="20"/>
        <v>0</v>
      </c>
      <c r="M133" s="54"/>
      <c r="N133" s="53">
        <f t="shared" si="21"/>
        <v>0</v>
      </c>
      <c r="O133" s="54"/>
      <c r="P133" s="53">
        <f t="shared" si="22"/>
        <v>0</v>
      </c>
      <c r="Q133" s="54"/>
      <c r="R133" s="53">
        <f t="shared" si="23"/>
        <v>0</v>
      </c>
      <c r="S133" s="322">
        <f t="shared" si="24"/>
        <v>0</v>
      </c>
      <c r="T133" s="323">
        <f t="shared" si="25"/>
        <v>0</v>
      </c>
      <c r="U133" s="36"/>
      <c r="V133" s="56"/>
      <c r="W133" s="56"/>
      <c r="X133" s="57"/>
      <c r="Y133" s="58"/>
      <c r="Z133" s="59"/>
      <c r="AA133" s="38"/>
      <c r="AD133" s="40"/>
      <c r="AE133" s="42"/>
      <c r="AF133" s="42"/>
      <c r="AG133" s="2"/>
      <c r="AH133" s="43"/>
      <c r="AI133" s="60"/>
      <c r="AJ133" s="60"/>
      <c r="AK133" s="60"/>
      <c r="AL133" s="70"/>
      <c r="AM133" s="70"/>
      <c r="AN133" s="63"/>
    </row>
    <row r="134" spans="1:40" ht="46.5" customHeight="1" x14ac:dyDescent="0.3">
      <c r="A134" s="44" t="s">
        <v>239</v>
      </c>
      <c r="B134" s="45" t="s">
        <v>240</v>
      </c>
      <c r="C134" s="64" t="s">
        <v>21</v>
      </c>
      <c r="D134" s="188">
        <v>1</v>
      </c>
      <c r="E134" s="189">
        <v>41669.149606933323</v>
      </c>
      <c r="F134" s="67">
        <f t="shared" si="26"/>
        <v>41669.149606933323</v>
      </c>
      <c r="G134" s="74">
        <v>1160.32</v>
      </c>
      <c r="H134" s="75">
        <v>28231147.578347571</v>
      </c>
      <c r="I134" s="52">
        <v>0</v>
      </c>
      <c r="J134" s="53">
        <v>0</v>
      </c>
      <c r="K134" s="54"/>
      <c r="L134" s="53">
        <f t="shared" si="20"/>
        <v>0</v>
      </c>
      <c r="M134" s="54"/>
      <c r="N134" s="53">
        <f t="shared" si="21"/>
        <v>0</v>
      </c>
      <c r="O134" s="54"/>
      <c r="P134" s="53">
        <f t="shared" si="22"/>
        <v>0</v>
      </c>
      <c r="Q134" s="54"/>
      <c r="R134" s="53">
        <f t="shared" si="23"/>
        <v>0</v>
      </c>
      <c r="S134" s="322">
        <f t="shared" si="24"/>
        <v>1160.32</v>
      </c>
      <c r="T134" s="323">
        <f t="shared" si="25"/>
        <v>28231147.578347571</v>
      </c>
      <c r="U134" s="36"/>
      <c r="V134" s="56"/>
      <c r="W134" s="56"/>
      <c r="X134" s="57"/>
      <c r="Y134" s="58"/>
      <c r="Z134" s="59"/>
      <c r="AA134" s="38"/>
      <c r="AD134" s="40"/>
      <c r="AE134" s="42"/>
      <c r="AF134" s="42"/>
      <c r="AG134" s="2"/>
      <c r="AH134" s="43"/>
      <c r="AI134" s="60"/>
      <c r="AJ134" s="60"/>
      <c r="AK134" s="60"/>
      <c r="AL134" s="70"/>
      <c r="AM134" s="70"/>
      <c r="AN134" s="63"/>
    </row>
    <row r="135" spans="1:40" ht="48.75" customHeight="1" x14ac:dyDescent="0.3">
      <c r="A135" s="44" t="s">
        <v>241</v>
      </c>
      <c r="B135" s="45" t="s">
        <v>242</v>
      </c>
      <c r="C135" s="64" t="s">
        <v>21</v>
      </c>
      <c r="D135" s="179">
        <v>1</v>
      </c>
      <c r="E135" s="180">
        <v>42030.087153599998</v>
      </c>
      <c r="F135" s="190">
        <f t="shared" si="26"/>
        <v>42030.087153599998</v>
      </c>
      <c r="G135" s="74">
        <v>0</v>
      </c>
      <c r="H135" s="75">
        <v>0</v>
      </c>
      <c r="I135" s="52">
        <v>0</v>
      </c>
      <c r="J135" s="53">
        <v>0</v>
      </c>
      <c r="K135" s="54"/>
      <c r="L135" s="53">
        <f t="shared" si="20"/>
        <v>0</v>
      </c>
      <c r="M135" s="54"/>
      <c r="N135" s="53">
        <f t="shared" si="21"/>
        <v>0</v>
      </c>
      <c r="O135" s="54"/>
      <c r="P135" s="53">
        <f t="shared" si="22"/>
        <v>0</v>
      </c>
      <c r="Q135" s="54"/>
      <c r="R135" s="53">
        <f t="shared" si="23"/>
        <v>0</v>
      </c>
      <c r="S135" s="322">
        <f t="shared" si="24"/>
        <v>0</v>
      </c>
      <c r="T135" s="323">
        <f t="shared" si="25"/>
        <v>0</v>
      </c>
      <c r="U135" s="36"/>
      <c r="V135" s="56"/>
      <c r="W135" s="56"/>
      <c r="X135" s="57"/>
      <c r="Y135" s="58"/>
      <c r="Z135" s="59"/>
      <c r="AA135" s="38"/>
      <c r="AD135" s="40"/>
      <c r="AE135" s="42"/>
      <c r="AF135" s="42"/>
      <c r="AG135" s="2"/>
      <c r="AH135" s="43"/>
      <c r="AI135" s="60"/>
      <c r="AJ135" s="60"/>
      <c r="AK135" s="60"/>
      <c r="AL135" s="70"/>
      <c r="AM135" s="70"/>
      <c r="AN135" s="63"/>
    </row>
    <row r="136" spans="1:40" ht="48.75" customHeight="1" x14ac:dyDescent="0.3">
      <c r="A136" s="44" t="s">
        <v>243</v>
      </c>
      <c r="B136" s="45" t="s">
        <v>244</v>
      </c>
      <c r="C136" s="64" t="s">
        <v>21</v>
      </c>
      <c r="D136" s="191">
        <v>1</v>
      </c>
      <c r="E136" s="192">
        <v>170755.46779200001</v>
      </c>
      <c r="F136" s="181">
        <f t="shared" si="26"/>
        <v>170755.46779200001</v>
      </c>
      <c r="G136" s="74">
        <v>0</v>
      </c>
      <c r="H136" s="75">
        <v>0</v>
      </c>
      <c r="I136" s="52">
        <v>0</v>
      </c>
      <c r="J136" s="53">
        <v>0</v>
      </c>
      <c r="K136" s="54"/>
      <c r="L136" s="53">
        <f t="shared" si="20"/>
        <v>0</v>
      </c>
      <c r="M136" s="54"/>
      <c r="N136" s="53">
        <f t="shared" si="21"/>
        <v>0</v>
      </c>
      <c r="O136" s="54"/>
      <c r="P136" s="53">
        <f t="shared" si="22"/>
        <v>0</v>
      </c>
      <c r="Q136" s="54"/>
      <c r="R136" s="53">
        <f t="shared" si="23"/>
        <v>0</v>
      </c>
      <c r="S136" s="322">
        <f t="shared" si="24"/>
        <v>0</v>
      </c>
      <c r="T136" s="323">
        <f t="shared" si="25"/>
        <v>0</v>
      </c>
      <c r="U136" s="36"/>
      <c r="V136" s="56"/>
      <c r="W136" s="56"/>
      <c r="X136" s="57"/>
      <c r="Y136" s="58"/>
      <c r="Z136" s="59"/>
      <c r="AA136" s="38"/>
      <c r="AD136" s="40"/>
      <c r="AE136" s="42"/>
      <c r="AF136" s="42"/>
      <c r="AG136" s="2"/>
      <c r="AH136" s="43"/>
      <c r="AI136" s="60"/>
      <c r="AJ136" s="60"/>
      <c r="AK136" s="60"/>
      <c r="AL136" s="70"/>
      <c r="AM136" s="70"/>
      <c r="AN136" s="63"/>
    </row>
    <row r="137" spans="1:40" ht="48.75" customHeight="1" x14ac:dyDescent="0.3">
      <c r="A137" s="44" t="s">
        <v>245</v>
      </c>
      <c r="B137" s="45" t="s">
        <v>246</v>
      </c>
      <c r="C137" s="64" t="s">
        <v>230</v>
      </c>
      <c r="D137" s="191">
        <v>1</v>
      </c>
      <c r="E137" s="192">
        <v>230134.1298815996</v>
      </c>
      <c r="F137" s="181">
        <f t="shared" si="26"/>
        <v>230134.1298815996</v>
      </c>
      <c r="G137" s="74">
        <v>0</v>
      </c>
      <c r="H137" s="75">
        <v>0</v>
      </c>
      <c r="I137" s="52">
        <v>0</v>
      </c>
      <c r="J137" s="53">
        <v>0</v>
      </c>
      <c r="K137" s="54"/>
      <c r="L137" s="53">
        <f t="shared" ref="L137:L158" si="27">K137*$E137</f>
        <v>0</v>
      </c>
      <c r="M137" s="54"/>
      <c r="N137" s="53">
        <f t="shared" ref="N137:N158" si="28">M137*$E137</f>
        <v>0</v>
      </c>
      <c r="O137" s="54"/>
      <c r="P137" s="53">
        <f t="shared" ref="P137:P158" si="29">O137*E137</f>
        <v>0</v>
      </c>
      <c r="Q137" s="54"/>
      <c r="R137" s="53">
        <f t="shared" ref="R137:R158" si="30">Q137*G137</f>
        <v>0</v>
      </c>
      <c r="S137" s="322">
        <f t="shared" si="24"/>
        <v>0</v>
      </c>
      <c r="T137" s="323">
        <f t="shared" si="25"/>
        <v>0</v>
      </c>
      <c r="U137" s="36"/>
      <c r="V137" s="56"/>
      <c r="W137" s="56"/>
      <c r="X137" s="57"/>
      <c r="Y137" s="58"/>
      <c r="Z137" s="59"/>
      <c r="AA137" s="38"/>
      <c r="AD137" s="40"/>
      <c r="AE137" s="42"/>
      <c r="AF137" s="42"/>
      <c r="AG137" s="2"/>
      <c r="AH137" s="43"/>
      <c r="AI137" s="60"/>
      <c r="AJ137" s="60"/>
      <c r="AK137" s="60"/>
      <c r="AL137" s="70"/>
      <c r="AM137" s="70"/>
      <c r="AN137" s="63"/>
    </row>
    <row r="138" spans="1:40" ht="48.75" customHeight="1" x14ac:dyDescent="0.3">
      <c r="A138" s="44" t="s">
        <v>247</v>
      </c>
      <c r="B138" s="45" t="s">
        <v>248</v>
      </c>
      <c r="C138" s="64" t="s">
        <v>21</v>
      </c>
      <c r="D138" s="188">
        <v>1</v>
      </c>
      <c r="E138" s="189">
        <v>395817.24000000005</v>
      </c>
      <c r="F138" s="67">
        <f t="shared" si="26"/>
        <v>395817.24000000005</v>
      </c>
      <c r="G138" s="74">
        <v>0</v>
      </c>
      <c r="H138" s="75">
        <v>0</v>
      </c>
      <c r="I138" s="52">
        <v>0</v>
      </c>
      <c r="J138" s="53">
        <v>0</v>
      </c>
      <c r="K138" s="54"/>
      <c r="L138" s="53">
        <f t="shared" si="27"/>
        <v>0</v>
      </c>
      <c r="M138" s="54"/>
      <c r="N138" s="53">
        <f t="shared" si="28"/>
        <v>0</v>
      </c>
      <c r="O138" s="54"/>
      <c r="P138" s="53">
        <f t="shared" si="29"/>
        <v>0</v>
      </c>
      <c r="Q138" s="54"/>
      <c r="R138" s="53">
        <f t="shared" si="30"/>
        <v>0</v>
      </c>
      <c r="S138" s="322">
        <f t="shared" si="24"/>
        <v>0</v>
      </c>
      <c r="T138" s="323">
        <f t="shared" si="25"/>
        <v>0</v>
      </c>
      <c r="U138" s="36"/>
      <c r="V138" s="56"/>
      <c r="W138" s="56"/>
      <c r="X138" s="57"/>
      <c r="Y138" s="58"/>
      <c r="Z138" s="59"/>
      <c r="AA138" s="38"/>
      <c r="AD138" s="40"/>
      <c r="AE138" s="42"/>
      <c r="AF138" s="42"/>
      <c r="AG138" s="2"/>
      <c r="AH138" s="43"/>
      <c r="AI138" s="60"/>
      <c r="AJ138" s="60"/>
      <c r="AK138" s="60"/>
      <c r="AL138" s="70"/>
      <c r="AM138" s="70"/>
      <c r="AN138" s="63"/>
    </row>
    <row r="139" spans="1:40" ht="48.75" customHeight="1" x14ac:dyDescent="0.3">
      <c r="A139" s="44" t="s">
        <v>249</v>
      </c>
      <c r="B139" s="45" t="s">
        <v>250</v>
      </c>
      <c r="C139" s="64" t="s">
        <v>21</v>
      </c>
      <c r="D139" s="186">
        <v>1</v>
      </c>
      <c r="E139" s="187">
        <v>337799.11619999999</v>
      </c>
      <c r="F139" s="185">
        <f t="shared" si="26"/>
        <v>337799.11619999999</v>
      </c>
      <c r="G139" s="74">
        <v>0</v>
      </c>
      <c r="H139" s="75">
        <v>0</v>
      </c>
      <c r="I139" s="52">
        <v>0</v>
      </c>
      <c r="J139" s="53">
        <v>0</v>
      </c>
      <c r="K139" s="54"/>
      <c r="L139" s="53">
        <f t="shared" si="27"/>
        <v>0</v>
      </c>
      <c r="M139" s="54"/>
      <c r="N139" s="53">
        <f t="shared" si="28"/>
        <v>0</v>
      </c>
      <c r="O139" s="54"/>
      <c r="P139" s="53">
        <f t="shared" si="29"/>
        <v>0</v>
      </c>
      <c r="Q139" s="54"/>
      <c r="R139" s="53">
        <f t="shared" si="30"/>
        <v>0</v>
      </c>
      <c r="S139" s="322">
        <f t="shared" si="24"/>
        <v>0</v>
      </c>
      <c r="T139" s="323">
        <f t="shared" si="25"/>
        <v>0</v>
      </c>
      <c r="U139" s="36"/>
      <c r="V139" s="56"/>
      <c r="W139" s="56"/>
      <c r="X139" s="57"/>
      <c r="Y139" s="58"/>
      <c r="Z139" s="59"/>
      <c r="AA139" s="38"/>
      <c r="AD139" s="40"/>
      <c r="AE139" s="42"/>
      <c r="AF139" s="42"/>
      <c r="AG139" s="2"/>
      <c r="AH139" s="43"/>
      <c r="AI139" s="60"/>
      <c r="AJ139" s="60"/>
      <c r="AK139" s="60"/>
      <c r="AL139" s="70"/>
      <c r="AM139" s="70"/>
      <c r="AN139" s="63"/>
    </row>
    <row r="140" spans="1:40" ht="48.75" customHeight="1" x14ac:dyDescent="0.3">
      <c r="A140" s="44" t="s">
        <v>251</v>
      </c>
      <c r="B140" s="45" t="s">
        <v>252</v>
      </c>
      <c r="C140" s="64" t="s">
        <v>21</v>
      </c>
      <c r="D140" s="179">
        <v>1</v>
      </c>
      <c r="E140" s="180">
        <v>18290.176631999999</v>
      </c>
      <c r="F140" s="190">
        <f t="shared" si="26"/>
        <v>18290.176631999999</v>
      </c>
      <c r="G140" s="74">
        <v>0</v>
      </c>
      <c r="H140" s="75">
        <v>0</v>
      </c>
      <c r="I140" s="52">
        <v>0</v>
      </c>
      <c r="J140" s="53">
        <v>0</v>
      </c>
      <c r="K140" s="54"/>
      <c r="L140" s="53">
        <f t="shared" si="27"/>
        <v>0</v>
      </c>
      <c r="M140" s="54"/>
      <c r="N140" s="53">
        <f t="shared" si="28"/>
        <v>0</v>
      </c>
      <c r="O140" s="54"/>
      <c r="P140" s="53">
        <f t="shared" si="29"/>
        <v>0</v>
      </c>
      <c r="Q140" s="54"/>
      <c r="R140" s="53">
        <f t="shared" si="30"/>
        <v>0</v>
      </c>
      <c r="S140" s="322">
        <f t="shared" si="24"/>
        <v>0</v>
      </c>
      <c r="T140" s="323">
        <f t="shared" si="25"/>
        <v>0</v>
      </c>
      <c r="U140" s="36"/>
      <c r="V140" s="56"/>
      <c r="W140" s="56"/>
      <c r="X140" s="57"/>
      <c r="Y140" s="58"/>
      <c r="Z140" s="59"/>
      <c r="AA140" s="38"/>
      <c r="AD140" s="40"/>
      <c r="AE140" s="42"/>
      <c r="AF140" s="42"/>
      <c r="AG140" s="2"/>
      <c r="AH140" s="43"/>
      <c r="AI140" s="60"/>
      <c r="AJ140" s="60"/>
      <c r="AK140" s="60"/>
      <c r="AL140" s="70"/>
      <c r="AM140" s="70"/>
      <c r="AN140" s="63"/>
    </row>
    <row r="141" spans="1:40" ht="48.75" customHeight="1" x14ac:dyDescent="0.3">
      <c r="A141" s="44" t="s">
        <v>253</v>
      </c>
      <c r="B141" s="45" t="s">
        <v>254</v>
      </c>
      <c r="C141" s="64" t="s">
        <v>230</v>
      </c>
      <c r="D141" s="188">
        <v>1</v>
      </c>
      <c r="E141" s="189">
        <v>17043.382442604558</v>
      </c>
      <c r="F141" s="67">
        <f t="shared" si="26"/>
        <v>17043.382442604558</v>
      </c>
      <c r="G141" s="74">
        <v>0</v>
      </c>
      <c r="H141" s="75">
        <v>0</v>
      </c>
      <c r="I141" s="52">
        <v>0</v>
      </c>
      <c r="J141" s="53">
        <v>0</v>
      </c>
      <c r="K141" s="54"/>
      <c r="L141" s="53">
        <f t="shared" si="27"/>
        <v>0</v>
      </c>
      <c r="M141" s="54"/>
      <c r="N141" s="53">
        <f t="shared" si="28"/>
        <v>0</v>
      </c>
      <c r="O141" s="54"/>
      <c r="P141" s="53">
        <f t="shared" si="29"/>
        <v>0</v>
      </c>
      <c r="Q141" s="54"/>
      <c r="R141" s="53">
        <f t="shared" si="30"/>
        <v>0</v>
      </c>
      <c r="S141" s="322">
        <f t="shared" si="24"/>
        <v>0</v>
      </c>
      <c r="T141" s="323">
        <f t="shared" si="25"/>
        <v>0</v>
      </c>
      <c r="U141" s="36"/>
      <c r="V141" s="56"/>
      <c r="W141" s="56"/>
      <c r="X141" s="57"/>
      <c r="Y141" s="58"/>
      <c r="Z141" s="59"/>
      <c r="AA141" s="38"/>
      <c r="AD141" s="40"/>
      <c r="AE141" s="42"/>
      <c r="AF141" s="42"/>
      <c r="AG141" s="2"/>
      <c r="AH141" s="43"/>
      <c r="AI141" s="60"/>
      <c r="AJ141" s="60"/>
      <c r="AK141" s="60"/>
      <c r="AL141" s="70"/>
      <c r="AM141" s="70"/>
      <c r="AN141" s="63"/>
    </row>
    <row r="142" spans="1:40" ht="48.75" customHeight="1" x14ac:dyDescent="0.3">
      <c r="A142" s="44" t="s">
        <v>255</v>
      </c>
      <c r="B142" s="45" t="s">
        <v>256</v>
      </c>
      <c r="C142" s="64" t="s">
        <v>21</v>
      </c>
      <c r="D142" s="188">
        <v>1</v>
      </c>
      <c r="E142" s="189">
        <v>297667.30132936523</v>
      </c>
      <c r="F142" s="67">
        <f t="shared" si="26"/>
        <v>297667.30132936523</v>
      </c>
      <c r="G142" s="74">
        <v>0</v>
      </c>
      <c r="H142" s="75">
        <v>0</v>
      </c>
      <c r="I142" s="52">
        <v>0</v>
      </c>
      <c r="J142" s="53">
        <v>0</v>
      </c>
      <c r="K142" s="54"/>
      <c r="L142" s="53">
        <f t="shared" si="27"/>
        <v>0</v>
      </c>
      <c r="M142" s="54"/>
      <c r="N142" s="53">
        <f t="shared" si="28"/>
        <v>0</v>
      </c>
      <c r="O142" s="54"/>
      <c r="P142" s="53">
        <f t="shared" si="29"/>
        <v>0</v>
      </c>
      <c r="Q142" s="54"/>
      <c r="R142" s="53">
        <f t="shared" si="30"/>
        <v>0</v>
      </c>
      <c r="S142" s="322">
        <f t="shared" si="24"/>
        <v>0</v>
      </c>
      <c r="T142" s="323">
        <f t="shared" si="25"/>
        <v>0</v>
      </c>
      <c r="U142" s="36"/>
      <c r="V142" s="56"/>
      <c r="W142" s="56"/>
      <c r="X142" s="57"/>
      <c r="Y142" s="58"/>
      <c r="Z142" s="59"/>
      <c r="AA142" s="38"/>
      <c r="AD142" s="40"/>
      <c r="AE142" s="42"/>
      <c r="AF142" s="42"/>
      <c r="AG142" s="2"/>
      <c r="AH142" s="43"/>
      <c r="AI142" s="60"/>
      <c r="AJ142" s="60"/>
      <c r="AK142" s="60"/>
      <c r="AL142" s="70"/>
      <c r="AM142" s="70"/>
      <c r="AN142" s="63"/>
    </row>
    <row r="143" spans="1:40" ht="48.75" customHeight="1" x14ac:dyDescent="0.3">
      <c r="A143" s="44" t="s">
        <v>257</v>
      </c>
      <c r="B143" s="45" t="s">
        <v>258</v>
      </c>
      <c r="C143" s="64" t="s">
        <v>27</v>
      </c>
      <c r="D143" s="188">
        <v>1</v>
      </c>
      <c r="E143" s="189">
        <v>2453276.1311604003</v>
      </c>
      <c r="F143" s="67">
        <f t="shared" si="26"/>
        <v>2453276.1311604003</v>
      </c>
      <c r="G143" s="74">
        <v>0</v>
      </c>
      <c r="H143" s="75">
        <v>0</v>
      </c>
      <c r="I143" s="52">
        <v>0</v>
      </c>
      <c r="J143" s="53">
        <v>0</v>
      </c>
      <c r="K143" s="54"/>
      <c r="L143" s="53">
        <f t="shared" si="27"/>
        <v>0</v>
      </c>
      <c r="M143" s="54"/>
      <c r="N143" s="53">
        <f t="shared" si="28"/>
        <v>0</v>
      </c>
      <c r="O143" s="54"/>
      <c r="P143" s="53">
        <f t="shared" si="29"/>
        <v>0</v>
      </c>
      <c r="Q143" s="54"/>
      <c r="R143" s="53">
        <f t="shared" si="30"/>
        <v>0</v>
      </c>
      <c r="S143" s="322">
        <f t="shared" si="24"/>
        <v>0</v>
      </c>
      <c r="T143" s="323">
        <f t="shared" si="25"/>
        <v>0</v>
      </c>
      <c r="U143" s="36"/>
      <c r="V143" s="56"/>
      <c r="W143" s="56"/>
      <c r="X143" s="57"/>
      <c r="Y143" s="58"/>
      <c r="Z143" s="59"/>
      <c r="AA143" s="38"/>
      <c r="AD143" s="40"/>
      <c r="AE143" s="42"/>
      <c r="AF143" s="42"/>
      <c r="AG143" s="2"/>
      <c r="AH143" s="43"/>
      <c r="AI143" s="60"/>
      <c r="AJ143" s="60"/>
      <c r="AK143" s="60"/>
      <c r="AL143" s="70"/>
      <c r="AM143" s="70"/>
      <c r="AN143" s="63"/>
    </row>
    <row r="144" spans="1:40" ht="48.75" customHeight="1" x14ac:dyDescent="0.3">
      <c r="A144" s="44" t="s">
        <v>259</v>
      </c>
      <c r="B144" s="45" t="s">
        <v>260</v>
      </c>
      <c r="C144" s="64" t="s">
        <v>27</v>
      </c>
      <c r="D144" s="179">
        <v>1</v>
      </c>
      <c r="E144" s="180">
        <v>679412.06041799998</v>
      </c>
      <c r="F144" s="190">
        <f t="shared" si="26"/>
        <v>679412.06041799998</v>
      </c>
      <c r="G144" s="74">
        <v>0</v>
      </c>
      <c r="H144" s="75">
        <v>0</v>
      </c>
      <c r="I144" s="52">
        <v>0</v>
      </c>
      <c r="J144" s="53">
        <v>0</v>
      </c>
      <c r="K144" s="54"/>
      <c r="L144" s="53">
        <f t="shared" si="27"/>
        <v>0</v>
      </c>
      <c r="M144" s="54"/>
      <c r="N144" s="53">
        <f t="shared" si="28"/>
        <v>0</v>
      </c>
      <c r="O144" s="54"/>
      <c r="P144" s="53">
        <f t="shared" si="29"/>
        <v>0</v>
      </c>
      <c r="Q144" s="54"/>
      <c r="R144" s="53">
        <f t="shared" si="30"/>
        <v>0</v>
      </c>
      <c r="S144" s="322">
        <f t="shared" si="24"/>
        <v>0</v>
      </c>
      <c r="T144" s="323">
        <f t="shared" si="25"/>
        <v>0</v>
      </c>
      <c r="U144" s="36"/>
      <c r="V144" s="56"/>
      <c r="W144" s="56"/>
      <c r="X144" s="57"/>
      <c r="Y144" s="58"/>
      <c r="Z144" s="59"/>
      <c r="AA144" s="38"/>
      <c r="AD144" s="40"/>
      <c r="AE144" s="42"/>
      <c r="AF144" s="42"/>
      <c r="AG144" s="2"/>
      <c r="AH144" s="43"/>
      <c r="AI144" s="60"/>
      <c r="AJ144" s="60"/>
      <c r="AK144" s="60"/>
      <c r="AL144" s="70"/>
      <c r="AM144" s="70"/>
      <c r="AN144" s="63"/>
    </row>
    <row r="145" spans="1:40" ht="48.75" customHeight="1" x14ac:dyDescent="0.3">
      <c r="A145" s="44" t="s">
        <v>261</v>
      </c>
      <c r="B145" s="45" t="s">
        <v>262</v>
      </c>
      <c r="C145" s="64" t="s">
        <v>263</v>
      </c>
      <c r="D145" s="188">
        <v>1</v>
      </c>
      <c r="E145" s="189">
        <v>178246.34464313588</v>
      </c>
      <c r="F145" s="67">
        <f t="shared" si="26"/>
        <v>178246.34464313588</v>
      </c>
      <c r="G145" s="74">
        <v>0</v>
      </c>
      <c r="H145" s="75">
        <v>0</v>
      </c>
      <c r="I145" s="52">
        <v>0</v>
      </c>
      <c r="J145" s="53">
        <v>0</v>
      </c>
      <c r="K145" s="54"/>
      <c r="L145" s="53">
        <f t="shared" si="27"/>
        <v>0</v>
      </c>
      <c r="M145" s="54"/>
      <c r="N145" s="53">
        <f t="shared" si="28"/>
        <v>0</v>
      </c>
      <c r="O145" s="54"/>
      <c r="P145" s="53">
        <f t="shared" si="29"/>
        <v>0</v>
      </c>
      <c r="Q145" s="54"/>
      <c r="R145" s="53">
        <f t="shared" si="30"/>
        <v>0</v>
      </c>
      <c r="S145" s="322">
        <f t="shared" si="24"/>
        <v>0</v>
      </c>
      <c r="T145" s="323">
        <f t="shared" si="25"/>
        <v>0</v>
      </c>
      <c r="U145" s="36"/>
      <c r="V145" s="56"/>
      <c r="W145" s="56"/>
      <c r="X145" s="57"/>
      <c r="Y145" s="58"/>
      <c r="Z145" s="59"/>
      <c r="AA145" s="38"/>
      <c r="AD145" s="40"/>
      <c r="AE145" s="42"/>
      <c r="AF145" s="42"/>
      <c r="AG145" s="2"/>
      <c r="AH145" s="43"/>
      <c r="AI145" s="60"/>
      <c r="AJ145" s="60"/>
      <c r="AK145" s="60"/>
      <c r="AL145" s="70"/>
      <c r="AM145" s="70"/>
      <c r="AN145" s="63"/>
    </row>
    <row r="146" spans="1:40" ht="48.75" customHeight="1" x14ac:dyDescent="0.3">
      <c r="A146" s="44" t="s">
        <v>264</v>
      </c>
      <c r="B146" s="45" t="s">
        <v>265</v>
      </c>
      <c r="C146" s="64" t="s">
        <v>21</v>
      </c>
      <c r="D146" s="188">
        <v>1</v>
      </c>
      <c r="E146" s="189">
        <v>85573.39299600001</v>
      </c>
      <c r="F146" s="67">
        <f t="shared" si="26"/>
        <v>85573.39299600001</v>
      </c>
      <c r="G146" s="74">
        <v>0</v>
      </c>
      <c r="H146" s="75">
        <v>0</v>
      </c>
      <c r="I146" s="52">
        <v>0</v>
      </c>
      <c r="J146" s="53">
        <v>0</v>
      </c>
      <c r="K146" s="54"/>
      <c r="L146" s="53">
        <f t="shared" si="27"/>
        <v>0</v>
      </c>
      <c r="M146" s="54"/>
      <c r="N146" s="53">
        <f t="shared" si="28"/>
        <v>0</v>
      </c>
      <c r="O146" s="54"/>
      <c r="P146" s="53">
        <f t="shared" si="29"/>
        <v>0</v>
      </c>
      <c r="Q146" s="54"/>
      <c r="R146" s="53">
        <f t="shared" si="30"/>
        <v>0</v>
      </c>
      <c r="S146" s="322">
        <f t="shared" si="24"/>
        <v>0</v>
      </c>
      <c r="T146" s="323">
        <f t="shared" si="25"/>
        <v>0</v>
      </c>
      <c r="U146" s="36"/>
      <c r="V146" s="56"/>
      <c r="W146" s="56"/>
      <c r="X146" s="57"/>
      <c r="Y146" s="58"/>
      <c r="Z146" s="59"/>
      <c r="AA146" s="38"/>
      <c r="AD146" s="40"/>
      <c r="AE146" s="42"/>
      <c r="AF146" s="42"/>
      <c r="AG146" s="2"/>
      <c r="AH146" s="43"/>
      <c r="AI146" s="60"/>
      <c r="AJ146" s="60"/>
      <c r="AK146" s="60"/>
      <c r="AL146" s="70"/>
      <c r="AM146" s="70"/>
      <c r="AN146" s="63"/>
    </row>
    <row r="147" spans="1:40" ht="48.75" customHeight="1" x14ac:dyDescent="0.3">
      <c r="A147" s="44" t="s">
        <v>266</v>
      </c>
      <c r="B147" s="45" t="s">
        <v>267</v>
      </c>
      <c r="C147" s="64" t="s">
        <v>230</v>
      </c>
      <c r="D147" s="186">
        <v>1</v>
      </c>
      <c r="E147" s="187">
        <v>9671.7510159801041</v>
      </c>
      <c r="F147" s="185">
        <f t="shared" si="26"/>
        <v>9671.7510159801041</v>
      </c>
      <c r="G147" s="74">
        <v>0</v>
      </c>
      <c r="H147" s="75">
        <v>0</v>
      </c>
      <c r="I147" s="52">
        <v>0</v>
      </c>
      <c r="J147" s="53">
        <v>0</v>
      </c>
      <c r="K147" s="54"/>
      <c r="L147" s="53">
        <f t="shared" si="27"/>
        <v>0</v>
      </c>
      <c r="M147" s="54"/>
      <c r="N147" s="53">
        <f t="shared" si="28"/>
        <v>0</v>
      </c>
      <c r="O147" s="54"/>
      <c r="P147" s="53">
        <f t="shared" si="29"/>
        <v>0</v>
      </c>
      <c r="Q147" s="54"/>
      <c r="R147" s="53">
        <f t="shared" si="30"/>
        <v>0</v>
      </c>
      <c r="S147" s="322">
        <f t="shared" si="24"/>
        <v>0</v>
      </c>
      <c r="T147" s="323">
        <f t="shared" si="25"/>
        <v>0</v>
      </c>
      <c r="U147" s="36"/>
      <c r="V147" s="56"/>
      <c r="W147" s="56"/>
      <c r="X147" s="57"/>
      <c r="Y147" s="58"/>
      <c r="Z147" s="59"/>
      <c r="AA147" s="38"/>
      <c r="AD147" s="40"/>
      <c r="AE147" s="42"/>
      <c r="AF147" s="42"/>
      <c r="AG147" s="2"/>
      <c r="AH147" s="43"/>
      <c r="AI147" s="60"/>
      <c r="AJ147" s="60"/>
      <c r="AK147" s="60"/>
      <c r="AL147" s="70"/>
      <c r="AM147" s="70"/>
      <c r="AN147" s="63"/>
    </row>
    <row r="148" spans="1:40" ht="48.75" customHeight="1" x14ac:dyDescent="0.3">
      <c r="A148" s="44" t="s">
        <v>268</v>
      </c>
      <c r="B148" s="45" t="s">
        <v>269</v>
      </c>
      <c r="C148" s="64" t="s">
        <v>230</v>
      </c>
      <c r="D148" s="186">
        <v>1</v>
      </c>
      <c r="E148" s="187">
        <v>378536.0218355516</v>
      </c>
      <c r="F148" s="185">
        <f t="shared" si="26"/>
        <v>378536.0218355516</v>
      </c>
      <c r="G148" s="74">
        <v>0</v>
      </c>
      <c r="H148" s="75">
        <v>0</v>
      </c>
      <c r="I148" s="52">
        <v>0</v>
      </c>
      <c r="J148" s="53">
        <v>0</v>
      </c>
      <c r="K148" s="54"/>
      <c r="L148" s="53">
        <f t="shared" si="27"/>
        <v>0</v>
      </c>
      <c r="M148" s="54"/>
      <c r="N148" s="53">
        <f t="shared" si="28"/>
        <v>0</v>
      </c>
      <c r="O148" s="54"/>
      <c r="P148" s="53">
        <f t="shared" si="29"/>
        <v>0</v>
      </c>
      <c r="Q148" s="54"/>
      <c r="R148" s="53">
        <f t="shared" si="30"/>
        <v>0</v>
      </c>
      <c r="S148" s="322">
        <f t="shared" si="24"/>
        <v>0</v>
      </c>
      <c r="T148" s="323">
        <f t="shared" si="25"/>
        <v>0</v>
      </c>
      <c r="U148" s="36"/>
      <c r="V148" s="56"/>
      <c r="W148" s="56"/>
      <c r="X148" s="57"/>
      <c r="Y148" s="58"/>
      <c r="Z148" s="59"/>
      <c r="AA148" s="38"/>
      <c r="AD148" s="40"/>
      <c r="AE148" s="42"/>
      <c r="AF148" s="42"/>
      <c r="AG148" s="2"/>
      <c r="AH148" s="43"/>
      <c r="AI148" s="60"/>
      <c r="AJ148" s="60"/>
      <c r="AK148" s="60"/>
      <c r="AL148" s="70"/>
      <c r="AM148" s="70"/>
      <c r="AN148" s="63"/>
    </row>
    <row r="149" spans="1:40" ht="48.75" customHeight="1" x14ac:dyDescent="0.3">
      <c r="A149" s="44" t="s">
        <v>270</v>
      </c>
      <c r="B149" s="45" t="s">
        <v>271</v>
      </c>
      <c r="C149" s="64" t="s">
        <v>21</v>
      </c>
      <c r="D149" s="179">
        <v>1</v>
      </c>
      <c r="E149" s="180">
        <v>397460.75770137942</v>
      </c>
      <c r="F149" s="190">
        <f t="shared" si="26"/>
        <v>397460.75770137942</v>
      </c>
      <c r="G149" s="74">
        <v>0</v>
      </c>
      <c r="H149" s="75">
        <v>0</v>
      </c>
      <c r="I149" s="52">
        <v>0</v>
      </c>
      <c r="J149" s="53">
        <v>0</v>
      </c>
      <c r="K149" s="54"/>
      <c r="L149" s="53">
        <f t="shared" si="27"/>
        <v>0</v>
      </c>
      <c r="M149" s="54"/>
      <c r="N149" s="53">
        <f t="shared" si="28"/>
        <v>0</v>
      </c>
      <c r="O149" s="54"/>
      <c r="P149" s="53">
        <f t="shared" si="29"/>
        <v>0</v>
      </c>
      <c r="Q149" s="54"/>
      <c r="R149" s="53">
        <f t="shared" si="30"/>
        <v>0</v>
      </c>
      <c r="S149" s="322">
        <f t="shared" si="24"/>
        <v>0</v>
      </c>
      <c r="T149" s="323">
        <f t="shared" si="25"/>
        <v>0</v>
      </c>
      <c r="U149" s="36"/>
      <c r="V149" s="56"/>
      <c r="W149" s="56"/>
      <c r="X149" s="57"/>
      <c r="Y149" s="58"/>
      <c r="Z149" s="59"/>
      <c r="AA149" s="38"/>
      <c r="AD149" s="40"/>
      <c r="AE149" s="42"/>
      <c r="AF149" s="42"/>
      <c r="AG149" s="2"/>
      <c r="AH149" s="43"/>
      <c r="AI149" s="60"/>
      <c r="AJ149" s="60"/>
      <c r="AK149" s="60"/>
      <c r="AL149" s="70"/>
      <c r="AM149" s="70"/>
      <c r="AN149" s="63"/>
    </row>
    <row r="150" spans="1:40" ht="48.75" customHeight="1" x14ac:dyDescent="0.3">
      <c r="A150" s="44" t="s">
        <v>272</v>
      </c>
      <c r="B150" s="45" t="s">
        <v>273</v>
      </c>
      <c r="C150" s="64" t="s">
        <v>21</v>
      </c>
      <c r="D150" s="188">
        <v>1</v>
      </c>
      <c r="E150" s="189">
        <v>47091.359406000003</v>
      </c>
      <c r="F150" s="67">
        <f t="shared" si="26"/>
        <v>47091.359406000003</v>
      </c>
      <c r="G150" s="74">
        <v>0</v>
      </c>
      <c r="H150" s="75">
        <v>0</v>
      </c>
      <c r="I150" s="52">
        <v>0</v>
      </c>
      <c r="J150" s="53">
        <v>0</v>
      </c>
      <c r="K150" s="54"/>
      <c r="L150" s="53">
        <f t="shared" si="27"/>
        <v>0</v>
      </c>
      <c r="M150" s="54"/>
      <c r="N150" s="53">
        <f t="shared" si="28"/>
        <v>0</v>
      </c>
      <c r="O150" s="54"/>
      <c r="P150" s="53">
        <f t="shared" si="29"/>
        <v>0</v>
      </c>
      <c r="Q150" s="54"/>
      <c r="R150" s="53">
        <f t="shared" si="30"/>
        <v>0</v>
      </c>
      <c r="S150" s="322">
        <f t="shared" si="24"/>
        <v>0</v>
      </c>
      <c r="T150" s="323">
        <f t="shared" si="25"/>
        <v>0</v>
      </c>
      <c r="U150" s="36"/>
      <c r="V150" s="56"/>
      <c r="W150" s="56"/>
      <c r="X150" s="57"/>
      <c r="Y150" s="58"/>
      <c r="Z150" s="59"/>
      <c r="AA150" s="38"/>
      <c r="AD150" s="40"/>
      <c r="AE150" s="42"/>
      <c r="AF150" s="42"/>
      <c r="AG150" s="2"/>
      <c r="AH150" s="43"/>
      <c r="AI150" s="60"/>
      <c r="AJ150" s="60"/>
      <c r="AK150" s="60"/>
      <c r="AL150" s="70"/>
      <c r="AM150" s="70"/>
      <c r="AN150" s="63"/>
    </row>
    <row r="151" spans="1:40" ht="48.75" customHeight="1" x14ac:dyDescent="0.3">
      <c r="A151" s="44" t="s">
        <v>274</v>
      </c>
      <c r="B151" s="45" t="s">
        <v>275</v>
      </c>
      <c r="C151" s="64" t="s">
        <v>27</v>
      </c>
      <c r="D151" s="188">
        <v>1</v>
      </c>
      <c r="E151" s="189">
        <v>35736.387755471573</v>
      </c>
      <c r="F151" s="67">
        <f t="shared" si="26"/>
        <v>35736.387755471573</v>
      </c>
      <c r="G151" s="74">
        <v>0</v>
      </c>
      <c r="H151" s="75">
        <v>0</v>
      </c>
      <c r="I151" s="52">
        <v>0</v>
      </c>
      <c r="J151" s="53">
        <v>0</v>
      </c>
      <c r="K151" s="54"/>
      <c r="L151" s="53">
        <f t="shared" si="27"/>
        <v>0</v>
      </c>
      <c r="M151" s="54"/>
      <c r="N151" s="53">
        <f t="shared" si="28"/>
        <v>0</v>
      </c>
      <c r="O151" s="54"/>
      <c r="P151" s="53">
        <f t="shared" si="29"/>
        <v>0</v>
      </c>
      <c r="Q151" s="54"/>
      <c r="R151" s="53">
        <f t="shared" si="30"/>
        <v>0</v>
      </c>
      <c r="S151" s="322">
        <f t="shared" si="24"/>
        <v>0</v>
      </c>
      <c r="T151" s="323">
        <f t="shared" si="25"/>
        <v>0</v>
      </c>
      <c r="U151" s="36"/>
      <c r="V151" s="56"/>
      <c r="W151" s="56"/>
      <c r="X151" s="57"/>
      <c r="Y151" s="58"/>
      <c r="Z151" s="59"/>
      <c r="AA151" s="38"/>
      <c r="AD151" s="40"/>
      <c r="AE151" s="42"/>
      <c r="AF151" s="42"/>
      <c r="AG151" s="2"/>
      <c r="AH151" s="43"/>
      <c r="AI151" s="60"/>
      <c r="AJ151" s="60"/>
      <c r="AK151" s="60"/>
      <c r="AL151" s="70"/>
      <c r="AM151" s="70"/>
      <c r="AN151" s="63"/>
    </row>
    <row r="152" spans="1:40" ht="48.75" customHeight="1" x14ac:dyDescent="0.3">
      <c r="A152" s="44" t="s">
        <v>276</v>
      </c>
      <c r="B152" s="45" t="s">
        <v>277</v>
      </c>
      <c r="C152" s="64" t="s">
        <v>21</v>
      </c>
      <c r="D152" s="188">
        <v>1</v>
      </c>
      <c r="E152" s="189">
        <v>130026.6241739425</v>
      </c>
      <c r="F152" s="67">
        <f t="shared" si="26"/>
        <v>130026.6241739425</v>
      </c>
      <c r="G152" s="74">
        <v>0</v>
      </c>
      <c r="H152" s="75">
        <v>0</v>
      </c>
      <c r="I152" s="52">
        <v>9</v>
      </c>
      <c r="J152" s="53">
        <v>1456051.6288653915</v>
      </c>
      <c r="K152" s="54"/>
      <c r="L152" s="53">
        <f t="shared" si="27"/>
        <v>0</v>
      </c>
      <c r="M152" s="54"/>
      <c r="N152" s="53">
        <f t="shared" si="28"/>
        <v>0</v>
      </c>
      <c r="O152" s="54"/>
      <c r="P152" s="53">
        <f t="shared" si="29"/>
        <v>0</v>
      </c>
      <c r="Q152" s="54"/>
      <c r="R152" s="53">
        <f t="shared" si="30"/>
        <v>0</v>
      </c>
      <c r="S152" s="322">
        <f t="shared" si="24"/>
        <v>9</v>
      </c>
      <c r="T152" s="323">
        <f t="shared" si="25"/>
        <v>1456051.6288653915</v>
      </c>
      <c r="U152" s="36"/>
      <c r="V152" s="56"/>
      <c r="W152" s="56"/>
      <c r="X152" s="57"/>
      <c r="Y152" s="58"/>
      <c r="Z152" s="59"/>
      <c r="AA152" s="38"/>
      <c r="AD152" s="40"/>
      <c r="AE152" s="42"/>
      <c r="AF152" s="42"/>
      <c r="AG152" s="2"/>
      <c r="AH152" s="43"/>
      <c r="AI152" s="60"/>
      <c r="AJ152" s="60"/>
      <c r="AK152" s="60"/>
      <c r="AL152" s="70"/>
      <c r="AM152" s="70"/>
      <c r="AN152" s="63"/>
    </row>
    <row r="153" spans="1:40" ht="48.75" customHeight="1" x14ac:dyDescent="0.3">
      <c r="A153" s="44" t="s">
        <v>278</v>
      </c>
      <c r="B153" s="45" t="s">
        <v>279</v>
      </c>
      <c r="C153" s="64" t="s">
        <v>263</v>
      </c>
      <c r="D153" s="188">
        <v>1</v>
      </c>
      <c r="E153" s="189">
        <v>1383072.7897896001</v>
      </c>
      <c r="F153" s="67">
        <f t="shared" si="26"/>
        <v>1383072.7897896001</v>
      </c>
      <c r="G153" s="74">
        <v>3</v>
      </c>
      <c r="H153" s="75">
        <v>403557.2066822066</v>
      </c>
      <c r="I153" s="52">
        <v>0</v>
      </c>
      <c r="J153" s="53">
        <v>0</v>
      </c>
      <c r="K153" s="54"/>
      <c r="L153" s="53">
        <f t="shared" si="27"/>
        <v>0</v>
      </c>
      <c r="M153" s="54"/>
      <c r="N153" s="53">
        <f t="shared" si="28"/>
        <v>0</v>
      </c>
      <c r="O153" s="54"/>
      <c r="P153" s="53">
        <f t="shared" si="29"/>
        <v>0</v>
      </c>
      <c r="Q153" s="54"/>
      <c r="R153" s="53">
        <f t="shared" si="30"/>
        <v>0</v>
      </c>
      <c r="S153" s="322">
        <f t="shared" si="24"/>
        <v>3</v>
      </c>
      <c r="T153" s="323">
        <f t="shared" si="25"/>
        <v>403557.2066822066</v>
      </c>
      <c r="U153" s="36"/>
      <c r="V153" s="56"/>
      <c r="W153" s="56"/>
      <c r="X153" s="57"/>
      <c r="Y153" s="58"/>
      <c r="Z153" s="59"/>
      <c r="AA153" s="38"/>
      <c r="AD153" s="40"/>
      <c r="AE153" s="42"/>
      <c r="AF153" s="42"/>
      <c r="AG153" s="2"/>
      <c r="AH153" s="43"/>
      <c r="AI153" s="60"/>
      <c r="AJ153" s="60"/>
      <c r="AK153" s="60"/>
      <c r="AL153" s="70"/>
      <c r="AM153" s="70"/>
      <c r="AN153" s="63"/>
    </row>
    <row r="154" spans="1:40" ht="48.75" customHeight="1" x14ac:dyDescent="0.3">
      <c r="A154" s="44" t="s">
        <v>280</v>
      </c>
      <c r="B154" s="45" t="s">
        <v>281</v>
      </c>
      <c r="C154" s="64" t="s">
        <v>263</v>
      </c>
      <c r="D154" s="188">
        <v>1</v>
      </c>
      <c r="E154" s="189">
        <v>1325482.8330744</v>
      </c>
      <c r="F154" s="67">
        <f t="shared" si="26"/>
        <v>1325482.8330744</v>
      </c>
      <c r="G154" s="74">
        <v>0</v>
      </c>
      <c r="H154" s="75">
        <v>0</v>
      </c>
      <c r="I154" s="52">
        <v>0</v>
      </c>
      <c r="J154" s="53">
        <v>0</v>
      </c>
      <c r="K154" s="54"/>
      <c r="L154" s="53">
        <f t="shared" si="27"/>
        <v>0</v>
      </c>
      <c r="M154" s="54"/>
      <c r="N154" s="53">
        <f t="shared" si="28"/>
        <v>0</v>
      </c>
      <c r="O154" s="54"/>
      <c r="P154" s="53">
        <f t="shared" si="29"/>
        <v>0</v>
      </c>
      <c r="Q154" s="54"/>
      <c r="R154" s="53">
        <f t="shared" si="30"/>
        <v>0</v>
      </c>
      <c r="S154" s="322">
        <f t="shared" si="24"/>
        <v>0</v>
      </c>
      <c r="T154" s="323">
        <f t="shared" si="25"/>
        <v>0</v>
      </c>
      <c r="U154" s="36"/>
      <c r="V154" s="56"/>
      <c r="W154" s="56"/>
      <c r="X154" s="57"/>
      <c r="Y154" s="58"/>
      <c r="Z154" s="59"/>
      <c r="AA154" s="38"/>
      <c r="AD154" s="40"/>
      <c r="AE154" s="42"/>
      <c r="AF154" s="42"/>
      <c r="AG154" s="2"/>
      <c r="AH154" s="43"/>
      <c r="AI154" s="60"/>
      <c r="AJ154" s="60"/>
      <c r="AK154" s="60"/>
      <c r="AL154" s="70"/>
      <c r="AM154" s="70"/>
      <c r="AN154" s="63"/>
    </row>
    <row r="155" spans="1:40" ht="48.75" customHeight="1" x14ac:dyDescent="0.3">
      <c r="A155" s="44" t="s">
        <v>282</v>
      </c>
      <c r="B155" s="45" t="s">
        <v>283</v>
      </c>
      <c r="C155" s="64" t="s">
        <v>27</v>
      </c>
      <c r="D155" s="188">
        <v>1</v>
      </c>
      <c r="E155" s="189">
        <v>1170341.3030400001</v>
      </c>
      <c r="F155" s="67">
        <f t="shared" si="26"/>
        <v>1170341.3030400001</v>
      </c>
      <c r="G155" s="74">
        <v>0</v>
      </c>
      <c r="H155" s="75">
        <v>0</v>
      </c>
      <c r="I155" s="52">
        <v>0</v>
      </c>
      <c r="J155" s="53">
        <v>0</v>
      </c>
      <c r="K155" s="54"/>
      <c r="L155" s="53">
        <f t="shared" si="27"/>
        <v>0</v>
      </c>
      <c r="M155" s="54"/>
      <c r="N155" s="53">
        <f t="shared" si="28"/>
        <v>0</v>
      </c>
      <c r="O155" s="54"/>
      <c r="P155" s="53">
        <f t="shared" si="29"/>
        <v>0</v>
      </c>
      <c r="Q155" s="54"/>
      <c r="R155" s="53">
        <f t="shared" si="30"/>
        <v>0</v>
      </c>
      <c r="S155" s="322">
        <f t="shared" si="24"/>
        <v>0</v>
      </c>
      <c r="T155" s="323">
        <f t="shared" si="25"/>
        <v>0</v>
      </c>
      <c r="U155" s="36"/>
      <c r="V155" s="56"/>
      <c r="W155" s="56"/>
      <c r="X155" s="57"/>
      <c r="Y155" s="58"/>
      <c r="Z155" s="59"/>
      <c r="AA155" s="38"/>
      <c r="AD155" s="40"/>
      <c r="AE155" s="42"/>
      <c r="AF155" s="42"/>
      <c r="AG155" s="2"/>
      <c r="AH155" s="43"/>
      <c r="AI155" s="60"/>
      <c r="AJ155" s="60"/>
      <c r="AK155" s="60"/>
      <c r="AL155" s="70"/>
      <c r="AM155" s="70"/>
      <c r="AN155" s="63"/>
    </row>
    <row r="156" spans="1:40" ht="48.75" customHeight="1" x14ac:dyDescent="0.3">
      <c r="A156" s="44" t="s">
        <v>284</v>
      </c>
      <c r="B156" s="45" t="s">
        <v>285</v>
      </c>
      <c r="C156" s="64" t="s">
        <v>27</v>
      </c>
      <c r="D156" s="188">
        <v>1</v>
      </c>
      <c r="E156" s="189">
        <v>2819115.67392</v>
      </c>
      <c r="F156" s="67">
        <f t="shared" si="26"/>
        <v>2819115.67392</v>
      </c>
      <c r="G156" s="74">
        <v>0</v>
      </c>
      <c r="H156" s="75">
        <v>0</v>
      </c>
      <c r="I156" s="52">
        <v>0</v>
      </c>
      <c r="J156" s="53">
        <v>0</v>
      </c>
      <c r="K156" s="54"/>
      <c r="L156" s="53">
        <f t="shared" si="27"/>
        <v>0</v>
      </c>
      <c r="M156" s="54"/>
      <c r="N156" s="53">
        <f t="shared" si="28"/>
        <v>0</v>
      </c>
      <c r="O156" s="54"/>
      <c r="P156" s="53">
        <f t="shared" si="29"/>
        <v>0</v>
      </c>
      <c r="Q156" s="54"/>
      <c r="R156" s="53">
        <f t="shared" si="30"/>
        <v>0</v>
      </c>
      <c r="S156" s="322">
        <f t="shared" si="24"/>
        <v>0</v>
      </c>
      <c r="T156" s="323">
        <f t="shared" si="25"/>
        <v>0</v>
      </c>
      <c r="U156" s="36"/>
      <c r="V156" s="56"/>
      <c r="W156" s="56"/>
      <c r="X156" s="57"/>
      <c r="Y156" s="58"/>
      <c r="Z156" s="59"/>
      <c r="AA156" s="38"/>
      <c r="AD156" s="40"/>
      <c r="AE156" s="42"/>
      <c r="AF156" s="42"/>
      <c r="AG156" s="2"/>
      <c r="AH156" s="43"/>
      <c r="AI156" s="60"/>
      <c r="AJ156" s="60"/>
      <c r="AK156" s="60"/>
      <c r="AL156" s="70"/>
      <c r="AM156" s="70"/>
      <c r="AN156" s="63"/>
    </row>
    <row r="157" spans="1:40" ht="48.75" customHeight="1" x14ac:dyDescent="0.3">
      <c r="A157" s="44" t="s">
        <v>286</v>
      </c>
      <c r="B157" s="45" t="s">
        <v>287</v>
      </c>
      <c r="C157" s="64" t="s">
        <v>21</v>
      </c>
      <c r="D157" s="188">
        <v>1</v>
      </c>
      <c r="E157" s="189">
        <v>327384.33</v>
      </c>
      <c r="F157" s="67">
        <f t="shared" si="26"/>
        <v>327384.33</v>
      </c>
      <c r="G157" s="74">
        <v>0</v>
      </c>
      <c r="H157" s="75">
        <v>0</v>
      </c>
      <c r="I157" s="52">
        <v>0</v>
      </c>
      <c r="J157" s="53">
        <v>0</v>
      </c>
      <c r="K157" s="54"/>
      <c r="L157" s="53">
        <f t="shared" si="27"/>
        <v>0</v>
      </c>
      <c r="M157" s="54"/>
      <c r="N157" s="53">
        <f t="shared" si="28"/>
        <v>0</v>
      </c>
      <c r="O157" s="54"/>
      <c r="P157" s="53">
        <f t="shared" si="29"/>
        <v>0</v>
      </c>
      <c r="Q157" s="54"/>
      <c r="R157" s="53">
        <f t="shared" si="30"/>
        <v>0</v>
      </c>
      <c r="S157" s="322">
        <f t="shared" si="24"/>
        <v>0</v>
      </c>
      <c r="T157" s="323">
        <f t="shared" si="25"/>
        <v>0</v>
      </c>
      <c r="U157" s="36"/>
      <c r="V157" s="56"/>
      <c r="W157" s="56"/>
      <c r="X157" s="57"/>
      <c r="Y157" s="58"/>
      <c r="Z157" s="59"/>
      <c r="AA157" s="38"/>
      <c r="AD157" s="40"/>
      <c r="AE157" s="42"/>
      <c r="AF157" s="42"/>
      <c r="AG157" s="2"/>
      <c r="AH157" s="43"/>
      <c r="AI157" s="60"/>
      <c r="AJ157" s="60"/>
      <c r="AK157" s="60"/>
      <c r="AL157" s="70"/>
      <c r="AM157" s="70"/>
      <c r="AN157" s="63"/>
    </row>
    <row r="158" spans="1:40" ht="48.75" customHeight="1" thickBot="1" x14ac:dyDescent="0.35">
      <c r="A158" s="44" t="s">
        <v>288</v>
      </c>
      <c r="B158" s="45" t="s">
        <v>289</v>
      </c>
      <c r="C158" s="64" t="s">
        <v>21</v>
      </c>
      <c r="D158" s="193">
        <v>1</v>
      </c>
      <c r="E158" s="194">
        <v>466993.80000000005</v>
      </c>
      <c r="F158" s="195">
        <f t="shared" si="26"/>
        <v>466993.80000000005</v>
      </c>
      <c r="G158" s="74">
        <v>0</v>
      </c>
      <c r="H158" s="75">
        <v>0</v>
      </c>
      <c r="I158" s="52">
        <v>0</v>
      </c>
      <c r="J158" s="53">
        <v>0</v>
      </c>
      <c r="K158" s="54"/>
      <c r="L158" s="53">
        <f t="shared" si="27"/>
        <v>0</v>
      </c>
      <c r="M158" s="54"/>
      <c r="N158" s="53">
        <f t="shared" si="28"/>
        <v>0</v>
      </c>
      <c r="O158" s="54"/>
      <c r="P158" s="53">
        <f t="shared" si="29"/>
        <v>0</v>
      </c>
      <c r="Q158" s="54"/>
      <c r="R158" s="53">
        <f t="shared" si="30"/>
        <v>0</v>
      </c>
      <c r="S158" s="322">
        <f t="shared" si="24"/>
        <v>0</v>
      </c>
      <c r="T158" s="323">
        <f t="shared" si="25"/>
        <v>0</v>
      </c>
      <c r="U158" s="36"/>
      <c r="V158" s="56"/>
      <c r="W158" s="56"/>
      <c r="X158" s="57"/>
      <c r="Y158" s="58"/>
      <c r="Z158" s="59"/>
      <c r="AA158" s="38"/>
      <c r="AD158" s="40"/>
      <c r="AE158" s="42"/>
      <c r="AF158" s="42"/>
      <c r="AG158" s="2"/>
      <c r="AH158" s="43"/>
      <c r="AI158" s="60"/>
      <c r="AJ158" s="60"/>
      <c r="AK158" s="60"/>
      <c r="AL158" s="70"/>
      <c r="AM158" s="70"/>
      <c r="AN158" s="63"/>
    </row>
    <row r="159" spans="1:40" ht="48.75" customHeight="1" thickTop="1" x14ac:dyDescent="0.3">
      <c r="A159" s="44">
        <v>5.35</v>
      </c>
      <c r="B159" s="45" t="s">
        <v>290</v>
      </c>
      <c r="C159" s="64" t="s">
        <v>27</v>
      </c>
      <c r="D159" s="191">
        <v>1</v>
      </c>
      <c r="E159" s="192">
        <v>87538.354047619054</v>
      </c>
      <c r="F159" s="181"/>
      <c r="G159" s="74">
        <v>0</v>
      </c>
      <c r="H159" s="75">
        <v>0</v>
      </c>
      <c r="I159" s="52">
        <v>0</v>
      </c>
      <c r="J159" s="53">
        <v>0</v>
      </c>
      <c r="K159" s="54"/>
      <c r="L159" s="53"/>
      <c r="M159" s="54"/>
      <c r="N159" s="53"/>
      <c r="O159" s="54"/>
      <c r="P159" s="53"/>
      <c r="Q159" s="54"/>
      <c r="R159" s="53"/>
      <c r="S159" s="322">
        <f t="shared" si="24"/>
        <v>0</v>
      </c>
      <c r="T159" s="323">
        <f t="shared" si="25"/>
        <v>0</v>
      </c>
      <c r="U159" s="36"/>
      <c r="V159" s="56"/>
      <c r="W159" s="56"/>
      <c r="X159" s="57"/>
      <c r="Y159" s="58"/>
      <c r="Z159" s="59"/>
      <c r="AA159" s="38"/>
      <c r="AD159" s="40"/>
      <c r="AE159" s="42"/>
      <c r="AF159" s="42"/>
      <c r="AG159" s="2"/>
      <c r="AH159" s="43"/>
      <c r="AI159" s="60"/>
      <c r="AJ159" s="60"/>
      <c r="AK159" s="60"/>
      <c r="AL159" s="70"/>
      <c r="AM159" s="70"/>
      <c r="AN159" s="63"/>
    </row>
    <row r="160" spans="1:40" ht="48.75" customHeight="1" x14ac:dyDescent="0.3">
      <c r="A160" s="44">
        <v>5.36</v>
      </c>
      <c r="B160" s="45" t="s">
        <v>291</v>
      </c>
      <c r="C160" s="64" t="s">
        <v>27</v>
      </c>
      <c r="D160" s="191">
        <v>1</v>
      </c>
      <c r="E160" s="192">
        <v>110767.99954545454</v>
      </c>
      <c r="F160" s="181"/>
      <c r="G160" s="74">
        <v>0</v>
      </c>
      <c r="H160" s="75">
        <v>0</v>
      </c>
      <c r="I160" s="52">
        <v>0</v>
      </c>
      <c r="J160" s="53">
        <v>0</v>
      </c>
      <c r="K160" s="54"/>
      <c r="L160" s="53"/>
      <c r="M160" s="54"/>
      <c r="N160" s="53"/>
      <c r="O160" s="54"/>
      <c r="P160" s="53"/>
      <c r="Q160" s="54"/>
      <c r="R160" s="53"/>
      <c r="S160" s="322">
        <f t="shared" si="24"/>
        <v>0</v>
      </c>
      <c r="T160" s="323">
        <f t="shared" si="25"/>
        <v>0</v>
      </c>
      <c r="U160" s="36"/>
      <c r="V160" s="56"/>
      <c r="W160" s="56"/>
      <c r="X160" s="57"/>
      <c r="Y160" s="58"/>
      <c r="Z160" s="59"/>
      <c r="AA160" s="38"/>
      <c r="AD160" s="40"/>
      <c r="AE160" s="42"/>
      <c r="AF160" s="42"/>
      <c r="AG160" s="2"/>
      <c r="AH160" s="43"/>
      <c r="AI160" s="60"/>
      <c r="AJ160" s="60"/>
      <c r="AK160" s="60"/>
      <c r="AL160" s="70"/>
      <c r="AM160" s="70"/>
      <c r="AN160" s="63"/>
    </row>
    <row r="161" spans="1:40" ht="48.75" customHeight="1" x14ac:dyDescent="0.3">
      <c r="A161" s="44">
        <v>5.37</v>
      </c>
      <c r="B161" s="45" t="s">
        <v>292</v>
      </c>
      <c r="C161" s="64" t="s">
        <v>27</v>
      </c>
      <c r="D161" s="191">
        <v>1</v>
      </c>
      <c r="E161" s="192">
        <v>53395.932577639753</v>
      </c>
      <c r="F161" s="181"/>
      <c r="G161" s="74">
        <v>0</v>
      </c>
      <c r="H161" s="75">
        <v>0</v>
      </c>
      <c r="I161" s="52">
        <v>0</v>
      </c>
      <c r="J161" s="53">
        <v>0</v>
      </c>
      <c r="K161" s="54"/>
      <c r="L161" s="53"/>
      <c r="M161" s="54"/>
      <c r="N161" s="53"/>
      <c r="O161" s="54"/>
      <c r="P161" s="53"/>
      <c r="Q161" s="54"/>
      <c r="R161" s="53"/>
      <c r="S161" s="322">
        <f t="shared" si="24"/>
        <v>0</v>
      </c>
      <c r="T161" s="323">
        <f t="shared" si="25"/>
        <v>0</v>
      </c>
      <c r="U161" s="36"/>
      <c r="V161" s="56"/>
      <c r="W161" s="56"/>
      <c r="X161" s="57"/>
      <c r="Y161" s="58"/>
      <c r="Z161" s="59"/>
      <c r="AA161" s="38"/>
      <c r="AD161" s="40"/>
      <c r="AE161" s="42"/>
      <c r="AF161" s="42"/>
      <c r="AG161" s="2"/>
      <c r="AH161" s="43"/>
      <c r="AI161" s="60"/>
      <c r="AJ161" s="60"/>
      <c r="AK161" s="60"/>
      <c r="AL161" s="70"/>
      <c r="AM161" s="70"/>
      <c r="AN161" s="63"/>
    </row>
    <row r="162" spans="1:40" ht="48.75" customHeight="1" x14ac:dyDescent="0.3">
      <c r="A162" s="44">
        <v>5.38</v>
      </c>
      <c r="B162" s="45" t="s">
        <v>293</v>
      </c>
      <c r="C162" s="64" t="s">
        <v>27</v>
      </c>
      <c r="D162" s="191">
        <v>1</v>
      </c>
      <c r="E162" s="192">
        <v>71269.826777639755</v>
      </c>
      <c r="F162" s="181"/>
      <c r="G162" s="74">
        <v>0</v>
      </c>
      <c r="H162" s="75">
        <v>0</v>
      </c>
      <c r="I162" s="52">
        <v>0</v>
      </c>
      <c r="J162" s="53">
        <v>0</v>
      </c>
      <c r="K162" s="54"/>
      <c r="L162" s="53"/>
      <c r="M162" s="54"/>
      <c r="N162" s="53"/>
      <c r="O162" s="54"/>
      <c r="P162" s="53"/>
      <c r="Q162" s="54"/>
      <c r="R162" s="53"/>
      <c r="S162" s="322">
        <f t="shared" si="24"/>
        <v>0</v>
      </c>
      <c r="T162" s="323">
        <f t="shared" si="25"/>
        <v>0</v>
      </c>
      <c r="U162" s="36"/>
      <c r="V162" s="56"/>
      <c r="W162" s="56"/>
      <c r="X162" s="57"/>
      <c r="Y162" s="58"/>
      <c r="Z162" s="59"/>
      <c r="AA162" s="38"/>
      <c r="AD162" s="40"/>
      <c r="AE162" s="42"/>
      <c r="AF162" s="42"/>
      <c r="AG162" s="2"/>
      <c r="AH162" s="43"/>
      <c r="AI162" s="60"/>
      <c r="AJ162" s="60"/>
      <c r="AK162" s="60"/>
      <c r="AL162" s="70"/>
      <c r="AM162" s="70"/>
      <c r="AN162" s="63"/>
    </row>
    <row r="163" spans="1:40" ht="48.75" customHeight="1" x14ac:dyDescent="0.3">
      <c r="A163" s="44">
        <v>5.39</v>
      </c>
      <c r="B163" s="45" t="s">
        <v>294</v>
      </c>
      <c r="C163" s="64" t="s">
        <v>27</v>
      </c>
      <c r="D163" s="191">
        <v>1</v>
      </c>
      <c r="E163" s="192">
        <v>304973.78833333333</v>
      </c>
      <c r="F163" s="181"/>
      <c r="G163" s="74">
        <v>0</v>
      </c>
      <c r="H163" s="75">
        <v>0</v>
      </c>
      <c r="I163" s="52">
        <v>0</v>
      </c>
      <c r="J163" s="53">
        <v>0</v>
      </c>
      <c r="K163" s="54"/>
      <c r="L163" s="53"/>
      <c r="M163" s="54"/>
      <c r="N163" s="53"/>
      <c r="O163" s="54"/>
      <c r="P163" s="53"/>
      <c r="Q163" s="54"/>
      <c r="R163" s="53"/>
      <c r="S163" s="322">
        <f t="shared" si="24"/>
        <v>0</v>
      </c>
      <c r="T163" s="323">
        <f t="shared" si="25"/>
        <v>0</v>
      </c>
      <c r="U163" s="36"/>
      <c r="V163" s="56"/>
      <c r="W163" s="56"/>
      <c r="X163" s="57"/>
      <c r="Y163" s="58"/>
      <c r="Z163" s="59"/>
      <c r="AA163" s="38"/>
      <c r="AD163" s="40"/>
      <c r="AE163" s="42"/>
      <c r="AF163" s="42"/>
      <c r="AG163" s="2"/>
      <c r="AH163" s="43"/>
      <c r="AI163" s="60"/>
      <c r="AJ163" s="60"/>
      <c r="AK163" s="60"/>
      <c r="AL163" s="70"/>
      <c r="AM163" s="70"/>
      <c r="AN163" s="63"/>
    </row>
    <row r="164" spans="1:40" ht="48.75" customHeight="1" x14ac:dyDescent="0.3">
      <c r="A164" s="44">
        <v>5.4</v>
      </c>
      <c r="B164" s="45" t="s">
        <v>295</v>
      </c>
      <c r="C164" s="64" t="s">
        <v>27</v>
      </c>
      <c r="D164" s="191">
        <v>1</v>
      </c>
      <c r="E164" s="192">
        <v>140827.78563492064</v>
      </c>
      <c r="F164" s="181"/>
      <c r="G164" s="74">
        <v>0</v>
      </c>
      <c r="H164" s="75">
        <v>0</v>
      </c>
      <c r="I164" s="52">
        <v>0</v>
      </c>
      <c r="J164" s="53">
        <v>0</v>
      </c>
      <c r="K164" s="54"/>
      <c r="L164" s="53"/>
      <c r="M164" s="54"/>
      <c r="N164" s="53"/>
      <c r="O164" s="54"/>
      <c r="P164" s="53"/>
      <c r="Q164" s="54"/>
      <c r="R164" s="53"/>
      <c r="S164" s="322">
        <f t="shared" si="24"/>
        <v>0</v>
      </c>
      <c r="T164" s="323">
        <f t="shared" si="25"/>
        <v>0</v>
      </c>
      <c r="U164" s="36"/>
      <c r="V164" s="56"/>
      <c r="W164" s="56"/>
      <c r="X164" s="57"/>
      <c r="Y164" s="58"/>
      <c r="Z164" s="59"/>
      <c r="AA164" s="38"/>
      <c r="AD164" s="40"/>
      <c r="AE164" s="42"/>
      <c r="AF164" s="42"/>
      <c r="AG164" s="2"/>
      <c r="AH164" s="43"/>
      <c r="AI164" s="60"/>
      <c r="AJ164" s="60"/>
      <c r="AK164" s="60"/>
      <c r="AL164" s="70"/>
      <c r="AM164" s="70"/>
      <c r="AN164" s="63"/>
    </row>
    <row r="165" spans="1:40" ht="48.75" customHeight="1" x14ac:dyDescent="0.3">
      <c r="A165" s="44">
        <v>5.41</v>
      </c>
      <c r="B165" s="45" t="s">
        <v>296</v>
      </c>
      <c r="C165" s="64" t="s">
        <v>27</v>
      </c>
      <c r="D165" s="191">
        <v>1</v>
      </c>
      <c r="E165" s="192">
        <v>66199.251285714286</v>
      </c>
      <c r="F165" s="181"/>
      <c r="G165" s="74">
        <v>0</v>
      </c>
      <c r="H165" s="75">
        <v>0</v>
      </c>
      <c r="I165" s="52">
        <v>0</v>
      </c>
      <c r="J165" s="53">
        <v>0</v>
      </c>
      <c r="K165" s="54"/>
      <c r="L165" s="53"/>
      <c r="M165" s="54"/>
      <c r="N165" s="53"/>
      <c r="O165" s="54"/>
      <c r="P165" s="53"/>
      <c r="Q165" s="54"/>
      <c r="R165" s="53"/>
      <c r="S165" s="322">
        <f t="shared" si="24"/>
        <v>0</v>
      </c>
      <c r="T165" s="323">
        <f t="shared" si="25"/>
        <v>0</v>
      </c>
      <c r="U165" s="36"/>
      <c r="V165" s="56"/>
      <c r="W165" s="56"/>
      <c r="X165" s="57"/>
      <c r="Y165" s="58"/>
      <c r="Z165" s="59"/>
      <c r="AA165" s="38"/>
      <c r="AD165" s="40"/>
      <c r="AE165" s="42"/>
      <c r="AF165" s="42"/>
      <c r="AG165" s="2"/>
      <c r="AH165" s="43"/>
      <c r="AI165" s="60"/>
      <c r="AJ165" s="60"/>
      <c r="AK165" s="60"/>
      <c r="AL165" s="70"/>
      <c r="AM165" s="70"/>
      <c r="AN165" s="63"/>
    </row>
    <row r="166" spans="1:40" ht="48.75" customHeight="1" x14ac:dyDescent="0.3">
      <c r="A166" s="44">
        <v>5.42</v>
      </c>
      <c r="B166" s="45" t="s">
        <v>297</v>
      </c>
      <c r="C166" s="64" t="s">
        <v>21</v>
      </c>
      <c r="D166" s="191">
        <v>1</v>
      </c>
      <c r="E166" s="192">
        <v>76239.936619365602</v>
      </c>
      <c r="F166" s="181"/>
      <c r="G166" s="74">
        <v>0</v>
      </c>
      <c r="H166" s="75">
        <v>0</v>
      </c>
      <c r="I166" s="52">
        <v>0</v>
      </c>
      <c r="J166" s="53">
        <v>0</v>
      </c>
      <c r="K166" s="54"/>
      <c r="L166" s="53"/>
      <c r="M166" s="54"/>
      <c r="N166" s="53"/>
      <c r="O166" s="54"/>
      <c r="P166" s="53"/>
      <c r="Q166" s="54"/>
      <c r="R166" s="53"/>
      <c r="S166" s="322">
        <f t="shared" si="24"/>
        <v>0</v>
      </c>
      <c r="T166" s="323">
        <f t="shared" si="25"/>
        <v>0</v>
      </c>
      <c r="U166" s="36"/>
      <c r="V166" s="56"/>
      <c r="W166" s="56"/>
      <c r="X166" s="57"/>
      <c r="Y166" s="58"/>
      <c r="Z166" s="59"/>
      <c r="AA166" s="38"/>
      <c r="AD166" s="40"/>
      <c r="AE166" s="42"/>
      <c r="AF166" s="42"/>
      <c r="AG166" s="2"/>
      <c r="AH166" s="43"/>
      <c r="AI166" s="60"/>
      <c r="AJ166" s="60"/>
      <c r="AK166" s="60"/>
      <c r="AL166" s="70"/>
      <c r="AM166" s="70"/>
      <c r="AN166" s="63"/>
    </row>
    <row r="167" spans="1:40" ht="48.75" customHeight="1" x14ac:dyDescent="0.3">
      <c r="A167" s="44">
        <v>5.43</v>
      </c>
      <c r="B167" s="45" t="s">
        <v>298</v>
      </c>
      <c r="C167" s="64" t="s">
        <v>21</v>
      </c>
      <c r="D167" s="191">
        <v>1</v>
      </c>
      <c r="E167" s="192">
        <v>87852.908653846156</v>
      </c>
      <c r="F167" s="181"/>
      <c r="G167" s="74">
        <v>0</v>
      </c>
      <c r="H167" s="75">
        <v>0</v>
      </c>
      <c r="I167" s="52">
        <v>0</v>
      </c>
      <c r="J167" s="53">
        <v>0</v>
      </c>
      <c r="K167" s="54"/>
      <c r="L167" s="53"/>
      <c r="M167" s="54"/>
      <c r="N167" s="53"/>
      <c r="O167" s="54"/>
      <c r="P167" s="53"/>
      <c r="Q167" s="54"/>
      <c r="R167" s="53"/>
      <c r="S167" s="322">
        <f t="shared" si="24"/>
        <v>0</v>
      </c>
      <c r="T167" s="323">
        <f t="shared" si="25"/>
        <v>0</v>
      </c>
      <c r="U167" s="36"/>
      <c r="V167" s="56"/>
      <c r="W167" s="56"/>
      <c r="X167" s="57"/>
      <c r="Y167" s="58"/>
      <c r="Z167" s="59"/>
      <c r="AA167" s="38"/>
      <c r="AD167" s="40"/>
      <c r="AE167" s="42"/>
      <c r="AF167" s="42"/>
      <c r="AG167" s="2"/>
      <c r="AH167" s="43"/>
      <c r="AI167" s="60"/>
      <c r="AJ167" s="60"/>
      <c r="AK167" s="60"/>
      <c r="AL167" s="70"/>
      <c r="AM167" s="70"/>
      <c r="AN167" s="63"/>
    </row>
    <row r="168" spans="1:40" ht="48.75" customHeight="1" x14ac:dyDescent="0.3">
      <c r="A168" s="44" t="s">
        <v>107</v>
      </c>
      <c r="B168" s="45" t="s">
        <v>299</v>
      </c>
      <c r="C168" s="64" t="s">
        <v>230</v>
      </c>
      <c r="D168" s="191">
        <v>1</v>
      </c>
      <c r="E168" s="192">
        <v>16319.190999999999</v>
      </c>
      <c r="F168" s="181"/>
      <c r="G168" s="74">
        <v>65</v>
      </c>
      <c r="H168" s="75">
        <v>5925799.5489652501</v>
      </c>
      <c r="I168" s="52">
        <v>135</v>
      </c>
      <c r="J168" s="53">
        <v>2865000.5913805235</v>
      </c>
      <c r="K168" s="54"/>
      <c r="L168" s="53"/>
      <c r="M168" s="54"/>
      <c r="N168" s="53"/>
      <c r="O168" s="54"/>
      <c r="P168" s="53"/>
      <c r="Q168" s="54"/>
      <c r="R168" s="53"/>
      <c r="S168" s="322">
        <f t="shared" si="24"/>
        <v>200</v>
      </c>
      <c r="T168" s="323">
        <f t="shared" si="25"/>
        <v>8790800.1403457746</v>
      </c>
      <c r="U168" s="36"/>
      <c r="V168" s="56"/>
      <c r="W168" s="56"/>
      <c r="X168" s="57"/>
      <c r="Y168" s="58"/>
      <c r="Z168" s="59"/>
      <c r="AA168" s="38"/>
      <c r="AD168" s="40"/>
      <c r="AE168" s="42"/>
      <c r="AF168" s="42"/>
      <c r="AG168" s="2"/>
      <c r="AH168" s="43"/>
      <c r="AI168" s="60"/>
      <c r="AJ168" s="60"/>
      <c r="AK168" s="60"/>
      <c r="AL168" s="70"/>
      <c r="AM168" s="70"/>
      <c r="AN168" s="63"/>
    </row>
    <row r="169" spans="1:40" ht="48.75" customHeight="1" x14ac:dyDescent="0.3">
      <c r="A169" s="44" t="s">
        <v>107</v>
      </c>
      <c r="B169" s="45" t="s">
        <v>300</v>
      </c>
      <c r="C169" s="64" t="s">
        <v>27</v>
      </c>
      <c r="D169" s="191">
        <v>1</v>
      </c>
      <c r="E169" s="192">
        <v>93870.517727272731</v>
      </c>
      <c r="F169" s="181"/>
      <c r="G169" s="74">
        <v>0</v>
      </c>
      <c r="H169" s="75">
        <v>0</v>
      </c>
      <c r="I169" s="52">
        <v>52</v>
      </c>
      <c r="J169" s="53">
        <v>5787002.3459895412</v>
      </c>
      <c r="K169" s="54"/>
      <c r="L169" s="53"/>
      <c r="M169" s="54"/>
      <c r="N169" s="53"/>
      <c r="O169" s="54"/>
      <c r="P169" s="53"/>
      <c r="Q169" s="54"/>
      <c r="R169" s="53"/>
      <c r="S169" s="322">
        <f t="shared" si="24"/>
        <v>52</v>
      </c>
      <c r="T169" s="323">
        <f t="shared" si="25"/>
        <v>5787002.3459895412</v>
      </c>
      <c r="U169" s="36"/>
      <c r="V169" s="56"/>
      <c r="W169" s="56"/>
      <c r="X169" s="57"/>
      <c r="Y169" s="58"/>
      <c r="Z169" s="59"/>
      <c r="AA169" s="38"/>
      <c r="AD169" s="40"/>
      <c r="AE169" s="42"/>
      <c r="AF169" s="42"/>
      <c r="AG169" s="2"/>
      <c r="AH169" s="43"/>
      <c r="AI169" s="60"/>
      <c r="AJ169" s="60"/>
      <c r="AK169" s="60"/>
      <c r="AL169" s="70"/>
      <c r="AM169" s="70"/>
      <c r="AN169" s="63"/>
    </row>
    <row r="170" spans="1:40" ht="48.75" customHeight="1" x14ac:dyDescent="0.3">
      <c r="A170" s="44">
        <v>5.44</v>
      </c>
      <c r="B170" s="45" t="s">
        <v>301</v>
      </c>
      <c r="C170" s="64" t="s">
        <v>21</v>
      </c>
      <c r="D170" s="191">
        <v>1</v>
      </c>
      <c r="E170" s="192">
        <v>118215.62471428572</v>
      </c>
      <c r="F170" s="181"/>
      <c r="G170" s="74">
        <v>0</v>
      </c>
      <c r="H170" s="75">
        <v>0</v>
      </c>
      <c r="I170" s="52"/>
      <c r="J170" s="53"/>
      <c r="K170" s="54"/>
      <c r="L170" s="53"/>
      <c r="M170" s="54"/>
      <c r="N170" s="53"/>
      <c r="O170" s="54"/>
      <c r="P170" s="53"/>
      <c r="Q170" s="54"/>
      <c r="R170" s="53"/>
      <c r="S170" s="322">
        <f t="shared" si="24"/>
        <v>0</v>
      </c>
      <c r="T170" s="323">
        <f t="shared" si="25"/>
        <v>0</v>
      </c>
      <c r="U170" s="36"/>
      <c r="V170" s="56"/>
      <c r="W170" s="56"/>
      <c r="X170" s="57"/>
      <c r="Y170" s="58"/>
      <c r="Z170" s="59"/>
      <c r="AA170" s="38"/>
      <c r="AD170" s="40"/>
      <c r="AE170" s="42"/>
      <c r="AF170" s="42"/>
      <c r="AG170" s="2"/>
      <c r="AH170" s="43"/>
      <c r="AI170" s="60"/>
      <c r="AJ170" s="60"/>
      <c r="AK170" s="60"/>
      <c r="AL170" s="70"/>
      <c r="AM170" s="70"/>
      <c r="AN170" s="63"/>
    </row>
    <row r="171" spans="1:40" ht="48.75" customHeight="1" x14ac:dyDescent="0.3">
      <c r="A171" s="44" t="s">
        <v>302</v>
      </c>
      <c r="B171" s="45" t="s">
        <v>303</v>
      </c>
      <c r="C171" s="64" t="s">
        <v>304</v>
      </c>
      <c r="D171" s="191">
        <v>1</v>
      </c>
      <c r="E171" s="192">
        <v>86718.450000000012</v>
      </c>
      <c r="F171" s="181"/>
      <c r="G171" s="74">
        <v>0</v>
      </c>
      <c r="H171" s="75">
        <v>0</v>
      </c>
      <c r="I171" s="52">
        <v>0</v>
      </c>
      <c r="J171" s="53">
        <v>0</v>
      </c>
      <c r="K171" s="54"/>
      <c r="L171" s="53"/>
      <c r="M171" s="54"/>
      <c r="N171" s="53"/>
      <c r="O171" s="54"/>
      <c r="P171" s="53"/>
      <c r="Q171" s="54"/>
      <c r="R171" s="53"/>
      <c r="S171" s="322">
        <f t="shared" si="24"/>
        <v>0</v>
      </c>
      <c r="T171" s="323">
        <f t="shared" si="25"/>
        <v>0</v>
      </c>
      <c r="U171" s="36"/>
      <c r="V171" s="56"/>
      <c r="W171" s="56"/>
      <c r="X171" s="57"/>
      <c r="Y171" s="58"/>
      <c r="Z171" s="59"/>
      <c r="AA171" s="38"/>
      <c r="AD171" s="40"/>
      <c r="AE171" s="42"/>
      <c r="AF171" s="42"/>
      <c r="AG171" s="2"/>
      <c r="AH171" s="43"/>
      <c r="AI171" s="60"/>
      <c r="AJ171" s="60"/>
      <c r="AK171" s="60"/>
      <c r="AL171" s="70"/>
      <c r="AM171" s="70"/>
      <c r="AN171" s="63"/>
    </row>
    <row r="172" spans="1:40" ht="48.75" customHeight="1" x14ac:dyDescent="0.3">
      <c r="A172" s="44" t="s">
        <v>305</v>
      </c>
      <c r="B172" s="45" t="s">
        <v>306</v>
      </c>
      <c r="C172" s="64" t="s">
        <v>304</v>
      </c>
      <c r="D172" s="191">
        <v>1</v>
      </c>
      <c r="E172" s="192">
        <v>86718.450000000012</v>
      </c>
      <c r="F172" s="181"/>
      <c r="G172" s="74">
        <v>0</v>
      </c>
      <c r="H172" s="75">
        <v>0</v>
      </c>
      <c r="I172" s="52">
        <v>0</v>
      </c>
      <c r="J172" s="53">
        <v>0</v>
      </c>
      <c r="K172" s="54"/>
      <c r="L172" s="53"/>
      <c r="M172" s="54"/>
      <c r="N172" s="53"/>
      <c r="O172" s="54"/>
      <c r="P172" s="53"/>
      <c r="Q172" s="54"/>
      <c r="R172" s="53"/>
      <c r="S172" s="322">
        <f t="shared" si="24"/>
        <v>0</v>
      </c>
      <c r="T172" s="323">
        <f t="shared" si="25"/>
        <v>0</v>
      </c>
      <c r="U172" s="36"/>
      <c r="V172" s="56"/>
      <c r="W172" s="56"/>
      <c r="X172" s="57"/>
      <c r="Y172" s="58"/>
      <c r="Z172" s="59"/>
      <c r="AA172" s="38"/>
      <c r="AD172" s="40"/>
      <c r="AE172" s="42"/>
      <c r="AF172" s="42"/>
      <c r="AG172" s="2"/>
      <c r="AH172" s="43"/>
      <c r="AI172" s="60"/>
      <c r="AJ172" s="60"/>
      <c r="AK172" s="60"/>
      <c r="AL172" s="70"/>
      <c r="AM172" s="70"/>
      <c r="AN172" s="63"/>
    </row>
    <row r="173" spans="1:40" ht="48.75" customHeight="1" x14ac:dyDescent="0.3">
      <c r="A173" s="44" t="s">
        <v>307</v>
      </c>
      <c r="B173" s="45" t="s">
        <v>308</v>
      </c>
      <c r="C173" s="64" t="s">
        <v>304</v>
      </c>
      <c r="D173" s="191">
        <v>1</v>
      </c>
      <c r="E173" s="192">
        <v>93270.450000000012</v>
      </c>
      <c r="F173" s="181"/>
      <c r="G173" s="74">
        <v>0</v>
      </c>
      <c r="H173" s="75">
        <v>0</v>
      </c>
      <c r="I173" s="52">
        <v>0</v>
      </c>
      <c r="J173" s="53">
        <v>0</v>
      </c>
      <c r="K173" s="54"/>
      <c r="L173" s="53"/>
      <c r="M173" s="54"/>
      <c r="N173" s="53"/>
      <c r="O173" s="54"/>
      <c r="P173" s="53"/>
      <c r="Q173" s="54"/>
      <c r="R173" s="53"/>
      <c r="S173" s="322">
        <f t="shared" si="24"/>
        <v>0</v>
      </c>
      <c r="T173" s="323">
        <f t="shared" si="25"/>
        <v>0</v>
      </c>
      <c r="U173" s="36"/>
      <c r="V173" s="56"/>
      <c r="W173" s="56"/>
      <c r="X173" s="57"/>
      <c r="Y173" s="58"/>
      <c r="Z173" s="59"/>
      <c r="AA173" s="38"/>
      <c r="AD173" s="40"/>
      <c r="AE173" s="42"/>
      <c r="AF173" s="42"/>
      <c r="AG173" s="2"/>
      <c r="AH173" s="43"/>
      <c r="AI173" s="60"/>
      <c r="AJ173" s="60"/>
      <c r="AK173" s="60"/>
      <c r="AL173" s="70"/>
      <c r="AM173" s="70"/>
      <c r="AN173" s="63"/>
    </row>
    <row r="174" spans="1:40" ht="48.75" customHeight="1" x14ac:dyDescent="0.3">
      <c r="A174" s="44" t="s">
        <v>309</v>
      </c>
      <c r="B174" s="45" t="s">
        <v>310</v>
      </c>
      <c r="C174" s="64" t="s">
        <v>304</v>
      </c>
      <c r="D174" s="191">
        <v>1</v>
      </c>
      <c r="E174" s="192">
        <v>146874.76440000001</v>
      </c>
      <c r="F174" s="181"/>
      <c r="G174" s="74">
        <v>0</v>
      </c>
      <c r="H174" s="75">
        <v>0</v>
      </c>
      <c r="I174" s="52">
        <v>0</v>
      </c>
      <c r="J174" s="53">
        <v>0</v>
      </c>
      <c r="K174" s="54"/>
      <c r="L174" s="53"/>
      <c r="M174" s="54"/>
      <c r="N174" s="53"/>
      <c r="O174" s="54"/>
      <c r="P174" s="53"/>
      <c r="Q174" s="54"/>
      <c r="R174" s="53"/>
      <c r="S174" s="322">
        <f t="shared" si="24"/>
        <v>0</v>
      </c>
      <c r="T174" s="323">
        <f t="shared" si="25"/>
        <v>0</v>
      </c>
      <c r="U174" s="36"/>
      <c r="V174" s="56"/>
      <c r="W174" s="56"/>
      <c r="X174" s="57"/>
      <c r="Y174" s="58"/>
      <c r="Z174" s="59"/>
      <c r="AA174" s="38"/>
      <c r="AD174" s="40"/>
      <c r="AE174" s="42"/>
      <c r="AF174" s="42"/>
      <c r="AG174" s="2"/>
      <c r="AH174" s="43"/>
      <c r="AI174" s="60"/>
      <c r="AJ174" s="60"/>
      <c r="AK174" s="60"/>
      <c r="AL174" s="70"/>
      <c r="AM174" s="70"/>
      <c r="AN174" s="63"/>
    </row>
    <row r="175" spans="1:40" ht="48.75" customHeight="1" x14ac:dyDescent="0.3">
      <c r="A175" s="44" t="s">
        <v>311</v>
      </c>
      <c r="B175" s="45" t="s">
        <v>312</v>
      </c>
      <c r="C175" s="64" t="s">
        <v>304</v>
      </c>
      <c r="D175" s="191">
        <v>1</v>
      </c>
      <c r="E175" s="192">
        <v>86718.450000000012</v>
      </c>
      <c r="F175" s="181"/>
      <c r="G175" s="74">
        <v>0</v>
      </c>
      <c r="H175" s="75">
        <v>0</v>
      </c>
      <c r="I175" s="52">
        <v>0</v>
      </c>
      <c r="J175" s="53">
        <v>0</v>
      </c>
      <c r="K175" s="54"/>
      <c r="L175" s="53"/>
      <c r="M175" s="54"/>
      <c r="N175" s="53"/>
      <c r="O175" s="54"/>
      <c r="P175" s="53"/>
      <c r="Q175" s="54"/>
      <c r="R175" s="53"/>
      <c r="S175" s="322">
        <f t="shared" si="24"/>
        <v>0</v>
      </c>
      <c r="T175" s="323">
        <f t="shared" si="25"/>
        <v>0</v>
      </c>
      <c r="U175" s="36"/>
      <c r="V175" s="56"/>
      <c r="W175" s="56"/>
      <c r="X175" s="57"/>
      <c r="Y175" s="58"/>
      <c r="Z175" s="59"/>
      <c r="AA175" s="38"/>
      <c r="AD175" s="40"/>
      <c r="AE175" s="42"/>
      <c r="AF175" s="42"/>
      <c r="AG175" s="2"/>
      <c r="AH175" s="43"/>
      <c r="AI175" s="60"/>
      <c r="AJ175" s="60"/>
      <c r="AK175" s="60"/>
      <c r="AL175" s="70"/>
      <c r="AM175" s="70"/>
      <c r="AN175" s="63"/>
    </row>
    <row r="176" spans="1:40" ht="48.75" customHeight="1" x14ac:dyDescent="0.3">
      <c r="A176" s="44" t="s">
        <v>313</v>
      </c>
      <c r="B176" s="45" t="s">
        <v>314</v>
      </c>
      <c r="C176" s="64" t="s">
        <v>304</v>
      </c>
      <c r="D176" s="191">
        <v>1</v>
      </c>
      <c r="E176" s="192">
        <v>93270.450000000012</v>
      </c>
      <c r="F176" s="181"/>
      <c r="G176" s="74">
        <v>0</v>
      </c>
      <c r="H176" s="75">
        <v>0</v>
      </c>
      <c r="I176" s="52">
        <v>0</v>
      </c>
      <c r="J176" s="53">
        <v>0</v>
      </c>
      <c r="K176" s="54"/>
      <c r="L176" s="53"/>
      <c r="M176" s="54"/>
      <c r="N176" s="53"/>
      <c r="O176" s="54"/>
      <c r="P176" s="53"/>
      <c r="Q176" s="54"/>
      <c r="R176" s="53"/>
      <c r="S176" s="322">
        <f t="shared" si="24"/>
        <v>0</v>
      </c>
      <c r="T176" s="323">
        <f t="shared" si="25"/>
        <v>0</v>
      </c>
      <c r="U176" s="36"/>
      <c r="V176" s="56"/>
      <c r="W176" s="56"/>
      <c r="X176" s="57"/>
      <c r="Y176" s="58"/>
      <c r="Z176" s="59"/>
      <c r="AA176" s="38"/>
      <c r="AD176" s="40"/>
      <c r="AE176" s="42"/>
      <c r="AF176" s="42"/>
      <c r="AG176" s="2"/>
      <c r="AH176" s="43"/>
      <c r="AI176" s="60"/>
      <c r="AJ176" s="60"/>
      <c r="AK176" s="60"/>
      <c r="AL176" s="70"/>
      <c r="AM176" s="70"/>
      <c r="AN176" s="63"/>
    </row>
    <row r="177" spans="1:40" ht="48.75" customHeight="1" x14ac:dyDescent="0.3">
      <c r="A177" s="44" t="s">
        <v>315</v>
      </c>
      <c r="B177" s="45" t="s">
        <v>316</v>
      </c>
      <c r="C177" s="64" t="s">
        <v>304</v>
      </c>
      <c r="D177" s="191">
        <v>1</v>
      </c>
      <c r="E177" s="192">
        <v>113008.35</v>
      </c>
      <c r="F177" s="181"/>
      <c r="G177" s="74">
        <v>0</v>
      </c>
      <c r="H177" s="75">
        <v>0</v>
      </c>
      <c r="I177" s="52">
        <v>0</v>
      </c>
      <c r="J177" s="53">
        <v>0</v>
      </c>
      <c r="K177" s="54"/>
      <c r="L177" s="53"/>
      <c r="M177" s="54"/>
      <c r="N177" s="53"/>
      <c r="O177" s="54"/>
      <c r="P177" s="53"/>
      <c r="Q177" s="54"/>
      <c r="R177" s="53"/>
      <c r="S177" s="322">
        <f t="shared" si="24"/>
        <v>0</v>
      </c>
      <c r="T177" s="323">
        <f t="shared" si="25"/>
        <v>0</v>
      </c>
      <c r="U177" s="36"/>
      <c r="V177" s="56"/>
      <c r="W177" s="56"/>
      <c r="X177" s="57"/>
      <c r="Y177" s="58"/>
      <c r="Z177" s="59"/>
      <c r="AA177" s="38"/>
      <c r="AD177" s="40"/>
      <c r="AE177" s="42"/>
      <c r="AF177" s="42"/>
      <c r="AG177" s="2"/>
      <c r="AH177" s="43"/>
      <c r="AI177" s="60"/>
      <c r="AJ177" s="60"/>
      <c r="AK177" s="60"/>
      <c r="AL177" s="70"/>
      <c r="AM177" s="70"/>
      <c r="AN177" s="63"/>
    </row>
    <row r="178" spans="1:40" ht="48.75" customHeight="1" x14ac:dyDescent="0.3">
      <c r="A178" s="44" t="s">
        <v>317</v>
      </c>
      <c r="B178" s="45" t="s">
        <v>318</v>
      </c>
      <c r="C178" s="64" t="s">
        <v>230</v>
      </c>
      <c r="D178" s="191">
        <v>1</v>
      </c>
      <c r="E178" s="192">
        <v>12243.023520000001</v>
      </c>
      <c r="F178" s="181"/>
      <c r="G178" s="74">
        <v>0</v>
      </c>
      <c r="H178" s="75">
        <v>0</v>
      </c>
      <c r="I178" s="52">
        <v>0</v>
      </c>
      <c r="J178" s="53">
        <v>0</v>
      </c>
      <c r="K178" s="54"/>
      <c r="L178" s="53"/>
      <c r="M178" s="54"/>
      <c r="N178" s="53"/>
      <c r="O178" s="54"/>
      <c r="P178" s="53"/>
      <c r="Q178" s="54"/>
      <c r="R178" s="53"/>
      <c r="S178" s="322">
        <f t="shared" si="24"/>
        <v>0</v>
      </c>
      <c r="T178" s="323">
        <f t="shared" si="25"/>
        <v>0</v>
      </c>
      <c r="U178" s="36"/>
      <c r="V178" s="56"/>
      <c r="W178" s="56"/>
      <c r="X178" s="57"/>
      <c r="Y178" s="58"/>
      <c r="Z178" s="59"/>
      <c r="AA178" s="38"/>
      <c r="AD178" s="40"/>
      <c r="AE178" s="42"/>
      <c r="AF178" s="42"/>
      <c r="AG178" s="2"/>
      <c r="AH178" s="43"/>
      <c r="AI178" s="60"/>
      <c r="AJ178" s="60"/>
      <c r="AK178" s="60"/>
      <c r="AL178" s="70"/>
      <c r="AM178" s="70"/>
      <c r="AN178" s="63"/>
    </row>
    <row r="179" spans="1:40" ht="48.75" customHeight="1" x14ac:dyDescent="0.3">
      <c r="A179" s="44" t="s">
        <v>319</v>
      </c>
      <c r="B179" s="45" t="s">
        <v>320</v>
      </c>
      <c r="C179" s="64" t="s">
        <v>304</v>
      </c>
      <c r="D179" s="191">
        <v>1</v>
      </c>
      <c r="E179" s="192">
        <v>2349.5500392000004</v>
      </c>
      <c r="F179" s="181"/>
      <c r="G179" s="74">
        <v>0</v>
      </c>
      <c r="H179" s="75">
        <v>0</v>
      </c>
      <c r="I179" s="52">
        <v>18</v>
      </c>
      <c r="J179" s="53">
        <v>312478.19283884007</v>
      </c>
      <c r="K179" s="54"/>
      <c r="L179" s="53"/>
      <c r="M179" s="54"/>
      <c r="N179" s="53"/>
      <c r="O179" s="54"/>
      <c r="P179" s="53"/>
      <c r="Q179" s="54"/>
      <c r="R179" s="53"/>
      <c r="S179" s="322">
        <f t="shared" si="24"/>
        <v>18</v>
      </c>
      <c r="T179" s="323">
        <f t="shared" si="25"/>
        <v>312478.19283884007</v>
      </c>
      <c r="U179" s="36"/>
      <c r="V179" s="56"/>
      <c r="W179" s="56"/>
      <c r="X179" s="57"/>
      <c r="Y179" s="58"/>
      <c r="Z179" s="59"/>
      <c r="AA179" s="38"/>
      <c r="AD179" s="40"/>
      <c r="AE179" s="42"/>
      <c r="AF179" s="42"/>
      <c r="AG179" s="2"/>
      <c r="AH179" s="43"/>
      <c r="AI179" s="60"/>
      <c r="AJ179" s="60"/>
      <c r="AK179" s="60"/>
      <c r="AL179" s="70"/>
      <c r="AM179" s="70"/>
      <c r="AN179" s="63"/>
    </row>
    <row r="180" spans="1:40" ht="48.75" customHeight="1" x14ac:dyDescent="0.3">
      <c r="A180" s="44" t="s">
        <v>321</v>
      </c>
      <c r="B180" s="45" t="s">
        <v>322</v>
      </c>
      <c r="C180" s="64" t="s">
        <v>230</v>
      </c>
      <c r="D180" s="191">
        <v>1</v>
      </c>
      <c r="E180" s="192">
        <v>16085.77152</v>
      </c>
      <c r="F180" s="181"/>
      <c r="G180" s="74">
        <v>0</v>
      </c>
      <c r="H180" s="75">
        <v>0</v>
      </c>
      <c r="I180" s="52">
        <v>15</v>
      </c>
      <c r="J180" s="53">
        <v>279050.30963269703</v>
      </c>
      <c r="K180" s="54"/>
      <c r="L180" s="53"/>
      <c r="M180" s="54"/>
      <c r="N180" s="53"/>
      <c r="O180" s="54"/>
      <c r="P180" s="53"/>
      <c r="Q180" s="54"/>
      <c r="R180" s="53"/>
      <c r="S180" s="322">
        <f t="shared" si="24"/>
        <v>15</v>
      </c>
      <c r="T180" s="323">
        <f t="shared" si="25"/>
        <v>279050.30963269703</v>
      </c>
      <c r="U180" s="36"/>
      <c r="V180" s="56"/>
      <c r="W180" s="56"/>
      <c r="X180" s="57"/>
      <c r="Y180" s="58"/>
      <c r="Z180" s="59"/>
      <c r="AA180" s="38"/>
      <c r="AD180" s="40"/>
      <c r="AE180" s="42"/>
      <c r="AF180" s="42"/>
      <c r="AG180" s="2"/>
      <c r="AH180" s="43"/>
      <c r="AI180" s="60"/>
      <c r="AJ180" s="60"/>
      <c r="AK180" s="60"/>
      <c r="AL180" s="70"/>
      <c r="AM180" s="70"/>
      <c r="AN180" s="63"/>
    </row>
    <row r="181" spans="1:40" ht="48.75" customHeight="1" x14ac:dyDescent="0.3">
      <c r="A181" s="44" t="s">
        <v>323</v>
      </c>
      <c r="B181" s="45" t="s">
        <v>324</v>
      </c>
      <c r="C181" s="64" t="s">
        <v>304</v>
      </c>
      <c r="D181" s="191">
        <v>1</v>
      </c>
      <c r="E181" s="192">
        <v>17238.048827999894</v>
      </c>
      <c r="F181" s="181"/>
      <c r="G181" s="74">
        <v>18</v>
      </c>
      <c r="H181" s="75">
        <v>299560.0233100233</v>
      </c>
      <c r="I181" s="52">
        <v>9</v>
      </c>
      <c r="J181" s="53">
        <v>146026.69548235694</v>
      </c>
      <c r="K181" s="54"/>
      <c r="L181" s="53"/>
      <c r="M181" s="54"/>
      <c r="N181" s="53"/>
      <c r="O181" s="54"/>
      <c r="P181" s="53"/>
      <c r="Q181" s="54"/>
      <c r="R181" s="53"/>
      <c r="S181" s="322">
        <f t="shared" si="24"/>
        <v>27</v>
      </c>
      <c r="T181" s="323">
        <f t="shared" si="25"/>
        <v>445586.71879238024</v>
      </c>
      <c r="U181" s="36"/>
      <c r="V181" s="56"/>
      <c r="W181" s="56"/>
      <c r="X181" s="57"/>
      <c r="Y181" s="58"/>
      <c r="Z181" s="59"/>
      <c r="AA181" s="38"/>
      <c r="AD181" s="40"/>
      <c r="AE181" s="42"/>
      <c r="AF181" s="42"/>
      <c r="AG181" s="2"/>
      <c r="AH181" s="43"/>
      <c r="AI181" s="60"/>
      <c r="AJ181" s="60"/>
      <c r="AK181" s="60"/>
      <c r="AL181" s="70"/>
      <c r="AM181" s="70"/>
      <c r="AN181" s="63"/>
    </row>
    <row r="182" spans="1:40" ht="48.75" customHeight="1" x14ac:dyDescent="0.3">
      <c r="A182" s="44" t="s">
        <v>325</v>
      </c>
      <c r="B182" s="45" t="s">
        <v>326</v>
      </c>
      <c r="C182" s="64" t="s">
        <v>230</v>
      </c>
      <c r="D182" s="191">
        <v>1</v>
      </c>
      <c r="E182" s="192">
        <v>15034.306560000001</v>
      </c>
      <c r="F182" s="181"/>
      <c r="G182" s="74">
        <v>14</v>
      </c>
      <c r="H182" s="75">
        <v>249679.81092981089</v>
      </c>
      <c r="I182" s="52">
        <v>12</v>
      </c>
      <c r="J182" s="53">
        <v>62793.317793317787</v>
      </c>
      <c r="K182" s="54"/>
      <c r="L182" s="53"/>
      <c r="M182" s="54"/>
      <c r="N182" s="53"/>
      <c r="O182" s="54"/>
      <c r="P182" s="53"/>
      <c r="Q182" s="54"/>
      <c r="R182" s="53"/>
      <c r="S182" s="322">
        <f t="shared" si="24"/>
        <v>26</v>
      </c>
      <c r="T182" s="323">
        <f t="shared" si="25"/>
        <v>312473.1287231287</v>
      </c>
      <c r="U182" s="36"/>
      <c r="V182" s="56"/>
      <c r="W182" s="56"/>
      <c r="X182" s="57"/>
      <c r="Y182" s="58"/>
      <c r="Z182" s="59"/>
      <c r="AA182" s="38"/>
      <c r="AD182" s="40"/>
      <c r="AE182" s="42"/>
      <c r="AF182" s="42"/>
      <c r="AG182" s="2"/>
      <c r="AH182" s="43"/>
      <c r="AI182" s="60"/>
      <c r="AJ182" s="60"/>
      <c r="AK182" s="60"/>
      <c r="AL182" s="70"/>
      <c r="AM182" s="70"/>
      <c r="AN182" s="63"/>
    </row>
    <row r="183" spans="1:40" ht="48.75" customHeight="1" x14ac:dyDescent="0.3">
      <c r="A183" s="44" t="s">
        <v>327</v>
      </c>
      <c r="B183" s="45" t="s">
        <v>328</v>
      </c>
      <c r="C183" s="64" t="s">
        <v>304</v>
      </c>
      <c r="D183" s="191">
        <v>1</v>
      </c>
      <c r="E183" s="192">
        <v>5058.4089192000001</v>
      </c>
      <c r="F183" s="181"/>
      <c r="G183" s="74">
        <v>0</v>
      </c>
      <c r="H183" s="75">
        <v>0</v>
      </c>
      <c r="I183" s="52">
        <v>0</v>
      </c>
      <c r="J183" s="53">
        <v>0</v>
      </c>
      <c r="K183" s="54"/>
      <c r="L183" s="53"/>
      <c r="M183" s="54"/>
      <c r="N183" s="53"/>
      <c r="O183" s="54"/>
      <c r="P183" s="53"/>
      <c r="Q183" s="54"/>
      <c r="R183" s="53"/>
      <c r="S183" s="322">
        <f t="shared" si="24"/>
        <v>0</v>
      </c>
      <c r="T183" s="323">
        <f t="shared" si="25"/>
        <v>0</v>
      </c>
      <c r="U183" s="36"/>
      <c r="V183" s="56"/>
      <c r="W183" s="56"/>
      <c r="X183" s="57"/>
      <c r="Y183" s="58"/>
      <c r="Z183" s="59"/>
      <c r="AA183" s="38"/>
      <c r="AD183" s="40"/>
      <c r="AE183" s="42"/>
      <c r="AF183" s="42"/>
      <c r="AG183" s="2"/>
      <c r="AH183" s="43"/>
      <c r="AI183" s="60"/>
      <c r="AJ183" s="60"/>
      <c r="AK183" s="60"/>
      <c r="AL183" s="70"/>
      <c r="AM183" s="70"/>
      <c r="AN183" s="63"/>
    </row>
    <row r="184" spans="1:40" ht="48.75" customHeight="1" x14ac:dyDescent="0.3">
      <c r="A184" s="44" t="s">
        <v>329</v>
      </c>
      <c r="B184" s="45" t="s">
        <v>330</v>
      </c>
      <c r="C184" s="64" t="s">
        <v>230</v>
      </c>
      <c r="D184" s="191">
        <v>1</v>
      </c>
      <c r="E184" s="192">
        <v>26560.32288</v>
      </c>
      <c r="F184" s="181"/>
      <c r="G184" s="74">
        <v>0</v>
      </c>
      <c r="H184" s="75">
        <v>0</v>
      </c>
      <c r="I184" s="52">
        <v>0</v>
      </c>
      <c r="J184" s="53">
        <v>0</v>
      </c>
      <c r="K184" s="54"/>
      <c r="L184" s="53"/>
      <c r="M184" s="54"/>
      <c r="N184" s="53"/>
      <c r="O184" s="54"/>
      <c r="P184" s="53"/>
      <c r="Q184" s="54"/>
      <c r="R184" s="53"/>
      <c r="S184" s="322">
        <f t="shared" si="24"/>
        <v>0</v>
      </c>
      <c r="T184" s="323">
        <f t="shared" si="25"/>
        <v>0</v>
      </c>
      <c r="U184" s="36"/>
      <c r="V184" s="56"/>
      <c r="W184" s="56"/>
      <c r="X184" s="57"/>
      <c r="Y184" s="58"/>
      <c r="Z184" s="59"/>
      <c r="AA184" s="38"/>
      <c r="AD184" s="40"/>
      <c r="AE184" s="42"/>
      <c r="AF184" s="42"/>
      <c r="AG184" s="2"/>
      <c r="AH184" s="43"/>
      <c r="AI184" s="60"/>
      <c r="AJ184" s="60"/>
      <c r="AK184" s="60"/>
      <c r="AL184" s="70"/>
      <c r="AM184" s="70"/>
      <c r="AN184" s="63"/>
    </row>
    <row r="185" spans="1:40" ht="48.75" customHeight="1" x14ac:dyDescent="0.3">
      <c r="A185" s="44" t="s">
        <v>331</v>
      </c>
      <c r="B185" s="45" t="s">
        <v>332</v>
      </c>
      <c r="C185" s="64" t="s">
        <v>304</v>
      </c>
      <c r="D185" s="191">
        <v>1</v>
      </c>
      <c r="E185" s="192">
        <v>10674.390199200001</v>
      </c>
      <c r="F185" s="181"/>
      <c r="G185" s="74">
        <v>6</v>
      </c>
      <c r="H185" s="75">
        <v>164869.85236985233</v>
      </c>
      <c r="I185" s="52">
        <v>0</v>
      </c>
      <c r="J185" s="53">
        <v>0</v>
      </c>
      <c r="K185" s="54"/>
      <c r="L185" s="53"/>
      <c r="M185" s="54"/>
      <c r="N185" s="53"/>
      <c r="O185" s="54"/>
      <c r="P185" s="53"/>
      <c r="Q185" s="54"/>
      <c r="R185" s="53"/>
      <c r="S185" s="322">
        <f t="shared" si="24"/>
        <v>6</v>
      </c>
      <c r="T185" s="323">
        <f t="shared" si="25"/>
        <v>164869.85236985233</v>
      </c>
      <c r="U185" s="36"/>
      <c r="V185" s="56"/>
      <c r="W185" s="56"/>
      <c r="X185" s="57"/>
      <c r="Y185" s="58"/>
      <c r="Z185" s="59"/>
      <c r="AA185" s="38"/>
      <c r="AD185" s="40"/>
      <c r="AE185" s="42"/>
      <c r="AF185" s="42"/>
      <c r="AG185" s="2"/>
      <c r="AH185" s="43"/>
      <c r="AI185" s="60"/>
      <c r="AJ185" s="60"/>
      <c r="AK185" s="60"/>
      <c r="AL185" s="70"/>
      <c r="AM185" s="70"/>
      <c r="AN185" s="63"/>
    </row>
    <row r="186" spans="1:40" ht="48.75" customHeight="1" x14ac:dyDescent="0.3">
      <c r="A186" s="44" t="s">
        <v>333</v>
      </c>
      <c r="B186" s="45" t="s">
        <v>334</v>
      </c>
      <c r="C186" s="64" t="s">
        <v>230</v>
      </c>
      <c r="D186" s="191">
        <v>1</v>
      </c>
      <c r="E186" s="192">
        <v>34481.952960000111</v>
      </c>
      <c r="F186" s="181"/>
      <c r="G186" s="74">
        <v>6</v>
      </c>
      <c r="H186" s="75">
        <v>66260.683760683751</v>
      </c>
      <c r="I186" s="52">
        <v>0</v>
      </c>
      <c r="J186" s="53">
        <v>0</v>
      </c>
      <c r="K186" s="54"/>
      <c r="L186" s="53"/>
      <c r="M186" s="54"/>
      <c r="N186" s="53"/>
      <c r="O186" s="54"/>
      <c r="P186" s="53"/>
      <c r="Q186" s="54"/>
      <c r="R186" s="53"/>
      <c r="S186" s="322">
        <f t="shared" si="24"/>
        <v>6</v>
      </c>
      <c r="T186" s="323">
        <f t="shared" si="25"/>
        <v>66260.683760683751</v>
      </c>
      <c r="U186" s="36"/>
      <c r="V186" s="56"/>
      <c r="W186" s="56"/>
      <c r="X186" s="57"/>
      <c r="Y186" s="58"/>
      <c r="Z186" s="59"/>
      <c r="AA186" s="38"/>
      <c r="AD186" s="40"/>
      <c r="AE186" s="42"/>
      <c r="AF186" s="42"/>
      <c r="AG186" s="2"/>
      <c r="AH186" s="43"/>
      <c r="AI186" s="60"/>
      <c r="AJ186" s="60"/>
      <c r="AK186" s="60"/>
      <c r="AL186" s="70"/>
      <c r="AM186" s="70"/>
      <c r="AN186" s="63"/>
    </row>
    <row r="187" spans="1:40" ht="48.75" customHeight="1" x14ac:dyDescent="0.3">
      <c r="A187" s="44" t="s">
        <v>335</v>
      </c>
      <c r="B187" s="45" t="s">
        <v>336</v>
      </c>
      <c r="C187" s="64" t="s">
        <v>304</v>
      </c>
      <c r="D187" s="191">
        <v>1</v>
      </c>
      <c r="E187" s="192">
        <v>15103.018039200002</v>
      </c>
      <c r="F187" s="181"/>
      <c r="G187" s="74">
        <v>18</v>
      </c>
      <c r="H187" s="75">
        <v>642115.38461538451</v>
      </c>
      <c r="I187" s="52">
        <v>0</v>
      </c>
      <c r="J187" s="53">
        <v>0</v>
      </c>
      <c r="K187" s="54"/>
      <c r="L187" s="53"/>
      <c r="M187" s="54"/>
      <c r="N187" s="53"/>
      <c r="O187" s="54"/>
      <c r="P187" s="53"/>
      <c r="Q187" s="54"/>
      <c r="R187" s="53"/>
      <c r="S187" s="322">
        <f t="shared" si="24"/>
        <v>18</v>
      </c>
      <c r="T187" s="323">
        <f t="shared" si="25"/>
        <v>642115.38461538451</v>
      </c>
      <c r="U187" s="36"/>
      <c r="V187" s="56"/>
      <c r="W187" s="56"/>
      <c r="X187" s="57"/>
      <c r="Y187" s="58"/>
      <c r="Z187" s="59"/>
      <c r="AA187" s="38"/>
      <c r="AD187" s="40"/>
      <c r="AE187" s="42"/>
      <c r="AF187" s="42"/>
      <c r="AG187" s="2"/>
      <c r="AH187" s="43"/>
      <c r="AI187" s="60"/>
      <c r="AJ187" s="60"/>
      <c r="AK187" s="60"/>
      <c r="AL187" s="70"/>
      <c r="AM187" s="70"/>
      <c r="AN187" s="63"/>
    </row>
    <row r="188" spans="1:40" ht="48.75" customHeight="1" x14ac:dyDescent="0.3">
      <c r="A188" s="44" t="s">
        <v>337</v>
      </c>
      <c r="B188" s="45" t="s">
        <v>338</v>
      </c>
      <c r="C188" s="64" t="s">
        <v>230</v>
      </c>
      <c r="D188" s="191">
        <v>1</v>
      </c>
      <c r="E188" s="192">
        <v>52530.616320000001</v>
      </c>
      <c r="F188" s="181"/>
      <c r="G188" s="74">
        <v>12</v>
      </c>
      <c r="H188" s="75">
        <v>187509.7125097125</v>
      </c>
      <c r="I188" s="52">
        <v>0</v>
      </c>
      <c r="J188" s="53">
        <v>0</v>
      </c>
      <c r="K188" s="54"/>
      <c r="L188" s="53"/>
      <c r="M188" s="54"/>
      <c r="N188" s="53"/>
      <c r="O188" s="54"/>
      <c r="P188" s="53"/>
      <c r="Q188" s="54"/>
      <c r="R188" s="53"/>
      <c r="S188" s="322">
        <f t="shared" si="24"/>
        <v>12</v>
      </c>
      <c r="T188" s="323">
        <f t="shared" si="25"/>
        <v>187509.7125097125</v>
      </c>
      <c r="U188" s="36"/>
      <c r="V188" s="56"/>
      <c r="W188" s="56"/>
      <c r="X188" s="57"/>
      <c r="Y188" s="58"/>
      <c r="Z188" s="59"/>
      <c r="AA188" s="38"/>
      <c r="AD188" s="40"/>
      <c r="AE188" s="42"/>
      <c r="AF188" s="42"/>
      <c r="AG188" s="2"/>
      <c r="AH188" s="43"/>
      <c r="AI188" s="60"/>
      <c r="AJ188" s="60"/>
      <c r="AK188" s="60"/>
      <c r="AL188" s="70"/>
      <c r="AM188" s="70"/>
      <c r="AN188" s="63"/>
    </row>
    <row r="189" spans="1:40" ht="48.75" customHeight="1" x14ac:dyDescent="0.3">
      <c r="A189" s="44" t="s">
        <v>339</v>
      </c>
      <c r="B189" s="45" t="s">
        <v>340</v>
      </c>
      <c r="C189" s="64" t="s">
        <v>304</v>
      </c>
      <c r="D189" s="191">
        <v>1</v>
      </c>
      <c r="E189" s="192">
        <v>23323.157239200002</v>
      </c>
      <c r="F189" s="181"/>
      <c r="G189" s="74">
        <v>0</v>
      </c>
      <c r="H189" s="75">
        <v>0</v>
      </c>
      <c r="I189" s="52">
        <v>0</v>
      </c>
      <c r="J189" s="53">
        <v>0</v>
      </c>
      <c r="K189" s="54"/>
      <c r="L189" s="53"/>
      <c r="M189" s="54"/>
      <c r="N189" s="53"/>
      <c r="O189" s="54"/>
      <c r="P189" s="53"/>
      <c r="Q189" s="54"/>
      <c r="R189" s="53"/>
      <c r="S189" s="322">
        <f t="shared" si="24"/>
        <v>0</v>
      </c>
      <c r="T189" s="323">
        <f t="shared" si="25"/>
        <v>0</v>
      </c>
      <c r="U189" s="36"/>
      <c r="V189" s="56"/>
      <c r="W189" s="56"/>
      <c r="X189" s="57"/>
      <c r="Y189" s="58"/>
      <c r="Z189" s="59"/>
      <c r="AA189" s="38"/>
      <c r="AD189" s="40"/>
      <c r="AE189" s="42"/>
      <c r="AF189" s="42"/>
      <c r="AG189" s="2"/>
      <c r="AH189" s="43"/>
      <c r="AI189" s="60"/>
      <c r="AJ189" s="60"/>
      <c r="AK189" s="60"/>
      <c r="AL189" s="70"/>
      <c r="AM189" s="70"/>
      <c r="AN189" s="63"/>
    </row>
    <row r="190" spans="1:40" ht="48.75" customHeight="1" x14ac:dyDescent="0.3">
      <c r="A190" s="44" t="s">
        <v>341</v>
      </c>
      <c r="B190" s="45" t="s">
        <v>342</v>
      </c>
      <c r="C190" s="64" t="s">
        <v>230</v>
      </c>
      <c r="D190" s="191">
        <v>1</v>
      </c>
      <c r="E190" s="192">
        <v>84733.95840000012</v>
      </c>
      <c r="F190" s="181"/>
      <c r="G190" s="74">
        <v>0</v>
      </c>
      <c r="H190" s="75">
        <v>0</v>
      </c>
      <c r="I190" s="52">
        <v>0</v>
      </c>
      <c r="J190" s="53">
        <v>0</v>
      </c>
      <c r="K190" s="54"/>
      <c r="L190" s="53"/>
      <c r="M190" s="54"/>
      <c r="N190" s="53"/>
      <c r="O190" s="54"/>
      <c r="P190" s="53"/>
      <c r="Q190" s="54"/>
      <c r="R190" s="53"/>
      <c r="S190" s="322">
        <f t="shared" si="24"/>
        <v>0</v>
      </c>
      <c r="T190" s="323">
        <f t="shared" si="25"/>
        <v>0</v>
      </c>
      <c r="U190" s="36"/>
      <c r="V190" s="56"/>
      <c r="W190" s="56"/>
      <c r="X190" s="57"/>
      <c r="Y190" s="58"/>
      <c r="Z190" s="59"/>
      <c r="AA190" s="38"/>
      <c r="AD190" s="40"/>
      <c r="AE190" s="42"/>
      <c r="AF190" s="42"/>
      <c r="AG190" s="2"/>
      <c r="AH190" s="43"/>
      <c r="AI190" s="60"/>
      <c r="AJ190" s="60"/>
      <c r="AK190" s="60"/>
      <c r="AL190" s="70"/>
      <c r="AM190" s="70"/>
      <c r="AN190" s="63"/>
    </row>
    <row r="191" spans="1:40" ht="48.75" customHeight="1" x14ac:dyDescent="0.3">
      <c r="A191" s="44" t="s">
        <v>343</v>
      </c>
      <c r="B191" s="45" t="s">
        <v>344</v>
      </c>
      <c r="C191" s="64" t="s">
        <v>304</v>
      </c>
      <c r="D191" s="191">
        <v>1</v>
      </c>
      <c r="E191" s="192">
        <v>60532.096279200006</v>
      </c>
      <c r="F191" s="181"/>
      <c r="G191" s="74">
        <v>12</v>
      </c>
      <c r="H191" s="75">
        <v>1051930.8469308468</v>
      </c>
      <c r="I191" s="52">
        <v>0</v>
      </c>
      <c r="J191" s="53">
        <v>0</v>
      </c>
      <c r="K191" s="54"/>
      <c r="L191" s="53"/>
      <c r="M191" s="54"/>
      <c r="N191" s="53"/>
      <c r="O191" s="54"/>
      <c r="P191" s="53"/>
      <c r="Q191" s="54"/>
      <c r="R191" s="53"/>
      <c r="S191" s="322">
        <f t="shared" si="24"/>
        <v>12</v>
      </c>
      <c r="T191" s="323">
        <f t="shared" si="25"/>
        <v>1051930.8469308468</v>
      </c>
      <c r="U191" s="36"/>
      <c r="V191" s="56"/>
      <c r="W191" s="56"/>
      <c r="X191" s="57"/>
      <c r="Y191" s="58"/>
      <c r="Z191" s="59"/>
      <c r="AA191" s="38"/>
      <c r="AD191" s="40"/>
      <c r="AE191" s="42"/>
      <c r="AF191" s="42"/>
      <c r="AG191" s="2"/>
      <c r="AH191" s="43"/>
      <c r="AI191" s="60"/>
      <c r="AJ191" s="60"/>
      <c r="AK191" s="60"/>
      <c r="AL191" s="70"/>
      <c r="AM191" s="70"/>
      <c r="AN191" s="63"/>
    </row>
    <row r="192" spans="1:40" ht="48.75" customHeight="1" x14ac:dyDescent="0.3">
      <c r="A192" s="44" t="s">
        <v>345</v>
      </c>
      <c r="B192" s="45" t="s">
        <v>346</v>
      </c>
      <c r="C192" s="64" t="s">
        <v>230</v>
      </c>
      <c r="D192" s="191">
        <v>1</v>
      </c>
      <c r="E192" s="192">
        <v>112911.88272000001</v>
      </c>
      <c r="F192" s="181"/>
      <c r="G192" s="74">
        <v>8</v>
      </c>
      <c r="H192" s="75">
        <v>500986.7909867909</v>
      </c>
      <c r="I192" s="52">
        <v>0</v>
      </c>
      <c r="J192" s="53">
        <v>0</v>
      </c>
      <c r="K192" s="54"/>
      <c r="L192" s="53"/>
      <c r="M192" s="54"/>
      <c r="N192" s="53"/>
      <c r="O192" s="54"/>
      <c r="P192" s="53"/>
      <c r="Q192" s="54"/>
      <c r="R192" s="53"/>
      <c r="S192" s="322">
        <f t="shared" si="24"/>
        <v>8</v>
      </c>
      <c r="T192" s="323">
        <f t="shared" si="25"/>
        <v>500986.7909867909</v>
      </c>
      <c r="U192" s="36"/>
      <c r="V192" s="56"/>
      <c r="W192" s="56"/>
      <c r="X192" s="57"/>
      <c r="Y192" s="58"/>
      <c r="Z192" s="59"/>
      <c r="AA192" s="38"/>
      <c r="AD192" s="40"/>
      <c r="AE192" s="42"/>
      <c r="AF192" s="42"/>
      <c r="AG192" s="2"/>
      <c r="AH192" s="43"/>
      <c r="AI192" s="60"/>
      <c r="AJ192" s="60"/>
      <c r="AK192" s="60"/>
      <c r="AL192" s="70"/>
      <c r="AM192" s="70"/>
      <c r="AN192" s="63"/>
    </row>
    <row r="193" spans="1:40" ht="48.75" customHeight="1" x14ac:dyDescent="0.3">
      <c r="A193" s="44" t="s">
        <v>347</v>
      </c>
      <c r="B193" s="45" t="s">
        <v>348</v>
      </c>
      <c r="C193" s="64" t="s">
        <v>304</v>
      </c>
      <c r="D193" s="191">
        <v>1</v>
      </c>
      <c r="E193" s="192">
        <v>85208.10763920001</v>
      </c>
      <c r="F193" s="181"/>
      <c r="G193" s="74">
        <v>0</v>
      </c>
      <c r="H193" s="75">
        <v>0</v>
      </c>
      <c r="I193" s="52">
        <v>0</v>
      </c>
      <c r="J193" s="53">
        <v>0</v>
      </c>
      <c r="K193" s="54"/>
      <c r="L193" s="53"/>
      <c r="M193" s="54"/>
      <c r="N193" s="53"/>
      <c r="O193" s="54"/>
      <c r="P193" s="53"/>
      <c r="Q193" s="54"/>
      <c r="R193" s="53"/>
      <c r="S193" s="322">
        <f t="shared" si="24"/>
        <v>0</v>
      </c>
      <c r="T193" s="323">
        <f t="shared" si="25"/>
        <v>0</v>
      </c>
      <c r="U193" s="36"/>
      <c r="V193" s="56"/>
      <c r="W193" s="56"/>
      <c r="X193" s="57"/>
      <c r="Y193" s="58"/>
      <c r="Z193" s="59"/>
      <c r="AA193" s="38"/>
      <c r="AD193" s="40"/>
      <c r="AE193" s="42"/>
      <c r="AF193" s="42"/>
      <c r="AG193" s="2"/>
      <c r="AH193" s="43"/>
      <c r="AI193" s="60"/>
      <c r="AJ193" s="60"/>
      <c r="AK193" s="60"/>
      <c r="AL193" s="70"/>
      <c r="AM193" s="70"/>
      <c r="AN193" s="63"/>
    </row>
    <row r="194" spans="1:40" ht="48.75" customHeight="1" x14ac:dyDescent="0.3">
      <c r="A194" s="44" t="s">
        <v>349</v>
      </c>
      <c r="B194" s="45" t="s">
        <v>350</v>
      </c>
      <c r="C194" s="64" t="s">
        <v>304</v>
      </c>
      <c r="D194" s="191">
        <v>1</v>
      </c>
      <c r="E194" s="192">
        <v>67308.150000000009</v>
      </c>
      <c r="F194" s="181"/>
      <c r="G194" s="74">
        <v>0</v>
      </c>
      <c r="H194" s="75">
        <v>0</v>
      </c>
      <c r="I194" s="52">
        <v>0</v>
      </c>
      <c r="J194" s="53">
        <v>0</v>
      </c>
      <c r="K194" s="54"/>
      <c r="L194" s="53"/>
      <c r="M194" s="54"/>
      <c r="N194" s="53"/>
      <c r="O194" s="54"/>
      <c r="P194" s="53"/>
      <c r="Q194" s="54"/>
      <c r="R194" s="53"/>
      <c r="S194" s="322">
        <f t="shared" si="24"/>
        <v>0</v>
      </c>
      <c r="T194" s="323">
        <f t="shared" si="25"/>
        <v>0</v>
      </c>
      <c r="U194" s="36"/>
      <c r="V194" s="56"/>
      <c r="W194" s="56"/>
      <c r="X194" s="57"/>
      <c r="Y194" s="58"/>
      <c r="Z194" s="59"/>
      <c r="AA194" s="38"/>
      <c r="AD194" s="40"/>
      <c r="AE194" s="42"/>
      <c r="AF194" s="42"/>
      <c r="AG194" s="2"/>
      <c r="AH194" s="43"/>
      <c r="AI194" s="60"/>
      <c r="AJ194" s="60"/>
      <c r="AK194" s="60"/>
      <c r="AL194" s="70"/>
      <c r="AM194" s="70"/>
      <c r="AN194" s="63"/>
    </row>
    <row r="195" spans="1:40" ht="48.75" customHeight="1" x14ac:dyDescent="0.3">
      <c r="A195" s="44" t="s">
        <v>351</v>
      </c>
      <c r="B195" s="45" t="s">
        <v>352</v>
      </c>
      <c r="C195" s="64" t="s">
        <v>304</v>
      </c>
      <c r="D195" s="191">
        <v>1</v>
      </c>
      <c r="E195" s="192">
        <v>67308.150000000009</v>
      </c>
      <c r="F195" s="181"/>
      <c r="G195" s="74">
        <v>0</v>
      </c>
      <c r="H195" s="75">
        <v>0</v>
      </c>
      <c r="I195" s="52">
        <v>0</v>
      </c>
      <c r="J195" s="53">
        <v>0</v>
      </c>
      <c r="K195" s="54"/>
      <c r="L195" s="53"/>
      <c r="M195" s="54"/>
      <c r="N195" s="53"/>
      <c r="O195" s="54"/>
      <c r="P195" s="53"/>
      <c r="Q195" s="54"/>
      <c r="R195" s="53"/>
      <c r="S195" s="322">
        <f t="shared" ref="S195:S258" si="31">+I195+G195</f>
        <v>0</v>
      </c>
      <c r="T195" s="323">
        <f t="shared" ref="T195:T258" si="32">H195+J195</f>
        <v>0</v>
      </c>
      <c r="U195" s="36"/>
      <c r="V195" s="56"/>
      <c r="W195" s="56"/>
      <c r="X195" s="57"/>
      <c r="Y195" s="58"/>
      <c r="Z195" s="59"/>
      <c r="AA195" s="38"/>
      <c r="AD195" s="40"/>
      <c r="AE195" s="42"/>
      <c r="AF195" s="42"/>
      <c r="AG195" s="2"/>
      <c r="AH195" s="43"/>
      <c r="AI195" s="60"/>
      <c r="AJ195" s="60"/>
      <c r="AK195" s="60"/>
      <c r="AL195" s="70"/>
      <c r="AM195" s="70"/>
      <c r="AN195" s="63"/>
    </row>
    <row r="196" spans="1:40" ht="48.75" customHeight="1" x14ac:dyDescent="0.3">
      <c r="A196" s="44" t="s">
        <v>353</v>
      </c>
      <c r="B196" s="45" t="s">
        <v>354</v>
      </c>
      <c r="C196" s="64" t="s">
        <v>304</v>
      </c>
      <c r="D196" s="191">
        <v>1</v>
      </c>
      <c r="E196" s="192">
        <v>165506.25</v>
      </c>
      <c r="F196" s="181"/>
      <c r="G196" s="74">
        <v>0</v>
      </c>
      <c r="H196" s="75">
        <v>0</v>
      </c>
      <c r="I196" s="52">
        <v>0</v>
      </c>
      <c r="J196" s="53">
        <v>0</v>
      </c>
      <c r="K196" s="54"/>
      <c r="L196" s="53"/>
      <c r="M196" s="54"/>
      <c r="N196" s="53"/>
      <c r="O196" s="54"/>
      <c r="P196" s="53"/>
      <c r="Q196" s="54"/>
      <c r="R196" s="53"/>
      <c r="S196" s="322">
        <f t="shared" si="31"/>
        <v>0</v>
      </c>
      <c r="T196" s="323">
        <f t="shared" si="32"/>
        <v>0</v>
      </c>
      <c r="U196" s="36"/>
      <c r="V196" s="56"/>
      <c r="W196" s="56"/>
      <c r="X196" s="57"/>
      <c r="Y196" s="58"/>
      <c r="Z196" s="59"/>
      <c r="AA196" s="38"/>
      <c r="AD196" s="40"/>
      <c r="AE196" s="42"/>
      <c r="AF196" s="42"/>
      <c r="AG196" s="2"/>
      <c r="AH196" s="43"/>
      <c r="AI196" s="60"/>
      <c r="AJ196" s="60"/>
      <c r="AK196" s="60"/>
      <c r="AL196" s="70"/>
      <c r="AM196" s="70"/>
      <c r="AN196" s="63"/>
    </row>
    <row r="197" spans="1:40" ht="48.75" customHeight="1" x14ac:dyDescent="0.3">
      <c r="A197" s="44" t="s">
        <v>355</v>
      </c>
      <c r="B197" s="45" t="s">
        <v>356</v>
      </c>
      <c r="C197" s="64" t="s">
        <v>304</v>
      </c>
      <c r="D197" s="191">
        <v>1</v>
      </c>
      <c r="E197" s="192">
        <v>117117.00000000001</v>
      </c>
      <c r="F197" s="181"/>
      <c r="G197" s="74">
        <v>0</v>
      </c>
      <c r="H197" s="75">
        <v>0</v>
      </c>
      <c r="I197" s="52">
        <v>0</v>
      </c>
      <c r="J197" s="53">
        <v>0</v>
      </c>
      <c r="K197" s="54"/>
      <c r="L197" s="53"/>
      <c r="M197" s="54"/>
      <c r="N197" s="53"/>
      <c r="O197" s="54"/>
      <c r="P197" s="53"/>
      <c r="Q197" s="54"/>
      <c r="R197" s="53"/>
      <c r="S197" s="322">
        <f t="shared" si="31"/>
        <v>0</v>
      </c>
      <c r="T197" s="323">
        <f t="shared" si="32"/>
        <v>0</v>
      </c>
      <c r="U197" s="36"/>
      <c r="V197" s="56"/>
      <c r="W197" s="56"/>
      <c r="X197" s="57"/>
      <c r="Y197" s="58"/>
      <c r="Z197" s="59"/>
      <c r="AA197" s="38"/>
      <c r="AD197" s="40"/>
      <c r="AE197" s="42"/>
      <c r="AF197" s="42"/>
      <c r="AG197" s="2"/>
      <c r="AH197" s="43"/>
      <c r="AI197" s="60"/>
      <c r="AJ197" s="60"/>
      <c r="AK197" s="60"/>
      <c r="AL197" s="70"/>
      <c r="AM197" s="70"/>
      <c r="AN197" s="63"/>
    </row>
    <row r="198" spans="1:40" ht="48.75" customHeight="1" x14ac:dyDescent="0.3">
      <c r="A198" s="44" t="s">
        <v>357</v>
      </c>
      <c r="B198" s="45" t="s">
        <v>358</v>
      </c>
      <c r="C198" s="64" t="s">
        <v>304</v>
      </c>
      <c r="D198" s="191">
        <v>1</v>
      </c>
      <c r="E198" s="192">
        <v>117117.00000000001</v>
      </c>
      <c r="F198" s="181"/>
      <c r="G198" s="74">
        <v>0</v>
      </c>
      <c r="H198" s="75">
        <v>0</v>
      </c>
      <c r="I198" s="52">
        <v>0</v>
      </c>
      <c r="J198" s="53">
        <v>0</v>
      </c>
      <c r="K198" s="54"/>
      <c r="L198" s="53"/>
      <c r="M198" s="54"/>
      <c r="N198" s="53"/>
      <c r="O198" s="54"/>
      <c r="P198" s="53"/>
      <c r="Q198" s="54"/>
      <c r="R198" s="53"/>
      <c r="S198" s="322">
        <f t="shared" si="31"/>
        <v>0</v>
      </c>
      <c r="T198" s="323">
        <f t="shared" si="32"/>
        <v>0</v>
      </c>
      <c r="U198" s="36"/>
      <c r="V198" s="56"/>
      <c r="W198" s="56"/>
      <c r="X198" s="57"/>
      <c r="Y198" s="58"/>
      <c r="Z198" s="59"/>
      <c r="AA198" s="38"/>
      <c r="AD198" s="40"/>
      <c r="AE198" s="42"/>
      <c r="AF198" s="42"/>
      <c r="AG198" s="2"/>
      <c r="AH198" s="43"/>
      <c r="AI198" s="60"/>
      <c r="AJ198" s="60"/>
      <c r="AK198" s="60"/>
      <c r="AL198" s="70"/>
      <c r="AM198" s="70"/>
      <c r="AN198" s="63"/>
    </row>
    <row r="199" spans="1:40" ht="48.75" customHeight="1" x14ac:dyDescent="0.3">
      <c r="A199" s="44" t="s">
        <v>359</v>
      </c>
      <c r="B199" s="45" t="s">
        <v>360</v>
      </c>
      <c r="C199" s="64" t="s">
        <v>304</v>
      </c>
      <c r="D199" s="191">
        <v>1</v>
      </c>
      <c r="E199" s="192">
        <v>117117.00000000001</v>
      </c>
      <c r="F199" s="181"/>
      <c r="G199" s="74">
        <v>0</v>
      </c>
      <c r="H199" s="75">
        <v>0</v>
      </c>
      <c r="I199" s="52">
        <v>0</v>
      </c>
      <c r="J199" s="53">
        <v>0</v>
      </c>
      <c r="K199" s="54"/>
      <c r="L199" s="53"/>
      <c r="M199" s="54"/>
      <c r="N199" s="53"/>
      <c r="O199" s="54"/>
      <c r="P199" s="53"/>
      <c r="Q199" s="54"/>
      <c r="R199" s="53"/>
      <c r="S199" s="322">
        <f t="shared" si="31"/>
        <v>0</v>
      </c>
      <c r="T199" s="323">
        <f t="shared" si="32"/>
        <v>0</v>
      </c>
      <c r="U199" s="36"/>
      <c r="V199" s="56"/>
      <c r="W199" s="56"/>
      <c r="X199" s="57"/>
      <c r="Y199" s="58"/>
      <c r="Z199" s="59"/>
      <c r="AA199" s="38"/>
      <c r="AD199" s="40"/>
      <c r="AE199" s="42"/>
      <c r="AF199" s="42"/>
      <c r="AG199" s="2"/>
      <c r="AH199" s="43"/>
      <c r="AI199" s="60"/>
      <c r="AJ199" s="60"/>
      <c r="AK199" s="60"/>
      <c r="AL199" s="70"/>
      <c r="AM199" s="70"/>
      <c r="AN199" s="63"/>
    </row>
    <row r="200" spans="1:40" ht="48.75" customHeight="1" x14ac:dyDescent="0.3">
      <c r="A200" s="44" t="s">
        <v>361</v>
      </c>
      <c r="B200" s="45" t="s">
        <v>362</v>
      </c>
      <c r="C200" s="64" t="s">
        <v>304</v>
      </c>
      <c r="D200" s="191">
        <v>1</v>
      </c>
      <c r="E200" s="192">
        <v>117117.00000000001</v>
      </c>
      <c r="F200" s="181"/>
      <c r="G200" s="74">
        <v>0</v>
      </c>
      <c r="H200" s="75">
        <v>0</v>
      </c>
      <c r="I200" s="52">
        <v>0</v>
      </c>
      <c r="J200" s="53">
        <v>0</v>
      </c>
      <c r="K200" s="54"/>
      <c r="L200" s="53"/>
      <c r="M200" s="54"/>
      <c r="N200" s="53"/>
      <c r="O200" s="54"/>
      <c r="P200" s="53"/>
      <c r="Q200" s="54"/>
      <c r="R200" s="53"/>
      <c r="S200" s="322">
        <f t="shared" si="31"/>
        <v>0</v>
      </c>
      <c r="T200" s="323">
        <f t="shared" si="32"/>
        <v>0</v>
      </c>
      <c r="U200" s="36"/>
      <c r="V200" s="56"/>
      <c r="W200" s="56"/>
      <c r="X200" s="57"/>
      <c r="Y200" s="58"/>
      <c r="Z200" s="59"/>
      <c r="AA200" s="38"/>
      <c r="AD200" s="40"/>
      <c r="AE200" s="42"/>
      <c r="AF200" s="42"/>
      <c r="AG200" s="2"/>
      <c r="AH200" s="43"/>
      <c r="AI200" s="60"/>
      <c r="AJ200" s="60"/>
      <c r="AK200" s="60"/>
      <c r="AL200" s="70"/>
      <c r="AM200" s="70"/>
      <c r="AN200" s="63"/>
    </row>
    <row r="201" spans="1:40" ht="48.75" customHeight="1" x14ac:dyDescent="0.3">
      <c r="A201" s="44" t="s">
        <v>363</v>
      </c>
      <c r="B201" s="45" t="s">
        <v>364</v>
      </c>
      <c r="C201" s="64" t="s">
        <v>304</v>
      </c>
      <c r="D201" s="191">
        <v>1</v>
      </c>
      <c r="E201" s="192">
        <v>140267.40000000002</v>
      </c>
      <c r="F201" s="181"/>
      <c r="G201" s="74">
        <v>0</v>
      </c>
      <c r="H201" s="75">
        <v>0</v>
      </c>
      <c r="I201" s="52">
        <v>0</v>
      </c>
      <c r="J201" s="53">
        <v>0</v>
      </c>
      <c r="K201" s="54"/>
      <c r="L201" s="53"/>
      <c r="M201" s="54"/>
      <c r="N201" s="53"/>
      <c r="O201" s="54"/>
      <c r="P201" s="53"/>
      <c r="Q201" s="54"/>
      <c r="R201" s="53"/>
      <c r="S201" s="322">
        <f t="shared" si="31"/>
        <v>0</v>
      </c>
      <c r="T201" s="323">
        <f t="shared" si="32"/>
        <v>0</v>
      </c>
      <c r="U201" s="36"/>
      <c r="V201" s="56"/>
      <c r="W201" s="56"/>
      <c r="X201" s="57"/>
      <c r="Y201" s="58"/>
      <c r="Z201" s="59"/>
      <c r="AA201" s="38"/>
      <c r="AD201" s="40"/>
      <c r="AE201" s="42"/>
      <c r="AF201" s="42"/>
      <c r="AG201" s="2"/>
      <c r="AH201" s="43"/>
      <c r="AI201" s="60"/>
      <c r="AJ201" s="60"/>
      <c r="AK201" s="60"/>
      <c r="AL201" s="70"/>
      <c r="AM201" s="70"/>
      <c r="AN201" s="63"/>
    </row>
    <row r="202" spans="1:40" ht="48.75" customHeight="1" x14ac:dyDescent="0.3">
      <c r="A202" s="44" t="s">
        <v>365</v>
      </c>
      <c r="B202" s="45" t="s">
        <v>366</v>
      </c>
      <c r="C202" s="64" t="s">
        <v>304</v>
      </c>
      <c r="D202" s="191">
        <v>1</v>
      </c>
      <c r="E202" s="192">
        <v>165506.25</v>
      </c>
      <c r="F202" s="181"/>
      <c r="G202" s="74">
        <v>0</v>
      </c>
      <c r="H202" s="75">
        <v>0</v>
      </c>
      <c r="I202" s="52">
        <v>0</v>
      </c>
      <c r="J202" s="53">
        <v>0</v>
      </c>
      <c r="K202" s="54"/>
      <c r="L202" s="53"/>
      <c r="M202" s="54"/>
      <c r="N202" s="53"/>
      <c r="O202" s="54"/>
      <c r="P202" s="53"/>
      <c r="Q202" s="54"/>
      <c r="R202" s="53"/>
      <c r="S202" s="322">
        <f t="shared" si="31"/>
        <v>0</v>
      </c>
      <c r="T202" s="323">
        <f t="shared" si="32"/>
        <v>0</v>
      </c>
      <c r="U202" s="36"/>
      <c r="V202" s="56"/>
      <c r="W202" s="56"/>
      <c r="X202" s="57"/>
      <c r="Y202" s="58"/>
      <c r="Z202" s="59"/>
      <c r="AA202" s="38"/>
      <c r="AD202" s="40"/>
      <c r="AE202" s="42"/>
      <c r="AF202" s="42"/>
      <c r="AG202" s="2"/>
      <c r="AH202" s="43"/>
      <c r="AI202" s="60"/>
      <c r="AJ202" s="60"/>
      <c r="AK202" s="60"/>
      <c r="AL202" s="70"/>
      <c r="AM202" s="70"/>
      <c r="AN202" s="63"/>
    </row>
    <row r="203" spans="1:40" ht="48.75" customHeight="1" x14ac:dyDescent="0.3">
      <c r="A203" s="44" t="s">
        <v>367</v>
      </c>
      <c r="B203" s="45" t="s">
        <v>368</v>
      </c>
      <c r="C203" s="64" t="s">
        <v>304</v>
      </c>
      <c r="D203" s="191">
        <v>1</v>
      </c>
      <c r="E203" s="192">
        <v>131483.625</v>
      </c>
      <c r="F203" s="181"/>
      <c r="G203" s="74">
        <v>0</v>
      </c>
      <c r="H203" s="75">
        <v>0</v>
      </c>
      <c r="I203" s="52">
        <v>0</v>
      </c>
      <c r="J203" s="53">
        <v>0</v>
      </c>
      <c r="K203" s="54"/>
      <c r="L203" s="53"/>
      <c r="M203" s="54"/>
      <c r="N203" s="53"/>
      <c r="O203" s="54"/>
      <c r="P203" s="53"/>
      <c r="Q203" s="54"/>
      <c r="R203" s="53"/>
      <c r="S203" s="322">
        <f t="shared" si="31"/>
        <v>0</v>
      </c>
      <c r="T203" s="323">
        <f t="shared" si="32"/>
        <v>0</v>
      </c>
      <c r="U203" s="36"/>
      <c r="V203" s="56"/>
      <c r="W203" s="56"/>
      <c r="X203" s="57"/>
      <c r="Y203" s="58"/>
      <c r="Z203" s="59"/>
      <c r="AA203" s="38"/>
      <c r="AD203" s="40"/>
      <c r="AE203" s="42"/>
      <c r="AF203" s="42"/>
      <c r="AG203" s="2"/>
      <c r="AH203" s="43"/>
      <c r="AI203" s="60"/>
      <c r="AJ203" s="60"/>
      <c r="AK203" s="60"/>
      <c r="AL203" s="70"/>
      <c r="AM203" s="70"/>
      <c r="AN203" s="63"/>
    </row>
    <row r="204" spans="1:40" ht="48.75" customHeight="1" x14ac:dyDescent="0.3">
      <c r="A204" s="44" t="s">
        <v>369</v>
      </c>
      <c r="B204" s="45" t="s">
        <v>370</v>
      </c>
      <c r="C204" s="64" t="s">
        <v>304</v>
      </c>
      <c r="D204" s="191">
        <v>1</v>
      </c>
      <c r="E204" s="192">
        <v>131483.625</v>
      </c>
      <c r="F204" s="181"/>
      <c r="G204" s="74">
        <v>0</v>
      </c>
      <c r="H204" s="75">
        <v>0</v>
      </c>
      <c r="I204" s="52">
        <v>0</v>
      </c>
      <c r="J204" s="53">
        <v>0</v>
      </c>
      <c r="K204" s="54"/>
      <c r="L204" s="53"/>
      <c r="M204" s="54"/>
      <c r="N204" s="53"/>
      <c r="O204" s="54"/>
      <c r="P204" s="53"/>
      <c r="Q204" s="54"/>
      <c r="R204" s="53"/>
      <c r="S204" s="322">
        <f t="shared" si="31"/>
        <v>0</v>
      </c>
      <c r="T204" s="323">
        <f t="shared" si="32"/>
        <v>0</v>
      </c>
      <c r="U204" s="36"/>
      <c r="V204" s="56"/>
      <c r="W204" s="56"/>
      <c r="X204" s="57"/>
      <c r="Y204" s="58"/>
      <c r="Z204" s="59"/>
      <c r="AA204" s="38"/>
      <c r="AD204" s="40"/>
      <c r="AE204" s="42"/>
      <c r="AF204" s="42"/>
      <c r="AG204" s="2"/>
      <c r="AH204" s="43"/>
      <c r="AI204" s="60"/>
      <c r="AJ204" s="60"/>
      <c r="AK204" s="60"/>
      <c r="AL204" s="70"/>
      <c r="AM204" s="70"/>
      <c r="AN204" s="63"/>
    </row>
    <row r="205" spans="1:40" ht="48.75" customHeight="1" x14ac:dyDescent="0.3">
      <c r="A205" s="44" t="s">
        <v>371</v>
      </c>
      <c r="B205" s="45" t="s">
        <v>372</v>
      </c>
      <c r="C205" s="64" t="s">
        <v>304</v>
      </c>
      <c r="D205" s="191">
        <v>1</v>
      </c>
      <c r="E205" s="192">
        <v>70174.650000000009</v>
      </c>
      <c r="F205" s="181"/>
      <c r="G205" s="74">
        <v>0</v>
      </c>
      <c r="H205" s="75">
        <v>0</v>
      </c>
      <c r="I205" s="52">
        <v>0</v>
      </c>
      <c r="J205" s="53">
        <v>0</v>
      </c>
      <c r="K205" s="54"/>
      <c r="L205" s="53"/>
      <c r="M205" s="54"/>
      <c r="N205" s="53"/>
      <c r="O205" s="54"/>
      <c r="P205" s="53"/>
      <c r="Q205" s="54"/>
      <c r="R205" s="53"/>
      <c r="S205" s="322">
        <f t="shared" si="31"/>
        <v>0</v>
      </c>
      <c r="T205" s="323">
        <f t="shared" si="32"/>
        <v>0</v>
      </c>
      <c r="U205" s="36"/>
      <c r="V205" s="56"/>
      <c r="W205" s="56"/>
      <c r="X205" s="57"/>
      <c r="Y205" s="58"/>
      <c r="Z205" s="59"/>
      <c r="AA205" s="38"/>
      <c r="AD205" s="40"/>
      <c r="AE205" s="42"/>
      <c r="AF205" s="42"/>
      <c r="AG205" s="2"/>
      <c r="AH205" s="43"/>
      <c r="AI205" s="60"/>
      <c r="AJ205" s="60"/>
      <c r="AK205" s="60"/>
      <c r="AL205" s="70"/>
      <c r="AM205" s="70"/>
      <c r="AN205" s="63"/>
    </row>
    <row r="206" spans="1:40" ht="48.75" customHeight="1" x14ac:dyDescent="0.3">
      <c r="A206" s="44" t="s">
        <v>373</v>
      </c>
      <c r="B206" s="45" t="s">
        <v>374</v>
      </c>
      <c r="C206" s="64" t="s">
        <v>304</v>
      </c>
      <c r="D206" s="191">
        <v>1</v>
      </c>
      <c r="E206" s="192">
        <v>113854.65000000001</v>
      </c>
      <c r="F206" s="181"/>
      <c r="G206" s="74">
        <v>0</v>
      </c>
      <c r="H206" s="75">
        <v>0</v>
      </c>
      <c r="I206" s="52">
        <v>0</v>
      </c>
      <c r="J206" s="53">
        <v>0</v>
      </c>
      <c r="K206" s="54"/>
      <c r="L206" s="53"/>
      <c r="M206" s="54"/>
      <c r="N206" s="53"/>
      <c r="O206" s="54"/>
      <c r="P206" s="53"/>
      <c r="Q206" s="54"/>
      <c r="R206" s="53"/>
      <c r="S206" s="322">
        <f t="shared" si="31"/>
        <v>0</v>
      </c>
      <c r="T206" s="323">
        <f t="shared" si="32"/>
        <v>0</v>
      </c>
      <c r="U206" s="36"/>
      <c r="V206" s="56"/>
      <c r="W206" s="56"/>
      <c r="X206" s="57"/>
      <c r="Y206" s="58"/>
      <c r="Z206" s="59"/>
      <c r="AA206" s="38"/>
      <c r="AD206" s="40"/>
      <c r="AE206" s="42"/>
      <c r="AF206" s="42"/>
      <c r="AG206" s="2"/>
      <c r="AH206" s="43"/>
      <c r="AI206" s="60"/>
      <c r="AJ206" s="60"/>
      <c r="AK206" s="60"/>
      <c r="AL206" s="70"/>
      <c r="AM206" s="70"/>
      <c r="AN206" s="63"/>
    </row>
    <row r="207" spans="1:40" ht="48.75" customHeight="1" x14ac:dyDescent="0.3">
      <c r="A207" s="44" t="s">
        <v>375</v>
      </c>
      <c r="B207" s="45" t="s">
        <v>376</v>
      </c>
      <c r="C207" s="64" t="s">
        <v>304</v>
      </c>
      <c r="D207" s="191">
        <v>1</v>
      </c>
      <c r="E207" s="192">
        <v>53794.65</v>
      </c>
      <c r="F207" s="181"/>
      <c r="G207" s="74">
        <v>0</v>
      </c>
      <c r="H207" s="75">
        <v>0</v>
      </c>
      <c r="I207" s="52">
        <v>0</v>
      </c>
      <c r="J207" s="53">
        <v>0</v>
      </c>
      <c r="K207" s="54"/>
      <c r="L207" s="53"/>
      <c r="M207" s="54"/>
      <c r="N207" s="53"/>
      <c r="O207" s="54"/>
      <c r="P207" s="53"/>
      <c r="Q207" s="54"/>
      <c r="R207" s="53"/>
      <c r="S207" s="322">
        <f t="shared" si="31"/>
        <v>0</v>
      </c>
      <c r="T207" s="323">
        <f t="shared" si="32"/>
        <v>0</v>
      </c>
      <c r="U207" s="36"/>
      <c r="V207" s="56"/>
      <c r="W207" s="56"/>
      <c r="X207" s="57"/>
      <c r="Y207" s="58"/>
      <c r="Z207" s="59"/>
      <c r="AA207" s="38"/>
      <c r="AD207" s="40"/>
      <c r="AE207" s="42"/>
      <c r="AF207" s="42"/>
      <c r="AG207" s="2"/>
      <c r="AH207" s="43"/>
      <c r="AI207" s="60"/>
      <c r="AJ207" s="60"/>
      <c r="AK207" s="60"/>
      <c r="AL207" s="70"/>
      <c r="AM207" s="70"/>
      <c r="AN207" s="63"/>
    </row>
    <row r="208" spans="1:40" ht="48.75" customHeight="1" x14ac:dyDescent="0.3">
      <c r="A208" s="44" t="s">
        <v>377</v>
      </c>
      <c r="B208" s="45" t="s">
        <v>378</v>
      </c>
      <c r="C208" s="64" t="s">
        <v>230</v>
      </c>
      <c r="D208" s="191">
        <v>1</v>
      </c>
      <c r="E208" s="192">
        <v>37703.178240000001</v>
      </c>
      <c r="F208" s="181"/>
      <c r="G208" s="74">
        <v>0</v>
      </c>
      <c r="H208" s="75">
        <v>0</v>
      </c>
      <c r="I208" s="52">
        <v>0</v>
      </c>
      <c r="J208" s="53">
        <v>0</v>
      </c>
      <c r="K208" s="54"/>
      <c r="L208" s="53"/>
      <c r="M208" s="54"/>
      <c r="N208" s="53"/>
      <c r="O208" s="54"/>
      <c r="P208" s="53"/>
      <c r="Q208" s="54"/>
      <c r="R208" s="53"/>
      <c r="S208" s="322">
        <f t="shared" si="31"/>
        <v>0</v>
      </c>
      <c r="T208" s="323">
        <f t="shared" si="32"/>
        <v>0</v>
      </c>
      <c r="U208" s="36"/>
      <c r="V208" s="56"/>
      <c r="W208" s="56"/>
      <c r="X208" s="57"/>
      <c r="Y208" s="58"/>
      <c r="Z208" s="59"/>
      <c r="AA208" s="38"/>
      <c r="AD208" s="40"/>
      <c r="AE208" s="42"/>
      <c r="AF208" s="42"/>
      <c r="AG208" s="2"/>
      <c r="AH208" s="43"/>
      <c r="AI208" s="60"/>
      <c r="AJ208" s="60"/>
      <c r="AK208" s="60"/>
      <c r="AL208" s="70"/>
      <c r="AM208" s="70"/>
      <c r="AN208" s="63"/>
    </row>
    <row r="209" spans="1:40" ht="48.75" customHeight="1" x14ac:dyDescent="0.3">
      <c r="A209" s="44" t="s">
        <v>379</v>
      </c>
      <c r="B209" s="45" t="s">
        <v>380</v>
      </c>
      <c r="C209" s="64" t="s">
        <v>230</v>
      </c>
      <c r="D209" s="191">
        <v>1</v>
      </c>
      <c r="E209" s="192">
        <v>37703.178240000001</v>
      </c>
      <c r="F209" s="181"/>
      <c r="G209" s="74">
        <v>0</v>
      </c>
      <c r="H209" s="75">
        <v>0</v>
      </c>
      <c r="I209" s="52">
        <v>0</v>
      </c>
      <c r="J209" s="53">
        <v>0</v>
      </c>
      <c r="K209" s="54"/>
      <c r="L209" s="53"/>
      <c r="M209" s="54"/>
      <c r="N209" s="53"/>
      <c r="O209" s="54"/>
      <c r="P209" s="53"/>
      <c r="Q209" s="54"/>
      <c r="R209" s="53"/>
      <c r="S209" s="322">
        <f t="shared" si="31"/>
        <v>0</v>
      </c>
      <c r="T209" s="323">
        <f t="shared" si="32"/>
        <v>0</v>
      </c>
      <c r="U209" s="36"/>
      <c r="V209" s="56"/>
      <c r="W209" s="56"/>
      <c r="X209" s="57"/>
      <c r="Y209" s="58"/>
      <c r="Z209" s="59"/>
      <c r="AA209" s="38"/>
      <c r="AD209" s="40"/>
      <c r="AE209" s="42"/>
      <c r="AF209" s="42"/>
      <c r="AG209" s="2"/>
      <c r="AH209" s="43"/>
      <c r="AI209" s="60"/>
      <c r="AJ209" s="60"/>
      <c r="AK209" s="60"/>
      <c r="AL209" s="70"/>
      <c r="AM209" s="70"/>
      <c r="AN209" s="63"/>
    </row>
    <row r="210" spans="1:40" ht="48.75" customHeight="1" x14ac:dyDescent="0.3">
      <c r="A210" s="44" t="s">
        <v>381</v>
      </c>
      <c r="B210" s="45" t="s">
        <v>382</v>
      </c>
      <c r="C210" s="64" t="s">
        <v>304</v>
      </c>
      <c r="D210" s="191">
        <v>1</v>
      </c>
      <c r="E210" s="192">
        <v>23323.157239200002</v>
      </c>
      <c r="F210" s="181"/>
      <c r="G210" s="74">
        <v>0</v>
      </c>
      <c r="H210" s="75">
        <v>0</v>
      </c>
      <c r="I210" s="52">
        <v>0</v>
      </c>
      <c r="J210" s="53">
        <v>0</v>
      </c>
      <c r="K210" s="54"/>
      <c r="L210" s="53"/>
      <c r="M210" s="54"/>
      <c r="N210" s="53"/>
      <c r="O210" s="54"/>
      <c r="P210" s="53"/>
      <c r="Q210" s="54"/>
      <c r="R210" s="53"/>
      <c r="S210" s="322">
        <f t="shared" si="31"/>
        <v>0</v>
      </c>
      <c r="T210" s="323">
        <f t="shared" si="32"/>
        <v>0</v>
      </c>
      <c r="U210" s="36"/>
      <c r="V210" s="56"/>
      <c r="W210" s="56"/>
      <c r="X210" s="57"/>
      <c r="Y210" s="58"/>
      <c r="Z210" s="59"/>
      <c r="AA210" s="38"/>
      <c r="AD210" s="40"/>
      <c r="AE210" s="42"/>
      <c r="AF210" s="42"/>
      <c r="AG210" s="2"/>
      <c r="AH210" s="43"/>
      <c r="AI210" s="60"/>
      <c r="AJ210" s="60"/>
      <c r="AK210" s="60"/>
      <c r="AL210" s="70"/>
      <c r="AM210" s="70"/>
      <c r="AN210" s="63"/>
    </row>
    <row r="211" spans="1:40" ht="48.75" customHeight="1" x14ac:dyDescent="0.3">
      <c r="A211" s="44" t="s">
        <v>383</v>
      </c>
      <c r="B211" s="45" t="s">
        <v>384</v>
      </c>
      <c r="C211" s="64" t="s">
        <v>230</v>
      </c>
      <c r="D211" s="191">
        <v>1</v>
      </c>
      <c r="E211" s="192">
        <v>55994.658720000007</v>
      </c>
      <c r="F211" s="181"/>
      <c r="G211" s="74">
        <v>0</v>
      </c>
      <c r="H211" s="75">
        <v>0</v>
      </c>
      <c r="I211" s="52">
        <v>0</v>
      </c>
      <c r="J211" s="53">
        <v>0</v>
      </c>
      <c r="K211" s="54"/>
      <c r="L211" s="53"/>
      <c r="M211" s="54"/>
      <c r="N211" s="53"/>
      <c r="O211" s="54"/>
      <c r="P211" s="53"/>
      <c r="Q211" s="54"/>
      <c r="R211" s="53"/>
      <c r="S211" s="322">
        <f t="shared" si="31"/>
        <v>0</v>
      </c>
      <c r="T211" s="323">
        <f t="shared" si="32"/>
        <v>0</v>
      </c>
      <c r="U211" s="36"/>
      <c r="V211" s="56"/>
      <c r="W211" s="56"/>
      <c r="X211" s="57"/>
      <c r="Y211" s="58"/>
      <c r="Z211" s="59"/>
      <c r="AA211" s="38"/>
      <c r="AD211" s="40"/>
      <c r="AE211" s="42"/>
      <c r="AF211" s="42"/>
      <c r="AG211" s="2"/>
      <c r="AH211" s="43"/>
      <c r="AI211" s="60"/>
      <c r="AJ211" s="60"/>
      <c r="AK211" s="60"/>
      <c r="AL211" s="70"/>
      <c r="AM211" s="70"/>
      <c r="AN211" s="63"/>
    </row>
    <row r="212" spans="1:40" ht="48.75" customHeight="1" x14ac:dyDescent="0.3">
      <c r="A212" s="44" t="s">
        <v>385</v>
      </c>
      <c r="B212" s="45" t="s">
        <v>386</v>
      </c>
      <c r="C212" s="64" t="s">
        <v>230</v>
      </c>
      <c r="D212" s="191">
        <v>1</v>
      </c>
      <c r="E212" s="192">
        <v>33045.099360000007</v>
      </c>
      <c r="F212" s="181"/>
      <c r="G212" s="74">
        <v>0</v>
      </c>
      <c r="H212" s="75">
        <v>0</v>
      </c>
      <c r="I212" s="52">
        <v>0</v>
      </c>
      <c r="J212" s="53">
        <v>0</v>
      </c>
      <c r="K212" s="54"/>
      <c r="L212" s="53"/>
      <c r="M212" s="54"/>
      <c r="N212" s="53"/>
      <c r="O212" s="54"/>
      <c r="P212" s="53"/>
      <c r="Q212" s="54"/>
      <c r="R212" s="53"/>
      <c r="S212" s="322">
        <f t="shared" si="31"/>
        <v>0</v>
      </c>
      <c r="T212" s="323">
        <f t="shared" si="32"/>
        <v>0</v>
      </c>
      <c r="U212" s="36"/>
      <c r="V212" s="56"/>
      <c r="W212" s="56"/>
      <c r="X212" s="57"/>
      <c r="Y212" s="58"/>
      <c r="Z212" s="59"/>
      <c r="AA212" s="38"/>
      <c r="AD212" s="40"/>
      <c r="AE212" s="42"/>
      <c r="AF212" s="42"/>
      <c r="AG212" s="2"/>
      <c r="AH212" s="43"/>
      <c r="AI212" s="60"/>
      <c r="AJ212" s="60"/>
      <c r="AK212" s="60"/>
      <c r="AL212" s="70"/>
      <c r="AM212" s="70"/>
      <c r="AN212" s="63"/>
    </row>
    <row r="213" spans="1:40" ht="48.75" customHeight="1" x14ac:dyDescent="0.3">
      <c r="A213" s="44" t="s">
        <v>387</v>
      </c>
      <c r="B213" s="45" t="s">
        <v>388</v>
      </c>
      <c r="C213" s="64" t="s">
        <v>304</v>
      </c>
      <c r="D213" s="191">
        <v>1</v>
      </c>
      <c r="E213" s="192">
        <v>14644.115959200002</v>
      </c>
      <c r="F213" s="181"/>
      <c r="G213" s="74">
        <v>0</v>
      </c>
      <c r="H213" s="75">
        <v>0</v>
      </c>
      <c r="I213" s="52">
        <v>0</v>
      </c>
      <c r="J213" s="53">
        <v>0</v>
      </c>
      <c r="K213" s="54"/>
      <c r="L213" s="53"/>
      <c r="M213" s="54"/>
      <c r="N213" s="53"/>
      <c r="O213" s="54"/>
      <c r="P213" s="53"/>
      <c r="Q213" s="54"/>
      <c r="R213" s="53"/>
      <c r="S213" s="322">
        <f t="shared" si="31"/>
        <v>0</v>
      </c>
      <c r="T213" s="323">
        <f t="shared" si="32"/>
        <v>0</v>
      </c>
      <c r="U213" s="36"/>
      <c r="V213" s="56"/>
      <c r="W213" s="56"/>
      <c r="X213" s="57"/>
      <c r="Y213" s="58"/>
      <c r="Z213" s="59"/>
      <c r="AA213" s="38"/>
      <c r="AD213" s="40"/>
      <c r="AE213" s="42"/>
      <c r="AF213" s="42"/>
      <c r="AG213" s="2"/>
      <c r="AH213" s="43"/>
      <c r="AI213" s="60"/>
      <c r="AJ213" s="60"/>
      <c r="AK213" s="60"/>
      <c r="AL213" s="70"/>
      <c r="AM213" s="70"/>
      <c r="AN213" s="63"/>
    </row>
    <row r="214" spans="1:40" ht="48.75" customHeight="1" x14ac:dyDescent="0.3">
      <c r="A214" s="44" t="s">
        <v>389</v>
      </c>
      <c r="B214" s="45" t="s">
        <v>390</v>
      </c>
      <c r="C214" s="64" t="s">
        <v>230</v>
      </c>
      <c r="D214" s="191">
        <v>1</v>
      </c>
      <c r="E214" s="192">
        <v>78487.543680000002</v>
      </c>
      <c r="F214" s="181"/>
      <c r="G214" s="74">
        <v>0</v>
      </c>
      <c r="H214" s="75">
        <v>0</v>
      </c>
      <c r="I214" s="52">
        <v>0</v>
      </c>
      <c r="J214" s="53">
        <v>0</v>
      </c>
      <c r="K214" s="54"/>
      <c r="L214" s="53"/>
      <c r="M214" s="54"/>
      <c r="N214" s="53"/>
      <c r="O214" s="54"/>
      <c r="P214" s="53"/>
      <c r="Q214" s="54"/>
      <c r="R214" s="53"/>
      <c r="S214" s="322">
        <f t="shared" si="31"/>
        <v>0</v>
      </c>
      <c r="T214" s="323">
        <f t="shared" si="32"/>
        <v>0</v>
      </c>
      <c r="U214" s="36"/>
      <c r="V214" s="56"/>
      <c r="W214" s="56"/>
      <c r="X214" s="57"/>
      <c r="Y214" s="58"/>
      <c r="Z214" s="59"/>
      <c r="AA214" s="38"/>
      <c r="AD214" s="40"/>
      <c r="AE214" s="42"/>
      <c r="AF214" s="42"/>
      <c r="AG214" s="2"/>
      <c r="AH214" s="43"/>
      <c r="AI214" s="60"/>
      <c r="AJ214" s="60"/>
      <c r="AK214" s="60"/>
      <c r="AL214" s="70"/>
      <c r="AM214" s="70"/>
      <c r="AN214" s="63"/>
    </row>
    <row r="215" spans="1:40" ht="48.75" customHeight="1" x14ac:dyDescent="0.3">
      <c r="A215" s="44" t="s">
        <v>391</v>
      </c>
      <c r="B215" s="45" t="s">
        <v>392</v>
      </c>
      <c r="C215" s="64" t="s">
        <v>230</v>
      </c>
      <c r="D215" s="191">
        <v>1</v>
      </c>
      <c r="E215" s="192">
        <v>78487.543680000002</v>
      </c>
      <c r="F215" s="181"/>
      <c r="G215" s="74">
        <v>0</v>
      </c>
      <c r="H215" s="75">
        <v>0</v>
      </c>
      <c r="I215" s="52">
        <v>0</v>
      </c>
      <c r="J215" s="53">
        <v>0</v>
      </c>
      <c r="K215" s="54"/>
      <c r="L215" s="53"/>
      <c r="M215" s="54"/>
      <c r="N215" s="53"/>
      <c r="O215" s="54"/>
      <c r="P215" s="53"/>
      <c r="Q215" s="54"/>
      <c r="R215" s="53"/>
      <c r="S215" s="322">
        <f t="shared" si="31"/>
        <v>0</v>
      </c>
      <c r="T215" s="323">
        <f t="shared" si="32"/>
        <v>0</v>
      </c>
      <c r="U215" s="36"/>
      <c r="V215" s="56"/>
      <c r="W215" s="56"/>
      <c r="X215" s="57"/>
      <c r="Y215" s="58"/>
      <c r="Z215" s="59"/>
      <c r="AA215" s="38"/>
      <c r="AD215" s="40"/>
      <c r="AE215" s="42"/>
      <c r="AF215" s="42"/>
      <c r="AG215" s="2"/>
      <c r="AH215" s="43"/>
      <c r="AI215" s="60"/>
      <c r="AJ215" s="60"/>
      <c r="AK215" s="60"/>
      <c r="AL215" s="70"/>
      <c r="AM215" s="70"/>
      <c r="AN215" s="63"/>
    </row>
    <row r="216" spans="1:40" ht="48.75" customHeight="1" x14ac:dyDescent="0.3">
      <c r="A216" s="44" t="s">
        <v>393</v>
      </c>
      <c r="B216" s="45" t="s">
        <v>394</v>
      </c>
      <c r="C216" s="64" t="s">
        <v>304</v>
      </c>
      <c r="D216" s="191">
        <v>1</v>
      </c>
      <c r="E216" s="192">
        <v>27335.208919200002</v>
      </c>
      <c r="F216" s="181"/>
      <c r="G216" s="74">
        <v>0</v>
      </c>
      <c r="H216" s="75">
        <v>0</v>
      </c>
      <c r="I216" s="52">
        <v>0</v>
      </c>
      <c r="J216" s="53">
        <v>0</v>
      </c>
      <c r="K216" s="54"/>
      <c r="L216" s="53"/>
      <c r="M216" s="54"/>
      <c r="N216" s="53"/>
      <c r="O216" s="54"/>
      <c r="P216" s="53"/>
      <c r="Q216" s="54"/>
      <c r="R216" s="53"/>
      <c r="S216" s="322">
        <f t="shared" si="31"/>
        <v>0</v>
      </c>
      <c r="T216" s="323">
        <f t="shared" si="32"/>
        <v>0</v>
      </c>
      <c r="U216" s="36"/>
      <c r="V216" s="56"/>
      <c r="W216" s="56"/>
      <c r="X216" s="57"/>
      <c r="Y216" s="58"/>
      <c r="Z216" s="59"/>
      <c r="AA216" s="38"/>
      <c r="AD216" s="40"/>
      <c r="AE216" s="42"/>
      <c r="AF216" s="42"/>
      <c r="AG216" s="2"/>
      <c r="AH216" s="43"/>
      <c r="AI216" s="60"/>
      <c r="AJ216" s="60"/>
      <c r="AK216" s="60"/>
      <c r="AL216" s="70"/>
      <c r="AM216" s="70"/>
      <c r="AN216" s="63"/>
    </row>
    <row r="217" spans="1:40" ht="48.75" customHeight="1" x14ac:dyDescent="0.3">
      <c r="A217" s="44" t="s">
        <v>395</v>
      </c>
      <c r="B217" s="45" t="s">
        <v>396</v>
      </c>
      <c r="C217" s="64" t="s">
        <v>230</v>
      </c>
      <c r="D217" s="191">
        <v>1</v>
      </c>
      <c r="E217" s="192">
        <v>163983.67440000002</v>
      </c>
      <c r="F217" s="181"/>
      <c r="G217" s="74">
        <v>0</v>
      </c>
      <c r="H217" s="75">
        <v>0</v>
      </c>
      <c r="I217" s="52">
        <v>0</v>
      </c>
      <c r="J217" s="53">
        <v>0</v>
      </c>
      <c r="K217" s="54"/>
      <c r="L217" s="53"/>
      <c r="M217" s="54"/>
      <c r="N217" s="53"/>
      <c r="O217" s="54"/>
      <c r="P217" s="53"/>
      <c r="Q217" s="54"/>
      <c r="R217" s="53"/>
      <c r="S217" s="322">
        <f t="shared" si="31"/>
        <v>0</v>
      </c>
      <c r="T217" s="323">
        <f t="shared" si="32"/>
        <v>0</v>
      </c>
      <c r="U217" s="36"/>
      <c r="V217" s="56"/>
      <c r="W217" s="56"/>
      <c r="X217" s="57"/>
      <c r="Y217" s="58"/>
      <c r="Z217" s="59"/>
      <c r="AA217" s="38"/>
      <c r="AD217" s="40"/>
      <c r="AE217" s="42"/>
      <c r="AF217" s="42"/>
      <c r="AG217" s="2"/>
      <c r="AH217" s="43"/>
      <c r="AI217" s="60"/>
      <c r="AJ217" s="60"/>
      <c r="AK217" s="60"/>
      <c r="AL217" s="70"/>
      <c r="AM217" s="70"/>
      <c r="AN217" s="63"/>
    </row>
    <row r="218" spans="1:40" ht="48.75" customHeight="1" x14ac:dyDescent="0.3">
      <c r="A218" s="44" t="s">
        <v>397</v>
      </c>
      <c r="B218" s="45" t="s">
        <v>398</v>
      </c>
      <c r="C218" s="64" t="s">
        <v>304</v>
      </c>
      <c r="D218" s="191">
        <v>1</v>
      </c>
      <c r="E218" s="192">
        <v>217821.89803920002</v>
      </c>
      <c r="F218" s="181"/>
      <c r="G218" s="74">
        <v>0</v>
      </c>
      <c r="H218" s="75">
        <v>0</v>
      </c>
      <c r="I218" s="52">
        <v>0</v>
      </c>
      <c r="J218" s="53">
        <v>0</v>
      </c>
      <c r="K218" s="54"/>
      <c r="L218" s="53"/>
      <c r="M218" s="54"/>
      <c r="N218" s="53"/>
      <c r="O218" s="54"/>
      <c r="P218" s="53"/>
      <c r="Q218" s="54"/>
      <c r="R218" s="53"/>
      <c r="S218" s="322">
        <f t="shared" si="31"/>
        <v>0</v>
      </c>
      <c r="T218" s="323">
        <f t="shared" si="32"/>
        <v>0</v>
      </c>
      <c r="U218" s="36"/>
      <c r="V218" s="56"/>
      <c r="W218" s="56"/>
      <c r="X218" s="57"/>
      <c r="Y218" s="58"/>
      <c r="Z218" s="59"/>
      <c r="AA218" s="38"/>
      <c r="AD218" s="40"/>
      <c r="AE218" s="42"/>
      <c r="AF218" s="42"/>
      <c r="AG218" s="2"/>
      <c r="AH218" s="43"/>
      <c r="AI218" s="60"/>
      <c r="AJ218" s="60"/>
      <c r="AK218" s="60"/>
      <c r="AL218" s="70"/>
      <c r="AM218" s="70"/>
      <c r="AN218" s="63"/>
    </row>
    <row r="219" spans="1:40" ht="48.75" customHeight="1" x14ac:dyDescent="0.3">
      <c r="A219" s="44" t="s">
        <v>399</v>
      </c>
      <c r="B219" s="45" t="s">
        <v>400</v>
      </c>
      <c r="C219" s="64" t="s">
        <v>304</v>
      </c>
      <c r="D219" s="191">
        <v>1</v>
      </c>
      <c r="E219" s="192">
        <v>81094.650000000009</v>
      </c>
      <c r="F219" s="181"/>
      <c r="G219" s="74">
        <v>0</v>
      </c>
      <c r="H219" s="75">
        <v>0</v>
      </c>
      <c r="I219" s="52">
        <v>0</v>
      </c>
      <c r="J219" s="53">
        <v>0</v>
      </c>
      <c r="K219" s="54"/>
      <c r="L219" s="53"/>
      <c r="M219" s="54"/>
      <c r="N219" s="53"/>
      <c r="O219" s="54"/>
      <c r="P219" s="53"/>
      <c r="Q219" s="54"/>
      <c r="R219" s="53"/>
      <c r="S219" s="322">
        <f t="shared" si="31"/>
        <v>0</v>
      </c>
      <c r="T219" s="323">
        <f t="shared" si="32"/>
        <v>0</v>
      </c>
      <c r="U219" s="36"/>
      <c r="V219" s="56"/>
      <c r="W219" s="56"/>
      <c r="X219" s="57"/>
      <c r="Y219" s="58"/>
      <c r="Z219" s="59"/>
      <c r="AA219" s="38"/>
      <c r="AD219" s="40"/>
      <c r="AE219" s="42"/>
      <c r="AF219" s="42"/>
      <c r="AG219" s="2"/>
      <c r="AH219" s="43"/>
      <c r="AI219" s="60"/>
      <c r="AJ219" s="60"/>
      <c r="AK219" s="60"/>
      <c r="AL219" s="70"/>
      <c r="AM219" s="70"/>
      <c r="AN219" s="63"/>
    </row>
    <row r="220" spans="1:40" ht="48.75" customHeight="1" x14ac:dyDescent="0.3">
      <c r="A220" s="44" t="s">
        <v>401</v>
      </c>
      <c r="B220" s="45" t="s">
        <v>402</v>
      </c>
      <c r="C220" s="64" t="s">
        <v>230</v>
      </c>
      <c r="D220" s="191">
        <v>1</v>
      </c>
      <c r="E220" s="192">
        <v>21478.984800000002</v>
      </c>
      <c r="F220" s="181"/>
      <c r="G220" s="74">
        <v>0</v>
      </c>
      <c r="H220" s="75">
        <v>0</v>
      </c>
      <c r="I220" s="52">
        <v>0</v>
      </c>
      <c r="J220" s="53">
        <v>0</v>
      </c>
      <c r="K220" s="54"/>
      <c r="L220" s="53"/>
      <c r="M220" s="54"/>
      <c r="N220" s="53"/>
      <c r="O220" s="54"/>
      <c r="P220" s="53"/>
      <c r="Q220" s="54"/>
      <c r="R220" s="53"/>
      <c r="S220" s="322">
        <f t="shared" si="31"/>
        <v>0</v>
      </c>
      <c r="T220" s="323">
        <f t="shared" si="32"/>
        <v>0</v>
      </c>
      <c r="U220" s="36"/>
      <c r="V220" s="56"/>
      <c r="W220" s="56"/>
      <c r="X220" s="57"/>
      <c r="Y220" s="58"/>
      <c r="Z220" s="59"/>
      <c r="AA220" s="38"/>
      <c r="AD220" s="40"/>
      <c r="AE220" s="42"/>
      <c r="AF220" s="42"/>
      <c r="AG220" s="2"/>
      <c r="AH220" s="43"/>
      <c r="AI220" s="60"/>
      <c r="AJ220" s="60"/>
      <c r="AK220" s="60"/>
      <c r="AL220" s="70"/>
      <c r="AM220" s="70"/>
      <c r="AN220" s="63"/>
    </row>
    <row r="221" spans="1:40" ht="48.75" customHeight="1" x14ac:dyDescent="0.3">
      <c r="A221" s="44" t="s">
        <v>403</v>
      </c>
      <c r="B221" s="45" t="s">
        <v>328</v>
      </c>
      <c r="C221" s="64" t="s">
        <v>304</v>
      </c>
      <c r="D221" s="191">
        <v>1</v>
      </c>
      <c r="E221" s="192">
        <v>5058.4089192000001</v>
      </c>
      <c r="F221" s="181"/>
      <c r="G221" s="74">
        <v>0</v>
      </c>
      <c r="H221" s="75">
        <v>0</v>
      </c>
      <c r="I221" s="52">
        <v>0</v>
      </c>
      <c r="J221" s="53">
        <v>0</v>
      </c>
      <c r="K221" s="54"/>
      <c r="L221" s="53"/>
      <c r="M221" s="54"/>
      <c r="N221" s="53"/>
      <c r="O221" s="54"/>
      <c r="P221" s="53"/>
      <c r="Q221" s="54"/>
      <c r="R221" s="53"/>
      <c r="S221" s="322">
        <f t="shared" si="31"/>
        <v>0</v>
      </c>
      <c r="T221" s="323">
        <f t="shared" si="32"/>
        <v>0</v>
      </c>
      <c r="U221" s="36"/>
      <c r="V221" s="56"/>
      <c r="W221" s="56"/>
      <c r="X221" s="57"/>
      <c r="Y221" s="58"/>
      <c r="Z221" s="59"/>
      <c r="AA221" s="38"/>
      <c r="AD221" s="40"/>
      <c r="AE221" s="42"/>
      <c r="AF221" s="42"/>
      <c r="AG221" s="2"/>
      <c r="AH221" s="43"/>
      <c r="AI221" s="60"/>
      <c r="AJ221" s="60"/>
      <c r="AK221" s="60"/>
      <c r="AL221" s="70"/>
      <c r="AM221" s="70"/>
      <c r="AN221" s="63"/>
    </row>
    <row r="222" spans="1:40" ht="48.75" customHeight="1" x14ac:dyDescent="0.3">
      <c r="A222" s="44" t="s">
        <v>404</v>
      </c>
      <c r="B222" s="45" t="s">
        <v>405</v>
      </c>
      <c r="C222" s="64" t="s">
        <v>230</v>
      </c>
      <c r="D222" s="191">
        <v>1</v>
      </c>
      <c r="E222" s="192">
        <v>52530.616320000001</v>
      </c>
      <c r="F222" s="181"/>
      <c r="G222" s="74">
        <v>0</v>
      </c>
      <c r="H222" s="75">
        <v>0</v>
      </c>
      <c r="I222" s="52">
        <v>0</v>
      </c>
      <c r="J222" s="53">
        <v>0</v>
      </c>
      <c r="K222" s="54"/>
      <c r="L222" s="53"/>
      <c r="M222" s="54"/>
      <c r="N222" s="53"/>
      <c r="O222" s="54"/>
      <c r="P222" s="53"/>
      <c r="Q222" s="54"/>
      <c r="R222" s="53"/>
      <c r="S222" s="322">
        <f t="shared" si="31"/>
        <v>0</v>
      </c>
      <c r="T222" s="323">
        <f t="shared" si="32"/>
        <v>0</v>
      </c>
      <c r="U222" s="36"/>
      <c r="V222" s="56"/>
      <c r="W222" s="56"/>
      <c r="X222" s="57"/>
      <c r="Y222" s="58"/>
      <c r="Z222" s="59"/>
      <c r="AA222" s="38"/>
      <c r="AD222" s="40"/>
      <c r="AE222" s="42"/>
      <c r="AF222" s="42"/>
      <c r="AG222" s="2"/>
      <c r="AH222" s="43"/>
      <c r="AI222" s="60"/>
      <c r="AJ222" s="60"/>
      <c r="AK222" s="60"/>
      <c r="AL222" s="70"/>
      <c r="AM222" s="70"/>
      <c r="AN222" s="63"/>
    </row>
    <row r="223" spans="1:40" ht="48.75" customHeight="1" x14ac:dyDescent="0.3">
      <c r="A223" s="44" t="s">
        <v>406</v>
      </c>
      <c r="B223" s="45" t="s">
        <v>407</v>
      </c>
      <c r="C223" s="64" t="s">
        <v>304</v>
      </c>
      <c r="D223" s="191">
        <v>1</v>
      </c>
      <c r="E223" s="192">
        <v>23323.157239200002</v>
      </c>
      <c r="F223" s="181"/>
      <c r="G223" s="74">
        <v>0</v>
      </c>
      <c r="H223" s="75">
        <v>0</v>
      </c>
      <c r="I223" s="52">
        <v>0</v>
      </c>
      <c r="J223" s="53">
        <v>0</v>
      </c>
      <c r="K223" s="54"/>
      <c r="L223" s="53"/>
      <c r="M223" s="54"/>
      <c r="N223" s="53"/>
      <c r="O223" s="54"/>
      <c r="P223" s="53"/>
      <c r="Q223" s="54"/>
      <c r="R223" s="53"/>
      <c r="S223" s="322">
        <f t="shared" si="31"/>
        <v>0</v>
      </c>
      <c r="T223" s="323">
        <f t="shared" si="32"/>
        <v>0</v>
      </c>
      <c r="U223" s="36"/>
      <c r="V223" s="56"/>
      <c r="W223" s="56"/>
      <c r="X223" s="57"/>
      <c r="Y223" s="58"/>
      <c r="Z223" s="59"/>
      <c r="AA223" s="38"/>
      <c r="AD223" s="40"/>
      <c r="AE223" s="42"/>
      <c r="AF223" s="42"/>
      <c r="AG223" s="2"/>
      <c r="AH223" s="43"/>
      <c r="AI223" s="60"/>
      <c r="AJ223" s="60"/>
      <c r="AK223" s="60"/>
      <c r="AL223" s="70"/>
      <c r="AM223" s="70"/>
      <c r="AN223" s="63"/>
    </row>
    <row r="224" spans="1:40" ht="48.75" customHeight="1" x14ac:dyDescent="0.3">
      <c r="A224" s="44" t="s">
        <v>408</v>
      </c>
      <c r="B224" s="45" t="s">
        <v>409</v>
      </c>
      <c r="C224" s="64" t="s">
        <v>230</v>
      </c>
      <c r="D224" s="191">
        <v>1</v>
      </c>
      <c r="E224" s="192">
        <v>55994.658720000007</v>
      </c>
      <c r="F224" s="181"/>
      <c r="G224" s="74">
        <v>0</v>
      </c>
      <c r="H224" s="75">
        <v>0</v>
      </c>
      <c r="I224" s="52">
        <v>0</v>
      </c>
      <c r="J224" s="53">
        <v>0</v>
      </c>
      <c r="K224" s="54"/>
      <c r="L224" s="53"/>
      <c r="M224" s="54"/>
      <c r="N224" s="53"/>
      <c r="O224" s="54"/>
      <c r="P224" s="53"/>
      <c r="Q224" s="54"/>
      <c r="R224" s="53"/>
      <c r="S224" s="322">
        <f t="shared" si="31"/>
        <v>0</v>
      </c>
      <c r="T224" s="323">
        <f t="shared" si="32"/>
        <v>0</v>
      </c>
      <c r="U224" s="36"/>
      <c r="V224" s="56"/>
      <c r="W224" s="56"/>
      <c r="X224" s="57"/>
      <c r="Y224" s="58"/>
      <c r="Z224" s="59"/>
      <c r="AA224" s="38"/>
      <c r="AD224" s="40"/>
      <c r="AE224" s="42"/>
      <c r="AF224" s="42"/>
      <c r="AG224" s="2"/>
      <c r="AH224" s="43"/>
      <c r="AI224" s="60"/>
      <c r="AJ224" s="60"/>
      <c r="AK224" s="60"/>
      <c r="AL224" s="70"/>
      <c r="AM224" s="70"/>
      <c r="AN224" s="63"/>
    </row>
    <row r="225" spans="1:40" ht="48.75" customHeight="1" x14ac:dyDescent="0.3">
      <c r="A225" s="44" t="s">
        <v>410</v>
      </c>
      <c r="B225" s="45" t="s">
        <v>411</v>
      </c>
      <c r="C225" s="64" t="s">
        <v>304</v>
      </c>
      <c r="D225" s="191">
        <v>1</v>
      </c>
      <c r="E225" s="192">
        <v>14644.115959200002</v>
      </c>
      <c r="F225" s="181"/>
      <c r="G225" s="74">
        <v>0</v>
      </c>
      <c r="H225" s="75">
        <v>0</v>
      </c>
      <c r="I225" s="52">
        <v>0</v>
      </c>
      <c r="J225" s="53">
        <v>0</v>
      </c>
      <c r="K225" s="54"/>
      <c r="L225" s="53"/>
      <c r="M225" s="54"/>
      <c r="N225" s="53"/>
      <c r="O225" s="54"/>
      <c r="P225" s="53"/>
      <c r="Q225" s="54"/>
      <c r="R225" s="53"/>
      <c r="S225" s="322">
        <f t="shared" si="31"/>
        <v>0</v>
      </c>
      <c r="T225" s="323">
        <f t="shared" si="32"/>
        <v>0</v>
      </c>
      <c r="U225" s="36"/>
      <c r="V225" s="56"/>
      <c r="W225" s="56"/>
      <c r="X225" s="57"/>
      <c r="Y225" s="58"/>
      <c r="Z225" s="59"/>
      <c r="AA225" s="38"/>
      <c r="AD225" s="40"/>
      <c r="AE225" s="42"/>
      <c r="AF225" s="42"/>
      <c r="AG225" s="2"/>
      <c r="AH225" s="43"/>
      <c r="AI225" s="60"/>
      <c r="AJ225" s="60"/>
      <c r="AK225" s="60"/>
      <c r="AL225" s="70"/>
      <c r="AM225" s="70"/>
      <c r="AN225" s="63"/>
    </row>
    <row r="226" spans="1:40" ht="48.75" customHeight="1" x14ac:dyDescent="0.3">
      <c r="A226" s="44" t="s">
        <v>412</v>
      </c>
      <c r="B226" s="45" t="s">
        <v>390</v>
      </c>
      <c r="C226" s="64" t="s">
        <v>230</v>
      </c>
      <c r="D226" s="191">
        <v>1</v>
      </c>
      <c r="E226" s="192">
        <v>78487.543680000002</v>
      </c>
      <c r="F226" s="181"/>
      <c r="G226" s="74">
        <v>0</v>
      </c>
      <c r="H226" s="75">
        <v>0</v>
      </c>
      <c r="I226" s="52">
        <v>0</v>
      </c>
      <c r="J226" s="53">
        <v>0</v>
      </c>
      <c r="K226" s="54"/>
      <c r="L226" s="53"/>
      <c r="M226" s="54"/>
      <c r="N226" s="53"/>
      <c r="O226" s="54"/>
      <c r="P226" s="53"/>
      <c r="Q226" s="54"/>
      <c r="R226" s="53"/>
      <c r="S226" s="322">
        <f t="shared" si="31"/>
        <v>0</v>
      </c>
      <c r="T226" s="323">
        <f t="shared" si="32"/>
        <v>0</v>
      </c>
      <c r="U226" s="36"/>
      <c r="V226" s="56"/>
      <c r="W226" s="56"/>
      <c r="X226" s="57"/>
      <c r="Y226" s="58"/>
      <c r="Z226" s="59"/>
      <c r="AA226" s="38"/>
      <c r="AD226" s="40"/>
      <c r="AE226" s="42"/>
      <c r="AF226" s="42"/>
      <c r="AG226" s="2"/>
      <c r="AH226" s="43"/>
      <c r="AI226" s="60"/>
      <c r="AJ226" s="60"/>
      <c r="AK226" s="60"/>
      <c r="AL226" s="70"/>
      <c r="AM226" s="70"/>
      <c r="AN226" s="63"/>
    </row>
    <row r="227" spans="1:40" ht="48.75" customHeight="1" x14ac:dyDescent="0.3">
      <c r="A227" s="44" t="s">
        <v>413</v>
      </c>
      <c r="B227" s="45" t="s">
        <v>414</v>
      </c>
      <c r="C227" s="64" t="s">
        <v>304</v>
      </c>
      <c r="D227" s="191">
        <v>1</v>
      </c>
      <c r="E227" s="192">
        <v>27335.208919200002</v>
      </c>
      <c r="F227" s="181"/>
      <c r="G227" s="74">
        <v>0</v>
      </c>
      <c r="H227" s="75">
        <v>0</v>
      </c>
      <c r="I227" s="52">
        <v>0</v>
      </c>
      <c r="J227" s="53">
        <v>0</v>
      </c>
      <c r="K227" s="54"/>
      <c r="L227" s="53"/>
      <c r="M227" s="54"/>
      <c r="N227" s="53"/>
      <c r="O227" s="54"/>
      <c r="P227" s="53"/>
      <c r="Q227" s="54"/>
      <c r="R227" s="53"/>
      <c r="S227" s="322">
        <f t="shared" si="31"/>
        <v>0</v>
      </c>
      <c r="T227" s="323">
        <f t="shared" si="32"/>
        <v>0</v>
      </c>
      <c r="U227" s="36"/>
      <c r="V227" s="56"/>
      <c r="W227" s="56"/>
      <c r="X227" s="57"/>
      <c r="Y227" s="58"/>
      <c r="Z227" s="59"/>
      <c r="AA227" s="38"/>
      <c r="AD227" s="40"/>
      <c r="AE227" s="42"/>
      <c r="AF227" s="42"/>
      <c r="AG227" s="2"/>
      <c r="AH227" s="43"/>
      <c r="AI227" s="60"/>
      <c r="AJ227" s="60"/>
      <c r="AK227" s="60"/>
      <c r="AL227" s="70"/>
      <c r="AM227" s="70"/>
      <c r="AN227" s="63"/>
    </row>
    <row r="228" spans="1:40" ht="48.75" customHeight="1" x14ac:dyDescent="0.3">
      <c r="A228" s="44" t="s">
        <v>415</v>
      </c>
      <c r="B228" s="45" t="s">
        <v>396</v>
      </c>
      <c r="C228" s="64" t="s">
        <v>230</v>
      </c>
      <c r="D228" s="191">
        <v>1</v>
      </c>
      <c r="E228" s="192">
        <v>163983.67440000002</v>
      </c>
      <c r="F228" s="181"/>
      <c r="G228" s="74">
        <v>0</v>
      </c>
      <c r="H228" s="75">
        <v>0</v>
      </c>
      <c r="I228" s="52">
        <v>0</v>
      </c>
      <c r="J228" s="53">
        <v>0</v>
      </c>
      <c r="K228" s="54"/>
      <c r="L228" s="53"/>
      <c r="M228" s="54"/>
      <c r="N228" s="53"/>
      <c r="O228" s="54"/>
      <c r="P228" s="53"/>
      <c r="Q228" s="54"/>
      <c r="R228" s="53"/>
      <c r="S228" s="322">
        <f t="shared" si="31"/>
        <v>0</v>
      </c>
      <c r="T228" s="323">
        <f t="shared" si="32"/>
        <v>0</v>
      </c>
      <c r="U228" s="36"/>
      <c r="V228" s="56"/>
      <c r="W228" s="56"/>
      <c r="X228" s="57"/>
      <c r="Y228" s="58"/>
      <c r="Z228" s="59"/>
      <c r="AA228" s="38"/>
      <c r="AD228" s="40"/>
      <c r="AE228" s="42"/>
      <c r="AF228" s="42"/>
      <c r="AG228" s="2"/>
      <c r="AH228" s="43"/>
      <c r="AI228" s="60"/>
      <c r="AJ228" s="60"/>
      <c r="AK228" s="60"/>
      <c r="AL228" s="70"/>
      <c r="AM228" s="70"/>
      <c r="AN228" s="63"/>
    </row>
    <row r="229" spans="1:40" ht="48.75" customHeight="1" x14ac:dyDescent="0.3">
      <c r="A229" s="44" t="s">
        <v>416</v>
      </c>
      <c r="B229" s="45" t="s">
        <v>398</v>
      </c>
      <c r="C229" s="64" t="s">
        <v>304</v>
      </c>
      <c r="D229" s="191">
        <v>1</v>
      </c>
      <c r="E229" s="192">
        <v>217821.89803920002</v>
      </c>
      <c r="F229" s="181"/>
      <c r="G229" s="74">
        <v>0</v>
      </c>
      <c r="H229" s="75">
        <v>0</v>
      </c>
      <c r="I229" s="52">
        <v>0</v>
      </c>
      <c r="J229" s="53">
        <v>0</v>
      </c>
      <c r="K229" s="54"/>
      <c r="L229" s="53"/>
      <c r="M229" s="54"/>
      <c r="N229" s="53"/>
      <c r="O229" s="54"/>
      <c r="P229" s="53"/>
      <c r="Q229" s="54"/>
      <c r="R229" s="53"/>
      <c r="S229" s="322">
        <f t="shared" si="31"/>
        <v>0</v>
      </c>
      <c r="T229" s="323">
        <f t="shared" si="32"/>
        <v>0</v>
      </c>
      <c r="U229" s="36"/>
      <c r="V229" s="56"/>
      <c r="W229" s="56"/>
      <c r="X229" s="57"/>
      <c r="Y229" s="58"/>
      <c r="Z229" s="59"/>
      <c r="AA229" s="38"/>
      <c r="AD229" s="40"/>
      <c r="AE229" s="42"/>
      <c r="AF229" s="42"/>
      <c r="AG229" s="2"/>
      <c r="AH229" s="43"/>
      <c r="AI229" s="60"/>
      <c r="AJ229" s="60"/>
      <c r="AK229" s="60"/>
      <c r="AL229" s="70"/>
      <c r="AM229" s="70"/>
      <c r="AN229" s="63"/>
    </row>
    <row r="230" spans="1:40" ht="48.75" customHeight="1" x14ac:dyDescent="0.3">
      <c r="A230" s="44" t="s">
        <v>417</v>
      </c>
      <c r="B230" s="45" t="s">
        <v>418</v>
      </c>
      <c r="C230" s="64" t="s">
        <v>304</v>
      </c>
      <c r="D230" s="191">
        <v>1</v>
      </c>
      <c r="E230" s="192">
        <v>102934.65000000001</v>
      </c>
      <c r="F230" s="181"/>
      <c r="G230" s="74">
        <v>0</v>
      </c>
      <c r="H230" s="75">
        <v>0</v>
      </c>
      <c r="I230" s="52">
        <v>0</v>
      </c>
      <c r="J230" s="53">
        <v>0</v>
      </c>
      <c r="K230" s="54"/>
      <c r="L230" s="53"/>
      <c r="M230" s="54"/>
      <c r="N230" s="53"/>
      <c r="O230" s="54"/>
      <c r="P230" s="53"/>
      <c r="Q230" s="54"/>
      <c r="R230" s="53"/>
      <c r="S230" s="322">
        <f t="shared" si="31"/>
        <v>0</v>
      </c>
      <c r="T230" s="323">
        <f t="shared" si="32"/>
        <v>0</v>
      </c>
      <c r="U230" s="36"/>
      <c r="V230" s="56"/>
      <c r="W230" s="56"/>
      <c r="X230" s="57"/>
      <c r="Y230" s="58"/>
      <c r="Z230" s="59"/>
      <c r="AA230" s="38"/>
      <c r="AD230" s="40"/>
      <c r="AE230" s="42"/>
      <c r="AF230" s="42"/>
      <c r="AG230" s="2"/>
      <c r="AH230" s="43"/>
      <c r="AI230" s="60"/>
      <c r="AJ230" s="60"/>
      <c r="AK230" s="60"/>
      <c r="AL230" s="70"/>
      <c r="AM230" s="70"/>
      <c r="AN230" s="63"/>
    </row>
    <row r="231" spans="1:40" ht="48.75" customHeight="1" x14ac:dyDescent="0.3">
      <c r="A231" s="44" t="s">
        <v>419</v>
      </c>
      <c r="B231" s="45" t="s">
        <v>420</v>
      </c>
      <c r="C231" s="64" t="s">
        <v>304</v>
      </c>
      <c r="D231" s="191">
        <v>1</v>
      </c>
      <c r="E231" s="192">
        <v>137332.65000000002</v>
      </c>
      <c r="F231" s="181"/>
      <c r="G231" s="74">
        <v>0</v>
      </c>
      <c r="H231" s="75">
        <v>0</v>
      </c>
      <c r="I231" s="52">
        <v>0</v>
      </c>
      <c r="J231" s="53">
        <v>0</v>
      </c>
      <c r="K231" s="54"/>
      <c r="L231" s="53"/>
      <c r="M231" s="54"/>
      <c r="N231" s="53"/>
      <c r="O231" s="54"/>
      <c r="P231" s="53"/>
      <c r="Q231" s="54"/>
      <c r="R231" s="53"/>
      <c r="S231" s="322">
        <f t="shared" si="31"/>
        <v>0</v>
      </c>
      <c r="T231" s="323">
        <f t="shared" si="32"/>
        <v>0</v>
      </c>
      <c r="U231" s="36"/>
      <c r="V231" s="56"/>
      <c r="W231" s="56"/>
      <c r="X231" s="57"/>
      <c r="Y231" s="58"/>
      <c r="Z231" s="59"/>
      <c r="AA231" s="38"/>
      <c r="AD231" s="40"/>
      <c r="AE231" s="42"/>
      <c r="AF231" s="42"/>
      <c r="AG231" s="2"/>
      <c r="AH231" s="43"/>
      <c r="AI231" s="60"/>
      <c r="AJ231" s="60"/>
      <c r="AK231" s="60"/>
      <c r="AL231" s="70"/>
      <c r="AM231" s="70"/>
      <c r="AN231" s="63"/>
    </row>
    <row r="232" spans="1:40" ht="48.75" customHeight="1" x14ac:dyDescent="0.3">
      <c r="A232" s="44" t="s">
        <v>421</v>
      </c>
      <c r="B232" s="45" t="s">
        <v>422</v>
      </c>
      <c r="C232" s="64" t="s">
        <v>304</v>
      </c>
      <c r="D232" s="191">
        <v>1</v>
      </c>
      <c r="E232" s="192">
        <v>164414.25</v>
      </c>
      <c r="F232" s="181"/>
      <c r="G232" s="74">
        <v>0</v>
      </c>
      <c r="H232" s="75">
        <v>0</v>
      </c>
      <c r="I232" s="52">
        <v>0</v>
      </c>
      <c r="J232" s="53">
        <v>0</v>
      </c>
      <c r="K232" s="54"/>
      <c r="L232" s="53"/>
      <c r="M232" s="54"/>
      <c r="N232" s="53"/>
      <c r="O232" s="54"/>
      <c r="P232" s="53"/>
      <c r="Q232" s="54"/>
      <c r="R232" s="53"/>
      <c r="S232" s="322">
        <f t="shared" si="31"/>
        <v>0</v>
      </c>
      <c r="T232" s="323">
        <f t="shared" si="32"/>
        <v>0</v>
      </c>
      <c r="U232" s="36"/>
      <c r="V232" s="56"/>
      <c r="W232" s="56"/>
      <c r="X232" s="57"/>
      <c r="Y232" s="58"/>
      <c r="Z232" s="59"/>
      <c r="AA232" s="38"/>
      <c r="AD232" s="40"/>
      <c r="AE232" s="42"/>
      <c r="AF232" s="42"/>
      <c r="AG232" s="2"/>
      <c r="AH232" s="43"/>
      <c r="AI232" s="60"/>
      <c r="AJ232" s="60"/>
      <c r="AK232" s="60"/>
      <c r="AL232" s="70"/>
      <c r="AM232" s="70"/>
      <c r="AN232" s="63"/>
    </row>
    <row r="233" spans="1:40" ht="48.75" customHeight="1" x14ac:dyDescent="0.3">
      <c r="A233" s="44" t="s">
        <v>423</v>
      </c>
      <c r="B233" s="45" t="s">
        <v>366</v>
      </c>
      <c r="C233" s="64" t="s">
        <v>304</v>
      </c>
      <c r="D233" s="191">
        <v>1</v>
      </c>
      <c r="E233" s="192">
        <v>122590.65000000001</v>
      </c>
      <c r="F233" s="181"/>
      <c r="G233" s="74">
        <v>0</v>
      </c>
      <c r="H233" s="75">
        <v>0</v>
      </c>
      <c r="I233" s="52">
        <v>0</v>
      </c>
      <c r="J233" s="53">
        <v>0</v>
      </c>
      <c r="K233" s="54"/>
      <c r="L233" s="53"/>
      <c r="M233" s="54"/>
      <c r="N233" s="53"/>
      <c r="O233" s="54"/>
      <c r="P233" s="53"/>
      <c r="Q233" s="54"/>
      <c r="R233" s="53"/>
      <c r="S233" s="322">
        <f t="shared" si="31"/>
        <v>0</v>
      </c>
      <c r="T233" s="323">
        <f t="shared" si="32"/>
        <v>0</v>
      </c>
      <c r="U233" s="36"/>
      <c r="V233" s="56"/>
      <c r="W233" s="56"/>
      <c r="X233" s="57"/>
      <c r="Y233" s="58"/>
      <c r="Z233" s="59"/>
      <c r="AA233" s="38"/>
      <c r="AD233" s="40"/>
      <c r="AE233" s="42"/>
      <c r="AF233" s="42"/>
      <c r="AG233" s="2"/>
      <c r="AH233" s="43"/>
      <c r="AI233" s="60"/>
      <c r="AJ233" s="60"/>
      <c r="AK233" s="60"/>
      <c r="AL233" s="70"/>
      <c r="AM233" s="70"/>
      <c r="AN233" s="63"/>
    </row>
    <row r="234" spans="1:40" ht="48.75" customHeight="1" x14ac:dyDescent="0.3">
      <c r="A234" s="44" t="s">
        <v>424</v>
      </c>
      <c r="B234" s="45" t="s">
        <v>425</v>
      </c>
      <c r="C234" s="64" t="s">
        <v>304</v>
      </c>
      <c r="D234" s="191">
        <v>1</v>
      </c>
      <c r="E234" s="192">
        <v>8523.0600000000013</v>
      </c>
      <c r="F234" s="181"/>
      <c r="G234" s="74">
        <v>0</v>
      </c>
      <c r="H234" s="75">
        <v>0</v>
      </c>
      <c r="I234" s="52">
        <v>0</v>
      </c>
      <c r="J234" s="53">
        <v>0</v>
      </c>
      <c r="K234" s="54"/>
      <c r="L234" s="53"/>
      <c r="M234" s="54"/>
      <c r="N234" s="53"/>
      <c r="O234" s="54"/>
      <c r="P234" s="53"/>
      <c r="Q234" s="54"/>
      <c r="R234" s="53"/>
      <c r="S234" s="322">
        <f t="shared" si="31"/>
        <v>0</v>
      </c>
      <c r="T234" s="323">
        <f t="shared" si="32"/>
        <v>0</v>
      </c>
      <c r="U234" s="36"/>
      <c r="V234" s="56"/>
      <c r="W234" s="56"/>
      <c r="X234" s="57"/>
      <c r="Y234" s="58"/>
      <c r="Z234" s="59"/>
      <c r="AA234" s="38"/>
      <c r="AD234" s="40"/>
      <c r="AE234" s="42"/>
      <c r="AF234" s="42"/>
      <c r="AG234" s="2"/>
      <c r="AH234" s="43"/>
      <c r="AI234" s="60"/>
      <c r="AJ234" s="60"/>
      <c r="AK234" s="60"/>
      <c r="AL234" s="70"/>
      <c r="AM234" s="70"/>
      <c r="AN234" s="63"/>
    </row>
    <row r="235" spans="1:40" ht="48.75" customHeight="1" x14ac:dyDescent="0.3">
      <c r="A235" s="44" t="s">
        <v>426</v>
      </c>
      <c r="B235" s="45" t="s">
        <v>427</v>
      </c>
      <c r="C235" s="64" t="s">
        <v>304</v>
      </c>
      <c r="D235" s="191">
        <v>1</v>
      </c>
      <c r="E235" s="192">
        <v>9069.0600000000013</v>
      </c>
      <c r="F235" s="181"/>
      <c r="G235" s="74">
        <v>0</v>
      </c>
      <c r="H235" s="75">
        <v>0</v>
      </c>
      <c r="I235" s="52">
        <v>0</v>
      </c>
      <c r="J235" s="53">
        <v>0</v>
      </c>
      <c r="K235" s="54"/>
      <c r="L235" s="53"/>
      <c r="M235" s="54"/>
      <c r="N235" s="53"/>
      <c r="O235" s="54"/>
      <c r="P235" s="53"/>
      <c r="Q235" s="54"/>
      <c r="R235" s="53"/>
      <c r="S235" s="322">
        <f t="shared" si="31"/>
        <v>0</v>
      </c>
      <c r="T235" s="323">
        <f t="shared" si="32"/>
        <v>0</v>
      </c>
      <c r="U235" s="36"/>
      <c r="V235" s="56"/>
      <c r="W235" s="56"/>
      <c r="X235" s="57"/>
      <c r="Y235" s="58"/>
      <c r="Z235" s="59"/>
      <c r="AA235" s="38"/>
      <c r="AD235" s="40"/>
      <c r="AE235" s="42"/>
      <c r="AF235" s="42"/>
      <c r="AG235" s="2"/>
      <c r="AH235" s="43"/>
      <c r="AI235" s="60"/>
      <c r="AJ235" s="60"/>
      <c r="AK235" s="60"/>
      <c r="AL235" s="70"/>
      <c r="AM235" s="70"/>
      <c r="AN235" s="63"/>
    </row>
    <row r="236" spans="1:40" ht="48.75" customHeight="1" x14ac:dyDescent="0.3">
      <c r="A236" s="44" t="s">
        <v>428</v>
      </c>
      <c r="B236" s="45" t="s">
        <v>429</v>
      </c>
      <c r="C236" s="64" t="s">
        <v>304</v>
      </c>
      <c r="D236" s="191">
        <v>1</v>
      </c>
      <c r="E236" s="192">
        <v>10161.060000000001</v>
      </c>
      <c r="F236" s="181"/>
      <c r="G236" s="74">
        <v>0</v>
      </c>
      <c r="H236" s="75">
        <v>0</v>
      </c>
      <c r="I236" s="52">
        <v>0</v>
      </c>
      <c r="J236" s="53">
        <v>0</v>
      </c>
      <c r="K236" s="54"/>
      <c r="L236" s="53"/>
      <c r="M236" s="54"/>
      <c r="N236" s="53"/>
      <c r="O236" s="54"/>
      <c r="P236" s="53"/>
      <c r="Q236" s="54"/>
      <c r="R236" s="53"/>
      <c r="S236" s="322">
        <f t="shared" si="31"/>
        <v>0</v>
      </c>
      <c r="T236" s="323">
        <f t="shared" si="32"/>
        <v>0</v>
      </c>
      <c r="U236" s="36"/>
      <c r="V236" s="56"/>
      <c r="W236" s="56"/>
      <c r="X236" s="57"/>
      <c r="Y236" s="58"/>
      <c r="Z236" s="59"/>
      <c r="AA236" s="38"/>
      <c r="AD236" s="40"/>
      <c r="AE236" s="42"/>
      <c r="AF236" s="42"/>
      <c r="AG236" s="2"/>
      <c r="AH236" s="43"/>
      <c r="AI236" s="60"/>
      <c r="AJ236" s="60"/>
      <c r="AK236" s="60"/>
      <c r="AL236" s="70"/>
      <c r="AM236" s="70"/>
      <c r="AN236" s="63"/>
    </row>
    <row r="237" spans="1:40" ht="48.75" customHeight="1" x14ac:dyDescent="0.3">
      <c r="A237" s="44" t="s">
        <v>430</v>
      </c>
      <c r="B237" s="45" t="s">
        <v>431</v>
      </c>
      <c r="C237" s="64" t="s">
        <v>304</v>
      </c>
      <c r="D237" s="191">
        <v>1</v>
      </c>
      <c r="E237" s="192">
        <v>11034.660000000002</v>
      </c>
      <c r="F237" s="181"/>
      <c r="G237" s="74">
        <v>0</v>
      </c>
      <c r="H237" s="75">
        <v>0</v>
      </c>
      <c r="I237" s="52">
        <v>0</v>
      </c>
      <c r="J237" s="53">
        <v>0</v>
      </c>
      <c r="K237" s="54"/>
      <c r="L237" s="53"/>
      <c r="M237" s="54"/>
      <c r="N237" s="53"/>
      <c r="O237" s="54"/>
      <c r="P237" s="53"/>
      <c r="Q237" s="54"/>
      <c r="R237" s="53"/>
      <c r="S237" s="322">
        <f t="shared" si="31"/>
        <v>0</v>
      </c>
      <c r="T237" s="323">
        <f t="shared" si="32"/>
        <v>0</v>
      </c>
      <c r="U237" s="36"/>
      <c r="V237" s="56"/>
      <c r="W237" s="56"/>
      <c r="X237" s="57"/>
      <c r="Y237" s="58"/>
      <c r="Z237" s="59"/>
      <c r="AA237" s="38"/>
      <c r="AD237" s="40"/>
      <c r="AE237" s="42"/>
      <c r="AF237" s="42"/>
      <c r="AG237" s="2"/>
      <c r="AH237" s="43"/>
      <c r="AI237" s="60"/>
      <c r="AJ237" s="60"/>
      <c r="AK237" s="60"/>
      <c r="AL237" s="70"/>
      <c r="AM237" s="70"/>
      <c r="AN237" s="63"/>
    </row>
    <row r="238" spans="1:40" ht="48.75" customHeight="1" x14ac:dyDescent="0.3">
      <c r="A238" s="44" t="s">
        <v>432</v>
      </c>
      <c r="B238" s="45" t="s">
        <v>433</v>
      </c>
      <c r="C238" s="64" t="s">
        <v>304</v>
      </c>
      <c r="D238" s="191">
        <v>1</v>
      </c>
      <c r="E238" s="192">
        <v>12017.460000000001</v>
      </c>
      <c r="F238" s="181"/>
      <c r="G238" s="74">
        <v>0</v>
      </c>
      <c r="H238" s="75">
        <v>0</v>
      </c>
      <c r="I238" s="52">
        <v>0</v>
      </c>
      <c r="J238" s="53">
        <v>0</v>
      </c>
      <c r="K238" s="54"/>
      <c r="L238" s="53"/>
      <c r="M238" s="54"/>
      <c r="N238" s="53"/>
      <c r="O238" s="54"/>
      <c r="P238" s="53"/>
      <c r="Q238" s="54"/>
      <c r="R238" s="53"/>
      <c r="S238" s="322">
        <f t="shared" si="31"/>
        <v>0</v>
      </c>
      <c r="T238" s="323">
        <f t="shared" si="32"/>
        <v>0</v>
      </c>
      <c r="U238" s="36"/>
      <c r="V238" s="56"/>
      <c r="W238" s="56"/>
      <c r="X238" s="57"/>
      <c r="Y238" s="58"/>
      <c r="Z238" s="59"/>
      <c r="AA238" s="38"/>
      <c r="AD238" s="40"/>
      <c r="AE238" s="42"/>
      <c r="AF238" s="42"/>
      <c r="AG238" s="2"/>
      <c r="AH238" s="43"/>
      <c r="AI238" s="60"/>
      <c r="AJ238" s="60"/>
      <c r="AK238" s="60"/>
      <c r="AL238" s="70"/>
      <c r="AM238" s="70"/>
      <c r="AN238" s="63"/>
    </row>
    <row r="239" spans="1:40" ht="48.75" customHeight="1" x14ac:dyDescent="0.3">
      <c r="A239" s="44" t="s">
        <v>434</v>
      </c>
      <c r="B239" s="45" t="s">
        <v>435</v>
      </c>
      <c r="C239" s="64" t="s">
        <v>304</v>
      </c>
      <c r="D239" s="191">
        <v>1</v>
      </c>
      <c r="E239" s="192">
        <v>15488.7096</v>
      </c>
      <c r="F239" s="181"/>
      <c r="G239" s="74">
        <v>0</v>
      </c>
      <c r="H239" s="75">
        <v>0</v>
      </c>
      <c r="I239" s="52">
        <v>0</v>
      </c>
      <c r="J239" s="53">
        <v>0</v>
      </c>
      <c r="K239" s="54"/>
      <c r="L239" s="53"/>
      <c r="M239" s="54"/>
      <c r="N239" s="53"/>
      <c r="O239" s="54"/>
      <c r="P239" s="53"/>
      <c r="Q239" s="54"/>
      <c r="R239" s="53"/>
      <c r="S239" s="322">
        <f t="shared" si="31"/>
        <v>0</v>
      </c>
      <c r="T239" s="323">
        <f t="shared" si="32"/>
        <v>0</v>
      </c>
      <c r="U239" s="36"/>
      <c r="V239" s="56"/>
      <c r="W239" s="56"/>
      <c r="X239" s="57"/>
      <c r="Y239" s="58"/>
      <c r="Z239" s="59"/>
      <c r="AA239" s="38"/>
      <c r="AD239" s="40"/>
      <c r="AE239" s="42"/>
      <c r="AF239" s="42"/>
      <c r="AG239" s="2"/>
      <c r="AH239" s="43"/>
      <c r="AI239" s="60"/>
      <c r="AJ239" s="60"/>
      <c r="AK239" s="60"/>
      <c r="AL239" s="70"/>
      <c r="AM239" s="70"/>
      <c r="AN239" s="63"/>
    </row>
    <row r="240" spans="1:40" ht="48.75" customHeight="1" x14ac:dyDescent="0.3">
      <c r="A240" s="44" t="s">
        <v>436</v>
      </c>
      <c r="B240" s="45" t="s">
        <v>437</v>
      </c>
      <c r="C240" s="64" t="s">
        <v>304</v>
      </c>
      <c r="D240" s="191">
        <v>1</v>
      </c>
      <c r="E240" s="192">
        <v>16471.509600000001</v>
      </c>
      <c r="F240" s="181"/>
      <c r="G240" s="74">
        <v>0</v>
      </c>
      <c r="H240" s="75">
        <v>0</v>
      </c>
      <c r="I240" s="52">
        <v>14</v>
      </c>
      <c r="J240" s="53">
        <v>301651.15666019521</v>
      </c>
      <c r="K240" s="54"/>
      <c r="L240" s="53"/>
      <c r="M240" s="54"/>
      <c r="N240" s="53"/>
      <c r="O240" s="54"/>
      <c r="P240" s="53"/>
      <c r="Q240" s="54"/>
      <c r="R240" s="53"/>
      <c r="S240" s="322">
        <f t="shared" si="31"/>
        <v>14</v>
      </c>
      <c r="T240" s="323">
        <f t="shared" si="32"/>
        <v>301651.15666019521</v>
      </c>
      <c r="U240" s="36"/>
      <c r="V240" s="56"/>
      <c r="W240" s="56"/>
      <c r="X240" s="57"/>
      <c r="Y240" s="58"/>
      <c r="Z240" s="59"/>
      <c r="AA240" s="38"/>
      <c r="AD240" s="40"/>
      <c r="AE240" s="42"/>
      <c r="AF240" s="42"/>
      <c r="AG240" s="2"/>
      <c r="AH240" s="43"/>
      <c r="AI240" s="60"/>
      <c r="AJ240" s="60"/>
      <c r="AK240" s="60"/>
      <c r="AL240" s="70"/>
      <c r="AM240" s="70"/>
      <c r="AN240" s="63"/>
    </row>
    <row r="241" spans="1:40" ht="48.75" customHeight="1" x14ac:dyDescent="0.3">
      <c r="A241" s="44" t="s">
        <v>438</v>
      </c>
      <c r="B241" s="45" t="s">
        <v>439</v>
      </c>
      <c r="C241" s="64" t="s">
        <v>304</v>
      </c>
      <c r="D241" s="191">
        <v>1</v>
      </c>
      <c r="E241" s="192">
        <v>19965.909599999999</v>
      </c>
      <c r="F241" s="181"/>
      <c r="G241" s="74">
        <v>0</v>
      </c>
      <c r="H241" s="75">
        <v>0</v>
      </c>
      <c r="I241" s="52">
        <v>0</v>
      </c>
      <c r="J241" s="53">
        <v>0</v>
      </c>
      <c r="K241" s="54"/>
      <c r="L241" s="53"/>
      <c r="M241" s="54"/>
      <c r="N241" s="53"/>
      <c r="O241" s="54"/>
      <c r="P241" s="53"/>
      <c r="Q241" s="54"/>
      <c r="R241" s="53"/>
      <c r="S241" s="322">
        <f t="shared" si="31"/>
        <v>0</v>
      </c>
      <c r="T241" s="323">
        <f t="shared" si="32"/>
        <v>0</v>
      </c>
      <c r="U241" s="36"/>
      <c r="V241" s="56"/>
      <c r="W241" s="56"/>
      <c r="X241" s="57"/>
      <c r="Y241" s="58"/>
      <c r="Z241" s="59"/>
      <c r="AA241" s="38"/>
      <c r="AD241" s="40"/>
      <c r="AE241" s="42"/>
      <c r="AF241" s="42"/>
      <c r="AG241" s="2"/>
      <c r="AH241" s="43"/>
      <c r="AI241" s="60"/>
      <c r="AJ241" s="60"/>
      <c r="AK241" s="60"/>
      <c r="AL241" s="70"/>
      <c r="AM241" s="70"/>
      <c r="AN241" s="63"/>
    </row>
    <row r="242" spans="1:40" ht="48.75" customHeight="1" x14ac:dyDescent="0.3">
      <c r="A242" s="44" t="s">
        <v>440</v>
      </c>
      <c r="B242" s="45" t="s">
        <v>441</v>
      </c>
      <c r="C242" s="64" t="s">
        <v>304</v>
      </c>
      <c r="D242" s="191">
        <v>1</v>
      </c>
      <c r="E242" s="192">
        <v>22365.525000000001</v>
      </c>
      <c r="F242" s="181"/>
      <c r="G242" s="74">
        <v>0</v>
      </c>
      <c r="H242" s="75">
        <v>0</v>
      </c>
      <c r="I242" s="52">
        <v>0</v>
      </c>
      <c r="J242" s="53">
        <v>0</v>
      </c>
      <c r="K242" s="54"/>
      <c r="L242" s="53"/>
      <c r="M242" s="54"/>
      <c r="N242" s="53"/>
      <c r="O242" s="54"/>
      <c r="P242" s="53"/>
      <c r="Q242" s="54"/>
      <c r="R242" s="53"/>
      <c r="S242" s="322">
        <f t="shared" si="31"/>
        <v>0</v>
      </c>
      <c r="T242" s="323">
        <f t="shared" si="32"/>
        <v>0</v>
      </c>
      <c r="U242" s="36"/>
      <c r="V242" s="56"/>
      <c r="W242" s="56"/>
      <c r="X242" s="57"/>
      <c r="Y242" s="58"/>
      <c r="Z242" s="59"/>
      <c r="AA242" s="38"/>
      <c r="AD242" s="40"/>
      <c r="AE242" s="42"/>
      <c r="AF242" s="42"/>
      <c r="AG242" s="2"/>
      <c r="AH242" s="43"/>
      <c r="AI242" s="60"/>
      <c r="AJ242" s="60"/>
      <c r="AK242" s="60"/>
      <c r="AL242" s="70"/>
      <c r="AM242" s="70"/>
      <c r="AN242" s="63"/>
    </row>
    <row r="243" spans="1:40" ht="48.75" customHeight="1" x14ac:dyDescent="0.3">
      <c r="A243" s="44" t="s">
        <v>442</v>
      </c>
      <c r="B243" s="45" t="s">
        <v>443</v>
      </c>
      <c r="C243" s="64" t="s">
        <v>304</v>
      </c>
      <c r="D243" s="191">
        <v>1</v>
      </c>
      <c r="E243" s="192">
        <v>28556.782800000004</v>
      </c>
      <c r="F243" s="181"/>
      <c r="G243" s="74">
        <v>0</v>
      </c>
      <c r="H243" s="75">
        <v>0</v>
      </c>
      <c r="I243" s="52">
        <v>0</v>
      </c>
      <c r="J243" s="53">
        <v>0</v>
      </c>
      <c r="K243" s="54"/>
      <c r="L243" s="53"/>
      <c r="M243" s="54"/>
      <c r="N243" s="53"/>
      <c r="O243" s="54"/>
      <c r="P243" s="53"/>
      <c r="Q243" s="54"/>
      <c r="R243" s="53"/>
      <c r="S243" s="322">
        <f t="shared" si="31"/>
        <v>0</v>
      </c>
      <c r="T243" s="323">
        <f t="shared" si="32"/>
        <v>0</v>
      </c>
      <c r="U243" s="36"/>
      <c r="V243" s="56"/>
      <c r="W243" s="56"/>
      <c r="X243" s="57"/>
      <c r="Y243" s="58"/>
      <c r="Z243" s="59"/>
      <c r="AA243" s="38"/>
      <c r="AD243" s="40"/>
      <c r="AE243" s="42"/>
      <c r="AF243" s="42"/>
      <c r="AG243" s="2"/>
      <c r="AH243" s="43"/>
      <c r="AI243" s="60"/>
      <c r="AJ243" s="60"/>
      <c r="AK243" s="60"/>
      <c r="AL243" s="70"/>
      <c r="AM243" s="70"/>
      <c r="AN243" s="63"/>
    </row>
    <row r="244" spans="1:40" ht="48.75" customHeight="1" x14ac:dyDescent="0.3">
      <c r="A244" s="44" t="s">
        <v>444</v>
      </c>
      <c r="B244" s="45" t="s">
        <v>445</v>
      </c>
      <c r="C244" s="64" t="s">
        <v>304</v>
      </c>
      <c r="D244" s="191">
        <v>1</v>
      </c>
      <c r="E244" s="192">
        <v>36074.902500000004</v>
      </c>
      <c r="F244" s="181"/>
      <c r="G244" s="74">
        <v>0</v>
      </c>
      <c r="H244" s="75">
        <v>0</v>
      </c>
      <c r="I244" s="52">
        <v>0</v>
      </c>
      <c r="J244" s="53">
        <v>0</v>
      </c>
      <c r="K244" s="54"/>
      <c r="L244" s="53"/>
      <c r="M244" s="54"/>
      <c r="N244" s="53"/>
      <c r="O244" s="54"/>
      <c r="P244" s="53"/>
      <c r="Q244" s="54"/>
      <c r="R244" s="53"/>
      <c r="S244" s="322">
        <f t="shared" si="31"/>
        <v>0</v>
      </c>
      <c r="T244" s="323">
        <f t="shared" si="32"/>
        <v>0</v>
      </c>
      <c r="U244" s="36"/>
      <c r="V244" s="56"/>
      <c r="W244" s="56"/>
      <c r="X244" s="57"/>
      <c r="Y244" s="58"/>
      <c r="Z244" s="59"/>
      <c r="AA244" s="38"/>
      <c r="AD244" s="40"/>
      <c r="AE244" s="42"/>
      <c r="AF244" s="42"/>
      <c r="AG244" s="2"/>
      <c r="AH244" s="43"/>
      <c r="AI244" s="60"/>
      <c r="AJ244" s="60"/>
      <c r="AK244" s="60"/>
      <c r="AL244" s="70"/>
      <c r="AM244" s="70"/>
      <c r="AN244" s="63"/>
    </row>
    <row r="245" spans="1:40" ht="48.75" customHeight="1" x14ac:dyDescent="0.3">
      <c r="A245" s="44" t="s">
        <v>446</v>
      </c>
      <c r="B245" s="45" t="s">
        <v>447</v>
      </c>
      <c r="C245" s="64" t="s">
        <v>304</v>
      </c>
      <c r="D245" s="191">
        <v>1</v>
      </c>
      <c r="E245" s="192">
        <v>47974.426500000001</v>
      </c>
      <c r="F245" s="181"/>
      <c r="G245" s="74">
        <v>0</v>
      </c>
      <c r="H245" s="75">
        <v>0</v>
      </c>
      <c r="I245" s="52">
        <v>0</v>
      </c>
      <c r="J245" s="53">
        <v>0</v>
      </c>
      <c r="K245" s="54"/>
      <c r="L245" s="53"/>
      <c r="M245" s="54"/>
      <c r="N245" s="53"/>
      <c r="O245" s="54"/>
      <c r="P245" s="53"/>
      <c r="Q245" s="54"/>
      <c r="R245" s="53"/>
      <c r="S245" s="322">
        <f t="shared" si="31"/>
        <v>0</v>
      </c>
      <c r="T245" s="323">
        <f t="shared" si="32"/>
        <v>0</v>
      </c>
      <c r="U245" s="36"/>
      <c r="V245" s="56"/>
      <c r="W245" s="56"/>
      <c r="X245" s="57"/>
      <c r="Y245" s="58"/>
      <c r="Z245" s="59"/>
      <c r="AA245" s="38"/>
      <c r="AD245" s="40"/>
      <c r="AE245" s="42"/>
      <c r="AF245" s="42"/>
      <c r="AG245" s="2"/>
      <c r="AH245" s="43"/>
      <c r="AI245" s="60"/>
      <c r="AJ245" s="60"/>
      <c r="AK245" s="60"/>
      <c r="AL245" s="70"/>
      <c r="AM245" s="70"/>
      <c r="AN245" s="63"/>
    </row>
    <row r="246" spans="1:40" ht="48.75" customHeight="1" x14ac:dyDescent="0.3">
      <c r="A246" s="44" t="s">
        <v>448</v>
      </c>
      <c r="B246" s="45" t="s">
        <v>449</v>
      </c>
      <c r="C246" s="64" t="s">
        <v>304</v>
      </c>
      <c r="D246" s="191">
        <v>1</v>
      </c>
      <c r="E246" s="192">
        <v>197481.23850000001</v>
      </c>
      <c r="F246" s="181"/>
      <c r="G246" s="74">
        <v>0</v>
      </c>
      <c r="H246" s="75">
        <v>0</v>
      </c>
      <c r="I246" s="52">
        <v>0</v>
      </c>
      <c r="J246" s="53">
        <v>0</v>
      </c>
      <c r="K246" s="54"/>
      <c r="L246" s="53"/>
      <c r="M246" s="54"/>
      <c r="N246" s="53"/>
      <c r="O246" s="54"/>
      <c r="P246" s="53"/>
      <c r="Q246" s="54"/>
      <c r="R246" s="53"/>
      <c r="S246" s="322">
        <f t="shared" si="31"/>
        <v>0</v>
      </c>
      <c r="T246" s="323">
        <f t="shared" si="32"/>
        <v>0</v>
      </c>
      <c r="U246" s="36"/>
      <c r="V246" s="56"/>
      <c r="W246" s="56"/>
      <c r="X246" s="57"/>
      <c r="Y246" s="58"/>
      <c r="Z246" s="59"/>
      <c r="AA246" s="38"/>
      <c r="AD246" s="40"/>
      <c r="AE246" s="42"/>
      <c r="AF246" s="42"/>
      <c r="AG246" s="2"/>
      <c r="AH246" s="43"/>
      <c r="AI246" s="60"/>
      <c r="AJ246" s="60"/>
      <c r="AK246" s="60"/>
      <c r="AL246" s="70"/>
      <c r="AM246" s="70"/>
      <c r="AN246" s="63"/>
    </row>
    <row r="247" spans="1:40" ht="48.75" customHeight="1" x14ac:dyDescent="0.3">
      <c r="A247" s="44" t="s">
        <v>450</v>
      </c>
      <c r="B247" s="45" t="s">
        <v>451</v>
      </c>
      <c r="C247" s="64" t="s">
        <v>304</v>
      </c>
      <c r="D247" s="191">
        <v>1</v>
      </c>
      <c r="E247" s="192">
        <v>75821.518500000006</v>
      </c>
      <c r="F247" s="181"/>
      <c r="G247" s="74">
        <v>0</v>
      </c>
      <c r="H247" s="75">
        <v>0</v>
      </c>
      <c r="I247" s="52">
        <v>0</v>
      </c>
      <c r="J247" s="53">
        <v>0</v>
      </c>
      <c r="K247" s="54"/>
      <c r="L247" s="53"/>
      <c r="M247" s="54"/>
      <c r="N247" s="53"/>
      <c r="O247" s="54"/>
      <c r="P247" s="53"/>
      <c r="Q247" s="54"/>
      <c r="R247" s="53"/>
      <c r="S247" s="322">
        <f t="shared" si="31"/>
        <v>0</v>
      </c>
      <c r="T247" s="323">
        <f t="shared" si="32"/>
        <v>0</v>
      </c>
      <c r="U247" s="36"/>
      <c r="V247" s="56"/>
      <c r="W247" s="56"/>
      <c r="X247" s="57"/>
      <c r="Y247" s="58"/>
      <c r="Z247" s="59"/>
      <c r="AA247" s="38"/>
      <c r="AD247" s="40"/>
      <c r="AE247" s="42"/>
      <c r="AF247" s="42"/>
      <c r="AG247" s="2"/>
      <c r="AH247" s="43"/>
      <c r="AI247" s="60"/>
      <c r="AJ247" s="60"/>
      <c r="AK247" s="60"/>
      <c r="AL247" s="70"/>
      <c r="AM247" s="70"/>
      <c r="AN247" s="63"/>
    </row>
    <row r="248" spans="1:40" ht="48.75" customHeight="1" x14ac:dyDescent="0.3">
      <c r="A248" s="44" t="s">
        <v>452</v>
      </c>
      <c r="B248" s="45" t="s">
        <v>453</v>
      </c>
      <c r="C248" s="64" t="s">
        <v>304</v>
      </c>
      <c r="D248" s="191">
        <v>1</v>
      </c>
      <c r="E248" s="192">
        <v>88953.910500000013</v>
      </c>
      <c r="F248" s="181"/>
      <c r="G248" s="74">
        <v>0</v>
      </c>
      <c r="H248" s="75">
        <v>0</v>
      </c>
      <c r="I248" s="52">
        <v>0</v>
      </c>
      <c r="J248" s="53">
        <v>0</v>
      </c>
      <c r="K248" s="54"/>
      <c r="L248" s="53"/>
      <c r="M248" s="54"/>
      <c r="N248" s="53"/>
      <c r="O248" s="54"/>
      <c r="P248" s="53"/>
      <c r="Q248" s="54"/>
      <c r="R248" s="53"/>
      <c r="S248" s="322">
        <f t="shared" si="31"/>
        <v>0</v>
      </c>
      <c r="T248" s="323">
        <f t="shared" si="32"/>
        <v>0</v>
      </c>
      <c r="U248" s="36"/>
      <c r="V248" s="56"/>
      <c r="W248" s="56"/>
      <c r="X248" s="57"/>
      <c r="Y248" s="58"/>
      <c r="Z248" s="59"/>
      <c r="AA248" s="38"/>
      <c r="AD248" s="40"/>
      <c r="AE248" s="42"/>
      <c r="AF248" s="42"/>
      <c r="AG248" s="2"/>
      <c r="AH248" s="43"/>
      <c r="AI248" s="60"/>
      <c r="AJ248" s="60"/>
      <c r="AK248" s="60"/>
      <c r="AL248" s="70"/>
      <c r="AM248" s="70"/>
      <c r="AN248" s="63"/>
    </row>
    <row r="249" spans="1:40" ht="48.75" customHeight="1" x14ac:dyDescent="0.3">
      <c r="A249" s="44" t="s">
        <v>454</v>
      </c>
      <c r="B249" s="45" t="s">
        <v>455</v>
      </c>
      <c r="C249" s="64" t="s">
        <v>304</v>
      </c>
      <c r="D249" s="191">
        <v>1</v>
      </c>
      <c r="E249" s="192">
        <v>246429.89301840003</v>
      </c>
      <c r="F249" s="181"/>
      <c r="G249" s="74">
        <v>0</v>
      </c>
      <c r="H249" s="75">
        <v>0</v>
      </c>
      <c r="I249" s="52">
        <v>0</v>
      </c>
      <c r="J249" s="53">
        <v>0</v>
      </c>
      <c r="K249" s="54"/>
      <c r="L249" s="53"/>
      <c r="M249" s="54"/>
      <c r="N249" s="53"/>
      <c r="O249" s="54"/>
      <c r="P249" s="53"/>
      <c r="Q249" s="54"/>
      <c r="R249" s="53"/>
      <c r="S249" s="322">
        <f t="shared" si="31"/>
        <v>0</v>
      </c>
      <c r="T249" s="323">
        <f t="shared" si="32"/>
        <v>0</v>
      </c>
      <c r="U249" s="36"/>
      <c r="V249" s="56"/>
      <c r="W249" s="56"/>
      <c r="X249" s="57"/>
      <c r="Y249" s="58"/>
      <c r="Z249" s="59"/>
      <c r="AA249" s="38"/>
      <c r="AD249" s="40"/>
      <c r="AE249" s="42"/>
      <c r="AF249" s="42"/>
      <c r="AG249" s="2"/>
      <c r="AH249" s="43"/>
      <c r="AI249" s="60"/>
      <c r="AJ249" s="60"/>
      <c r="AK249" s="60"/>
      <c r="AL249" s="70"/>
      <c r="AM249" s="70"/>
      <c r="AN249" s="63"/>
    </row>
    <row r="250" spans="1:40" ht="48.75" customHeight="1" x14ac:dyDescent="0.3">
      <c r="A250" s="44" t="s">
        <v>456</v>
      </c>
      <c r="B250" s="45" t="s">
        <v>457</v>
      </c>
      <c r="C250" s="64" t="s">
        <v>304</v>
      </c>
      <c r="D250" s="191">
        <v>1</v>
      </c>
      <c r="E250" s="192">
        <v>164341.2225</v>
      </c>
      <c r="F250" s="181"/>
      <c r="G250" s="74">
        <v>0</v>
      </c>
      <c r="H250" s="75">
        <v>0</v>
      </c>
      <c r="I250" s="52">
        <v>0</v>
      </c>
      <c r="J250" s="53">
        <v>0</v>
      </c>
      <c r="K250" s="54"/>
      <c r="L250" s="53"/>
      <c r="M250" s="54"/>
      <c r="N250" s="53"/>
      <c r="O250" s="54"/>
      <c r="P250" s="53"/>
      <c r="Q250" s="54"/>
      <c r="R250" s="53"/>
      <c r="S250" s="322">
        <f t="shared" si="31"/>
        <v>0</v>
      </c>
      <c r="T250" s="323">
        <f t="shared" si="32"/>
        <v>0</v>
      </c>
      <c r="U250" s="36"/>
      <c r="V250" s="56"/>
      <c r="W250" s="56"/>
      <c r="X250" s="57"/>
      <c r="Y250" s="58"/>
      <c r="Z250" s="59"/>
      <c r="AA250" s="38"/>
      <c r="AD250" s="40"/>
      <c r="AE250" s="42"/>
      <c r="AF250" s="42"/>
      <c r="AG250" s="2"/>
      <c r="AH250" s="43"/>
      <c r="AI250" s="60"/>
      <c r="AJ250" s="60"/>
      <c r="AK250" s="60"/>
      <c r="AL250" s="70"/>
      <c r="AM250" s="70"/>
      <c r="AN250" s="63"/>
    </row>
    <row r="251" spans="1:40" ht="48.75" customHeight="1" x14ac:dyDescent="0.3">
      <c r="A251" s="44" t="s">
        <v>458</v>
      </c>
      <c r="B251" s="45" t="s">
        <v>459</v>
      </c>
      <c r="C251" s="64" t="s">
        <v>304</v>
      </c>
      <c r="D251" s="191">
        <v>1</v>
      </c>
      <c r="E251" s="192">
        <v>323790.69450000004</v>
      </c>
      <c r="F251" s="181"/>
      <c r="G251" s="74">
        <v>0</v>
      </c>
      <c r="H251" s="75">
        <v>0</v>
      </c>
      <c r="I251" s="52">
        <v>0</v>
      </c>
      <c r="J251" s="53">
        <v>0</v>
      </c>
      <c r="K251" s="54"/>
      <c r="L251" s="53"/>
      <c r="M251" s="54"/>
      <c r="N251" s="53"/>
      <c r="O251" s="54"/>
      <c r="P251" s="53"/>
      <c r="Q251" s="54"/>
      <c r="R251" s="53"/>
      <c r="S251" s="322">
        <f t="shared" si="31"/>
        <v>0</v>
      </c>
      <c r="T251" s="323">
        <f t="shared" si="32"/>
        <v>0</v>
      </c>
      <c r="U251" s="36"/>
      <c r="V251" s="56"/>
      <c r="W251" s="56"/>
      <c r="X251" s="57"/>
      <c r="Y251" s="58"/>
      <c r="Z251" s="59"/>
      <c r="AA251" s="38"/>
      <c r="AD251" s="40"/>
      <c r="AE251" s="42"/>
      <c r="AF251" s="42"/>
      <c r="AG251" s="2"/>
      <c r="AH251" s="43"/>
      <c r="AI251" s="60"/>
      <c r="AJ251" s="60"/>
      <c r="AK251" s="60"/>
      <c r="AL251" s="70"/>
      <c r="AM251" s="70"/>
      <c r="AN251" s="63"/>
    </row>
    <row r="252" spans="1:40" ht="48.75" customHeight="1" x14ac:dyDescent="0.3">
      <c r="A252" s="44" t="s">
        <v>460</v>
      </c>
      <c r="B252" s="45" t="s">
        <v>461</v>
      </c>
      <c r="C252" s="64" t="s">
        <v>304</v>
      </c>
      <c r="D252" s="191">
        <v>1</v>
      </c>
      <c r="E252" s="192">
        <v>764039.23050000006</v>
      </c>
      <c r="F252" s="181"/>
      <c r="G252" s="74">
        <v>0</v>
      </c>
      <c r="H252" s="75">
        <v>0</v>
      </c>
      <c r="I252" s="52">
        <v>0</v>
      </c>
      <c r="J252" s="53">
        <v>0</v>
      </c>
      <c r="K252" s="54"/>
      <c r="L252" s="53"/>
      <c r="M252" s="54"/>
      <c r="N252" s="53"/>
      <c r="O252" s="54"/>
      <c r="P252" s="53"/>
      <c r="Q252" s="54"/>
      <c r="R252" s="53"/>
      <c r="S252" s="322">
        <f t="shared" si="31"/>
        <v>0</v>
      </c>
      <c r="T252" s="323">
        <f t="shared" si="32"/>
        <v>0</v>
      </c>
      <c r="U252" s="36"/>
      <c r="V252" s="56"/>
      <c r="W252" s="56"/>
      <c r="X252" s="57"/>
      <c r="Y252" s="58"/>
      <c r="Z252" s="59"/>
      <c r="AA252" s="38"/>
      <c r="AD252" s="40"/>
      <c r="AE252" s="42"/>
      <c r="AF252" s="42"/>
      <c r="AG252" s="2"/>
      <c r="AH252" s="43"/>
      <c r="AI252" s="60"/>
      <c r="AJ252" s="60"/>
      <c r="AK252" s="60"/>
      <c r="AL252" s="70"/>
      <c r="AM252" s="70"/>
      <c r="AN252" s="63"/>
    </row>
    <row r="253" spans="1:40" ht="48.75" customHeight="1" x14ac:dyDescent="0.3">
      <c r="A253" s="44" t="s">
        <v>462</v>
      </c>
      <c r="B253" s="45" t="s">
        <v>463</v>
      </c>
      <c r="C253" s="64" t="s">
        <v>304</v>
      </c>
      <c r="D253" s="191">
        <v>1</v>
      </c>
      <c r="E253" s="192">
        <v>73872.298500000004</v>
      </c>
      <c r="F253" s="181"/>
      <c r="G253" s="74">
        <v>0</v>
      </c>
      <c r="H253" s="75">
        <v>0</v>
      </c>
      <c r="I253" s="52">
        <v>0</v>
      </c>
      <c r="J253" s="53">
        <v>0</v>
      </c>
      <c r="K253" s="54"/>
      <c r="L253" s="53"/>
      <c r="M253" s="54"/>
      <c r="N253" s="53"/>
      <c r="O253" s="54"/>
      <c r="P253" s="53"/>
      <c r="Q253" s="54"/>
      <c r="R253" s="53"/>
      <c r="S253" s="322">
        <f t="shared" si="31"/>
        <v>0</v>
      </c>
      <c r="T253" s="323">
        <f t="shared" si="32"/>
        <v>0</v>
      </c>
      <c r="U253" s="36"/>
      <c r="V253" s="56"/>
      <c r="W253" s="56"/>
      <c r="X253" s="57"/>
      <c r="Y253" s="58"/>
      <c r="Z253" s="59"/>
      <c r="AA253" s="38"/>
      <c r="AD253" s="40"/>
      <c r="AE253" s="42"/>
      <c r="AF253" s="42"/>
      <c r="AG253" s="2"/>
      <c r="AH253" s="43"/>
      <c r="AI253" s="60"/>
      <c r="AJ253" s="60"/>
      <c r="AK253" s="60"/>
      <c r="AL253" s="70"/>
      <c r="AM253" s="70"/>
      <c r="AN253" s="63"/>
    </row>
    <row r="254" spans="1:40" ht="48.75" customHeight="1" x14ac:dyDescent="0.3">
      <c r="A254" s="44" t="s">
        <v>464</v>
      </c>
      <c r="B254" s="45" t="s">
        <v>465</v>
      </c>
      <c r="C254" s="64" t="s">
        <v>304</v>
      </c>
      <c r="D254" s="191">
        <v>1</v>
      </c>
      <c r="E254" s="192">
        <v>82603.930500000002</v>
      </c>
      <c r="F254" s="181"/>
      <c r="G254" s="74">
        <v>0</v>
      </c>
      <c r="H254" s="75">
        <v>0</v>
      </c>
      <c r="I254" s="52">
        <v>0</v>
      </c>
      <c r="J254" s="53">
        <v>0</v>
      </c>
      <c r="K254" s="54"/>
      <c r="L254" s="53"/>
      <c r="M254" s="54"/>
      <c r="N254" s="53"/>
      <c r="O254" s="54"/>
      <c r="P254" s="53"/>
      <c r="Q254" s="54"/>
      <c r="R254" s="53"/>
      <c r="S254" s="322">
        <f t="shared" si="31"/>
        <v>0</v>
      </c>
      <c r="T254" s="323">
        <f t="shared" si="32"/>
        <v>0</v>
      </c>
      <c r="U254" s="36"/>
      <c r="V254" s="56"/>
      <c r="W254" s="56"/>
      <c r="X254" s="57"/>
      <c r="Y254" s="58"/>
      <c r="Z254" s="59"/>
      <c r="AA254" s="38"/>
      <c r="AD254" s="40"/>
      <c r="AE254" s="42"/>
      <c r="AF254" s="42"/>
      <c r="AG254" s="2"/>
      <c r="AH254" s="43"/>
      <c r="AI254" s="60"/>
      <c r="AJ254" s="60"/>
      <c r="AK254" s="60"/>
      <c r="AL254" s="70"/>
      <c r="AM254" s="70"/>
      <c r="AN254" s="63"/>
    </row>
    <row r="255" spans="1:40" ht="48.75" customHeight="1" x14ac:dyDescent="0.3">
      <c r="A255" s="44" t="s">
        <v>466</v>
      </c>
      <c r="B255" s="45" t="s">
        <v>467</v>
      </c>
      <c r="C255" s="64" t="s">
        <v>304</v>
      </c>
      <c r="D255" s="191">
        <v>1</v>
      </c>
      <c r="E255" s="192">
        <v>50339.698500000006</v>
      </c>
      <c r="F255" s="181"/>
      <c r="G255" s="74">
        <v>0</v>
      </c>
      <c r="H255" s="75">
        <v>0</v>
      </c>
      <c r="I255" s="52">
        <v>0</v>
      </c>
      <c r="J255" s="53">
        <v>0</v>
      </c>
      <c r="K255" s="54"/>
      <c r="L255" s="53"/>
      <c r="M255" s="54"/>
      <c r="N255" s="53"/>
      <c r="O255" s="54"/>
      <c r="P255" s="53"/>
      <c r="Q255" s="54"/>
      <c r="R255" s="53"/>
      <c r="S255" s="322">
        <f t="shared" si="31"/>
        <v>0</v>
      </c>
      <c r="T255" s="323">
        <f t="shared" si="32"/>
        <v>0</v>
      </c>
      <c r="U255" s="36"/>
      <c r="V255" s="56"/>
      <c r="W255" s="56"/>
      <c r="X255" s="57"/>
      <c r="Y255" s="58"/>
      <c r="Z255" s="59"/>
      <c r="AA255" s="38"/>
      <c r="AD255" s="40"/>
      <c r="AE255" s="42"/>
      <c r="AF255" s="42"/>
      <c r="AG255" s="2"/>
      <c r="AH255" s="43"/>
      <c r="AI255" s="60"/>
      <c r="AJ255" s="60"/>
      <c r="AK255" s="60"/>
      <c r="AL255" s="70"/>
      <c r="AM255" s="70"/>
      <c r="AN255" s="63"/>
    </row>
    <row r="256" spans="1:40" ht="48.75" customHeight="1" x14ac:dyDescent="0.3">
      <c r="A256" s="44" t="s">
        <v>468</v>
      </c>
      <c r="B256" s="45" t="s">
        <v>469</v>
      </c>
      <c r="C256" s="64" t="s">
        <v>304</v>
      </c>
      <c r="D256" s="191">
        <v>1</v>
      </c>
      <c r="E256" s="192">
        <v>80220.094500000007</v>
      </c>
      <c r="F256" s="181"/>
      <c r="G256" s="74">
        <v>0</v>
      </c>
      <c r="H256" s="75">
        <v>0</v>
      </c>
      <c r="I256" s="52">
        <v>0</v>
      </c>
      <c r="J256" s="53">
        <v>0</v>
      </c>
      <c r="K256" s="54"/>
      <c r="L256" s="53"/>
      <c r="M256" s="54"/>
      <c r="N256" s="53"/>
      <c r="O256" s="54"/>
      <c r="P256" s="53"/>
      <c r="Q256" s="54"/>
      <c r="R256" s="53"/>
      <c r="S256" s="322">
        <f t="shared" si="31"/>
        <v>0</v>
      </c>
      <c r="T256" s="323">
        <f t="shared" si="32"/>
        <v>0</v>
      </c>
      <c r="U256" s="36"/>
      <c r="V256" s="56"/>
      <c r="W256" s="56"/>
      <c r="X256" s="57"/>
      <c r="Y256" s="58"/>
      <c r="Z256" s="59"/>
      <c r="AA256" s="38"/>
      <c r="AD256" s="40"/>
      <c r="AE256" s="42"/>
      <c r="AF256" s="42"/>
      <c r="AG256" s="2"/>
      <c r="AH256" s="43"/>
      <c r="AI256" s="60"/>
      <c r="AJ256" s="60"/>
      <c r="AK256" s="60"/>
      <c r="AL256" s="70"/>
      <c r="AM256" s="70"/>
      <c r="AN256" s="63"/>
    </row>
    <row r="257" spans="1:40" ht="48.75" customHeight="1" x14ac:dyDescent="0.3">
      <c r="A257" s="44" t="s">
        <v>470</v>
      </c>
      <c r="B257" s="45" t="s">
        <v>471</v>
      </c>
      <c r="C257" s="64" t="s">
        <v>304</v>
      </c>
      <c r="D257" s="191">
        <v>1</v>
      </c>
      <c r="E257" s="192">
        <v>313413.41850000003</v>
      </c>
      <c r="F257" s="181"/>
      <c r="G257" s="74">
        <v>0</v>
      </c>
      <c r="H257" s="75">
        <v>0</v>
      </c>
      <c r="I257" s="52">
        <v>0</v>
      </c>
      <c r="J257" s="53">
        <v>0</v>
      </c>
      <c r="K257" s="54"/>
      <c r="L257" s="53"/>
      <c r="M257" s="54"/>
      <c r="N257" s="53"/>
      <c r="O257" s="54"/>
      <c r="P257" s="53"/>
      <c r="Q257" s="54"/>
      <c r="R257" s="53"/>
      <c r="S257" s="322">
        <f t="shared" si="31"/>
        <v>0</v>
      </c>
      <c r="T257" s="323">
        <f t="shared" si="32"/>
        <v>0</v>
      </c>
      <c r="U257" s="36"/>
      <c r="V257" s="56"/>
      <c r="W257" s="56"/>
      <c r="X257" s="57"/>
      <c r="Y257" s="58"/>
      <c r="Z257" s="59"/>
      <c r="AA257" s="38"/>
      <c r="AD257" s="40"/>
      <c r="AE257" s="42"/>
      <c r="AF257" s="42"/>
      <c r="AG257" s="2"/>
      <c r="AH257" s="43"/>
      <c r="AI257" s="60"/>
      <c r="AJ257" s="60"/>
      <c r="AK257" s="60"/>
      <c r="AL257" s="70"/>
      <c r="AM257" s="70"/>
      <c r="AN257" s="63"/>
    </row>
    <row r="258" spans="1:40" ht="48.75" customHeight="1" x14ac:dyDescent="0.3">
      <c r="A258" s="44" t="s">
        <v>472</v>
      </c>
      <c r="B258" s="45" t="s">
        <v>473</v>
      </c>
      <c r="C258" s="64" t="s">
        <v>304</v>
      </c>
      <c r="D258" s="191">
        <v>1</v>
      </c>
      <c r="E258" s="192">
        <v>265245.70254000003</v>
      </c>
      <c r="F258" s="181"/>
      <c r="G258" s="74">
        <v>0</v>
      </c>
      <c r="H258" s="75">
        <v>0</v>
      </c>
      <c r="I258" s="52">
        <v>0</v>
      </c>
      <c r="J258" s="53">
        <v>0</v>
      </c>
      <c r="K258" s="54"/>
      <c r="L258" s="53"/>
      <c r="M258" s="54"/>
      <c r="N258" s="53"/>
      <c r="O258" s="54"/>
      <c r="P258" s="53"/>
      <c r="Q258" s="54"/>
      <c r="R258" s="53"/>
      <c r="S258" s="322">
        <f t="shared" si="31"/>
        <v>0</v>
      </c>
      <c r="T258" s="323">
        <f t="shared" si="32"/>
        <v>0</v>
      </c>
      <c r="U258" s="36"/>
      <c r="V258" s="56"/>
      <c r="W258" s="56"/>
      <c r="X258" s="57"/>
      <c r="Y258" s="58"/>
      <c r="Z258" s="59"/>
      <c r="AA258" s="38"/>
      <c r="AD258" s="40"/>
      <c r="AE258" s="42"/>
      <c r="AF258" s="42"/>
      <c r="AG258" s="2"/>
      <c r="AH258" s="43"/>
      <c r="AI258" s="60"/>
      <c r="AJ258" s="60"/>
      <c r="AK258" s="60"/>
      <c r="AL258" s="70"/>
      <c r="AM258" s="70"/>
      <c r="AN258" s="63"/>
    </row>
    <row r="259" spans="1:40" ht="48.75" customHeight="1" x14ac:dyDescent="0.3">
      <c r="A259" s="44" t="s">
        <v>474</v>
      </c>
      <c r="B259" s="45" t="s">
        <v>475</v>
      </c>
      <c r="C259" s="64" t="s">
        <v>304</v>
      </c>
      <c r="D259" s="191">
        <v>1</v>
      </c>
      <c r="E259" s="192">
        <v>270614.41133999999</v>
      </c>
      <c r="F259" s="181"/>
      <c r="G259" s="74">
        <v>0</v>
      </c>
      <c r="H259" s="75">
        <v>0</v>
      </c>
      <c r="I259" s="52">
        <v>0</v>
      </c>
      <c r="J259" s="53">
        <v>0</v>
      </c>
      <c r="K259" s="54"/>
      <c r="L259" s="53"/>
      <c r="M259" s="54"/>
      <c r="N259" s="53"/>
      <c r="O259" s="54"/>
      <c r="P259" s="53"/>
      <c r="Q259" s="54"/>
      <c r="R259" s="53"/>
      <c r="S259" s="322">
        <f t="shared" ref="S259:S307" si="33">+I259+G259</f>
        <v>0</v>
      </c>
      <c r="T259" s="323">
        <f t="shared" ref="T259:T307" si="34">H259+J259</f>
        <v>0</v>
      </c>
      <c r="U259" s="36"/>
      <c r="V259" s="56"/>
      <c r="W259" s="56"/>
      <c r="X259" s="57"/>
      <c r="Y259" s="58"/>
      <c r="Z259" s="59"/>
      <c r="AA259" s="38"/>
      <c r="AD259" s="40"/>
      <c r="AE259" s="42"/>
      <c r="AF259" s="42"/>
      <c r="AG259" s="2"/>
      <c r="AH259" s="43"/>
      <c r="AI259" s="60"/>
      <c r="AJ259" s="60"/>
      <c r="AK259" s="60"/>
      <c r="AL259" s="70"/>
      <c r="AM259" s="70"/>
      <c r="AN259" s="63"/>
    </row>
    <row r="260" spans="1:40" ht="48.75" customHeight="1" x14ac:dyDescent="0.3">
      <c r="A260" s="44" t="s">
        <v>476</v>
      </c>
      <c r="B260" s="45" t="s">
        <v>477</v>
      </c>
      <c r="C260" s="64" t="s">
        <v>304</v>
      </c>
      <c r="D260" s="191">
        <v>1</v>
      </c>
      <c r="E260" s="192">
        <v>834804.73461839999</v>
      </c>
      <c r="F260" s="181"/>
      <c r="G260" s="74">
        <v>0</v>
      </c>
      <c r="H260" s="75">
        <v>0</v>
      </c>
      <c r="I260" s="52">
        <v>0</v>
      </c>
      <c r="J260" s="53">
        <v>0</v>
      </c>
      <c r="K260" s="54"/>
      <c r="L260" s="53"/>
      <c r="M260" s="54"/>
      <c r="N260" s="53"/>
      <c r="O260" s="54"/>
      <c r="P260" s="53"/>
      <c r="Q260" s="54"/>
      <c r="R260" s="53"/>
      <c r="S260" s="322">
        <f t="shared" si="33"/>
        <v>0</v>
      </c>
      <c r="T260" s="323">
        <f t="shared" si="34"/>
        <v>0</v>
      </c>
      <c r="U260" s="36"/>
      <c r="V260" s="56"/>
      <c r="W260" s="56"/>
      <c r="X260" s="57"/>
      <c r="Y260" s="58"/>
      <c r="Z260" s="59"/>
      <c r="AA260" s="38"/>
      <c r="AD260" s="40"/>
      <c r="AE260" s="42"/>
      <c r="AF260" s="42"/>
      <c r="AG260" s="2"/>
      <c r="AH260" s="43"/>
      <c r="AI260" s="60"/>
      <c r="AJ260" s="60"/>
      <c r="AK260" s="60"/>
      <c r="AL260" s="70"/>
      <c r="AM260" s="70"/>
      <c r="AN260" s="63"/>
    </row>
    <row r="261" spans="1:40" ht="48.75" customHeight="1" x14ac:dyDescent="0.3">
      <c r="A261" s="44" t="s">
        <v>478</v>
      </c>
      <c r="B261" s="45" t="s">
        <v>479</v>
      </c>
      <c r="C261" s="64" t="s">
        <v>304</v>
      </c>
      <c r="D261" s="191">
        <v>1</v>
      </c>
      <c r="E261" s="192">
        <v>917955.94254000008</v>
      </c>
      <c r="F261" s="181"/>
      <c r="G261" s="74">
        <v>0</v>
      </c>
      <c r="H261" s="75">
        <v>0</v>
      </c>
      <c r="I261" s="52">
        <v>0</v>
      </c>
      <c r="J261" s="53">
        <v>0</v>
      </c>
      <c r="K261" s="54"/>
      <c r="L261" s="53"/>
      <c r="M261" s="54"/>
      <c r="N261" s="53"/>
      <c r="O261" s="54"/>
      <c r="P261" s="53"/>
      <c r="Q261" s="54"/>
      <c r="R261" s="53"/>
      <c r="S261" s="322">
        <f t="shared" si="33"/>
        <v>0</v>
      </c>
      <c r="T261" s="323">
        <f t="shared" si="34"/>
        <v>0</v>
      </c>
      <c r="U261" s="36"/>
      <c r="V261" s="56"/>
      <c r="W261" s="56"/>
      <c r="X261" s="57"/>
      <c r="Y261" s="58"/>
      <c r="Z261" s="59"/>
      <c r="AA261" s="38"/>
      <c r="AD261" s="40"/>
      <c r="AE261" s="42"/>
      <c r="AF261" s="42"/>
      <c r="AG261" s="2"/>
      <c r="AH261" s="43"/>
      <c r="AI261" s="60"/>
      <c r="AJ261" s="60"/>
      <c r="AK261" s="60"/>
      <c r="AL261" s="70"/>
      <c r="AM261" s="70"/>
      <c r="AN261" s="63"/>
    </row>
    <row r="262" spans="1:40" ht="48.75" customHeight="1" x14ac:dyDescent="0.3">
      <c r="A262" s="44" t="s">
        <v>480</v>
      </c>
      <c r="B262" s="45" t="s">
        <v>481</v>
      </c>
      <c r="C262" s="64" t="s">
        <v>304</v>
      </c>
      <c r="D262" s="191">
        <v>1</v>
      </c>
      <c r="E262" s="192">
        <v>93157.422540000116</v>
      </c>
      <c r="F262" s="181"/>
      <c r="G262" s="74">
        <v>0</v>
      </c>
      <c r="H262" s="75">
        <v>0</v>
      </c>
      <c r="I262" s="52">
        <v>0</v>
      </c>
      <c r="J262" s="53">
        <v>0</v>
      </c>
      <c r="K262" s="54"/>
      <c r="L262" s="53"/>
      <c r="M262" s="54"/>
      <c r="N262" s="53"/>
      <c r="O262" s="54"/>
      <c r="P262" s="53"/>
      <c r="Q262" s="54"/>
      <c r="R262" s="53"/>
      <c r="S262" s="322">
        <f t="shared" si="33"/>
        <v>0</v>
      </c>
      <c r="T262" s="323">
        <f t="shared" si="34"/>
        <v>0</v>
      </c>
      <c r="U262" s="36"/>
      <c r="V262" s="56"/>
      <c r="W262" s="56"/>
      <c r="X262" s="57"/>
      <c r="Y262" s="58"/>
      <c r="Z262" s="59"/>
      <c r="AA262" s="38"/>
      <c r="AD262" s="40"/>
      <c r="AE262" s="42"/>
      <c r="AF262" s="42"/>
      <c r="AG262" s="2"/>
      <c r="AH262" s="43"/>
      <c r="AI262" s="60"/>
      <c r="AJ262" s="60"/>
      <c r="AK262" s="60"/>
      <c r="AL262" s="70"/>
      <c r="AM262" s="70"/>
      <c r="AN262" s="63"/>
    </row>
    <row r="263" spans="1:40" ht="48.75" customHeight="1" x14ac:dyDescent="0.3">
      <c r="A263" s="44" t="s">
        <v>482</v>
      </c>
      <c r="B263" s="45" t="s">
        <v>483</v>
      </c>
      <c r="C263" s="64" t="s">
        <v>304</v>
      </c>
      <c r="D263" s="191">
        <v>1</v>
      </c>
      <c r="E263" s="192">
        <v>93157.422540000116</v>
      </c>
      <c r="F263" s="181"/>
      <c r="G263" s="74">
        <v>0</v>
      </c>
      <c r="H263" s="75">
        <v>0</v>
      </c>
      <c r="I263" s="52">
        <v>0</v>
      </c>
      <c r="J263" s="53">
        <v>0</v>
      </c>
      <c r="K263" s="54"/>
      <c r="L263" s="53"/>
      <c r="M263" s="54"/>
      <c r="N263" s="53"/>
      <c r="O263" s="54"/>
      <c r="P263" s="53"/>
      <c r="Q263" s="54"/>
      <c r="R263" s="53"/>
      <c r="S263" s="322">
        <f t="shared" si="33"/>
        <v>0</v>
      </c>
      <c r="T263" s="323">
        <f t="shared" si="34"/>
        <v>0</v>
      </c>
      <c r="U263" s="36"/>
      <c r="V263" s="56"/>
      <c r="W263" s="56"/>
      <c r="X263" s="57"/>
      <c r="Y263" s="58"/>
      <c r="Z263" s="59"/>
      <c r="AA263" s="38"/>
      <c r="AD263" s="40"/>
      <c r="AE263" s="42"/>
      <c r="AF263" s="42"/>
      <c r="AG263" s="2"/>
      <c r="AH263" s="43"/>
      <c r="AI263" s="60"/>
      <c r="AJ263" s="60"/>
      <c r="AK263" s="60"/>
      <c r="AL263" s="70"/>
      <c r="AM263" s="70"/>
      <c r="AN263" s="63"/>
    </row>
    <row r="264" spans="1:40" ht="48.75" customHeight="1" x14ac:dyDescent="0.3">
      <c r="A264" s="44" t="s">
        <v>484</v>
      </c>
      <c r="B264" s="45" t="s">
        <v>485</v>
      </c>
      <c r="C264" s="64" t="s">
        <v>304</v>
      </c>
      <c r="D264" s="191">
        <v>1</v>
      </c>
      <c r="E264" s="192">
        <v>525333.20133840002</v>
      </c>
      <c r="F264" s="181"/>
      <c r="G264" s="74">
        <v>0</v>
      </c>
      <c r="H264" s="75">
        <v>0</v>
      </c>
      <c r="I264" s="52">
        <v>0</v>
      </c>
      <c r="J264" s="53">
        <v>0</v>
      </c>
      <c r="K264" s="54"/>
      <c r="L264" s="53"/>
      <c r="M264" s="54"/>
      <c r="N264" s="53"/>
      <c r="O264" s="54"/>
      <c r="P264" s="53"/>
      <c r="Q264" s="54"/>
      <c r="R264" s="53"/>
      <c r="S264" s="322">
        <f t="shared" si="33"/>
        <v>0</v>
      </c>
      <c r="T264" s="323">
        <f t="shared" si="34"/>
        <v>0</v>
      </c>
      <c r="U264" s="36"/>
      <c r="V264" s="56"/>
      <c r="W264" s="56"/>
      <c r="X264" s="57"/>
      <c r="Y264" s="58"/>
      <c r="Z264" s="59"/>
      <c r="AA264" s="38"/>
      <c r="AD264" s="40"/>
      <c r="AE264" s="42"/>
      <c r="AF264" s="42"/>
      <c r="AG264" s="2"/>
      <c r="AH264" s="43"/>
      <c r="AI264" s="60"/>
      <c r="AJ264" s="60"/>
      <c r="AK264" s="60"/>
      <c r="AL264" s="70"/>
      <c r="AM264" s="70"/>
      <c r="AN264" s="63"/>
    </row>
    <row r="265" spans="1:40" ht="48.75" customHeight="1" x14ac:dyDescent="0.3">
      <c r="A265" s="44" t="s">
        <v>486</v>
      </c>
      <c r="B265" s="45" t="s">
        <v>487</v>
      </c>
      <c r="C265" s="64" t="s">
        <v>304</v>
      </c>
      <c r="D265" s="191">
        <v>1</v>
      </c>
      <c r="E265" s="192">
        <v>722402.68485840014</v>
      </c>
      <c r="F265" s="181"/>
      <c r="G265" s="74">
        <v>0</v>
      </c>
      <c r="H265" s="75">
        <v>0</v>
      </c>
      <c r="I265" s="52">
        <v>0</v>
      </c>
      <c r="J265" s="53">
        <v>0</v>
      </c>
      <c r="K265" s="54"/>
      <c r="L265" s="53"/>
      <c r="M265" s="54"/>
      <c r="N265" s="53"/>
      <c r="O265" s="54"/>
      <c r="P265" s="53"/>
      <c r="Q265" s="54"/>
      <c r="R265" s="53"/>
      <c r="S265" s="322">
        <f t="shared" si="33"/>
        <v>0</v>
      </c>
      <c r="T265" s="323">
        <f t="shared" si="34"/>
        <v>0</v>
      </c>
      <c r="U265" s="36"/>
      <c r="V265" s="56"/>
      <c r="W265" s="56"/>
      <c r="X265" s="57"/>
      <c r="Y265" s="58"/>
      <c r="Z265" s="59"/>
      <c r="AA265" s="38"/>
      <c r="AD265" s="40"/>
      <c r="AE265" s="42"/>
      <c r="AF265" s="42"/>
      <c r="AG265" s="2"/>
      <c r="AH265" s="43"/>
      <c r="AI265" s="60"/>
      <c r="AJ265" s="60"/>
      <c r="AK265" s="60"/>
      <c r="AL265" s="70"/>
      <c r="AM265" s="70"/>
      <c r="AN265" s="63"/>
    </row>
    <row r="266" spans="1:40" ht="48.75" customHeight="1" x14ac:dyDescent="0.3">
      <c r="A266" s="44" t="s">
        <v>488</v>
      </c>
      <c r="B266" s="45" t="s">
        <v>489</v>
      </c>
      <c r="C266" s="64" t="s">
        <v>304</v>
      </c>
      <c r="D266" s="191">
        <v>1</v>
      </c>
      <c r="E266" s="192">
        <v>685523.44245840004</v>
      </c>
      <c r="F266" s="181"/>
      <c r="G266" s="74">
        <v>0</v>
      </c>
      <c r="H266" s="75">
        <v>0</v>
      </c>
      <c r="I266" s="52">
        <v>0</v>
      </c>
      <c r="J266" s="53">
        <v>0</v>
      </c>
      <c r="K266" s="54"/>
      <c r="L266" s="53"/>
      <c r="M266" s="54"/>
      <c r="N266" s="53"/>
      <c r="O266" s="54"/>
      <c r="P266" s="53"/>
      <c r="Q266" s="54"/>
      <c r="R266" s="53"/>
      <c r="S266" s="322">
        <f t="shared" si="33"/>
        <v>0</v>
      </c>
      <c r="T266" s="323">
        <f t="shared" si="34"/>
        <v>0</v>
      </c>
      <c r="U266" s="36"/>
      <c r="V266" s="56"/>
      <c r="W266" s="56"/>
      <c r="X266" s="57"/>
      <c r="Y266" s="58"/>
      <c r="Z266" s="59"/>
      <c r="AA266" s="38"/>
      <c r="AD266" s="40"/>
      <c r="AE266" s="42"/>
      <c r="AF266" s="42"/>
      <c r="AG266" s="2"/>
      <c r="AH266" s="43"/>
      <c r="AI266" s="60"/>
      <c r="AJ266" s="60"/>
      <c r="AK266" s="60"/>
      <c r="AL266" s="70"/>
      <c r="AM266" s="70"/>
      <c r="AN266" s="63"/>
    </row>
    <row r="267" spans="1:40" ht="48.75" customHeight="1" x14ac:dyDescent="0.3">
      <c r="A267" s="44" t="s">
        <v>490</v>
      </c>
      <c r="B267" s="45" t="s">
        <v>491</v>
      </c>
      <c r="C267" s="64" t="s">
        <v>304</v>
      </c>
      <c r="D267" s="191">
        <v>1</v>
      </c>
      <c r="E267" s="192">
        <v>714904.31397840008</v>
      </c>
      <c r="F267" s="181"/>
      <c r="G267" s="74">
        <v>0</v>
      </c>
      <c r="H267" s="75">
        <v>0</v>
      </c>
      <c r="I267" s="52">
        <v>0</v>
      </c>
      <c r="J267" s="53">
        <v>0</v>
      </c>
      <c r="K267" s="54"/>
      <c r="L267" s="53"/>
      <c r="M267" s="54"/>
      <c r="N267" s="53"/>
      <c r="O267" s="54"/>
      <c r="P267" s="53"/>
      <c r="Q267" s="54"/>
      <c r="R267" s="53"/>
      <c r="S267" s="322">
        <f t="shared" si="33"/>
        <v>0</v>
      </c>
      <c r="T267" s="323">
        <f t="shared" si="34"/>
        <v>0</v>
      </c>
      <c r="U267" s="36"/>
      <c r="V267" s="56"/>
      <c r="W267" s="56"/>
      <c r="X267" s="57"/>
      <c r="Y267" s="58"/>
      <c r="Z267" s="59"/>
      <c r="AA267" s="38"/>
      <c r="AD267" s="40"/>
      <c r="AE267" s="42"/>
      <c r="AF267" s="42"/>
      <c r="AG267" s="2"/>
      <c r="AH267" s="43"/>
      <c r="AI267" s="60"/>
      <c r="AJ267" s="60"/>
      <c r="AK267" s="60"/>
      <c r="AL267" s="70"/>
      <c r="AM267" s="70"/>
      <c r="AN267" s="63"/>
    </row>
    <row r="268" spans="1:40" ht="48.75" customHeight="1" x14ac:dyDescent="0.3">
      <c r="A268" s="44" t="s">
        <v>492</v>
      </c>
      <c r="B268" s="45" t="s">
        <v>493</v>
      </c>
      <c r="C268" s="64" t="s">
        <v>304</v>
      </c>
      <c r="D268" s="191">
        <v>1</v>
      </c>
      <c r="E268" s="192">
        <v>1806173.4602184</v>
      </c>
      <c r="F268" s="181"/>
      <c r="G268" s="74">
        <v>0</v>
      </c>
      <c r="H268" s="75">
        <v>0</v>
      </c>
      <c r="I268" s="52">
        <v>0</v>
      </c>
      <c r="J268" s="53">
        <v>0</v>
      </c>
      <c r="K268" s="54"/>
      <c r="L268" s="53"/>
      <c r="M268" s="54"/>
      <c r="N268" s="53"/>
      <c r="O268" s="54"/>
      <c r="P268" s="53"/>
      <c r="Q268" s="54"/>
      <c r="R268" s="53"/>
      <c r="S268" s="322">
        <f t="shared" si="33"/>
        <v>0</v>
      </c>
      <c r="T268" s="323">
        <f t="shared" si="34"/>
        <v>0</v>
      </c>
      <c r="U268" s="36"/>
      <c r="V268" s="56"/>
      <c r="W268" s="56"/>
      <c r="X268" s="57"/>
      <c r="Y268" s="58"/>
      <c r="Z268" s="59"/>
      <c r="AA268" s="38"/>
      <c r="AD268" s="40"/>
      <c r="AE268" s="42"/>
      <c r="AF268" s="42"/>
      <c r="AG268" s="2"/>
      <c r="AH268" s="43"/>
      <c r="AI268" s="60"/>
      <c r="AJ268" s="60"/>
      <c r="AK268" s="60"/>
      <c r="AL268" s="70"/>
      <c r="AM268" s="70"/>
      <c r="AN268" s="63"/>
    </row>
    <row r="269" spans="1:40" ht="48.75" customHeight="1" x14ac:dyDescent="0.3">
      <c r="A269" s="44" t="s">
        <v>494</v>
      </c>
      <c r="B269" s="45" t="s">
        <v>495</v>
      </c>
      <c r="C269" s="64" t="s">
        <v>304</v>
      </c>
      <c r="D269" s="191">
        <v>1</v>
      </c>
      <c r="E269" s="192">
        <v>181076.44485840001</v>
      </c>
      <c r="F269" s="181"/>
      <c r="G269" s="74">
        <v>0</v>
      </c>
      <c r="H269" s="75">
        <v>0</v>
      </c>
      <c r="I269" s="52">
        <v>0</v>
      </c>
      <c r="J269" s="53">
        <v>0</v>
      </c>
      <c r="K269" s="54"/>
      <c r="L269" s="53"/>
      <c r="M269" s="54"/>
      <c r="N269" s="53"/>
      <c r="O269" s="54"/>
      <c r="P269" s="53"/>
      <c r="Q269" s="54"/>
      <c r="R269" s="53"/>
      <c r="S269" s="322">
        <f t="shared" si="33"/>
        <v>0</v>
      </c>
      <c r="T269" s="323">
        <f t="shared" si="34"/>
        <v>0</v>
      </c>
      <c r="U269" s="36"/>
      <c r="V269" s="56"/>
      <c r="W269" s="56"/>
      <c r="X269" s="57"/>
      <c r="Y269" s="58"/>
      <c r="Z269" s="59"/>
      <c r="AA269" s="38"/>
      <c r="AD269" s="40"/>
      <c r="AE269" s="42"/>
      <c r="AF269" s="42"/>
      <c r="AG269" s="2"/>
      <c r="AH269" s="43"/>
      <c r="AI269" s="60"/>
      <c r="AJ269" s="60"/>
      <c r="AK269" s="60"/>
      <c r="AL269" s="70"/>
      <c r="AM269" s="70"/>
      <c r="AN269" s="63"/>
    </row>
    <row r="270" spans="1:40" ht="48.75" customHeight="1" x14ac:dyDescent="0.3">
      <c r="A270" s="44" t="s">
        <v>496</v>
      </c>
      <c r="B270" s="45" t="s">
        <v>497</v>
      </c>
      <c r="C270" s="64" t="s">
        <v>304</v>
      </c>
      <c r="D270" s="191">
        <v>1</v>
      </c>
      <c r="E270" s="192">
        <v>660143.48421840009</v>
      </c>
      <c r="F270" s="181"/>
      <c r="G270" s="74">
        <v>0</v>
      </c>
      <c r="H270" s="75">
        <v>0</v>
      </c>
      <c r="I270" s="52">
        <v>0</v>
      </c>
      <c r="J270" s="53">
        <v>0</v>
      </c>
      <c r="K270" s="54"/>
      <c r="L270" s="53"/>
      <c r="M270" s="54"/>
      <c r="N270" s="53"/>
      <c r="O270" s="54"/>
      <c r="P270" s="53"/>
      <c r="Q270" s="54"/>
      <c r="R270" s="53"/>
      <c r="S270" s="322">
        <f t="shared" si="33"/>
        <v>0</v>
      </c>
      <c r="T270" s="323">
        <f t="shared" si="34"/>
        <v>0</v>
      </c>
      <c r="U270" s="36"/>
      <c r="V270" s="56"/>
      <c r="W270" s="56"/>
      <c r="X270" s="57"/>
      <c r="Y270" s="58"/>
      <c r="Z270" s="59"/>
      <c r="AA270" s="38"/>
      <c r="AD270" s="40"/>
      <c r="AE270" s="42"/>
      <c r="AF270" s="42"/>
      <c r="AG270" s="2"/>
      <c r="AH270" s="43"/>
      <c r="AI270" s="60"/>
      <c r="AJ270" s="60"/>
      <c r="AK270" s="60"/>
      <c r="AL270" s="70"/>
      <c r="AM270" s="70"/>
      <c r="AN270" s="63"/>
    </row>
    <row r="271" spans="1:40" ht="48.75" customHeight="1" x14ac:dyDescent="0.3">
      <c r="A271" s="44" t="s">
        <v>498</v>
      </c>
      <c r="B271" s="45" t="s">
        <v>499</v>
      </c>
      <c r="C271" s="64" t="s">
        <v>304</v>
      </c>
      <c r="D271" s="191">
        <v>1</v>
      </c>
      <c r="E271" s="192">
        <v>1558250.4976584001</v>
      </c>
      <c r="F271" s="181"/>
      <c r="G271" s="74">
        <v>0</v>
      </c>
      <c r="H271" s="75">
        <v>0</v>
      </c>
      <c r="I271" s="52">
        <v>0</v>
      </c>
      <c r="J271" s="53">
        <v>0</v>
      </c>
      <c r="K271" s="54"/>
      <c r="L271" s="53"/>
      <c r="M271" s="54"/>
      <c r="N271" s="53"/>
      <c r="O271" s="54"/>
      <c r="P271" s="53"/>
      <c r="Q271" s="54"/>
      <c r="R271" s="53"/>
      <c r="S271" s="322">
        <f t="shared" si="33"/>
        <v>0</v>
      </c>
      <c r="T271" s="323">
        <f t="shared" si="34"/>
        <v>0</v>
      </c>
      <c r="U271" s="36"/>
      <c r="V271" s="56"/>
      <c r="W271" s="56"/>
      <c r="X271" s="57"/>
      <c r="Y271" s="58"/>
      <c r="Z271" s="59"/>
      <c r="AA271" s="38"/>
      <c r="AD271" s="40"/>
      <c r="AE271" s="42"/>
      <c r="AF271" s="42"/>
      <c r="AG271" s="2"/>
      <c r="AH271" s="43"/>
      <c r="AI271" s="60"/>
      <c r="AJ271" s="60"/>
      <c r="AK271" s="60"/>
      <c r="AL271" s="70"/>
      <c r="AM271" s="70"/>
      <c r="AN271" s="63"/>
    </row>
    <row r="272" spans="1:40" ht="48.75" customHeight="1" x14ac:dyDescent="0.3">
      <c r="A272" s="44" t="s">
        <v>500</v>
      </c>
      <c r="B272" s="45" t="s">
        <v>501</v>
      </c>
      <c r="C272" s="64" t="s">
        <v>304</v>
      </c>
      <c r="D272" s="191">
        <v>1</v>
      </c>
      <c r="E272" s="192">
        <v>3453672.0256584003</v>
      </c>
      <c r="F272" s="181"/>
      <c r="G272" s="74">
        <v>0</v>
      </c>
      <c r="H272" s="75">
        <v>0</v>
      </c>
      <c r="I272" s="52">
        <v>0</v>
      </c>
      <c r="J272" s="53">
        <v>0</v>
      </c>
      <c r="K272" s="54"/>
      <c r="L272" s="53"/>
      <c r="M272" s="54"/>
      <c r="N272" s="53"/>
      <c r="O272" s="54"/>
      <c r="P272" s="53"/>
      <c r="Q272" s="54"/>
      <c r="R272" s="53"/>
      <c r="S272" s="322">
        <f t="shared" si="33"/>
        <v>0</v>
      </c>
      <c r="T272" s="323">
        <f t="shared" si="34"/>
        <v>0</v>
      </c>
      <c r="U272" s="36"/>
      <c r="V272" s="56"/>
      <c r="W272" s="56"/>
      <c r="X272" s="57"/>
      <c r="Y272" s="58"/>
      <c r="Z272" s="59"/>
      <c r="AA272" s="38"/>
      <c r="AD272" s="40"/>
      <c r="AE272" s="42"/>
      <c r="AF272" s="42"/>
      <c r="AG272" s="2"/>
      <c r="AH272" s="43"/>
      <c r="AI272" s="60"/>
      <c r="AJ272" s="60"/>
      <c r="AK272" s="60"/>
      <c r="AL272" s="70"/>
      <c r="AM272" s="70"/>
      <c r="AN272" s="63"/>
    </row>
    <row r="273" spans="1:40" ht="48.75" customHeight="1" x14ac:dyDescent="0.3">
      <c r="A273" s="44" t="s">
        <v>502</v>
      </c>
      <c r="B273" s="45" t="s">
        <v>503</v>
      </c>
      <c r="C273" s="64" t="s">
        <v>304</v>
      </c>
      <c r="D273" s="191">
        <v>1</v>
      </c>
      <c r="E273" s="192">
        <v>1709253.0000000002</v>
      </c>
      <c r="F273" s="181"/>
      <c r="G273" s="74">
        <v>0</v>
      </c>
      <c r="H273" s="75">
        <v>0</v>
      </c>
      <c r="I273" s="52">
        <v>0</v>
      </c>
      <c r="J273" s="53">
        <v>0</v>
      </c>
      <c r="K273" s="54"/>
      <c r="L273" s="53"/>
      <c r="M273" s="54"/>
      <c r="N273" s="53"/>
      <c r="O273" s="54"/>
      <c r="P273" s="53"/>
      <c r="Q273" s="54"/>
      <c r="R273" s="53"/>
      <c r="S273" s="322">
        <f t="shared" si="33"/>
        <v>0</v>
      </c>
      <c r="T273" s="323">
        <f t="shared" si="34"/>
        <v>0</v>
      </c>
      <c r="U273" s="36"/>
      <c r="V273" s="56"/>
      <c r="W273" s="56"/>
      <c r="X273" s="57"/>
      <c r="Y273" s="58"/>
      <c r="Z273" s="59"/>
      <c r="AA273" s="38"/>
      <c r="AD273" s="40"/>
      <c r="AE273" s="42"/>
      <c r="AF273" s="42"/>
      <c r="AG273" s="2"/>
      <c r="AH273" s="43"/>
      <c r="AI273" s="60"/>
      <c r="AJ273" s="60"/>
      <c r="AK273" s="60"/>
      <c r="AL273" s="70"/>
      <c r="AM273" s="70"/>
      <c r="AN273" s="63"/>
    </row>
    <row r="274" spans="1:40" ht="48.75" customHeight="1" x14ac:dyDescent="0.3">
      <c r="A274" s="44" t="s">
        <v>504</v>
      </c>
      <c r="B274" s="45" t="s">
        <v>505</v>
      </c>
      <c r="C274" s="64" t="s">
        <v>304</v>
      </c>
      <c r="D274" s="191">
        <v>1</v>
      </c>
      <c r="E274" s="192">
        <v>2829208.2</v>
      </c>
      <c r="F274" s="181"/>
      <c r="G274" s="74">
        <v>0</v>
      </c>
      <c r="H274" s="75">
        <v>0</v>
      </c>
      <c r="I274" s="52">
        <v>0</v>
      </c>
      <c r="J274" s="53">
        <v>0</v>
      </c>
      <c r="K274" s="54"/>
      <c r="L274" s="53"/>
      <c r="M274" s="54"/>
      <c r="N274" s="53"/>
      <c r="O274" s="54"/>
      <c r="P274" s="53"/>
      <c r="Q274" s="54"/>
      <c r="R274" s="53"/>
      <c r="S274" s="322">
        <f t="shared" si="33"/>
        <v>0</v>
      </c>
      <c r="T274" s="323">
        <f t="shared" si="34"/>
        <v>0</v>
      </c>
      <c r="U274" s="36"/>
      <c r="V274" s="56"/>
      <c r="W274" s="56"/>
      <c r="X274" s="57"/>
      <c r="Y274" s="58"/>
      <c r="Z274" s="59"/>
      <c r="AA274" s="38"/>
      <c r="AD274" s="40"/>
      <c r="AE274" s="42"/>
      <c r="AF274" s="42"/>
      <c r="AG274" s="2"/>
      <c r="AH274" s="43"/>
      <c r="AI274" s="60"/>
      <c r="AJ274" s="60"/>
      <c r="AK274" s="60"/>
      <c r="AL274" s="70"/>
      <c r="AM274" s="70"/>
      <c r="AN274" s="63"/>
    </row>
    <row r="275" spans="1:40" ht="48.75" customHeight="1" x14ac:dyDescent="0.3">
      <c r="A275" s="44" t="s">
        <v>506</v>
      </c>
      <c r="B275" s="45" t="s">
        <v>507</v>
      </c>
      <c r="C275" s="64" t="s">
        <v>304</v>
      </c>
      <c r="D275" s="191">
        <v>1</v>
      </c>
      <c r="E275" s="192">
        <v>364523.25</v>
      </c>
      <c r="F275" s="181"/>
      <c r="G275" s="74">
        <v>0</v>
      </c>
      <c r="H275" s="75">
        <v>0</v>
      </c>
      <c r="I275" s="52">
        <v>0</v>
      </c>
      <c r="J275" s="53">
        <v>0</v>
      </c>
      <c r="K275" s="54"/>
      <c r="L275" s="53"/>
      <c r="M275" s="54"/>
      <c r="N275" s="53"/>
      <c r="O275" s="54"/>
      <c r="P275" s="53"/>
      <c r="Q275" s="54"/>
      <c r="R275" s="53"/>
      <c r="S275" s="322">
        <f t="shared" si="33"/>
        <v>0</v>
      </c>
      <c r="T275" s="323">
        <f t="shared" si="34"/>
        <v>0</v>
      </c>
      <c r="U275" s="36"/>
      <c r="V275" s="56"/>
      <c r="W275" s="56"/>
      <c r="X275" s="57"/>
      <c r="Y275" s="58"/>
      <c r="Z275" s="59"/>
      <c r="AA275" s="38"/>
      <c r="AD275" s="40"/>
      <c r="AE275" s="42"/>
      <c r="AF275" s="42"/>
      <c r="AG275" s="2"/>
      <c r="AH275" s="43"/>
      <c r="AI275" s="60"/>
      <c r="AJ275" s="60"/>
      <c r="AK275" s="60"/>
      <c r="AL275" s="70"/>
      <c r="AM275" s="70"/>
      <c r="AN275" s="63"/>
    </row>
    <row r="276" spans="1:40" ht="48.75" customHeight="1" x14ac:dyDescent="0.3">
      <c r="A276" s="44" t="s">
        <v>508</v>
      </c>
      <c r="B276" s="45" t="s">
        <v>509</v>
      </c>
      <c r="C276" s="64" t="s">
        <v>304</v>
      </c>
      <c r="D276" s="191">
        <v>1</v>
      </c>
      <c r="E276" s="192">
        <v>274911.76440000004</v>
      </c>
      <c r="F276" s="181"/>
      <c r="G276" s="74">
        <v>0</v>
      </c>
      <c r="H276" s="75">
        <v>0</v>
      </c>
      <c r="I276" s="52">
        <v>0</v>
      </c>
      <c r="J276" s="53">
        <v>0</v>
      </c>
      <c r="K276" s="54"/>
      <c r="L276" s="53"/>
      <c r="M276" s="54"/>
      <c r="N276" s="53"/>
      <c r="O276" s="54"/>
      <c r="P276" s="53"/>
      <c r="Q276" s="54"/>
      <c r="R276" s="53"/>
      <c r="S276" s="322">
        <f t="shared" si="33"/>
        <v>0</v>
      </c>
      <c r="T276" s="323">
        <f t="shared" si="34"/>
        <v>0</v>
      </c>
      <c r="U276" s="36"/>
      <c r="V276" s="56"/>
      <c r="W276" s="56"/>
      <c r="X276" s="57"/>
      <c r="Y276" s="58"/>
      <c r="Z276" s="59"/>
      <c r="AA276" s="38"/>
      <c r="AD276" s="40"/>
      <c r="AE276" s="42"/>
      <c r="AF276" s="42"/>
      <c r="AG276" s="2"/>
      <c r="AH276" s="43"/>
      <c r="AI276" s="60"/>
      <c r="AJ276" s="60"/>
      <c r="AK276" s="60"/>
      <c r="AL276" s="70"/>
      <c r="AM276" s="70"/>
      <c r="AN276" s="63"/>
    </row>
    <row r="277" spans="1:40" ht="48.75" customHeight="1" x14ac:dyDescent="0.3">
      <c r="A277" s="44" t="s">
        <v>510</v>
      </c>
      <c r="B277" s="45" t="s">
        <v>511</v>
      </c>
      <c r="C277" s="64" t="s">
        <v>304</v>
      </c>
      <c r="D277" s="191">
        <v>1</v>
      </c>
      <c r="E277" s="192">
        <v>329511.76440000004</v>
      </c>
      <c r="F277" s="181"/>
      <c r="G277" s="74">
        <v>0</v>
      </c>
      <c r="H277" s="75">
        <v>0</v>
      </c>
      <c r="I277" s="52">
        <v>0</v>
      </c>
      <c r="J277" s="53">
        <v>0</v>
      </c>
      <c r="K277" s="54"/>
      <c r="L277" s="53"/>
      <c r="M277" s="54"/>
      <c r="N277" s="53"/>
      <c r="O277" s="54"/>
      <c r="P277" s="53"/>
      <c r="Q277" s="54"/>
      <c r="R277" s="53"/>
      <c r="S277" s="322">
        <f t="shared" si="33"/>
        <v>0</v>
      </c>
      <c r="T277" s="323">
        <f t="shared" si="34"/>
        <v>0</v>
      </c>
      <c r="U277" s="36"/>
      <c r="V277" s="56"/>
      <c r="W277" s="56"/>
      <c r="X277" s="57"/>
      <c r="Y277" s="58"/>
      <c r="Z277" s="59"/>
      <c r="AA277" s="38"/>
      <c r="AD277" s="40"/>
      <c r="AE277" s="42"/>
      <c r="AF277" s="42"/>
      <c r="AG277" s="2"/>
      <c r="AH277" s="43"/>
      <c r="AI277" s="60"/>
      <c r="AJ277" s="60"/>
      <c r="AK277" s="60"/>
      <c r="AL277" s="70"/>
      <c r="AM277" s="70"/>
      <c r="AN277" s="63"/>
    </row>
    <row r="278" spans="1:40" ht="48.75" customHeight="1" x14ac:dyDescent="0.3">
      <c r="A278" s="44" t="s">
        <v>512</v>
      </c>
      <c r="B278" s="45" t="s">
        <v>513</v>
      </c>
      <c r="C278" s="64" t="s">
        <v>304</v>
      </c>
      <c r="D278" s="191">
        <v>1</v>
      </c>
      <c r="E278" s="192">
        <v>473409.30000000005</v>
      </c>
      <c r="F278" s="181"/>
      <c r="G278" s="74">
        <v>0</v>
      </c>
      <c r="H278" s="75">
        <v>0</v>
      </c>
      <c r="I278" s="52">
        <v>0</v>
      </c>
      <c r="J278" s="53">
        <v>0</v>
      </c>
      <c r="K278" s="54"/>
      <c r="L278" s="53"/>
      <c r="M278" s="54"/>
      <c r="N278" s="53"/>
      <c r="O278" s="54"/>
      <c r="P278" s="53"/>
      <c r="Q278" s="54"/>
      <c r="R278" s="53"/>
      <c r="S278" s="322">
        <f t="shared" si="33"/>
        <v>0</v>
      </c>
      <c r="T278" s="323">
        <f t="shared" si="34"/>
        <v>0</v>
      </c>
      <c r="U278" s="36"/>
      <c r="V278" s="56"/>
      <c r="W278" s="56"/>
      <c r="X278" s="57"/>
      <c r="Y278" s="58"/>
      <c r="Z278" s="59"/>
      <c r="AA278" s="38"/>
      <c r="AD278" s="40"/>
      <c r="AE278" s="42"/>
      <c r="AF278" s="42"/>
      <c r="AG278" s="2"/>
      <c r="AH278" s="43"/>
      <c r="AI278" s="60"/>
      <c r="AJ278" s="60"/>
      <c r="AK278" s="60"/>
      <c r="AL278" s="70"/>
      <c r="AM278" s="70"/>
      <c r="AN278" s="63"/>
    </row>
    <row r="279" spans="1:40" ht="48.75" customHeight="1" x14ac:dyDescent="0.3">
      <c r="A279" s="44" t="s">
        <v>514</v>
      </c>
      <c r="B279" s="45" t="s">
        <v>515</v>
      </c>
      <c r="C279" s="64" t="s">
        <v>304</v>
      </c>
      <c r="D279" s="191">
        <v>1</v>
      </c>
      <c r="E279" s="192">
        <v>693037.8</v>
      </c>
      <c r="F279" s="181"/>
      <c r="G279" s="74">
        <v>0</v>
      </c>
      <c r="H279" s="75">
        <v>0</v>
      </c>
      <c r="I279" s="52">
        <v>0</v>
      </c>
      <c r="J279" s="53">
        <v>0</v>
      </c>
      <c r="K279" s="54"/>
      <c r="L279" s="53"/>
      <c r="M279" s="54"/>
      <c r="N279" s="53"/>
      <c r="O279" s="54"/>
      <c r="P279" s="53"/>
      <c r="Q279" s="54"/>
      <c r="R279" s="53"/>
      <c r="S279" s="322">
        <f t="shared" si="33"/>
        <v>0</v>
      </c>
      <c r="T279" s="323">
        <f t="shared" si="34"/>
        <v>0</v>
      </c>
      <c r="U279" s="36"/>
      <c r="V279" s="56"/>
      <c r="W279" s="56"/>
      <c r="X279" s="57"/>
      <c r="Y279" s="58"/>
      <c r="Z279" s="59"/>
      <c r="AA279" s="38"/>
      <c r="AD279" s="40"/>
      <c r="AE279" s="42"/>
      <c r="AF279" s="42"/>
      <c r="AG279" s="2"/>
      <c r="AH279" s="43"/>
      <c r="AI279" s="60"/>
      <c r="AJ279" s="60"/>
      <c r="AK279" s="60"/>
      <c r="AL279" s="70"/>
      <c r="AM279" s="70"/>
      <c r="AN279" s="63"/>
    </row>
    <row r="280" spans="1:40" ht="48.75" customHeight="1" x14ac:dyDescent="0.3">
      <c r="A280" s="44" t="s">
        <v>516</v>
      </c>
      <c r="B280" s="45" t="s">
        <v>517</v>
      </c>
      <c r="C280" s="64" t="s">
        <v>304</v>
      </c>
      <c r="D280" s="191">
        <v>1</v>
      </c>
      <c r="E280" s="192">
        <v>855199.8</v>
      </c>
      <c r="F280" s="181"/>
      <c r="G280" s="74">
        <v>0</v>
      </c>
      <c r="H280" s="75">
        <v>0</v>
      </c>
      <c r="I280" s="52">
        <v>0</v>
      </c>
      <c r="J280" s="53">
        <v>0</v>
      </c>
      <c r="K280" s="54"/>
      <c r="L280" s="53"/>
      <c r="M280" s="54"/>
      <c r="N280" s="53"/>
      <c r="O280" s="54"/>
      <c r="P280" s="53"/>
      <c r="Q280" s="54"/>
      <c r="R280" s="53"/>
      <c r="S280" s="322">
        <f t="shared" si="33"/>
        <v>0</v>
      </c>
      <c r="T280" s="323">
        <f t="shared" si="34"/>
        <v>0</v>
      </c>
      <c r="U280" s="36"/>
      <c r="V280" s="56"/>
      <c r="W280" s="56"/>
      <c r="X280" s="57"/>
      <c r="Y280" s="58"/>
      <c r="Z280" s="59"/>
      <c r="AA280" s="38"/>
      <c r="AD280" s="40"/>
      <c r="AE280" s="42"/>
      <c r="AF280" s="42"/>
      <c r="AG280" s="2"/>
      <c r="AH280" s="43"/>
      <c r="AI280" s="60"/>
      <c r="AJ280" s="60"/>
      <c r="AK280" s="60"/>
      <c r="AL280" s="70"/>
      <c r="AM280" s="70"/>
      <c r="AN280" s="63"/>
    </row>
    <row r="281" spans="1:40" ht="48.75" customHeight="1" x14ac:dyDescent="0.3">
      <c r="A281" s="44" t="s">
        <v>518</v>
      </c>
      <c r="B281" s="45" t="s">
        <v>519</v>
      </c>
      <c r="C281" s="64" t="s">
        <v>230</v>
      </c>
      <c r="D281" s="191">
        <v>1</v>
      </c>
      <c r="E281" s="192">
        <v>143478.64440000002</v>
      </c>
      <c r="F281" s="181"/>
      <c r="G281" s="74">
        <v>0</v>
      </c>
      <c r="H281" s="75">
        <v>0</v>
      </c>
      <c r="I281" s="52">
        <v>0</v>
      </c>
      <c r="J281" s="53">
        <v>0</v>
      </c>
      <c r="K281" s="54"/>
      <c r="L281" s="53"/>
      <c r="M281" s="54"/>
      <c r="N281" s="53"/>
      <c r="O281" s="54"/>
      <c r="P281" s="53"/>
      <c r="Q281" s="54"/>
      <c r="R281" s="53"/>
      <c r="S281" s="322">
        <f t="shared" si="33"/>
        <v>0</v>
      </c>
      <c r="T281" s="323">
        <f t="shared" si="34"/>
        <v>0</v>
      </c>
      <c r="U281" s="36"/>
      <c r="V281" s="56"/>
      <c r="W281" s="56"/>
      <c r="X281" s="57"/>
      <c r="Y281" s="58"/>
      <c r="Z281" s="59"/>
      <c r="AA281" s="38"/>
      <c r="AD281" s="40"/>
      <c r="AE281" s="42"/>
      <c r="AF281" s="42"/>
      <c r="AG281" s="2"/>
      <c r="AH281" s="43"/>
      <c r="AI281" s="60"/>
      <c r="AJ281" s="60"/>
      <c r="AK281" s="60"/>
      <c r="AL281" s="70"/>
      <c r="AM281" s="70"/>
      <c r="AN281" s="63"/>
    </row>
    <row r="282" spans="1:40" ht="48.75" customHeight="1" x14ac:dyDescent="0.3">
      <c r="A282" s="44" t="s">
        <v>520</v>
      </c>
      <c r="B282" s="45" t="s">
        <v>521</v>
      </c>
      <c r="C282" s="64" t="s">
        <v>230</v>
      </c>
      <c r="D282" s="191">
        <v>1</v>
      </c>
      <c r="E282" s="192">
        <v>231136.21440000003</v>
      </c>
      <c r="F282" s="181"/>
      <c r="G282" s="74">
        <v>0</v>
      </c>
      <c r="H282" s="75">
        <v>0</v>
      </c>
      <c r="I282" s="52">
        <v>0</v>
      </c>
      <c r="J282" s="53">
        <v>0</v>
      </c>
      <c r="K282" s="54"/>
      <c r="L282" s="53"/>
      <c r="M282" s="54"/>
      <c r="N282" s="53"/>
      <c r="O282" s="54"/>
      <c r="P282" s="53"/>
      <c r="Q282" s="54"/>
      <c r="R282" s="53"/>
      <c r="S282" s="322">
        <f t="shared" si="33"/>
        <v>0</v>
      </c>
      <c r="T282" s="323">
        <f t="shared" si="34"/>
        <v>0</v>
      </c>
      <c r="U282" s="36"/>
      <c r="V282" s="56"/>
      <c r="W282" s="56"/>
      <c r="X282" s="57"/>
      <c r="Y282" s="58"/>
      <c r="Z282" s="59"/>
      <c r="AA282" s="38"/>
      <c r="AD282" s="40"/>
      <c r="AE282" s="42"/>
      <c r="AF282" s="42"/>
      <c r="AG282" s="2"/>
      <c r="AH282" s="43"/>
      <c r="AI282" s="60"/>
      <c r="AJ282" s="60"/>
      <c r="AK282" s="60"/>
      <c r="AL282" s="70"/>
      <c r="AM282" s="70"/>
      <c r="AN282" s="63"/>
    </row>
    <row r="283" spans="1:40" ht="48.75" customHeight="1" x14ac:dyDescent="0.3">
      <c r="A283" s="44" t="s">
        <v>522</v>
      </c>
      <c r="B283" s="45" t="s">
        <v>523</v>
      </c>
      <c r="C283" s="64" t="s">
        <v>230</v>
      </c>
      <c r="D283" s="191">
        <v>1</v>
      </c>
      <c r="E283" s="192">
        <v>445138.78500000003</v>
      </c>
      <c r="F283" s="181"/>
      <c r="G283" s="74">
        <v>0</v>
      </c>
      <c r="H283" s="75">
        <v>0</v>
      </c>
      <c r="I283" s="52">
        <v>0</v>
      </c>
      <c r="J283" s="53">
        <v>0</v>
      </c>
      <c r="K283" s="54"/>
      <c r="L283" s="53"/>
      <c r="M283" s="54"/>
      <c r="N283" s="53"/>
      <c r="O283" s="54"/>
      <c r="P283" s="53"/>
      <c r="Q283" s="54"/>
      <c r="R283" s="53"/>
      <c r="S283" s="322">
        <f t="shared" si="33"/>
        <v>0</v>
      </c>
      <c r="T283" s="323">
        <f t="shared" si="34"/>
        <v>0</v>
      </c>
      <c r="U283" s="36"/>
      <c r="V283" s="56"/>
      <c r="W283" s="56"/>
      <c r="X283" s="57"/>
      <c r="Y283" s="58"/>
      <c r="Z283" s="59"/>
      <c r="AA283" s="38"/>
      <c r="AD283" s="40"/>
      <c r="AE283" s="42"/>
      <c r="AF283" s="42"/>
      <c r="AG283" s="2"/>
      <c r="AH283" s="43"/>
      <c r="AI283" s="60"/>
      <c r="AJ283" s="60"/>
      <c r="AK283" s="60"/>
      <c r="AL283" s="70"/>
      <c r="AM283" s="70"/>
      <c r="AN283" s="63"/>
    </row>
    <row r="284" spans="1:40" ht="48.75" customHeight="1" x14ac:dyDescent="0.3">
      <c r="A284" s="44" t="s">
        <v>524</v>
      </c>
      <c r="B284" s="45" t="s">
        <v>525</v>
      </c>
      <c r="C284" s="64" t="s">
        <v>230</v>
      </c>
      <c r="D284" s="191">
        <v>1</v>
      </c>
      <c r="E284" s="192">
        <v>609131.25</v>
      </c>
      <c r="F284" s="181"/>
      <c r="G284" s="74">
        <v>0</v>
      </c>
      <c r="H284" s="75">
        <v>0</v>
      </c>
      <c r="I284" s="52">
        <v>0</v>
      </c>
      <c r="J284" s="53">
        <v>0</v>
      </c>
      <c r="K284" s="54"/>
      <c r="L284" s="53"/>
      <c r="M284" s="54"/>
      <c r="N284" s="53"/>
      <c r="O284" s="54"/>
      <c r="P284" s="53"/>
      <c r="Q284" s="54"/>
      <c r="R284" s="53"/>
      <c r="S284" s="322">
        <f t="shared" si="33"/>
        <v>0</v>
      </c>
      <c r="T284" s="323">
        <f t="shared" si="34"/>
        <v>0</v>
      </c>
      <c r="U284" s="36"/>
      <c r="V284" s="56"/>
      <c r="W284" s="56"/>
      <c r="X284" s="57"/>
      <c r="Y284" s="58"/>
      <c r="Z284" s="59"/>
      <c r="AA284" s="38"/>
      <c r="AD284" s="40"/>
      <c r="AE284" s="42"/>
      <c r="AF284" s="42"/>
      <c r="AG284" s="2"/>
      <c r="AH284" s="43"/>
      <c r="AI284" s="60"/>
      <c r="AJ284" s="60"/>
      <c r="AK284" s="60"/>
      <c r="AL284" s="70"/>
      <c r="AM284" s="70"/>
      <c r="AN284" s="63"/>
    </row>
    <row r="285" spans="1:40" ht="48.75" customHeight="1" x14ac:dyDescent="0.3">
      <c r="A285" s="44" t="s">
        <v>526</v>
      </c>
      <c r="B285" s="45" t="s">
        <v>527</v>
      </c>
      <c r="C285" s="64" t="s">
        <v>304</v>
      </c>
      <c r="D285" s="191">
        <v>1</v>
      </c>
      <c r="E285" s="192">
        <v>15621.060000000001</v>
      </c>
      <c r="F285" s="181"/>
      <c r="G285" s="74">
        <v>0</v>
      </c>
      <c r="H285" s="75">
        <v>0</v>
      </c>
      <c r="I285" s="52">
        <v>0</v>
      </c>
      <c r="J285" s="53">
        <v>0</v>
      </c>
      <c r="K285" s="54"/>
      <c r="L285" s="53"/>
      <c r="M285" s="54"/>
      <c r="N285" s="53"/>
      <c r="O285" s="54"/>
      <c r="P285" s="53"/>
      <c r="Q285" s="54"/>
      <c r="R285" s="53"/>
      <c r="S285" s="322">
        <f t="shared" si="33"/>
        <v>0</v>
      </c>
      <c r="T285" s="323">
        <f t="shared" si="34"/>
        <v>0</v>
      </c>
      <c r="U285" s="36"/>
      <c r="V285" s="56"/>
      <c r="W285" s="56"/>
      <c r="X285" s="57"/>
      <c r="Y285" s="58"/>
      <c r="Z285" s="59"/>
      <c r="AA285" s="38"/>
      <c r="AD285" s="40"/>
      <c r="AE285" s="42"/>
      <c r="AF285" s="42"/>
      <c r="AG285" s="2"/>
      <c r="AH285" s="43"/>
      <c r="AI285" s="60"/>
      <c r="AJ285" s="60"/>
      <c r="AK285" s="60"/>
      <c r="AL285" s="70"/>
      <c r="AM285" s="70"/>
      <c r="AN285" s="63"/>
    </row>
    <row r="286" spans="1:40" ht="48.75" customHeight="1" x14ac:dyDescent="0.3">
      <c r="A286" s="44" t="s">
        <v>528</v>
      </c>
      <c r="B286" s="45" t="s">
        <v>529</v>
      </c>
      <c r="C286" s="64" t="s">
        <v>304</v>
      </c>
      <c r="D286" s="191">
        <v>1</v>
      </c>
      <c r="E286" s="192">
        <v>52177.125000000007</v>
      </c>
      <c r="F286" s="181"/>
      <c r="G286" s="74">
        <v>0</v>
      </c>
      <c r="H286" s="75">
        <v>0</v>
      </c>
      <c r="I286" s="52">
        <v>0</v>
      </c>
      <c r="J286" s="53">
        <v>0</v>
      </c>
      <c r="K286" s="54"/>
      <c r="L286" s="53"/>
      <c r="M286" s="54"/>
      <c r="N286" s="53"/>
      <c r="O286" s="54"/>
      <c r="P286" s="53"/>
      <c r="Q286" s="54"/>
      <c r="R286" s="53"/>
      <c r="S286" s="322">
        <f t="shared" si="33"/>
        <v>0</v>
      </c>
      <c r="T286" s="323">
        <f t="shared" si="34"/>
        <v>0</v>
      </c>
      <c r="U286" s="36"/>
      <c r="V286" s="56"/>
      <c r="W286" s="56"/>
      <c r="X286" s="57"/>
      <c r="Y286" s="58"/>
      <c r="Z286" s="59"/>
      <c r="AA286" s="38"/>
      <c r="AD286" s="40"/>
      <c r="AE286" s="42"/>
      <c r="AF286" s="42"/>
      <c r="AG286" s="2"/>
      <c r="AH286" s="43"/>
      <c r="AI286" s="60"/>
      <c r="AJ286" s="60"/>
      <c r="AK286" s="60"/>
      <c r="AL286" s="70"/>
      <c r="AM286" s="70"/>
      <c r="AN286" s="63"/>
    </row>
    <row r="287" spans="1:40" ht="48.75" customHeight="1" x14ac:dyDescent="0.3">
      <c r="A287" s="44" t="s">
        <v>530</v>
      </c>
      <c r="B287" s="45" t="s">
        <v>531</v>
      </c>
      <c r="C287" s="64" t="s">
        <v>304</v>
      </c>
      <c r="D287" s="191">
        <v>1</v>
      </c>
      <c r="E287" s="192">
        <v>158531.86440000002</v>
      </c>
      <c r="F287" s="181"/>
      <c r="G287" s="74">
        <v>0</v>
      </c>
      <c r="H287" s="75">
        <v>0</v>
      </c>
      <c r="I287" s="52">
        <v>0</v>
      </c>
      <c r="J287" s="53">
        <v>0</v>
      </c>
      <c r="K287" s="54"/>
      <c r="L287" s="53"/>
      <c r="M287" s="54"/>
      <c r="N287" s="53"/>
      <c r="O287" s="54"/>
      <c r="P287" s="53"/>
      <c r="Q287" s="54"/>
      <c r="R287" s="53"/>
      <c r="S287" s="322">
        <f t="shared" si="33"/>
        <v>0</v>
      </c>
      <c r="T287" s="323">
        <f t="shared" si="34"/>
        <v>0</v>
      </c>
      <c r="U287" s="36"/>
      <c r="V287" s="56"/>
      <c r="W287" s="56"/>
      <c r="X287" s="57"/>
      <c r="Y287" s="58"/>
      <c r="Z287" s="59"/>
      <c r="AA287" s="38"/>
      <c r="AD287" s="40"/>
      <c r="AE287" s="42"/>
      <c r="AF287" s="42"/>
      <c r="AG287" s="2"/>
      <c r="AH287" s="43"/>
      <c r="AI287" s="60"/>
      <c r="AJ287" s="60"/>
      <c r="AK287" s="60"/>
      <c r="AL287" s="70"/>
      <c r="AM287" s="70"/>
      <c r="AN287" s="63"/>
    </row>
    <row r="288" spans="1:40" ht="48.75" customHeight="1" x14ac:dyDescent="0.3">
      <c r="A288" s="44" t="s">
        <v>532</v>
      </c>
      <c r="B288" s="45" t="s">
        <v>533</v>
      </c>
      <c r="C288" s="64" t="s">
        <v>304</v>
      </c>
      <c r="D288" s="191">
        <v>1</v>
      </c>
      <c r="E288" s="192">
        <v>296505.30000000005</v>
      </c>
      <c r="F288" s="181"/>
      <c r="G288" s="74">
        <v>0</v>
      </c>
      <c r="H288" s="75">
        <v>0</v>
      </c>
      <c r="I288" s="52">
        <v>0</v>
      </c>
      <c r="J288" s="53">
        <v>0</v>
      </c>
      <c r="K288" s="54"/>
      <c r="L288" s="53"/>
      <c r="M288" s="54"/>
      <c r="N288" s="53"/>
      <c r="O288" s="54"/>
      <c r="P288" s="53"/>
      <c r="Q288" s="54"/>
      <c r="R288" s="53"/>
      <c r="S288" s="322">
        <f t="shared" si="33"/>
        <v>0</v>
      </c>
      <c r="T288" s="323">
        <f t="shared" si="34"/>
        <v>0</v>
      </c>
      <c r="U288" s="36"/>
      <c r="V288" s="56"/>
      <c r="W288" s="56"/>
      <c r="X288" s="57"/>
      <c r="Y288" s="58"/>
      <c r="Z288" s="59"/>
      <c r="AA288" s="38"/>
      <c r="AD288" s="40"/>
      <c r="AE288" s="42"/>
      <c r="AF288" s="42"/>
      <c r="AG288" s="2"/>
      <c r="AH288" s="43"/>
      <c r="AI288" s="60"/>
      <c r="AJ288" s="60"/>
      <c r="AK288" s="60"/>
      <c r="AL288" s="70"/>
      <c r="AM288" s="70"/>
      <c r="AN288" s="63"/>
    </row>
    <row r="289" spans="1:40" ht="48.75" customHeight="1" x14ac:dyDescent="0.3">
      <c r="A289" s="44" t="s">
        <v>534</v>
      </c>
      <c r="B289" s="45" t="s">
        <v>535</v>
      </c>
      <c r="C289" s="64" t="s">
        <v>304</v>
      </c>
      <c r="D289" s="191">
        <v>1</v>
      </c>
      <c r="E289" s="192">
        <v>150750.6</v>
      </c>
      <c r="F289" s="181"/>
      <c r="G289" s="74">
        <v>0</v>
      </c>
      <c r="H289" s="75">
        <v>0</v>
      </c>
      <c r="I289" s="52">
        <v>0</v>
      </c>
      <c r="J289" s="53">
        <v>0</v>
      </c>
      <c r="K289" s="54"/>
      <c r="L289" s="53"/>
      <c r="M289" s="54"/>
      <c r="N289" s="53"/>
      <c r="O289" s="54"/>
      <c r="P289" s="53"/>
      <c r="Q289" s="54"/>
      <c r="R289" s="53"/>
      <c r="S289" s="322">
        <f t="shared" si="33"/>
        <v>0</v>
      </c>
      <c r="T289" s="323">
        <f t="shared" si="34"/>
        <v>0</v>
      </c>
      <c r="U289" s="36"/>
      <c r="V289" s="56"/>
      <c r="W289" s="56"/>
      <c r="X289" s="57"/>
      <c r="Y289" s="58"/>
      <c r="Z289" s="59"/>
      <c r="AA289" s="38"/>
      <c r="AD289" s="40"/>
      <c r="AE289" s="42"/>
      <c r="AF289" s="42"/>
      <c r="AG289" s="2"/>
      <c r="AH289" s="43"/>
      <c r="AI289" s="60"/>
      <c r="AJ289" s="60"/>
      <c r="AK289" s="60"/>
      <c r="AL289" s="70"/>
      <c r="AM289" s="70"/>
      <c r="AN289" s="63"/>
    </row>
    <row r="290" spans="1:40" ht="48.75" customHeight="1" x14ac:dyDescent="0.3">
      <c r="A290" s="44" t="s">
        <v>536</v>
      </c>
      <c r="B290" s="45" t="s">
        <v>537</v>
      </c>
      <c r="C290" s="64" t="s">
        <v>304</v>
      </c>
      <c r="D290" s="191">
        <v>1</v>
      </c>
      <c r="E290" s="192">
        <v>663526.5</v>
      </c>
      <c r="F290" s="181"/>
      <c r="G290" s="74">
        <v>0</v>
      </c>
      <c r="H290" s="75">
        <v>0</v>
      </c>
      <c r="I290" s="52">
        <v>0</v>
      </c>
      <c r="J290" s="53">
        <v>0</v>
      </c>
      <c r="K290" s="54"/>
      <c r="L290" s="53"/>
      <c r="M290" s="54"/>
      <c r="N290" s="53"/>
      <c r="O290" s="54"/>
      <c r="P290" s="53"/>
      <c r="Q290" s="54"/>
      <c r="R290" s="53"/>
      <c r="S290" s="322">
        <f t="shared" si="33"/>
        <v>0</v>
      </c>
      <c r="T290" s="323">
        <f t="shared" si="34"/>
        <v>0</v>
      </c>
      <c r="U290" s="36"/>
      <c r="V290" s="56"/>
      <c r="W290" s="56"/>
      <c r="X290" s="57"/>
      <c r="Y290" s="58"/>
      <c r="Z290" s="59"/>
      <c r="AA290" s="38"/>
      <c r="AD290" s="40"/>
      <c r="AE290" s="42"/>
      <c r="AF290" s="42"/>
      <c r="AG290" s="2"/>
      <c r="AH290" s="43"/>
      <c r="AI290" s="60"/>
      <c r="AJ290" s="60"/>
      <c r="AK290" s="60"/>
      <c r="AL290" s="70"/>
      <c r="AM290" s="70"/>
      <c r="AN290" s="63"/>
    </row>
    <row r="291" spans="1:40" ht="48.75" customHeight="1" x14ac:dyDescent="0.3">
      <c r="A291" s="44" t="s">
        <v>538</v>
      </c>
      <c r="B291" s="45" t="s">
        <v>539</v>
      </c>
      <c r="C291" s="64" t="s">
        <v>304</v>
      </c>
      <c r="D291" s="191">
        <v>1</v>
      </c>
      <c r="E291" s="192">
        <v>781053.00000000012</v>
      </c>
      <c r="F291" s="181"/>
      <c r="G291" s="74">
        <v>0</v>
      </c>
      <c r="H291" s="75">
        <v>0</v>
      </c>
      <c r="I291" s="52">
        <v>0</v>
      </c>
      <c r="J291" s="53">
        <v>0</v>
      </c>
      <c r="K291" s="54"/>
      <c r="L291" s="53"/>
      <c r="M291" s="54"/>
      <c r="N291" s="53"/>
      <c r="O291" s="54"/>
      <c r="P291" s="53"/>
      <c r="Q291" s="54"/>
      <c r="R291" s="53"/>
      <c r="S291" s="322">
        <f t="shared" si="33"/>
        <v>0</v>
      </c>
      <c r="T291" s="323">
        <f t="shared" si="34"/>
        <v>0</v>
      </c>
      <c r="U291" s="36"/>
      <c r="V291" s="56"/>
      <c r="W291" s="56"/>
      <c r="X291" s="57"/>
      <c r="Y291" s="58"/>
      <c r="Z291" s="59"/>
      <c r="AA291" s="38"/>
      <c r="AD291" s="40"/>
      <c r="AE291" s="42"/>
      <c r="AF291" s="42"/>
      <c r="AG291" s="2"/>
      <c r="AH291" s="43"/>
      <c r="AI291" s="60"/>
      <c r="AJ291" s="60"/>
      <c r="AK291" s="60"/>
      <c r="AL291" s="70"/>
      <c r="AM291" s="70"/>
      <c r="AN291" s="63"/>
    </row>
    <row r="292" spans="1:40" ht="48.75" customHeight="1" x14ac:dyDescent="0.3">
      <c r="A292" s="44" t="s">
        <v>540</v>
      </c>
      <c r="B292" s="45" t="s">
        <v>541</v>
      </c>
      <c r="C292" s="64" t="s">
        <v>304</v>
      </c>
      <c r="D292" s="191">
        <v>1</v>
      </c>
      <c r="E292" s="192">
        <v>130930.8</v>
      </c>
      <c r="F292" s="181"/>
      <c r="G292" s="74">
        <v>0</v>
      </c>
      <c r="H292" s="75">
        <v>0</v>
      </c>
      <c r="I292" s="52">
        <v>0</v>
      </c>
      <c r="J292" s="53">
        <v>0</v>
      </c>
      <c r="K292" s="54"/>
      <c r="L292" s="53"/>
      <c r="M292" s="54"/>
      <c r="N292" s="53"/>
      <c r="O292" s="54"/>
      <c r="P292" s="53"/>
      <c r="Q292" s="54"/>
      <c r="R292" s="53"/>
      <c r="S292" s="322">
        <f t="shared" si="33"/>
        <v>0</v>
      </c>
      <c r="T292" s="323">
        <f t="shared" si="34"/>
        <v>0</v>
      </c>
      <c r="U292" s="36"/>
      <c r="V292" s="56"/>
      <c r="W292" s="56"/>
      <c r="X292" s="57"/>
      <c r="Y292" s="58"/>
      <c r="Z292" s="59"/>
      <c r="AA292" s="38"/>
      <c r="AD292" s="40"/>
      <c r="AE292" s="42"/>
      <c r="AF292" s="42"/>
      <c r="AG292" s="2"/>
      <c r="AH292" s="43"/>
      <c r="AI292" s="60"/>
      <c r="AJ292" s="60"/>
      <c r="AK292" s="60"/>
      <c r="AL292" s="70"/>
      <c r="AM292" s="70"/>
      <c r="AN292" s="63"/>
    </row>
    <row r="293" spans="1:40" ht="48.75" customHeight="1" x14ac:dyDescent="0.3">
      <c r="A293" s="44" t="s">
        <v>542</v>
      </c>
      <c r="B293" s="45" t="s">
        <v>543</v>
      </c>
      <c r="C293" s="64" t="s">
        <v>304</v>
      </c>
      <c r="D293" s="191">
        <v>1</v>
      </c>
      <c r="E293" s="192">
        <v>10543.26</v>
      </c>
      <c r="F293" s="181"/>
      <c r="G293" s="74">
        <v>0</v>
      </c>
      <c r="H293" s="75">
        <v>0</v>
      </c>
      <c r="I293" s="52">
        <v>0</v>
      </c>
      <c r="J293" s="53">
        <v>0</v>
      </c>
      <c r="K293" s="54"/>
      <c r="L293" s="53"/>
      <c r="M293" s="54"/>
      <c r="N293" s="53"/>
      <c r="O293" s="54"/>
      <c r="P293" s="53"/>
      <c r="Q293" s="54"/>
      <c r="R293" s="53"/>
      <c r="S293" s="322">
        <f t="shared" si="33"/>
        <v>0</v>
      </c>
      <c r="T293" s="323">
        <f t="shared" si="34"/>
        <v>0</v>
      </c>
      <c r="U293" s="36"/>
      <c r="V293" s="56"/>
      <c r="W293" s="56"/>
      <c r="X293" s="57"/>
      <c r="Y293" s="58"/>
      <c r="Z293" s="59"/>
      <c r="AA293" s="38"/>
      <c r="AD293" s="40"/>
      <c r="AE293" s="42"/>
      <c r="AF293" s="42"/>
      <c r="AG293" s="2"/>
      <c r="AH293" s="43"/>
      <c r="AI293" s="60"/>
      <c r="AJ293" s="60"/>
      <c r="AK293" s="60"/>
      <c r="AL293" s="70"/>
      <c r="AM293" s="70"/>
      <c r="AN293" s="63"/>
    </row>
    <row r="294" spans="1:40" ht="48.75" customHeight="1" x14ac:dyDescent="0.3">
      <c r="A294" s="44" t="s">
        <v>544</v>
      </c>
      <c r="B294" s="45" t="s">
        <v>545</v>
      </c>
      <c r="C294" s="64" t="s">
        <v>304</v>
      </c>
      <c r="D294" s="191">
        <v>1</v>
      </c>
      <c r="E294" s="192">
        <v>1327053</v>
      </c>
      <c r="F294" s="181"/>
      <c r="G294" s="74">
        <v>0</v>
      </c>
      <c r="H294" s="75">
        <v>0</v>
      </c>
      <c r="I294" s="52">
        <v>0</v>
      </c>
      <c r="J294" s="53">
        <v>0</v>
      </c>
      <c r="K294" s="54"/>
      <c r="L294" s="53"/>
      <c r="M294" s="54"/>
      <c r="N294" s="53"/>
      <c r="O294" s="54"/>
      <c r="P294" s="53"/>
      <c r="Q294" s="54"/>
      <c r="R294" s="53"/>
      <c r="S294" s="322">
        <f t="shared" si="33"/>
        <v>0</v>
      </c>
      <c r="T294" s="323">
        <f t="shared" si="34"/>
        <v>0</v>
      </c>
      <c r="U294" s="36"/>
      <c r="V294" s="56"/>
      <c r="W294" s="56"/>
      <c r="X294" s="57"/>
      <c r="Y294" s="58"/>
      <c r="Z294" s="59"/>
      <c r="AA294" s="38"/>
      <c r="AD294" s="40"/>
      <c r="AE294" s="42"/>
      <c r="AF294" s="42"/>
      <c r="AG294" s="2"/>
      <c r="AH294" s="43"/>
      <c r="AI294" s="60"/>
      <c r="AJ294" s="60"/>
      <c r="AK294" s="60"/>
      <c r="AL294" s="70"/>
      <c r="AM294" s="70"/>
      <c r="AN294" s="63"/>
    </row>
    <row r="295" spans="1:40" ht="48.75" customHeight="1" x14ac:dyDescent="0.3">
      <c r="A295" s="44" t="s">
        <v>546</v>
      </c>
      <c r="B295" s="45" t="s">
        <v>547</v>
      </c>
      <c r="C295" s="64" t="s">
        <v>304</v>
      </c>
      <c r="D295" s="191">
        <v>1</v>
      </c>
      <c r="E295" s="192">
        <v>409745.7</v>
      </c>
      <c r="F295" s="181"/>
      <c r="G295" s="74">
        <v>0</v>
      </c>
      <c r="H295" s="75">
        <v>0</v>
      </c>
      <c r="I295" s="52">
        <v>0</v>
      </c>
      <c r="J295" s="53">
        <v>0</v>
      </c>
      <c r="K295" s="54"/>
      <c r="L295" s="53"/>
      <c r="M295" s="54"/>
      <c r="N295" s="53"/>
      <c r="O295" s="54"/>
      <c r="P295" s="53"/>
      <c r="Q295" s="54"/>
      <c r="R295" s="53"/>
      <c r="S295" s="322">
        <f t="shared" si="33"/>
        <v>0</v>
      </c>
      <c r="T295" s="323">
        <f t="shared" si="34"/>
        <v>0</v>
      </c>
      <c r="U295" s="36"/>
      <c r="V295" s="56"/>
      <c r="W295" s="56"/>
      <c r="X295" s="57"/>
      <c r="Y295" s="58"/>
      <c r="Z295" s="59"/>
      <c r="AA295" s="38"/>
      <c r="AD295" s="40"/>
      <c r="AE295" s="42"/>
      <c r="AF295" s="42"/>
      <c r="AG295" s="2"/>
      <c r="AH295" s="43"/>
      <c r="AI295" s="60"/>
      <c r="AJ295" s="60"/>
      <c r="AK295" s="60"/>
      <c r="AL295" s="70"/>
      <c r="AM295" s="70"/>
      <c r="AN295" s="63"/>
    </row>
    <row r="296" spans="1:40" ht="48.75" customHeight="1" x14ac:dyDescent="0.3">
      <c r="A296" s="44" t="s">
        <v>548</v>
      </c>
      <c r="B296" s="45" t="s">
        <v>549</v>
      </c>
      <c r="C296" s="64" t="s">
        <v>304</v>
      </c>
      <c r="D296" s="191">
        <v>1</v>
      </c>
      <c r="E296" s="192">
        <v>34021.26</v>
      </c>
      <c r="F296" s="181"/>
      <c r="G296" s="74">
        <v>0</v>
      </c>
      <c r="H296" s="75">
        <v>0</v>
      </c>
      <c r="I296" s="52">
        <v>0</v>
      </c>
      <c r="J296" s="53">
        <v>0</v>
      </c>
      <c r="K296" s="54"/>
      <c r="L296" s="53"/>
      <c r="M296" s="54"/>
      <c r="N296" s="53"/>
      <c r="O296" s="54"/>
      <c r="P296" s="53"/>
      <c r="Q296" s="54"/>
      <c r="R296" s="53"/>
      <c r="S296" s="322">
        <f t="shared" si="33"/>
        <v>0</v>
      </c>
      <c r="T296" s="323">
        <f t="shared" si="34"/>
        <v>0</v>
      </c>
      <c r="U296" s="36"/>
      <c r="V296" s="56"/>
      <c r="W296" s="56"/>
      <c r="X296" s="57"/>
      <c r="Y296" s="58"/>
      <c r="Z296" s="59"/>
      <c r="AA296" s="38"/>
      <c r="AD296" s="40"/>
      <c r="AE296" s="42"/>
      <c r="AF296" s="42"/>
      <c r="AG296" s="2"/>
      <c r="AH296" s="43"/>
      <c r="AI296" s="60"/>
      <c r="AJ296" s="60"/>
      <c r="AK296" s="60"/>
      <c r="AL296" s="70"/>
      <c r="AM296" s="70"/>
      <c r="AN296" s="63"/>
    </row>
    <row r="297" spans="1:40" ht="48.75" customHeight="1" x14ac:dyDescent="0.3">
      <c r="A297" s="44" t="s">
        <v>550</v>
      </c>
      <c r="B297" s="45" t="s">
        <v>551</v>
      </c>
      <c r="C297" s="64" t="s">
        <v>304</v>
      </c>
      <c r="D297" s="191">
        <v>1</v>
      </c>
      <c r="E297" s="192">
        <v>99945.3</v>
      </c>
      <c r="F297" s="181"/>
      <c r="G297" s="74">
        <v>0</v>
      </c>
      <c r="H297" s="75">
        <v>0</v>
      </c>
      <c r="I297" s="52">
        <v>0</v>
      </c>
      <c r="J297" s="53">
        <v>0</v>
      </c>
      <c r="K297" s="54"/>
      <c r="L297" s="53"/>
      <c r="M297" s="54"/>
      <c r="N297" s="53"/>
      <c r="O297" s="54"/>
      <c r="P297" s="53"/>
      <c r="Q297" s="54"/>
      <c r="R297" s="53"/>
      <c r="S297" s="322">
        <f t="shared" si="33"/>
        <v>0</v>
      </c>
      <c r="T297" s="323">
        <f t="shared" si="34"/>
        <v>0</v>
      </c>
      <c r="U297" s="36"/>
      <c r="V297" s="56"/>
      <c r="W297" s="56"/>
      <c r="X297" s="57"/>
      <c r="Y297" s="58"/>
      <c r="Z297" s="59"/>
      <c r="AA297" s="38"/>
      <c r="AD297" s="40"/>
      <c r="AE297" s="42"/>
      <c r="AF297" s="42"/>
      <c r="AG297" s="2"/>
      <c r="AH297" s="43"/>
      <c r="AI297" s="60"/>
      <c r="AJ297" s="60"/>
      <c r="AK297" s="60"/>
      <c r="AL297" s="70"/>
      <c r="AM297" s="70"/>
      <c r="AN297" s="63"/>
    </row>
    <row r="298" spans="1:40" ht="48.75" customHeight="1" x14ac:dyDescent="0.3">
      <c r="A298" s="44" t="s">
        <v>552</v>
      </c>
      <c r="B298" s="45" t="s">
        <v>553</v>
      </c>
      <c r="C298" s="64" t="s">
        <v>230</v>
      </c>
      <c r="D298" s="191">
        <v>1</v>
      </c>
      <c r="E298" s="192">
        <v>31975.125000000004</v>
      </c>
      <c r="F298" s="181"/>
      <c r="G298" s="74">
        <v>0</v>
      </c>
      <c r="H298" s="75">
        <v>0</v>
      </c>
      <c r="I298" s="52">
        <v>0</v>
      </c>
      <c r="J298" s="53">
        <v>0</v>
      </c>
      <c r="K298" s="54"/>
      <c r="L298" s="53"/>
      <c r="M298" s="54"/>
      <c r="N298" s="53"/>
      <c r="O298" s="54"/>
      <c r="P298" s="53"/>
      <c r="Q298" s="54"/>
      <c r="R298" s="53"/>
      <c r="S298" s="322">
        <f t="shared" si="33"/>
        <v>0</v>
      </c>
      <c r="T298" s="323">
        <f t="shared" si="34"/>
        <v>0</v>
      </c>
      <c r="U298" s="36"/>
      <c r="V298" s="56"/>
      <c r="W298" s="56"/>
      <c r="X298" s="57"/>
      <c r="Y298" s="58"/>
      <c r="Z298" s="59"/>
      <c r="AA298" s="38"/>
      <c r="AD298" s="40"/>
      <c r="AE298" s="42"/>
      <c r="AF298" s="42"/>
      <c r="AG298" s="2"/>
      <c r="AH298" s="43"/>
      <c r="AI298" s="60"/>
      <c r="AJ298" s="60"/>
      <c r="AK298" s="60"/>
      <c r="AL298" s="70"/>
      <c r="AM298" s="70"/>
      <c r="AN298" s="63"/>
    </row>
    <row r="299" spans="1:40" ht="48.75" customHeight="1" x14ac:dyDescent="0.3">
      <c r="A299" s="44" t="s">
        <v>554</v>
      </c>
      <c r="B299" s="45" t="s">
        <v>340</v>
      </c>
      <c r="C299" s="64" t="s">
        <v>304</v>
      </c>
      <c r="D299" s="191">
        <v>1</v>
      </c>
      <c r="E299" s="192">
        <v>21000.525000000001</v>
      </c>
      <c r="F299" s="181"/>
      <c r="G299" s="74">
        <v>0</v>
      </c>
      <c r="H299" s="75">
        <v>0</v>
      </c>
      <c r="I299" s="52">
        <v>0</v>
      </c>
      <c r="J299" s="53">
        <v>0</v>
      </c>
      <c r="K299" s="54"/>
      <c r="L299" s="53"/>
      <c r="M299" s="54"/>
      <c r="N299" s="53"/>
      <c r="O299" s="54"/>
      <c r="P299" s="53"/>
      <c r="Q299" s="54"/>
      <c r="R299" s="53"/>
      <c r="S299" s="322">
        <f t="shared" si="33"/>
        <v>0</v>
      </c>
      <c r="T299" s="323">
        <f t="shared" si="34"/>
        <v>0</v>
      </c>
      <c r="U299" s="36"/>
      <c r="V299" s="56"/>
      <c r="W299" s="56"/>
      <c r="X299" s="57"/>
      <c r="Y299" s="58"/>
      <c r="Z299" s="59"/>
      <c r="AA299" s="38"/>
      <c r="AD299" s="40"/>
      <c r="AE299" s="42"/>
      <c r="AF299" s="42"/>
      <c r="AG299" s="2"/>
      <c r="AH299" s="43"/>
      <c r="AI299" s="60"/>
      <c r="AJ299" s="60"/>
      <c r="AK299" s="60"/>
      <c r="AL299" s="70"/>
      <c r="AM299" s="70"/>
      <c r="AN299" s="63"/>
    </row>
    <row r="300" spans="1:40" ht="48.75" customHeight="1" x14ac:dyDescent="0.3">
      <c r="A300" s="44" t="s">
        <v>555</v>
      </c>
      <c r="B300" s="45" t="s">
        <v>556</v>
      </c>
      <c r="C300" s="64" t="s">
        <v>230</v>
      </c>
      <c r="D300" s="191">
        <v>1</v>
      </c>
      <c r="E300" s="192">
        <v>59493.525000000001</v>
      </c>
      <c r="F300" s="181"/>
      <c r="G300" s="74">
        <v>0</v>
      </c>
      <c r="H300" s="75">
        <v>0</v>
      </c>
      <c r="I300" s="52">
        <v>0</v>
      </c>
      <c r="J300" s="53">
        <v>0</v>
      </c>
      <c r="K300" s="54"/>
      <c r="L300" s="53"/>
      <c r="M300" s="54"/>
      <c r="N300" s="53"/>
      <c r="O300" s="54"/>
      <c r="P300" s="53"/>
      <c r="Q300" s="54"/>
      <c r="R300" s="53"/>
      <c r="S300" s="322">
        <f t="shared" si="33"/>
        <v>0</v>
      </c>
      <c r="T300" s="323">
        <f t="shared" si="34"/>
        <v>0</v>
      </c>
      <c r="U300" s="36"/>
      <c r="V300" s="56"/>
      <c r="W300" s="56"/>
      <c r="X300" s="57"/>
      <c r="Y300" s="58"/>
      <c r="Z300" s="59"/>
      <c r="AA300" s="38"/>
      <c r="AD300" s="40"/>
      <c r="AE300" s="42"/>
      <c r="AF300" s="42"/>
      <c r="AG300" s="2"/>
      <c r="AH300" s="43"/>
      <c r="AI300" s="60"/>
      <c r="AJ300" s="60"/>
      <c r="AK300" s="60"/>
      <c r="AL300" s="70"/>
      <c r="AM300" s="70"/>
      <c r="AN300" s="63"/>
    </row>
    <row r="301" spans="1:40" ht="48.75" customHeight="1" x14ac:dyDescent="0.3">
      <c r="A301" s="44" t="s">
        <v>557</v>
      </c>
      <c r="B301" s="45" t="s">
        <v>348</v>
      </c>
      <c r="C301" s="64" t="s">
        <v>304</v>
      </c>
      <c r="D301" s="191">
        <v>1</v>
      </c>
      <c r="E301" s="192">
        <v>46116.525000000001</v>
      </c>
      <c r="F301" s="181"/>
      <c r="G301" s="74">
        <v>0</v>
      </c>
      <c r="H301" s="75">
        <v>0</v>
      </c>
      <c r="I301" s="52">
        <v>0</v>
      </c>
      <c r="J301" s="53">
        <v>0</v>
      </c>
      <c r="K301" s="54"/>
      <c r="L301" s="53"/>
      <c r="M301" s="54"/>
      <c r="N301" s="53"/>
      <c r="O301" s="54"/>
      <c r="P301" s="53"/>
      <c r="Q301" s="54"/>
      <c r="R301" s="53"/>
      <c r="S301" s="322">
        <f t="shared" si="33"/>
        <v>0</v>
      </c>
      <c r="T301" s="323">
        <f t="shared" si="34"/>
        <v>0</v>
      </c>
      <c r="U301" s="36"/>
      <c r="V301" s="56"/>
      <c r="W301" s="56"/>
      <c r="X301" s="57"/>
      <c r="Y301" s="58"/>
      <c r="Z301" s="59"/>
      <c r="AA301" s="38"/>
      <c r="AD301" s="40"/>
      <c r="AE301" s="42"/>
      <c r="AF301" s="42"/>
      <c r="AG301" s="2"/>
      <c r="AH301" s="43"/>
      <c r="AI301" s="60"/>
      <c r="AJ301" s="60"/>
      <c r="AK301" s="60"/>
      <c r="AL301" s="70"/>
      <c r="AM301" s="70"/>
      <c r="AN301" s="63"/>
    </row>
    <row r="302" spans="1:40" ht="48.75" customHeight="1" x14ac:dyDescent="0.3">
      <c r="A302" s="44" t="s">
        <v>558</v>
      </c>
      <c r="B302" s="45" t="s">
        <v>559</v>
      </c>
      <c r="C302" s="64" t="s">
        <v>230</v>
      </c>
      <c r="D302" s="191">
        <v>1</v>
      </c>
      <c r="E302" s="192">
        <v>119860.65000000001</v>
      </c>
      <c r="F302" s="181"/>
      <c r="G302" s="74">
        <v>0</v>
      </c>
      <c r="H302" s="75">
        <v>0</v>
      </c>
      <c r="I302" s="52">
        <v>0</v>
      </c>
      <c r="J302" s="53">
        <v>0</v>
      </c>
      <c r="K302" s="54"/>
      <c r="L302" s="53"/>
      <c r="M302" s="54"/>
      <c r="N302" s="53"/>
      <c r="O302" s="54"/>
      <c r="P302" s="53"/>
      <c r="Q302" s="54"/>
      <c r="R302" s="53"/>
      <c r="S302" s="322">
        <f t="shared" si="33"/>
        <v>0</v>
      </c>
      <c r="T302" s="323">
        <f t="shared" si="34"/>
        <v>0</v>
      </c>
      <c r="U302" s="36"/>
      <c r="V302" s="56"/>
      <c r="W302" s="56"/>
      <c r="X302" s="57"/>
      <c r="Y302" s="58"/>
      <c r="Z302" s="59"/>
      <c r="AA302" s="38"/>
      <c r="AD302" s="40"/>
      <c r="AE302" s="42"/>
      <c r="AF302" s="42"/>
      <c r="AG302" s="2"/>
      <c r="AH302" s="43"/>
      <c r="AI302" s="60"/>
      <c r="AJ302" s="60"/>
      <c r="AK302" s="60"/>
      <c r="AL302" s="70"/>
      <c r="AM302" s="70"/>
      <c r="AN302" s="63"/>
    </row>
    <row r="303" spans="1:40" ht="48.75" customHeight="1" x14ac:dyDescent="0.3">
      <c r="A303" s="44" t="s">
        <v>560</v>
      </c>
      <c r="B303" s="45" t="s">
        <v>561</v>
      </c>
      <c r="C303" s="64" t="s">
        <v>230</v>
      </c>
      <c r="D303" s="191">
        <v>1</v>
      </c>
      <c r="E303" s="192">
        <v>47918.325000000004</v>
      </c>
      <c r="F303" s="181"/>
      <c r="G303" s="74">
        <v>0</v>
      </c>
      <c r="H303" s="75">
        <v>0</v>
      </c>
      <c r="I303" s="52">
        <v>0</v>
      </c>
      <c r="J303" s="53">
        <v>0</v>
      </c>
      <c r="K303" s="54"/>
      <c r="L303" s="53"/>
      <c r="M303" s="54"/>
      <c r="N303" s="53"/>
      <c r="O303" s="54"/>
      <c r="P303" s="53"/>
      <c r="Q303" s="54"/>
      <c r="R303" s="53"/>
      <c r="S303" s="322">
        <f t="shared" si="33"/>
        <v>0</v>
      </c>
      <c r="T303" s="323">
        <f t="shared" si="34"/>
        <v>0</v>
      </c>
      <c r="U303" s="36"/>
      <c r="V303" s="56"/>
      <c r="W303" s="56"/>
      <c r="X303" s="57"/>
      <c r="Y303" s="58"/>
      <c r="Z303" s="59"/>
      <c r="AA303" s="38"/>
      <c r="AD303" s="40"/>
      <c r="AE303" s="42"/>
      <c r="AF303" s="42"/>
      <c r="AG303" s="2"/>
      <c r="AH303" s="43"/>
      <c r="AI303" s="60"/>
      <c r="AJ303" s="60"/>
      <c r="AK303" s="60"/>
      <c r="AL303" s="70"/>
      <c r="AM303" s="70"/>
      <c r="AN303" s="63"/>
    </row>
    <row r="304" spans="1:40" ht="48.75" customHeight="1" x14ac:dyDescent="0.3">
      <c r="A304" s="44" t="s">
        <v>562</v>
      </c>
      <c r="B304" s="45" t="s">
        <v>563</v>
      </c>
      <c r="C304" s="64" t="s">
        <v>564</v>
      </c>
      <c r="D304" s="191">
        <v>1</v>
      </c>
      <c r="E304" s="192">
        <v>22256.325000000001</v>
      </c>
      <c r="F304" s="181"/>
      <c r="G304" s="74">
        <v>0</v>
      </c>
      <c r="H304" s="75">
        <v>0</v>
      </c>
      <c r="I304" s="52">
        <v>0</v>
      </c>
      <c r="J304" s="53">
        <v>0</v>
      </c>
      <c r="K304" s="54"/>
      <c r="L304" s="53"/>
      <c r="M304" s="54"/>
      <c r="N304" s="53"/>
      <c r="O304" s="54"/>
      <c r="P304" s="53"/>
      <c r="Q304" s="54"/>
      <c r="R304" s="53"/>
      <c r="S304" s="322">
        <f t="shared" si="33"/>
        <v>0</v>
      </c>
      <c r="T304" s="323">
        <f t="shared" si="34"/>
        <v>0</v>
      </c>
      <c r="U304" s="36"/>
      <c r="V304" s="56"/>
      <c r="W304" s="56"/>
      <c r="X304" s="57"/>
      <c r="Y304" s="58"/>
      <c r="Z304" s="59"/>
      <c r="AA304" s="38"/>
      <c r="AD304" s="40"/>
      <c r="AE304" s="42"/>
      <c r="AF304" s="42"/>
      <c r="AG304" s="2"/>
      <c r="AH304" s="43"/>
      <c r="AI304" s="60"/>
      <c r="AJ304" s="60"/>
      <c r="AK304" s="60"/>
      <c r="AL304" s="70"/>
      <c r="AM304" s="70"/>
      <c r="AN304" s="63"/>
    </row>
    <row r="305" spans="1:40" ht="48.75" customHeight="1" x14ac:dyDescent="0.3">
      <c r="A305" s="44" t="s">
        <v>565</v>
      </c>
      <c r="B305" s="45" t="s">
        <v>566</v>
      </c>
      <c r="C305" s="64" t="s">
        <v>30</v>
      </c>
      <c r="D305" s="188">
        <v>1</v>
      </c>
      <c r="E305" s="189">
        <v>317226.49140000006</v>
      </c>
      <c r="F305" s="67"/>
      <c r="G305" s="74">
        <v>0</v>
      </c>
      <c r="H305" s="75">
        <v>0</v>
      </c>
      <c r="I305" s="52">
        <v>0</v>
      </c>
      <c r="J305" s="53">
        <v>0</v>
      </c>
      <c r="K305" s="54"/>
      <c r="L305" s="53"/>
      <c r="M305" s="54"/>
      <c r="N305" s="53"/>
      <c r="O305" s="54"/>
      <c r="P305" s="53"/>
      <c r="Q305" s="54"/>
      <c r="R305" s="53"/>
      <c r="S305" s="322">
        <f t="shared" si="33"/>
        <v>0</v>
      </c>
      <c r="T305" s="323">
        <f t="shared" si="34"/>
        <v>0</v>
      </c>
      <c r="U305" s="36"/>
      <c r="V305" s="56"/>
      <c r="W305" s="56"/>
      <c r="X305" s="57"/>
      <c r="Y305" s="58"/>
      <c r="Z305" s="59"/>
      <c r="AA305" s="38"/>
      <c r="AD305" s="40"/>
      <c r="AE305" s="42"/>
      <c r="AF305" s="42"/>
      <c r="AG305" s="2"/>
      <c r="AH305" s="43"/>
      <c r="AI305" s="60"/>
      <c r="AJ305" s="60"/>
      <c r="AK305" s="60"/>
      <c r="AL305" s="70"/>
      <c r="AM305" s="70"/>
      <c r="AN305" s="63"/>
    </row>
    <row r="306" spans="1:40" ht="48.75" customHeight="1" x14ac:dyDescent="0.3">
      <c r="A306" s="44" t="s">
        <v>567</v>
      </c>
      <c r="B306" s="45" t="s">
        <v>568</v>
      </c>
      <c r="C306" s="64" t="s">
        <v>21</v>
      </c>
      <c r="D306" s="188">
        <v>1</v>
      </c>
      <c r="E306" s="189">
        <v>11363.625</v>
      </c>
      <c r="F306" s="67"/>
      <c r="G306" s="74">
        <v>0</v>
      </c>
      <c r="H306" s="75">
        <v>0</v>
      </c>
      <c r="I306" s="52">
        <v>0</v>
      </c>
      <c r="J306" s="53">
        <v>0</v>
      </c>
      <c r="K306" s="54"/>
      <c r="L306" s="53"/>
      <c r="M306" s="54"/>
      <c r="N306" s="53"/>
      <c r="O306" s="54"/>
      <c r="P306" s="53"/>
      <c r="Q306" s="54"/>
      <c r="R306" s="53"/>
      <c r="S306" s="322">
        <f t="shared" si="33"/>
        <v>0</v>
      </c>
      <c r="T306" s="323">
        <f t="shared" si="34"/>
        <v>0</v>
      </c>
      <c r="U306" s="36"/>
      <c r="V306" s="56"/>
      <c r="W306" s="56"/>
      <c r="X306" s="57"/>
      <c r="Y306" s="58"/>
      <c r="Z306" s="59"/>
      <c r="AA306" s="38"/>
      <c r="AD306" s="40"/>
      <c r="AE306" s="42"/>
      <c r="AF306" s="42"/>
      <c r="AG306" s="2"/>
      <c r="AH306" s="43"/>
      <c r="AI306" s="60"/>
      <c r="AJ306" s="60"/>
      <c r="AK306" s="60"/>
      <c r="AL306" s="70"/>
      <c r="AM306" s="70"/>
      <c r="AN306" s="63"/>
    </row>
    <row r="307" spans="1:40" ht="48.75" customHeight="1" x14ac:dyDescent="0.3">
      <c r="A307" s="284">
        <v>9.1300000000000008</v>
      </c>
      <c r="B307" s="285" t="s">
        <v>569</v>
      </c>
      <c r="C307" s="278" t="s">
        <v>27</v>
      </c>
      <c r="D307" s="191">
        <v>1</v>
      </c>
      <c r="E307" s="192">
        <v>2737794.4821428573</v>
      </c>
      <c r="F307" s="181"/>
      <c r="G307" s="74">
        <v>0</v>
      </c>
      <c r="H307" s="75">
        <v>0</v>
      </c>
      <c r="I307" s="52"/>
      <c r="J307" s="53"/>
      <c r="K307" s="281"/>
      <c r="L307" s="280"/>
      <c r="M307" s="281"/>
      <c r="N307" s="280"/>
      <c r="O307" s="281"/>
      <c r="P307" s="280"/>
      <c r="Q307" s="281"/>
      <c r="R307" s="280"/>
      <c r="S307" s="322">
        <f t="shared" si="33"/>
        <v>0</v>
      </c>
      <c r="T307" s="323">
        <f t="shared" si="34"/>
        <v>0</v>
      </c>
      <c r="U307" s="36"/>
      <c r="V307" s="56"/>
      <c r="W307" s="56"/>
      <c r="X307" s="57"/>
      <c r="Y307" s="58"/>
      <c r="Z307" s="59"/>
      <c r="AA307" s="38"/>
      <c r="AD307" s="40"/>
      <c r="AE307" s="42"/>
      <c r="AF307" s="42"/>
      <c r="AG307" s="2"/>
      <c r="AH307" s="43"/>
      <c r="AI307" s="60"/>
      <c r="AJ307" s="60"/>
      <c r="AK307" s="60"/>
      <c r="AL307" s="70"/>
      <c r="AM307" s="70"/>
      <c r="AN307" s="63"/>
    </row>
    <row r="308" spans="1:40" ht="48.75" customHeight="1" x14ac:dyDescent="0.3">
      <c r="A308" s="276" t="s">
        <v>107</v>
      </c>
      <c r="B308" s="277" t="s">
        <v>570</v>
      </c>
      <c r="C308" s="278" t="s">
        <v>27</v>
      </c>
      <c r="D308" s="191">
        <v>1</v>
      </c>
      <c r="E308" s="192">
        <v>579097</v>
      </c>
      <c r="F308" s="181"/>
      <c r="G308" s="74">
        <v>0</v>
      </c>
      <c r="H308" s="75">
        <v>0</v>
      </c>
      <c r="I308" s="326"/>
      <c r="J308" s="53"/>
      <c r="K308" s="281"/>
      <c r="L308" s="280"/>
      <c r="M308" s="281"/>
      <c r="N308" s="280"/>
      <c r="O308" s="281"/>
      <c r="P308" s="280"/>
      <c r="Q308" s="281"/>
      <c r="R308" s="280"/>
      <c r="S308" s="322">
        <f>+I308+G308</f>
        <v>0</v>
      </c>
      <c r="T308" s="323">
        <f>H308+J308</f>
        <v>0</v>
      </c>
      <c r="U308" s="36"/>
      <c r="V308" s="56"/>
      <c r="W308" s="56"/>
      <c r="X308" s="57"/>
      <c r="Y308" s="58"/>
      <c r="Z308" s="59"/>
      <c r="AA308" s="38"/>
      <c r="AD308" s="40"/>
      <c r="AE308" s="42"/>
      <c r="AF308" s="42"/>
      <c r="AG308" s="2"/>
      <c r="AH308" s="43"/>
      <c r="AI308" s="60"/>
      <c r="AJ308" s="60"/>
      <c r="AK308" s="60"/>
      <c r="AL308" s="70"/>
      <c r="AM308" s="70"/>
      <c r="AN308" s="63"/>
    </row>
    <row r="309" spans="1:40" ht="48.75" customHeight="1" x14ac:dyDescent="0.3">
      <c r="A309" s="284">
        <v>11.21</v>
      </c>
      <c r="B309" s="285" t="s">
        <v>571</v>
      </c>
      <c r="C309" s="64" t="s">
        <v>230</v>
      </c>
      <c r="D309" s="289">
        <v>1</v>
      </c>
      <c r="E309" s="286">
        <v>22534</v>
      </c>
      <c r="F309" s="291"/>
      <c r="G309" s="290">
        <v>2</v>
      </c>
      <c r="H309" s="293">
        <v>98235.236985236974</v>
      </c>
      <c r="I309" s="279"/>
      <c r="J309" s="53"/>
      <c r="K309" s="294"/>
      <c r="L309" s="287"/>
      <c r="M309" s="288"/>
      <c r="N309" s="287"/>
      <c r="O309" s="288"/>
      <c r="P309" s="287"/>
      <c r="Q309" s="288"/>
      <c r="R309" s="295"/>
      <c r="S309" s="322">
        <f>+I310+G309</f>
        <v>2</v>
      </c>
      <c r="T309" s="323">
        <f>H309+J310</f>
        <v>98235.236985236974</v>
      </c>
      <c r="U309" s="36"/>
      <c r="V309" s="56"/>
      <c r="W309" s="56"/>
      <c r="X309" s="57"/>
      <c r="Y309" s="58"/>
      <c r="Z309" s="59"/>
      <c r="AA309" s="38"/>
      <c r="AD309" s="40"/>
      <c r="AE309" s="42"/>
      <c r="AF309" s="42"/>
      <c r="AG309" s="2"/>
      <c r="AH309" s="43"/>
      <c r="AI309" s="60"/>
      <c r="AJ309" s="60"/>
      <c r="AK309" s="60"/>
      <c r="AL309" s="70"/>
      <c r="AM309" s="70"/>
      <c r="AN309" s="63"/>
    </row>
    <row r="310" spans="1:40" ht="48.75" customHeight="1" x14ac:dyDescent="0.3">
      <c r="A310" s="284">
        <v>11.28</v>
      </c>
      <c r="B310" s="285" t="s">
        <v>608</v>
      </c>
      <c r="C310" s="64" t="s">
        <v>27</v>
      </c>
      <c r="D310" s="289">
        <v>1</v>
      </c>
      <c r="E310" s="286">
        <v>49117.618492618487</v>
      </c>
      <c r="F310" s="291"/>
      <c r="G310" s="290">
        <v>2</v>
      </c>
      <c r="H310" s="293">
        <v>98235.236985236974</v>
      </c>
      <c r="I310" s="315"/>
      <c r="J310" s="53"/>
      <c r="K310" s="294"/>
      <c r="L310" s="287"/>
      <c r="M310" s="288"/>
      <c r="N310" s="287"/>
      <c r="O310" s="288"/>
      <c r="P310" s="287"/>
      <c r="Q310" s="288"/>
      <c r="R310" s="295"/>
      <c r="S310" s="322">
        <f t="shared" ref="S310:S317" si="35">+I310+G310</f>
        <v>2</v>
      </c>
      <c r="T310" s="323">
        <f t="shared" ref="T310:T317" si="36">H310+J310</f>
        <v>98235.236985236974</v>
      </c>
      <c r="U310" s="36"/>
      <c r="V310" s="56"/>
      <c r="W310" s="56"/>
      <c r="X310" s="57"/>
      <c r="Y310" s="58"/>
      <c r="Z310" s="59"/>
      <c r="AA310" s="38"/>
      <c r="AD310" s="40"/>
      <c r="AE310" s="42"/>
      <c r="AF310" s="42"/>
      <c r="AG310" s="2"/>
      <c r="AH310" s="43"/>
      <c r="AI310" s="60"/>
      <c r="AJ310" s="60"/>
      <c r="AK310" s="60"/>
      <c r="AL310" s="70"/>
      <c r="AM310" s="70"/>
      <c r="AN310" s="63"/>
    </row>
    <row r="311" spans="1:40" ht="48.75" customHeight="1" x14ac:dyDescent="0.3">
      <c r="A311" s="284">
        <v>11.16</v>
      </c>
      <c r="B311" s="285" t="s">
        <v>609</v>
      </c>
      <c r="C311" s="64" t="s">
        <v>27</v>
      </c>
      <c r="D311" s="289">
        <v>1</v>
      </c>
      <c r="E311" s="286">
        <v>133542.31416731415</v>
      </c>
      <c r="F311" s="291"/>
      <c r="G311" s="290">
        <v>0</v>
      </c>
      <c r="H311" s="293">
        <v>0</v>
      </c>
      <c r="I311" s="315"/>
      <c r="J311" s="53"/>
      <c r="K311" s="294"/>
      <c r="L311" s="287"/>
      <c r="M311" s="288"/>
      <c r="N311" s="287"/>
      <c r="O311" s="288"/>
      <c r="P311" s="287"/>
      <c r="Q311" s="288"/>
      <c r="R311" s="295"/>
      <c r="S311" s="322">
        <f t="shared" si="35"/>
        <v>0</v>
      </c>
      <c r="T311" s="323">
        <f t="shared" si="36"/>
        <v>0</v>
      </c>
      <c r="U311" s="36"/>
      <c r="V311" s="56"/>
      <c r="W311" s="56"/>
      <c r="X311" s="57"/>
      <c r="Y311" s="58"/>
      <c r="Z311" s="59"/>
      <c r="AA311" s="38"/>
      <c r="AD311" s="40"/>
      <c r="AE311" s="42"/>
      <c r="AF311" s="42"/>
      <c r="AG311" s="2"/>
      <c r="AH311" s="43"/>
      <c r="AI311" s="60"/>
      <c r="AJ311" s="60"/>
      <c r="AK311" s="60"/>
      <c r="AL311" s="70"/>
      <c r="AM311" s="70"/>
      <c r="AN311" s="63"/>
    </row>
    <row r="312" spans="1:40" ht="48.75" customHeight="1" x14ac:dyDescent="0.3">
      <c r="A312" s="284">
        <v>11.13</v>
      </c>
      <c r="B312" s="285" t="s">
        <v>616</v>
      </c>
      <c r="C312" s="64" t="s">
        <v>27</v>
      </c>
      <c r="D312" s="289">
        <v>1</v>
      </c>
      <c r="E312" s="286">
        <v>775693</v>
      </c>
      <c r="F312" s="291"/>
      <c r="G312" s="290">
        <v>0</v>
      </c>
      <c r="H312" s="293">
        <v>0</v>
      </c>
      <c r="I312" s="315"/>
      <c r="J312" s="53"/>
      <c r="K312" s="294"/>
      <c r="L312" s="287"/>
      <c r="M312" s="288"/>
      <c r="N312" s="287"/>
      <c r="O312" s="288"/>
      <c r="P312" s="287"/>
      <c r="Q312" s="288"/>
      <c r="R312" s="295"/>
      <c r="S312" s="322">
        <f t="shared" si="35"/>
        <v>0</v>
      </c>
      <c r="T312" s="323">
        <f t="shared" si="36"/>
        <v>0</v>
      </c>
      <c r="U312" s="36"/>
      <c r="V312" s="56"/>
      <c r="W312" s="56"/>
      <c r="X312" s="57"/>
      <c r="Y312" s="58"/>
      <c r="Z312" s="59"/>
      <c r="AA312" s="38"/>
      <c r="AD312" s="40"/>
      <c r="AE312" s="42"/>
      <c r="AF312" s="42"/>
      <c r="AG312" s="2"/>
      <c r="AH312" s="43"/>
      <c r="AI312" s="60"/>
      <c r="AJ312" s="60"/>
      <c r="AK312" s="60"/>
      <c r="AL312" s="70"/>
      <c r="AM312" s="70"/>
      <c r="AN312" s="63"/>
    </row>
    <row r="313" spans="1:40" ht="48.75" customHeight="1" x14ac:dyDescent="0.3">
      <c r="A313" s="284">
        <v>11.19</v>
      </c>
      <c r="B313" s="285" t="s">
        <v>617</v>
      </c>
      <c r="C313" s="64" t="s">
        <v>27</v>
      </c>
      <c r="D313" s="289">
        <v>1</v>
      </c>
      <c r="E313" s="286">
        <v>1237929</v>
      </c>
      <c r="F313" s="291"/>
      <c r="G313" s="290">
        <v>0</v>
      </c>
      <c r="H313" s="293">
        <v>0</v>
      </c>
      <c r="I313" s="315"/>
      <c r="J313" s="53"/>
      <c r="K313" s="294"/>
      <c r="L313" s="287"/>
      <c r="M313" s="288"/>
      <c r="N313" s="287"/>
      <c r="O313" s="288"/>
      <c r="P313" s="287"/>
      <c r="Q313" s="288"/>
      <c r="R313" s="295"/>
      <c r="S313" s="322">
        <f t="shared" si="35"/>
        <v>0</v>
      </c>
      <c r="T313" s="323">
        <f t="shared" si="36"/>
        <v>0</v>
      </c>
      <c r="U313" s="36"/>
      <c r="V313" s="56"/>
      <c r="W313" s="56"/>
      <c r="X313" s="57"/>
      <c r="Y313" s="58"/>
      <c r="Z313" s="59"/>
      <c r="AA313" s="38"/>
      <c r="AD313" s="40"/>
      <c r="AE313" s="42"/>
      <c r="AF313" s="42"/>
      <c r="AG313" s="2"/>
      <c r="AH313" s="43"/>
      <c r="AI313" s="60"/>
      <c r="AJ313" s="60"/>
      <c r="AK313" s="60"/>
      <c r="AL313" s="70"/>
      <c r="AM313" s="70"/>
      <c r="AN313" s="63"/>
    </row>
    <row r="314" spans="1:40" ht="48.75" customHeight="1" x14ac:dyDescent="0.3">
      <c r="A314" s="284">
        <v>11.2</v>
      </c>
      <c r="B314" s="285" t="s">
        <v>618</v>
      </c>
      <c r="C314" s="64" t="s">
        <v>619</v>
      </c>
      <c r="D314" s="289">
        <v>1</v>
      </c>
      <c r="E314" s="286">
        <v>133370</v>
      </c>
      <c r="F314" s="291"/>
      <c r="G314" s="290">
        <v>0</v>
      </c>
      <c r="H314" s="293">
        <v>0</v>
      </c>
      <c r="I314" s="292"/>
      <c r="J314" s="53"/>
      <c r="K314" s="294"/>
      <c r="L314" s="287"/>
      <c r="M314" s="288"/>
      <c r="N314" s="287"/>
      <c r="O314" s="288"/>
      <c r="P314" s="287"/>
      <c r="Q314" s="288"/>
      <c r="R314" s="295"/>
      <c r="S314" s="322">
        <f t="shared" si="35"/>
        <v>0</v>
      </c>
      <c r="T314" s="323">
        <f t="shared" si="36"/>
        <v>0</v>
      </c>
      <c r="U314" s="36"/>
      <c r="V314" s="56"/>
      <c r="W314" s="56"/>
      <c r="X314" s="57"/>
      <c r="Y314" s="58"/>
      <c r="Z314" s="59"/>
      <c r="AA314" s="38"/>
      <c r="AD314" s="40"/>
      <c r="AE314" s="42"/>
      <c r="AF314" s="42"/>
      <c r="AG314" s="2"/>
      <c r="AH314" s="43"/>
      <c r="AI314" s="60"/>
      <c r="AJ314" s="60"/>
      <c r="AK314" s="60"/>
      <c r="AL314" s="70"/>
      <c r="AM314" s="70"/>
      <c r="AN314" s="63"/>
    </row>
    <row r="315" spans="1:40" ht="48.75" customHeight="1" x14ac:dyDescent="0.3">
      <c r="A315" s="284">
        <v>11.07</v>
      </c>
      <c r="B315" s="285" t="s">
        <v>572</v>
      </c>
      <c r="C315" s="64" t="s">
        <v>27</v>
      </c>
      <c r="D315" s="289">
        <v>1</v>
      </c>
      <c r="E315" s="286">
        <v>1859164</v>
      </c>
      <c r="F315" s="291"/>
      <c r="G315" s="290">
        <v>0</v>
      </c>
      <c r="H315" s="293">
        <v>0</v>
      </c>
      <c r="I315" s="279"/>
      <c r="J315" s="53"/>
      <c r="K315" s="294"/>
      <c r="L315" s="287"/>
      <c r="M315" s="288"/>
      <c r="N315" s="287"/>
      <c r="O315" s="288"/>
      <c r="P315" s="287"/>
      <c r="Q315" s="288"/>
      <c r="R315" s="295"/>
      <c r="S315" s="322">
        <f t="shared" si="35"/>
        <v>0</v>
      </c>
      <c r="T315" s="323">
        <f t="shared" si="36"/>
        <v>0</v>
      </c>
      <c r="U315" s="36"/>
      <c r="V315" s="56"/>
      <c r="W315" s="56"/>
      <c r="X315" s="57"/>
      <c r="Y315" s="58"/>
      <c r="Z315" s="59"/>
      <c r="AA315" s="38"/>
      <c r="AD315" s="40"/>
      <c r="AE315" s="42"/>
      <c r="AF315" s="42"/>
      <c r="AG315" s="2"/>
      <c r="AH315" s="43"/>
      <c r="AI315" s="60"/>
      <c r="AJ315" s="60"/>
      <c r="AK315" s="60"/>
      <c r="AL315" s="70"/>
      <c r="AM315" s="70"/>
      <c r="AN315" s="63"/>
    </row>
    <row r="316" spans="1:40" ht="48.75" customHeight="1" x14ac:dyDescent="0.3">
      <c r="A316" s="284">
        <v>11.3</v>
      </c>
      <c r="B316" s="285" t="s">
        <v>610</v>
      </c>
      <c r="C316" s="64" t="s">
        <v>27</v>
      </c>
      <c r="D316" s="289">
        <v>1</v>
      </c>
      <c r="E316" s="286">
        <v>1746046.5229215226</v>
      </c>
      <c r="F316" s="291"/>
      <c r="G316" s="290">
        <v>0</v>
      </c>
      <c r="H316" s="293">
        <v>0</v>
      </c>
      <c r="I316" s="292"/>
      <c r="J316" s="53"/>
      <c r="K316" s="294"/>
      <c r="L316" s="287"/>
      <c r="M316" s="288"/>
      <c r="N316" s="287"/>
      <c r="O316" s="288"/>
      <c r="P316" s="287"/>
      <c r="Q316" s="288"/>
      <c r="R316" s="295"/>
      <c r="S316" s="322">
        <f t="shared" si="35"/>
        <v>0</v>
      </c>
      <c r="T316" s="323">
        <f t="shared" si="36"/>
        <v>0</v>
      </c>
      <c r="U316" s="36"/>
      <c r="V316" s="56"/>
      <c r="W316" s="56"/>
      <c r="X316" s="57"/>
      <c r="Y316" s="58"/>
      <c r="Z316" s="59"/>
      <c r="AA316" s="38"/>
      <c r="AD316" s="40"/>
      <c r="AE316" s="42"/>
      <c r="AF316" s="42"/>
      <c r="AG316" s="2"/>
      <c r="AH316" s="43"/>
      <c r="AI316" s="60"/>
      <c r="AJ316" s="60"/>
      <c r="AK316" s="60"/>
      <c r="AL316" s="70"/>
      <c r="AM316" s="70"/>
      <c r="AN316" s="63"/>
    </row>
    <row r="317" spans="1:40" ht="48.75" customHeight="1" x14ac:dyDescent="0.3">
      <c r="A317" s="284">
        <v>11.1</v>
      </c>
      <c r="B317" s="285" t="s">
        <v>573</v>
      </c>
      <c r="C317" s="64" t="s">
        <v>27</v>
      </c>
      <c r="D317" s="289">
        <v>1</v>
      </c>
      <c r="E317" s="286">
        <v>3295473</v>
      </c>
      <c r="F317" s="291"/>
      <c r="G317" s="290">
        <v>0</v>
      </c>
      <c r="H317" s="293">
        <v>0</v>
      </c>
      <c r="I317" s="292"/>
      <c r="J317" s="53"/>
      <c r="K317" s="294"/>
      <c r="L317" s="287"/>
      <c r="M317" s="288"/>
      <c r="N317" s="287"/>
      <c r="O317" s="288"/>
      <c r="P317" s="287"/>
      <c r="Q317" s="288"/>
      <c r="R317" s="295"/>
      <c r="S317" s="322">
        <f t="shared" si="35"/>
        <v>0</v>
      </c>
      <c r="T317" s="323">
        <f t="shared" si="36"/>
        <v>0</v>
      </c>
      <c r="U317" s="36"/>
      <c r="V317" s="56"/>
      <c r="W317" s="56"/>
      <c r="X317" s="57"/>
      <c r="Y317" s="58"/>
      <c r="Z317" s="59"/>
      <c r="AA317" s="38"/>
      <c r="AD317" s="40"/>
      <c r="AE317" s="42"/>
      <c r="AF317" s="42"/>
      <c r="AG317" s="2"/>
      <c r="AH317" s="43"/>
      <c r="AI317" s="60"/>
      <c r="AJ317" s="60"/>
      <c r="AK317" s="60"/>
      <c r="AL317" s="70"/>
      <c r="AM317" s="70"/>
      <c r="AN317" s="63"/>
    </row>
    <row r="318" spans="1:40" ht="16.5" customHeight="1" x14ac:dyDescent="0.3">
      <c r="A318" s="282" t="s">
        <v>574</v>
      </c>
      <c r="B318" s="283"/>
      <c r="C318" s="347">
        <f>+SUM(F12:F306)</f>
        <v>14554462512.8312</v>
      </c>
      <c r="D318" s="348"/>
      <c r="E318" s="348"/>
      <c r="F318" s="349"/>
      <c r="G318" s="397">
        <f>ROUND(SUM(H12:H317),0)</f>
        <v>811981099</v>
      </c>
      <c r="H318" s="398"/>
      <c r="I318" s="397">
        <f>ROUND(SUM(J12:J318),6)</f>
        <v>1615338921.16944</v>
      </c>
      <c r="J318" s="400"/>
      <c r="K318" s="397">
        <f>SUM(L12:L124)</f>
        <v>0</v>
      </c>
      <c r="L318" s="400"/>
      <c r="M318" s="397">
        <f>SUM(N12:N124)</f>
        <v>0</v>
      </c>
      <c r="N318" s="400"/>
      <c r="O318" s="397">
        <f>SUM(P12:P124)</f>
        <v>0</v>
      </c>
      <c r="P318" s="400"/>
      <c r="Q318" s="397">
        <f>SUM(R12:R124)</f>
        <v>0</v>
      </c>
      <c r="R318" s="400"/>
      <c r="S318" s="397">
        <f>+G318+I318</f>
        <v>2427320020.1694403</v>
      </c>
      <c r="T318" s="398"/>
      <c r="U318" s="76"/>
      <c r="V318" s="77"/>
      <c r="W318" s="78"/>
      <c r="X318" s="57"/>
      <c r="Y318" s="2"/>
      <c r="Z318" s="79"/>
      <c r="AA318" s="37"/>
      <c r="AB318" s="80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</row>
    <row r="319" spans="1:40" ht="19.5" customHeight="1" x14ac:dyDescent="0.3">
      <c r="A319" s="401" t="s">
        <v>575</v>
      </c>
      <c r="B319" s="399"/>
      <c r="C319" s="347">
        <f>+C318*0.2</f>
        <v>2910892502.5662403</v>
      </c>
      <c r="D319" s="348"/>
      <c r="E319" s="348"/>
      <c r="F319" s="402"/>
      <c r="G319" s="403">
        <f>ROUND(+G318*20%,0)</f>
        <v>162396220</v>
      </c>
      <c r="H319" s="404"/>
      <c r="I319" s="347">
        <f>ROUND(+I318*20%,6)</f>
        <v>323067784.23388797</v>
      </c>
      <c r="J319" s="399"/>
      <c r="K319" s="347">
        <f>+K318*0.2</f>
        <v>0</v>
      </c>
      <c r="L319" s="399"/>
      <c r="M319" s="347">
        <f>+M318*0.2</f>
        <v>0</v>
      </c>
      <c r="N319" s="399"/>
      <c r="O319" s="347">
        <f>+O318*0.2</f>
        <v>0</v>
      </c>
      <c r="P319" s="399"/>
      <c r="Q319" s="347">
        <f>+Q318*0.2</f>
        <v>0</v>
      </c>
      <c r="R319" s="399"/>
      <c r="S319" s="347">
        <f>ROUND(+S318*20%,0)</f>
        <v>485464004</v>
      </c>
      <c r="T319" s="349"/>
      <c r="U319" s="76"/>
      <c r="V319" s="77"/>
      <c r="W319" s="78"/>
      <c r="X319" s="57"/>
      <c r="Y319" s="37"/>
      <c r="Z319" s="81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</row>
    <row r="320" spans="1:40" ht="19.5" customHeight="1" x14ac:dyDescent="0.3">
      <c r="A320" s="401" t="s">
        <v>576</v>
      </c>
      <c r="B320" s="399"/>
      <c r="C320" s="347">
        <f>+C318*5%</f>
        <v>727723125.64156008</v>
      </c>
      <c r="D320" s="348"/>
      <c r="E320" s="348"/>
      <c r="F320" s="402"/>
      <c r="G320" s="413">
        <f>+G318*5%</f>
        <v>40599054.950000003</v>
      </c>
      <c r="H320" s="414"/>
      <c r="I320" s="347">
        <f>ROUND(+I318*0.05,0)</f>
        <v>80766946</v>
      </c>
      <c r="J320" s="399"/>
      <c r="K320" s="347">
        <f>+K318*0.05</f>
        <v>0</v>
      </c>
      <c r="L320" s="399"/>
      <c r="M320" s="347">
        <f>+M318*0.05</f>
        <v>0</v>
      </c>
      <c r="N320" s="399"/>
      <c r="O320" s="347">
        <f>+O318*0.05</f>
        <v>0</v>
      </c>
      <c r="P320" s="399"/>
      <c r="Q320" s="347">
        <f>+Q318*0.05</f>
        <v>0</v>
      </c>
      <c r="R320" s="399"/>
      <c r="S320" s="347">
        <f>ROUND(+S318*0.05,0)</f>
        <v>121366001</v>
      </c>
      <c r="T320" s="349"/>
      <c r="U320" s="76"/>
      <c r="V320" s="77"/>
      <c r="W320" s="78"/>
      <c r="X320" s="57"/>
      <c r="Y320" s="37"/>
      <c r="Z320" s="81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</row>
    <row r="321" spans="1:40" ht="19.5" customHeight="1" thickBot="1" x14ac:dyDescent="0.35">
      <c r="A321" s="405" t="s">
        <v>577</v>
      </c>
      <c r="B321" s="406"/>
      <c r="C321" s="347">
        <f>+C318*5%</f>
        <v>727723125.64156008</v>
      </c>
      <c r="D321" s="348"/>
      <c r="E321" s="348"/>
      <c r="F321" s="402"/>
      <c r="G321" s="407">
        <f>+G318*5%</f>
        <v>40599054.950000003</v>
      </c>
      <c r="H321" s="408"/>
      <c r="I321" s="409">
        <f>+I318*0.05</f>
        <v>80766946.058472008</v>
      </c>
      <c r="J321" s="406"/>
      <c r="K321" s="409">
        <f>+K318*0.05</f>
        <v>0</v>
      </c>
      <c r="L321" s="406"/>
      <c r="M321" s="409">
        <f>+M318*0.05</f>
        <v>0</v>
      </c>
      <c r="N321" s="406"/>
      <c r="O321" s="410">
        <f>+O318*0.05</f>
        <v>0</v>
      </c>
      <c r="P321" s="411"/>
      <c r="Q321" s="410">
        <f>+Q318*0.05</f>
        <v>0</v>
      </c>
      <c r="R321" s="411"/>
      <c r="S321" s="410">
        <f>ROUND(+S318*0.05,0)</f>
        <v>121366001</v>
      </c>
      <c r="T321" s="412"/>
      <c r="U321" s="76"/>
      <c r="V321" s="77"/>
      <c r="W321" s="78"/>
      <c r="X321" s="57"/>
      <c r="Y321" s="37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9.5" customHeight="1" thickTop="1" thickBot="1" x14ac:dyDescent="0.35">
      <c r="A322" s="415" t="s">
        <v>578</v>
      </c>
      <c r="B322" s="411"/>
      <c r="C322" s="410">
        <f>SUM(C318:F321)</f>
        <v>18920801266.680557</v>
      </c>
      <c r="D322" s="416"/>
      <c r="E322" s="416"/>
      <c r="F322" s="412"/>
      <c r="G322" s="410">
        <f>+G318+G319+G320+G321</f>
        <v>1055575428.9000001</v>
      </c>
      <c r="H322" s="411"/>
      <c r="I322" s="410">
        <f>ROUND(I318+I319+I320+I321,0)</f>
        <v>2099940597</v>
      </c>
      <c r="J322" s="411"/>
      <c r="K322" s="410" t="e">
        <f>+K318+K319+K320+K321+#REF!</f>
        <v>#REF!</v>
      </c>
      <c r="L322" s="411"/>
      <c r="M322" s="410" t="e">
        <f>+M318+M319+M320+M321+#REF!</f>
        <v>#REF!</v>
      </c>
      <c r="N322" s="411"/>
      <c r="O322" s="410" t="e">
        <f>+O318+O319+O320+O321+#REF!</f>
        <v>#REF!</v>
      </c>
      <c r="P322" s="411"/>
      <c r="Q322" s="410" t="e">
        <f>+Q318+Q319+Q320+Q321+#REF!</f>
        <v>#REF!</v>
      </c>
      <c r="R322" s="411"/>
      <c r="S322" s="418">
        <f>S318+S319+S320+S321</f>
        <v>3155516026.1694403</v>
      </c>
      <c r="T322" s="419"/>
      <c r="U322" s="76"/>
      <c r="V322" s="82"/>
      <c r="W322" s="82"/>
      <c r="X322" s="57"/>
      <c r="Y322" s="37"/>
      <c r="Z322" s="57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6.5" customHeight="1" thickTop="1" x14ac:dyDescent="0.3">
      <c r="A323" s="83"/>
      <c r="B323" s="84"/>
      <c r="C323" s="85"/>
      <c r="D323" s="85"/>
      <c r="E323" s="85"/>
      <c r="F323" s="86"/>
      <c r="G323" s="87"/>
      <c r="H323" s="87"/>
      <c r="I323" s="88"/>
      <c r="J323" s="89"/>
      <c r="K323" s="57"/>
      <c r="L323" s="57"/>
      <c r="M323" s="57"/>
      <c r="N323" s="57"/>
      <c r="O323" s="2"/>
      <c r="P323" s="81"/>
      <c r="Q323" s="2"/>
      <c r="R323" s="81"/>
      <c r="S323" s="85"/>
      <c r="T323" s="90"/>
      <c r="U323" s="25"/>
      <c r="V323" s="2"/>
      <c r="W323" s="78"/>
      <c r="X323" s="57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6.5" customHeight="1" x14ac:dyDescent="0.3">
      <c r="A324" s="83"/>
      <c r="B324" s="84"/>
      <c r="C324" s="85"/>
      <c r="D324" s="85"/>
      <c r="E324" s="85"/>
      <c r="F324" s="85"/>
      <c r="G324" s="85"/>
      <c r="H324" s="87"/>
      <c r="I324" s="88"/>
      <c r="J324" s="89"/>
      <c r="K324" s="57"/>
      <c r="L324" s="57"/>
      <c r="M324" s="57"/>
      <c r="N324" s="57"/>
      <c r="O324" s="2"/>
      <c r="P324" s="81"/>
      <c r="Q324" s="2"/>
      <c r="R324" s="81"/>
      <c r="S324" s="85"/>
      <c r="T324" s="85"/>
      <c r="U324" s="25"/>
      <c r="V324" s="2"/>
      <c r="W324" s="78"/>
      <c r="X324" s="57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6.5" customHeight="1" x14ac:dyDescent="0.3">
      <c r="A325" s="83"/>
      <c r="B325" s="84"/>
      <c r="C325" s="85"/>
      <c r="D325" s="85"/>
      <c r="E325" s="85"/>
      <c r="F325" s="91"/>
      <c r="G325" s="87"/>
      <c r="H325" s="87"/>
      <c r="I325" s="88"/>
      <c r="J325" s="89"/>
      <c r="K325" s="57"/>
      <c r="L325" s="57"/>
      <c r="M325" s="57"/>
      <c r="N325" s="57"/>
      <c r="O325" s="2"/>
      <c r="P325" s="81"/>
      <c r="Q325" s="2"/>
      <c r="R325" s="81"/>
      <c r="S325" s="85"/>
      <c r="T325" s="85"/>
      <c r="U325" s="25"/>
      <c r="V325" s="2"/>
      <c r="W325" s="78"/>
      <c r="X325" s="57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6.5" customHeight="1" x14ac:dyDescent="0.3">
      <c r="A326" s="83"/>
      <c r="B326" s="84"/>
      <c r="C326" s="85"/>
      <c r="D326" s="85"/>
      <c r="E326" s="85"/>
      <c r="F326" s="91"/>
      <c r="G326" s="87"/>
      <c r="H326" s="87"/>
      <c r="I326" s="88"/>
      <c r="J326" s="89"/>
      <c r="K326" s="57"/>
      <c r="L326" s="57"/>
      <c r="M326" s="57"/>
      <c r="N326" s="57"/>
      <c r="O326" s="2"/>
      <c r="P326" s="81"/>
      <c r="Q326" s="2"/>
      <c r="R326" s="81"/>
      <c r="S326" s="85"/>
      <c r="T326" s="85"/>
      <c r="U326" s="25"/>
      <c r="V326" s="2"/>
      <c r="W326" s="78"/>
      <c r="X326" s="57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6.5" customHeight="1" x14ac:dyDescent="0.3">
      <c r="A327" s="83"/>
      <c r="B327" s="84"/>
      <c r="C327" s="85"/>
      <c r="D327" s="85"/>
      <c r="E327" s="85"/>
      <c r="F327" s="91"/>
      <c r="G327" s="87"/>
      <c r="H327" s="87"/>
      <c r="I327" s="88"/>
      <c r="J327" s="89"/>
      <c r="K327" s="57"/>
      <c r="L327" s="57"/>
      <c r="M327" s="57"/>
      <c r="N327" s="57"/>
      <c r="O327" s="2"/>
      <c r="P327" s="81"/>
      <c r="Q327" s="2"/>
      <c r="R327" s="81"/>
      <c r="S327" s="85"/>
      <c r="T327" s="85"/>
      <c r="U327" s="25"/>
      <c r="V327" s="2"/>
      <c r="W327" s="78"/>
      <c r="X327" s="57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6.5" customHeight="1" x14ac:dyDescent="0.3">
      <c r="A328" s="83"/>
      <c r="B328" s="84"/>
      <c r="C328" s="85"/>
      <c r="D328" s="85"/>
      <c r="E328" s="85"/>
      <c r="F328" s="91"/>
      <c r="G328" s="87"/>
      <c r="H328" s="87"/>
      <c r="I328" s="88"/>
      <c r="J328" s="89"/>
      <c r="K328" s="57"/>
      <c r="L328" s="57"/>
      <c r="M328" s="57"/>
      <c r="N328" s="57"/>
      <c r="O328" s="2"/>
      <c r="P328" s="81"/>
      <c r="Q328" s="2"/>
      <c r="R328" s="81"/>
      <c r="S328" s="85"/>
      <c r="T328" s="85"/>
      <c r="U328" s="25"/>
      <c r="V328" s="2"/>
      <c r="W328" s="78"/>
      <c r="X328" s="57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6.5" customHeight="1" x14ac:dyDescent="0.3">
      <c r="A329" s="83"/>
      <c r="B329" s="84"/>
      <c r="C329" s="85"/>
      <c r="D329" s="85"/>
      <c r="E329" s="85"/>
      <c r="F329" s="86"/>
      <c r="G329" s="87"/>
      <c r="H329" s="87"/>
      <c r="I329" s="87"/>
      <c r="J329" s="87"/>
      <c r="K329" s="57"/>
      <c r="L329" s="57"/>
      <c r="M329" s="57"/>
      <c r="N329" s="57"/>
      <c r="O329" s="2"/>
      <c r="P329" s="57"/>
      <c r="Q329" s="2"/>
      <c r="R329" s="57"/>
      <c r="S329" s="85"/>
      <c r="T329" s="85"/>
      <c r="U329" s="25"/>
      <c r="V329" s="57"/>
      <c r="W329" s="78"/>
      <c r="X329" s="57"/>
      <c r="Y329" s="2"/>
      <c r="Z329" s="57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6.5" customHeight="1" x14ac:dyDescent="0.3">
      <c r="A330" s="92"/>
      <c r="B330" s="93"/>
      <c r="C330" s="94"/>
      <c r="D330" s="94"/>
      <c r="E330" s="95"/>
      <c r="F330" s="96"/>
      <c r="G330" s="94"/>
      <c r="H330" s="94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8"/>
      <c r="V330" s="99"/>
      <c r="W330" s="78"/>
      <c r="X330" s="57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</row>
    <row r="331" spans="1:40" ht="16.5" customHeight="1" x14ac:dyDescent="0.35">
      <c r="A331" s="92"/>
      <c r="B331" s="100" t="s">
        <v>579</v>
      </c>
      <c r="C331" s="94"/>
      <c r="D331" s="101"/>
      <c r="E331" s="94"/>
      <c r="F331" s="102"/>
      <c r="G331" s="94"/>
      <c r="H331" s="94"/>
      <c r="I331" s="303" t="s">
        <v>580</v>
      </c>
      <c r="J331" s="304"/>
      <c r="K331" s="304"/>
      <c r="L331" s="304"/>
      <c r="M331" s="304"/>
      <c r="N331" s="304"/>
      <c r="O331" s="304"/>
      <c r="P331" s="304"/>
      <c r="Q331" s="304"/>
      <c r="R331" s="304"/>
      <c r="S331" s="304"/>
      <c r="T331" s="304"/>
      <c r="U331" s="98"/>
      <c r="V331" s="99"/>
      <c r="W331" s="78"/>
      <c r="X331" s="57"/>
      <c r="Y331" s="99"/>
      <c r="Z331" s="103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</row>
    <row r="332" spans="1:40" ht="16.5" customHeight="1" x14ac:dyDescent="0.35">
      <c r="A332" s="94"/>
      <c r="B332" s="104" t="s">
        <v>581</v>
      </c>
      <c r="C332" s="94"/>
      <c r="D332" s="94"/>
      <c r="E332" s="94"/>
      <c r="F332" s="105"/>
      <c r="G332" s="106"/>
      <c r="H332" s="106"/>
      <c r="I332" s="301" t="s">
        <v>582</v>
      </c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98"/>
      <c r="V332" s="99"/>
      <c r="W332" s="78"/>
      <c r="X332" s="57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</row>
    <row r="333" spans="1:40" ht="16.5" customHeight="1" x14ac:dyDescent="0.3">
      <c r="A333" s="94"/>
      <c r="B333" s="107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8"/>
      <c r="V333" s="99"/>
      <c r="W333" s="78"/>
      <c r="X333" s="57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</row>
    <row r="334" spans="1:40" ht="16.5" customHeight="1" x14ac:dyDescent="0.3">
      <c r="A334" s="94"/>
      <c r="B334" s="108"/>
      <c r="C334" s="99"/>
      <c r="D334" s="99"/>
      <c r="E334" s="99"/>
      <c r="F334" s="99"/>
      <c r="G334" s="99"/>
      <c r="H334" s="99"/>
      <c r="I334" s="99"/>
      <c r="J334" s="109"/>
      <c r="K334" s="99"/>
      <c r="L334" s="99"/>
      <c r="M334" s="99"/>
      <c r="N334" s="99"/>
      <c r="O334" s="99"/>
      <c r="P334" s="99"/>
      <c r="Q334" s="99"/>
      <c r="R334" s="99"/>
      <c r="S334" s="99"/>
      <c r="T334" s="110"/>
      <c r="U334" s="98"/>
      <c r="V334" s="99"/>
      <c r="W334" s="78"/>
      <c r="X334" s="57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</row>
    <row r="335" spans="1:40" ht="16.5" customHeight="1" x14ac:dyDescent="0.3">
      <c r="A335" s="94"/>
      <c r="B335" s="108"/>
      <c r="C335" s="99"/>
      <c r="D335" s="99"/>
      <c r="E335" s="99"/>
      <c r="F335" s="99"/>
      <c r="G335" s="99"/>
      <c r="H335" s="99"/>
      <c r="I335" s="99"/>
      <c r="J335" s="109"/>
      <c r="K335" s="99"/>
      <c r="L335" s="99"/>
      <c r="M335" s="99"/>
      <c r="N335" s="99"/>
      <c r="O335" s="99"/>
      <c r="P335" s="99"/>
      <c r="Q335" s="99"/>
      <c r="R335" s="99"/>
      <c r="S335" s="99"/>
      <c r="T335" s="110"/>
      <c r="U335" s="98"/>
      <c r="V335" s="99"/>
      <c r="W335" s="78"/>
      <c r="X335" s="57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</row>
    <row r="336" spans="1:40" ht="16.5" customHeight="1" x14ac:dyDescent="0.3">
      <c r="A336" s="94"/>
      <c r="B336" s="108"/>
      <c r="C336" s="99"/>
      <c r="D336" s="99"/>
      <c r="E336" s="99"/>
      <c r="F336" s="99"/>
      <c r="G336" s="99"/>
      <c r="H336" s="99"/>
      <c r="I336" s="99"/>
      <c r="J336" s="109"/>
      <c r="K336" s="99"/>
      <c r="L336" s="99"/>
      <c r="M336" s="99"/>
      <c r="N336" s="99"/>
      <c r="O336" s="99"/>
      <c r="P336" s="99"/>
      <c r="Q336" s="99"/>
      <c r="R336" s="99"/>
      <c r="S336" s="99"/>
      <c r="T336" s="110"/>
      <c r="U336" s="98"/>
      <c r="V336" s="99"/>
      <c r="W336" s="78"/>
      <c r="X336" s="57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</row>
    <row r="337" spans="1:40" ht="16.5" customHeight="1" x14ac:dyDescent="0.3">
      <c r="A337" s="99"/>
      <c r="B337" s="93"/>
      <c r="C337" s="99"/>
      <c r="D337" s="99"/>
      <c r="E337" s="99"/>
      <c r="F337" s="56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8"/>
      <c r="V337" s="99"/>
      <c r="W337" s="78"/>
      <c r="X337" s="57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</row>
    <row r="338" spans="1:40" ht="16.5" customHeight="1" x14ac:dyDescent="0.3">
      <c r="A338" s="99"/>
      <c r="B338" s="100" t="s">
        <v>583</v>
      </c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8"/>
      <c r="V338" s="99"/>
      <c r="W338" s="99"/>
      <c r="X338" s="57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</row>
    <row r="339" spans="1:40" ht="16.5" customHeight="1" x14ac:dyDescent="0.3">
      <c r="A339" s="99"/>
      <c r="B339" s="100" t="s">
        <v>584</v>
      </c>
      <c r="C339" s="99"/>
      <c r="D339" s="99"/>
      <c r="E339" s="99"/>
      <c r="F339" s="103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8"/>
      <c r="V339" s="99"/>
      <c r="W339" s="99"/>
      <c r="X339" s="57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</row>
    <row r="340" spans="1:40" ht="16.5" customHeight="1" x14ac:dyDescent="0.3">
      <c r="A340" s="99"/>
      <c r="B340" s="108"/>
      <c r="C340" s="99"/>
      <c r="D340" s="99"/>
      <c r="E340" s="99"/>
      <c r="F340" s="111"/>
      <c r="G340" s="99"/>
      <c r="H340" s="99"/>
      <c r="I340" s="99"/>
      <c r="J340" s="112"/>
      <c r="K340" s="99"/>
      <c r="L340" s="99"/>
      <c r="M340" s="99"/>
      <c r="N340" s="99"/>
      <c r="O340" s="99"/>
      <c r="P340" s="99"/>
      <c r="Q340" s="99"/>
      <c r="R340" s="99"/>
      <c r="S340" s="99"/>
      <c r="T340" s="110"/>
      <c r="U340" s="98"/>
      <c r="V340" s="99"/>
      <c r="W340" s="99"/>
      <c r="X340" s="57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</row>
    <row r="341" spans="1:40" ht="16.5" customHeight="1" x14ac:dyDescent="0.3">
      <c r="A341" s="2"/>
      <c r="B341" s="113"/>
      <c r="C341" s="2"/>
      <c r="D341" s="417"/>
      <c r="E341" s="417"/>
      <c r="F341" s="417"/>
      <c r="G341" s="114"/>
      <c r="H341" s="114"/>
      <c r="I341" s="114"/>
      <c r="J341" s="115"/>
      <c r="K341" s="114"/>
      <c r="L341" s="114"/>
      <c r="M341" s="114"/>
      <c r="N341" s="114"/>
      <c r="O341" s="2"/>
      <c r="P341" s="2"/>
      <c r="Q341" s="2"/>
      <c r="R341" s="2"/>
      <c r="S341" s="2"/>
      <c r="T341" s="2"/>
      <c r="U341" s="25"/>
      <c r="V341" s="2"/>
      <c r="W341" s="2"/>
      <c r="X341" s="57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6.5" customHeight="1" x14ac:dyDescent="0.3">
      <c r="A342" s="2"/>
      <c r="B342" s="113"/>
      <c r="C342" s="2"/>
      <c r="D342" s="2"/>
      <c r="E342" s="2"/>
      <c r="F342" s="2"/>
      <c r="G342" s="2"/>
      <c r="H342" s="2"/>
      <c r="I342" s="2"/>
      <c r="J342" s="11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5"/>
      <c r="V342" s="2"/>
      <c r="W342" s="2"/>
      <c r="X342" s="57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6.5" customHeight="1" x14ac:dyDescent="0.3">
      <c r="A343" s="2"/>
      <c r="B343" s="113"/>
      <c r="C343" s="2"/>
      <c r="D343" s="2"/>
      <c r="E343" s="2"/>
      <c r="F343" s="2"/>
      <c r="G343" s="2"/>
      <c r="H343" s="2"/>
      <c r="I343" s="2"/>
      <c r="J343" s="11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5"/>
      <c r="V343" s="2"/>
      <c r="W343" s="2"/>
      <c r="X343" s="57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6.5" customHeight="1" x14ac:dyDescent="0.3">
      <c r="A344" s="2"/>
      <c r="B344" s="113"/>
      <c r="C344" s="2"/>
      <c r="D344" s="2"/>
      <c r="E344" s="2"/>
      <c r="F344" s="2"/>
      <c r="G344" s="2"/>
      <c r="H344" s="2"/>
      <c r="I344" s="2"/>
      <c r="J344" s="11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5"/>
      <c r="V344" s="2"/>
      <c r="W344" s="2"/>
      <c r="X344" s="57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6.5" customHeight="1" x14ac:dyDescent="0.3">
      <c r="A345" s="2"/>
      <c r="B345" s="113"/>
      <c r="C345" s="2"/>
      <c r="D345" s="2"/>
      <c r="E345" s="2"/>
      <c r="F345" s="2"/>
      <c r="G345" s="2"/>
      <c r="H345" s="2"/>
      <c r="I345" s="2"/>
      <c r="J345" s="11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5"/>
      <c r="V345" s="2"/>
      <c r="W345" s="2"/>
      <c r="X345" s="57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6.5" customHeight="1" x14ac:dyDescent="0.3">
      <c r="A346" s="2"/>
      <c r="B346" s="113"/>
      <c r="C346" s="2"/>
      <c r="D346" s="2"/>
      <c r="E346" s="2"/>
      <c r="F346" s="2"/>
      <c r="G346" s="2"/>
      <c r="H346" s="2"/>
      <c r="I346" s="2"/>
      <c r="J346" s="11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5"/>
      <c r="V346" s="2"/>
      <c r="W346" s="2"/>
      <c r="X346" s="57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6.5" customHeight="1" x14ac:dyDescent="0.3">
      <c r="A347" s="2"/>
      <c r="B347" s="113"/>
      <c r="C347" s="2"/>
      <c r="D347" s="2"/>
      <c r="E347" s="2"/>
      <c r="F347" s="2"/>
      <c r="G347" s="2"/>
      <c r="H347" s="2"/>
      <c r="I347" s="2"/>
      <c r="J347" s="11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5"/>
      <c r="V347" s="2"/>
      <c r="W347" s="2"/>
      <c r="X347" s="57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6.5" customHeight="1" x14ac:dyDescent="0.3">
      <c r="A348" s="2"/>
      <c r="B348" s="1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5"/>
      <c r="V348" s="2"/>
      <c r="W348" s="2"/>
      <c r="X348" s="57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6.5" customHeight="1" x14ac:dyDescent="0.3">
      <c r="A349" s="2"/>
      <c r="B349" s="1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5"/>
      <c r="V349" s="2"/>
      <c r="W349" s="2"/>
      <c r="X349" s="57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6.5" customHeight="1" x14ac:dyDescent="0.3">
      <c r="A350" s="2"/>
      <c r="B350" s="1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5"/>
      <c r="V350" s="2"/>
      <c r="W350" s="2"/>
      <c r="X350" s="57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6.5" customHeight="1" x14ac:dyDescent="0.3">
      <c r="A351" s="2"/>
      <c r="B351" s="1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5"/>
      <c r="V351" s="2"/>
      <c r="W351" s="2"/>
      <c r="X351" s="57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6.5" customHeight="1" x14ac:dyDescent="0.3">
      <c r="A352" s="2"/>
      <c r="B352" s="1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5"/>
      <c r="V352" s="2"/>
      <c r="W352" s="2"/>
      <c r="X352" s="57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6.5" customHeight="1" x14ac:dyDescent="0.3">
      <c r="A353" s="2"/>
      <c r="B353" s="1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5"/>
      <c r="V353" s="2"/>
      <c r="W353" s="2"/>
      <c r="X353" s="57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6.5" customHeight="1" x14ac:dyDescent="0.3">
      <c r="A354" s="2"/>
      <c r="B354" s="1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5"/>
      <c r="V354" s="2"/>
      <c r="W354" s="2"/>
      <c r="X354" s="57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6.5" customHeight="1" x14ac:dyDescent="0.3">
      <c r="A355" s="2"/>
      <c r="B355" s="1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5"/>
      <c r="V355" s="2"/>
      <c r="W355" s="2"/>
      <c r="X355" s="57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6.5" customHeight="1" x14ac:dyDescent="0.3">
      <c r="A356" s="2"/>
      <c r="B356" s="1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5"/>
      <c r="V356" s="2"/>
      <c r="W356" s="2"/>
      <c r="X356" s="57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6.5" customHeight="1" x14ac:dyDescent="0.3">
      <c r="A357" s="2"/>
      <c r="B357" s="1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5"/>
      <c r="V357" s="2"/>
      <c r="W357" s="2"/>
      <c r="X357" s="57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6.5" customHeight="1" x14ac:dyDescent="0.3">
      <c r="A358" s="2"/>
      <c r="B358" s="1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5"/>
      <c r="V358" s="2"/>
      <c r="W358" s="2"/>
      <c r="X358" s="57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6.5" customHeight="1" x14ac:dyDescent="0.3">
      <c r="A359" s="2"/>
      <c r="B359" s="1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5"/>
      <c r="V359" s="2"/>
      <c r="W359" s="2"/>
      <c r="X359" s="57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6.5" customHeight="1" x14ac:dyDescent="0.3">
      <c r="A360" s="2"/>
      <c r="B360" s="1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5"/>
      <c r="V360" s="2"/>
      <c r="W360" s="2"/>
      <c r="X360" s="57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6.5" customHeight="1" x14ac:dyDescent="0.3">
      <c r="A361" s="2"/>
      <c r="B361" s="1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5"/>
      <c r="V361" s="2"/>
      <c r="W361" s="2"/>
      <c r="X361" s="57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6.5" customHeight="1" x14ac:dyDescent="0.3">
      <c r="A362" s="2"/>
      <c r="B362" s="1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5"/>
      <c r="V362" s="2"/>
      <c r="W362" s="2"/>
      <c r="X362" s="57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6.5" customHeight="1" x14ac:dyDescent="0.3">
      <c r="A363" s="2"/>
      <c r="B363" s="1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5"/>
      <c r="V363" s="2"/>
      <c r="W363" s="2"/>
      <c r="X363" s="57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6.5" customHeight="1" x14ac:dyDescent="0.3">
      <c r="A364" s="2"/>
      <c r="B364" s="1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5"/>
      <c r="V364" s="2"/>
      <c r="W364" s="2"/>
      <c r="X364" s="57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6.5" customHeight="1" x14ac:dyDescent="0.3">
      <c r="A365" s="2"/>
      <c r="B365" s="1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5"/>
      <c r="V365" s="2"/>
      <c r="W365" s="2"/>
      <c r="X365" s="57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6.5" customHeight="1" x14ac:dyDescent="0.3">
      <c r="A366" s="2"/>
      <c r="B366" s="1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5"/>
      <c r="V366" s="2"/>
      <c r="W366" s="2"/>
      <c r="X366" s="57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6.5" customHeight="1" x14ac:dyDescent="0.3">
      <c r="A367" s="2"/>
      <c r="B367" s="1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5"/>
      <c r="V367" s="2"/>
      <c r="W367" s="2"/>
      <c r="X367" s="57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6.5" customHeight="1" x14ac:dyDescent="0.3">
      <c r="A368" s="2"/>
      <c r="B368" s="1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5"/>
      <c r="V368" s="2"/>
      <c r="W368" s="2"/>
      <c r="X368" s="57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6.5" customHeight="1" x14ac:dyDescent="0.3">
      <c r="A369" s="2"/>
      <c r="B369" s="1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5"/>
      <c r="V369" s="2"/>
      <c r="W369" s="2"/>
      <c r="X369" s="57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6.5" customHeight="1" x14ac:dyDescent="0.3">
      <c r="A370" s="2"/>
      <c r="B370" s="1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5"/>
      <c r="V370" s="2"/>
      <c r="W370" s="2"/>
      <c r="X370" s="57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6.5" customHeight="1" x14ac:dyDescent="0.3">
      <c r="A371" s="2"/>
      <c r="B371" s="1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5"/>
      <c r="V371" s="2"/>
      <c r="W371" s="2"/>
      <c r="X371" s="57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6.5" customHeight="1" x14ac:dyDescent="0.3">
      <c r="A372" s="2"/>
      <c r="B372" s="1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5"/>
      <c r="V372" s="2"/>
      <c r="W372" s="2"/>
      <c r="X372" s="57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6.5" customHeight="1" x14ac:dyDescent="0.3">
      <c r="A373" s="2"/>
      <c r="B373" s="1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5"/>
      <c r="V373" s="2"/>
      <c r="W373" s="2"/>
      <c r="X373" s="57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6.5" customHeight="1" x14ac:dyDescent="0.3">
      <c r="A374" s="2"/>
      <c r="B374" s="1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5"/>
      <c r="V374" s="2"/>
      <c r="W374" s="2"/>
      <c r="X374" s="57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6.5" customHeight="1" x14ac:dyDescent="0.3">
      <c r="A375" s="2"/>
      <c r="B375" s="113"/>
      <c r="C375" s="11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5"/>
      <c r="V375" s="2"/>
      <c r="W375" s="2"/>
      <c r="X375" s="57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6.5" customHeight="1" x14ac:dyDescent="0.3">
      <c r="A376" s="2"/>
      <c r="B376" s="113"/>
      <c r="C376" s="11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5"/>
      <c r="V376" s="2"/>
      <c r="W376" s="2"/>
      <c r="X376" s="57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6.5" customHeight="1" x14ac:dyDescent="0.3">
      <c r="A377" s="2"/>
      <c r="B377" s="113"/>
      <c r="C377" s="11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5"/>
      <c r="V377" s="2"/>
      <c r="W377" s="2"/>
      <c r="X377" s="57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6.5" customHeight="1" x14ac:dyDescent="0.3">
      <c r="A378" s="2"/>
      <c r="B378" s="113"/>
      <c r="C378" s="11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5"/>
      <c r="V378" s="2"/>
      <c r="W378" s="2"/>
      <c r="X378" s="57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6.5" customHeight="1" x14ac:dyDescent="0.3">
      <c r="A379" s="2"/>
      <c r="B379" s="113"/>
      <c r="C379" s="11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5"/>
      <c r="V379" s="2"/>
      <c r="W379" s="2"/>
      <c r="X379" s="57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6.5" customHeight="1" x14ac:dyDescent="0.3">
      <c r="A380" s="2"/>
      <c r="B380" s="113"/>
      <c r="C380" s="11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5"/>
      <c r="V380" s="2"/>
      <c r="W380" s="2"/>
      <c r="X380" s="57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6.5" customHeight="1" x14ac:dyDescent="0.3">
      <c r="A381" s="2"/>
      <c r="B381" s="113"/>
      <c r="C381" s="11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5"/>
      <c r="V381" s="2"/>
      <c r="W381" s="2"/>
      <c r="X381" s="57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6.5" customHeight="1" x14ac:dyDescent="0.3">
      <c r="A382" s="2"/>
      <c r="B382" s="113"/>
      <c r="C382" s="11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5"/>
      <c r="V382" s="2"/>
      <c r="W382" s="2"/>
      <c r="X382" s="57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6.5" customHeight="1" x14ac:dyDescent="0.3">
      <c r="A383" s="2"/>
      <c r="B383" s="113"/>
      <c r="C383" s="11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5"/>
      <c r="V383" s="2"/>
      <c r="W383" s="2"/>
      <c r="X383" s="57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6.5" customHeight="1" x14ac:dyDescent="0.3">
      <c r="A384" s="2"/>
      <c r="B384" s="113"/>
      <c r="C384" s="11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5"/>
      <c r="V384" s="2"/>
      <c r="W384" s="2"/>
      <c r="X384" s="57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6.5" customHeight="1" x14ac:dyDescent="0.3">
      <c r="A385" s="2"/>
      <c r="B385" s="113"/>
      <c r="C385" s="11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5"/>
      <c r="V385" s="2"/>
      <c r="W385" s="2"/>
      <c r="X385" s="57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6.5" customHeight="1" x14ac:dyDescent="0.3">
      <c r="A386" s="2"/>
      <c r="B386" s="113"/>
      <c r="C386" s="11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5"/>
      <c r="V386" s="2"/>
      <c r="W386" s="2"/>
      <c r="X386" s="57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6.5" customHeight="1" x14ac:dyDescent="0.3">
      <c r="A387" s="2"/>
      <c r="B387" s="113"/>
      <c r="C387" s="11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5"/>
      <c r="V387" s="2"/>
      <c r="W387" s="2"/>
      <c r="X387" s="57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6.5" customHeight="1" x14ac:dyDescent="0.3">
      <c r="A388" s="2"/>
      <c r="B388" s="113"/>
      <c r="C388" s="11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5"/>
      <c r="V388" s="2"/>
      <c r="W388" s="2"/>
      <c r="X388" s="57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6.5" customHeight="1" x14ac:dyDescent="0.3">
      <c r="A389" s="2"/>
      <c r="B389" s="113"/>
      <c r="C389" s="11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5"/>
      <c r="V389" s="2"/>
      <c r="W389" s="2"/>
      <c r="X389" s="57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6.5" customHeight="1" x14ac:dyDescent="0.3">
      <c r="A390" s="2"/>
      <c r="B390" s="113"/>
      <c r="C390" s="11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5"/>
      <c r="V390" s="2"/>
      <c r="W390" s="2"/>
      <c r="X390" s="57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6.5" customHeight="1" x14ac:dyDescent="0.3">
      <c r="A391" s="2"/>
      <c r="B391" s="113"/>
      <c r="C391" s="11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5"/>
      <c r="V391" s="2"/>
      <c r="W391" s="2"/>
      <c r="X391" s="57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6.5" customHeight="1" x14ac:dyDescent="0.3">
      <c r="A392" s="2"/>
      <c r="B392" s="113"/>
      <c r="C392" s="11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5"/>
      <c r="V392" s="2"/>
      <c r="W392" s="2"/>
      <c r="X392" s="57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6.5" customHeight="1" x14ac:dyDescent="0.3">
      <c r="A393" s="2"/>
      <c r="B393" s="113"/>
      <c r="C393" s="11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5"/>
      <c r="V393" s="2"/>
      <c r="W393" s="2"/>
      <c r="X393" s="57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6.5" customHeight="1" x14ac:dyDescent="0.3">
      <c r="A394" s="2"/>
      <c r="B394" s="113"/>
      <c r="C394" s="11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5"/>
      <c r="V394" s="2"/>
      <c r="W394" s="2"/>
      <c r="X394" s="57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6.5" customHeight="1" x14ac:dyDescent="0.3">
      <c r="A395" s="2"/>
      <c r="B395" s="113"/>
      <c r="C395" s="11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5"/>
      <c r="V395" s="2"/>
      <c r="W395" s="2"/>
      <c r="X395" s="57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6.5" customHeight="1" x14ac:dyDescent="0.3">
      <c r="A396" s="2"/>
      <c r="B396" s="113"/>
      <c r="C396" s="11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5"/>
      <c r="V396" s="2"/>
      <c r="W396" s="2"/>
      <c r="X396" s="57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6.5" customHeight="1" x14ac:dyDescent="0.3">
      <c r="A397" s="2"/>
      <c r="B397" s="113"/>
      <c r="C397" s="11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5"/>
      <c r="V397" s="2"/>
      <c r="W397" s="2"/>
      <c r="X397" s="57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6.5" customHeight="1" x14ac:dyDescent="0.3">
      <c r="A398" s="2"/>
      <c r="B398" s="113"/>
      <c r="C398" s="11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5"/>
      <c r="V398" s="2"/>
      <c r="W398" s="2"/>
      <c r="X398" s="57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6.5" customHeight="1" x14ac:dyDescent="0.3">
      <c r="A399" s="2"/>
      <c r="B399" s="113"/>
      <c r="C399" s="11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5"/>
      <c r="V399" s="2"/>
      <c r="W399" s="2"/>
      <c r="X399" s="57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6.5" customHeight="1" x14ac:dyDescent="0.3">
      <c r="A400" s="2"/>
      <c r="B400" s="113"/>
      <c r="C400" s="11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5"/>
      <c r="V400" s="2"/>
      <c r="W400" s="2"/>
      <c r="X400" s="57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6.5" customHeight="1" x14ac:dyDescent="0.3">
      <c r="A401" s="2"/>
      <c r="B401" s="113"/>
      <c r="C401" s="11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5"/>
      <c r="V401" s="2"/>
      <c r="W401" s="2"/>
      <c r="X401" s="57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6.5" customHeight="1" x14ac:dyDescent="0.3">
      <c r="A402" s="2"/>
      <c r="B402" s="113"/>
      <c r="C402" s="11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5"/>
      <c r="V402" s="2"/>
      <c r="W402" s="2"/>
      <c r="X402" s="57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6.5" customHeight="1" x14ac:dyDescent="0.3">
      <c r="A403" s="2"/>
      <c r="B403" s="113"/>
      <c r="C403" s="11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5"/>
      <c r="V403" s="2"/>
      <c r="W403" s="2"/>
      <c r="X403" s="57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6.5" customHeight="1" x14ac:dyDescent="0.3">
      <c r="A404" s="2"/>
      <c r="B404" s="113"/>
      <c r="C404" s="11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5"/>
      <c r="V404" s="2"/>
      <c r="W404" s="2"/>
      <c r="X404" s="57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6.5" customHeight="1" x14ac:dyDescent="0.3">
      <c r="A405" s="2"/>
      <c r="B405" s="113"/>
      <c r="C405" s="11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5"/>
      <c r="V405" s="2"/>
      <c r="W405" s="2"/>
      <c r="X405" s="57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6.5" customHeight="1" x14ac:dyDescent="0.3">
      <c r="A406" s="2"/>
      <c r="B406" s="113"/>
      <c r="C406" s="11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5"/>
      <c r="V406" s="2"/>
      <c r="W406" s="2"/>
      <c r="X406" s="57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6.5" customHeight="1" x14ac:dyDescent="0.3">
      <c r="A407" s="2"/>
      <c r="B407" s="113"/>
      <c r="C407" s="11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5"/>
      <c r="V407" s="2"/>
      <c r="W407" s="2"/>
      <c r="X407" s="57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6.5" customHeight="1" x14ac:dyDescent="0.3">
      <c r="A408" s="2"/>
      <c r="B408" s="113"/>
      <c r="C408" s="11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5"/>
      <c r="V408" s="2"/>
      <c r="W408" s="2"/>
      <c r="X408" s="57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6.5" customHeight="1" x14ac:dyDescent="0.3">
      <c r="A409" s="2"/>
      <c r="B409" s="113"/>
      <c r="C409" s="11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5"/>
      <c r="V409" s="2"/>
      <c r="W409" s="2"/>
      <c r="X409" s="57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6.5" customHeight="1" x14ac:dyDescent="0.3">
      <c r="A410" s="2"/>
      <c r="B410" s="113"/>
      <c r="C410" s="11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5"/>
      <c r="V410" s="2"/>
      <c r="W410" s="2"/>
      <c r="X410" s="57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6.5" customHeight="1" x14ac:dyDescent="0.3">
      <c r="A411" s="2"/>
      <c r="B411" s="113"/>
      <c r="C411" s="11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5"/>
      <c r="V411" s="2"/>
      <c r="W411" s="2"/>
      <c r="X411" s="57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6.5" customHeight="1" x14ac:dyDescent="0.3">
      <c r="A412" s="2"/>
      <c r="B412" s="113"/>
      <c r="C412" s="11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5"/>
      <c r="V412" s="2"/>
      <c r="W412" s="2"/>
      <c r="X412" s="57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6.5" customHeight="1" x14ac:dyDescent="0.3">
      <c r="A413" s="2"/>
      <c r="B413" s="113"/>
      <c r="C413" s="11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5"/>
      <c r="V413" s="2"/>
      <c r="W413" s="2"/>
      <c r="X413" s="57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6.5" customHeight="1" x14ac:dyDescent="0.3">
      <c r="A414" s="2"/>
      <c r="B414" s="113"/>
      <c r="C414" s="11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5"/>
      <c r="V414" s="2"/>
      <c r="W414" s="2"/>
      <c r="X414" s="57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6.5" customHeight="1" x14ac:dyDescent="0.3">
      <c r="A415" s="2"/>
      <c r="B415" s="113"/>
      <c r="C415" s="11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5"/>
      <c r="V415" s="2"/>
      <c r="W415" s="2"/>
      <c r="X415" s="57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6.5" customHeight="1" x14ac:dyDescent="0.3">
      <c r="A416" s="2"/>
      <c r="B416" s="113"/>
      <c r="C416" s="11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5"/>
      <c r="V416" s="2"/>
      <c r="W416" s="2"/>
      <c r="X416" s="57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6.5" customHeight="1" x14ac:dyDescent="0.3">
      <c r="A417" s="2"/>
      <c r="B417" s="113"/>
      <c r="C417" s="11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5"/>
      <c r="V417" s="2"/>
      <c r="W417" s="2"/>
      <c r="X417" s="57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6.5" customHeight="1" x14ac:dyDescent="0.3">
      <c r="A418" s="2"/>
      <c r="B418" s="113"/>
      <c r="C418" s="11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5"/>
      <c r="V418" s="2"/>
      <c r="W418" s="2"/>
      <c r="X418" s="57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6.5" customHeight="1" x14ac:dyDescent="0.3">
      <c r="A419" s="2"/>
      <c r="B419" s="113"/>
      <c r="C419" s="11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5"/>
      <c r="V419" s="2"/>
      <c r="W419" s="2"/>
      <c r="X419" s="57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6.5" customHeight="1" x14ac:dyDescent="0.3">
      <c r="A420" s="2"/>
      <c r="B420" s="113"/>
      <c r="C420" s="11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5"/>
      <c r="V420" s="2"/>
      <c r="W420" s="2"/>
      <c r="X420" s="57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6.5" customHeight="1" x14ac:dyDescent="0.3">
      <c r="A421" s="2"/>
      <c r="B421" s="113"/>
      <c r="C421" s="11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5"/>
      <c r="V421" s="2"/>
      <c r="W421" s="2"/>
      <c r="X421" s="57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6.5" customHeight="1" x14ac:dyDescent="0.3">
      <c r="A422" s="2"/>
      <c r="B422" s="113"/>
      <c r="C422" s="11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5"/>
      <c r="V422" s="2"/>
      <c r="W422" s="2"/>
      <c r="X422" s="57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6.5" customHeight="1" x14ac:dyDescent="0.3">
      <c r="A423" s="2"/>
      <c r="B423" s="113"/>
      <c r="C423" s="11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5"/>
      <c r="V423" s="2"/>
      <c r="W423" s="2"/>
      <c r="X423" s="57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6.5" customHeight="1" x14ac:dyDescent="0.3">
      <c r="A424" s="2"/>
      <c r="B424" s="113"/>
      <c r="C424" s="11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5"/>
      <c r="V424" s="2"/>
      <c r="W424" s="2"/>
      <c r="X424" s="57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6.5" customHeight="1" x14ac:dyDescent="0.3">
      <c r="A425" s="2"/>
      <c r="B425" s="113"/>
      <c r="C425" s="11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5"/>
      <c r="V425" s="2"/>
      <c r="W425" s="2"/>
      <c r="X425" s="57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6.5" customHeight="1" x14ac:dyDescent="0.3">
      <c r="A426" s="2"/>
      <c r="B426" s="113"/>
      <c r="C426" s="11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5"/>
      <c r="V426" s="2"/>
      <c r="W426" s="2"/>
      <c r="X426" s="57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6.5" customHeight="1" x14ac:dyDescent="0.3">
      <c r="A427" s="2"/>
      <c r="B427" s="113"/>
      <c r="C427" s="11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5"/>
      <c r="V427" s="2"/>
      <c r="W427" s="2"/>
      <c r="X427" s="57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6.5" customHeight="1" x14ac:dyDescent="0.3">
      <c r="A428" s="2"/>
      <c r="B428" s="113"/>
      <c r="C428" s="11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5"/>
      <c r="V428" s="2"/>
      <c r="W428" s="2"/>
      <c r="X428" s="57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6.5" customHeight="1" x14ac:dyDescent="0.3">
      <c r="A429" s="2"/>
      <c r="B429" s="113"/>
      <c r="C429" s="11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5"/>
      <c r="V429" s="2"/>
      <c r="W429" s="2"/>
      <c r="X429" s="57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6.5" customHeight="1" x14ac:dyDescent="0.3">
      <c r="A430" s="2"/>
      <c r="B430" s="113"/>
      <c r="C430" s="11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5"/>
      <c r="V430" s="2"/>
      <c r="W430" s="2"/>
      <c r="X430" s="57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6.5" customHeight="1" x14ac:dyDescent="0.3">
      <c r="A431" s="2"/>
      <c r="B431" s="113"/>
      <c r="C431" s="11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5"/>
      <c r="V431" s="2"/>
      <c r="W431" s="2"/>
      <c r="X431" s="57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6.5" customHeight="1" x14ac:dyDescent="0.3">
      <c r="A432" s="2"/>
      <c r="B432" s="113"/>
      <c r="C432" s="11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5"/>
      <c r="V432" s="2"/>
      <c r="W432" s="2"/>
      <c r="X432" s="57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6.5" customHeight="1" x14ac:dyDescent="0.3">
      <c r="A433" s="2"/>
      <c r="B433" s="113"/>
      <c r="C433" s="11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5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6.5" customHeight="1" x14ac:dyDescent="0.3">
      <c r="A434" s="2"/>
      <c r="B434" s="113"/>
      <c r="C434" s="11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5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6.5" customHeight="1" x14ac:dyDescent="0.3">
      <c r="A435" s="2"/>
      <c r="B435" s="113"/>
      <c r="C435" s="11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5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6.5" customHeight="1" x14ac:dyDescent="0.3">
      <c r="A436" s="2"/>
      <c r="B436" s="113"/>
      <c r="C436" s="11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5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6.5" customHeight="1" x14ac:dyDescent="0.3">
      <c r="A437" s="2"/>
      <c r="B437" s="113"/>
      <c r="C437" s="11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5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6.5" customHeight="1" x14ac:dyDescent="0.3">
      <c r="A438" s="2"/>
      <c r="B438" s="113"/>
      <c r="C438" s="11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5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6.5" customHeight="1" x14ac:dyDescent="0.3">
      <c r="A439" s="2"/>
      <c r="B439" s="113"/>
      <c r="C439" s="11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5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6.5" customHeight="1" x14ac:dyDescent="0.3">
      <c r="A440" s="2"/>
      <c r="B440" s="113"/>
      <c r="C440" s="11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5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6.5" customHeight="1" x14ac:dyDescent="0.3">
      <c r="A441" s="2"/>
      <c r="B441" s="113"/>
      <c r="C441" s="11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5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6.5" customHeight="1" x14ac:dyDescent="0.3">
      <c r="A442" s="2"/>
      <c r="B442" s="113"/>
      <c r="C442" s="11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5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6.5" customHeight="1" x14ac:dyDescent="0.3">
      <c r="A443" s="2"/>
      <c r="B443" s="113"/>
      <c r="C443" s="11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5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6.5" customHeight="1" x14ac:dyDescent="0.3">
      <c r="A444" s="2"/>
      <c r="B444" s="113"/>
      <c r="C444" s="11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5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6.5" customHeight="1" x14ac:dyDescent="0.3">
      <c r="A445" s="2"/>
      <c r="B445" s="113"/>
      <c r="C445" s="11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5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6.5" customHeight="1" x14ac:dyDescent="0.3">
      <c r="A446" s="2"/>
      <c r="B446" s="113"/>
      <c r="C446" s="11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5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6.5" customHeight="1" x14ac:dyDescent="0.3">
      <c r="A447" s="2"/>
      <c r="B447" s="113"/>
      <c r="C447" s="11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5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6.5" customHeight="1" x14ac:dyDescent="0.3">
      <c r="A448" s="2"/>
      <c r="B448" s="113"/>
      <c r="C448" s="11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5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6.5" customHeight="1" x14ac:dyDescent="0.3">
      <c r="A449" s="2"/>
      <c r="B449" s="113"/>
      <c r="C449" s="11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5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6.5" customHeight="1" x14ac:dyDescent="0.3">
      <c r="A450" s="2"/>
      <c r="B450" s="113"/>
      <c r="C450" s="11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5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6.5" customHeight="1" x14ac:dyDescent="0.3">
      <c r="A451" s="2"/>
      <c r="B451" s="113"/>
      <c r="C451" s="11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5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6.5" customHeight="1" x14ac:dyDescent="0.3">
      <c r="A452" s="2"/>
      <c r="B452" s="113"/>
      <c r="C452" s="11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5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6.5" customHeight="1" x14ac:dyDescent="0.3">
      <c r="A453" s="2"/>
      <c r="B453" s="113"/>
      <c r="C453" s="11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5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6.5" customHeight="1" x14ac:dyDescent="0.3">
      <c r="A454" s="2"/>
      <c r="B454" s="113"/>
      <c r="C454" s="11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5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6.5" customHeight="1" x14ac:dyDescent="0.3">
      <c r="A455" s="2"/>
      <c r="B455" s="113"/>
      <c r="C455" s="11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5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6.5" customHeight="1" x14ac:dyDescent="0.3">
      <c r="A456" s="2"/>
      <c r="B456" s="113"/>
      <c r="C456" s="11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5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6.5" customHeight="1" x14ac:dyDescent="0.3">
      <c r="A457" s="2"/>
      <c r="B457" s="113"/>
      <c r="C457" s="11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5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6.5" customHeight="1" x14ac:dyDescent="0.3">
      <c r="A458" s="2"/>
      <c r="B458" s="113"/>
      <c r="C458" s="11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5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6.5" customHeight="1" x14ac:dyDescent="0.3">
      <c r="A459" s="2"/>
      <c r="B459" s="113"/>
      <c r="C459" s="11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5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6.5" customHeight="1" x14ac:dyDescent="0.3">
      <c r="A460" s="2"/>
      <c r="B460" s="113"/>
      <c r="C460" s="11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5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6.5" customHeight="1" x14ac:dyDescent="0.3">
      <c r="A461" s="2"/>
      <c r="B461" s="113"/>
      <c r="C461" s="11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5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6.5" customHeight="1" x14ac:dyDescent="0.3">
      <c r="A462" s="2"/>
      <c r="B462" s="113"/>
      <c r="C462" s="11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5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6.5" customHeight="1" x14ac:dyDescent="0.3">
      <c r="A463" s="2"/>
      <c r="B463" s="113"/>
      <c r="C463" s="11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5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6.5" customHeight="1" x14ac:dyDescent="0.3">
      <c r="A464" s="2"/>
      <c r="B464" s="113"/>
      <c r="C464" s="11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5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6.5" customHeight="1" x14ac:dyDescent="0.3">
      <c r="A465" s="2"/>
      <c r="B465" s="113"/>
      <c r="C465" s="11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5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6.5" customHeight="1" x14ac:dyDescent="0.3">
      <c r="A466" s="2"/>
      <c r="B466" s="113"/>
      <c r="C466" s="11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5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6.5" customHeight="1" x14ac:dyDescent="0.3">
      <c r="A467" s="2"/>
      <c r="B467" s="113"/>
      <c r="C467" s="11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5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6.5" customHeight="1" x14ac:dyDescent="0.3">
      <c r="A468" s="2"/>
      <c r="B468" s="113"/>
      <c r="C468" s="11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5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6.5" customHeight="1" x14ac:dyDescent="0.3">
      <c r="A469" s="2"/>
      <c r="B469" s="113"/>
      <c r="C469" s="11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5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6.5" customHeight="1" x14ac:dyDescent="0.3">
      <c r="A470" s="2"/>
      <c r="B470" s="113"/>
      <c r="C470" s="11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5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6.5" customHeight="1" x14ac:dyDescent="0.3">
      <c r="A471" s="2"/>
      <c r="B471" s="113"/>
      <c r="C471" s="11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5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6.5" customHeight="1" x14ac:dyDescent="0.3">
      <c r="A472" s="2"/>
      <c r="B472" s="113"/>
      <c r="C472" s="11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5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6.5" customHeight="1" x14ac:dyDescent="0.3">
      <c r="A473" s="2"/>
      <c r="B473" s="113"/>
      <c r="C473" s="11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5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6.5" customHeight="1" x14ac:dyDescent="0.3">
      <c r="A474" s="2"/>
      <c r="B474" s="113"/>
      <c r="C474" s="11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5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6.5" customHeight="1" x14ac:dyDescent="0.3">
      <c r="A475" s="2"/>
      <c r="B475" s="113"/>
      <c r="C475" s="11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5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6.5" customHeight="1" x14ac:dyDescent="0.3">
      <c r="A476" s="2"/>
      <c r="B476" s="113"/>
      <c r="C476" s="11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5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6.5" customHeight="1" x14ac:dyDescent="0.3">
      <c r="A477" s="2"/>
      <c r="B477" s="113"/>
      <c r="C477" s="11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5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6.5" customHeight="1" x14ac:dyDescent="0.3">
      <c r="A478" s="2"/>
      <c r="B478" s="113"/>
      <c r="C478" s="11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5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6.5" customHeight="1" x14ac:dyDescent="0.3">
      <c r="A479" s="2"/>
      <c r="B479" s="113"/>
      <c r="C479" s="11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5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6.5" customHeight="1" x14ac:dyDescent="0.3">
      <c r="A480" s="2"/>
      <c r="B480" s="113"/>
      <c r="C480" s="11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5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6.5" customHeight="1" x14ac:dyDescent="0.3">
      <c r="A481" s="2"/>
      <c r="B481" s="113"/>
      <c r="C481" s="11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5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6.5" customHeight="1" x14ac:dyDescent="0.3">
      <c r="A482" s="2"/>
      <c r="B482" s="113"/>
      <c r="C482" s="11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5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6.5" customHeight="1" x14ac:dyDescent="0.3">
      <c r="A483" s="2"/>
      <c r="B483" s="113"/>
      <c r="C483" s="11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5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6.5" customHeight="1" x14ac:dyDescent="0.3">
      <c r="A484" s="2"/>
      <c r="B484" s="113"/>
      <c r="C484" s="11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5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6.5" customHeight="1" x14ac:dyDescent="0.3">
      <c r="A485" s="2"/>
      <c r="B485" s="113"/>
      <c r="C485" s="11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5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6.5" customHeight="1" x14ac:dyDescent="0.3">
      <c r="A486" s="2"/>
      <c r="B486" s="113"/>
      <c r="C486" s="11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5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6.5" customHeight="1" x14ac:dyDescent="0.3">
      <c r="A487" s="2"/>
      <c r="B487" s="113"/>
      <c r="C487" s="11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5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6.5" customHeight="1" x14ac:dyDescent="0.3">
      <c r="A488" s="2"/>
      <c r="B488" s="113"/>
      <c r="C488" s="11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5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6.5" customHeight="1" x14ac:dyDescent="0.3">
      <c r="A489" s="2"/>
      <c r="B489" s="113"/>
      <c r="C489" s="11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5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6.5" customHeight="1" x14ac:dyDescent="0.3">
      <c r="A490" s="2"/>
      <c r="B490" s="113"/>
      <c r="C490" s="11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5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6.5" customHeight="1" x14ac:dyDescent="0.3">
      <c r="A491" s="2"/>
      <c r="B491" s="113"/>
      <c r="C491" s="11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5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6.5" customHeight="1" x14ac:dyDescent="0.3">
      <c r="A492" s="2"/>
      <c r="B492" s="113"/>
      <c r="C492" s="11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5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6.5" customHeight="1" x14ac:dyDescent="0.3">
      <c r="A493" s="2"/>
      <c r="B493" s="113"/>
      <c r="C493" s="11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5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6.5" customHeight="1" x14ac:dyDescent="0.3">
      <c r="A494" s="2"/>
      <c r="B494" s="113"/>
      <c r="C494" s="11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5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6.5" customHeight="1" x14ac:dyDescent="0.3">
      <c r="A495" s="2"/>
      <c r="B495" s="113"/>
      <c r="C495" s="11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5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6.5" customHeight="1" x14ac:dyDescent="0.3">
      <c r="A496" s="2"/>
      <c r="B496" s="113"/>
      <c r="C496" s="11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5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6.5" customHeight="1" x14ac:dyDescent="0.3">
      <c r="A497" s="2"/>
      <c r="B497" s="113"/>
      <c r="C497" s="11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5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6.5" customHeight="1" x14ac:dyDescent="0.3">
      <c r="A498" s="2"/>
      <c r="B498" s="113"/>
      <c r="C498" s="11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5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6.5" customHeight="1" x14ac:dyDescent="0.3">
      <c r="A499" s="2"/>
      <c r="B499" s="113"/>
      <c r="C499" s="11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5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6.5" customHeight="1" x14ac:dyDescent="0.3">
      <c r="A500" s="2"/>
      <c r="B500" s="113"/>
      <c r="C500" s="11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5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6.5" customHeight="1" x14ac:dyDescent="0.3">
      <c r="A501" s="2"/>
      <c r="B501" s="113"/>
      <c r="C501" s="11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5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6.5" customHeight="1" x14ac:dyDescent="0.3">
      <c r="A502" s="2"/>
      <c r="B502" s="113"/>
      <c r="C502" s="11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5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6.5" customHeight="1" x14ac:dyDescent="0.3">
      <c r="A503" s="2"/>
      <c r="B503" s="113"/>
      <c r="C503" s="11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5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6.5" customHeight="1" x14ac:dyDescent="0.3">
      <c r="A504" s="2"/>
      <c r="B504" s="113"/>
      <c r="C504" s="11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5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6.5" customHeight="1" x14ac:dyDescent="0.3">
      <c r="A505" s="2"/>
      <c r="B505" s="113"/>
      <c r="C505" s="11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5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6.5" customHeight="1" x14ac:dyDescent="0.3">
      <c r="A506" s="2"/>
      <c r="B506" s="113"/>
      <c r="C506" s="11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5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6.5" customHeight="1" x14ac:dyDescent="0.3">
      <c r="A507" s="2"/>
      <c r="B507" s="113"/>
      <c r="C507" s="11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5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6.5" customHeight="1" x14ac:dyDescent="0.3">
      <c r="A508" s="2"/>
      <c r="B508" s="113"/>
      <c r="C508" s="11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5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6.5" customHeight="1" x14ac:dyDescent="0.3">
      <c r="A509" s="2"/>
      <c r="B509" s="113"/>
      <c r="C509" s="11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5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6.5" customHeight="1" x14ac:dyDescent="0.3">
      <c r="A510" s="2"/>
      <c r="B510" s="113"/>
      <c r="C510" s="11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5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6.5" customHeight="1" x14ac:dyDescent="0.3">
      <c r="A511" s="2"/>
      <c r="B511" s="113"/>
      <c r="C511" s="11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5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6.5" customHeight="1" x14ac:dyDescent="0.3">
      <c r="A512" s="2"/>
      <c r="B512" s="113"/>
      <c r="C512" s="11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5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6.5" customHeight="1" x14ac:dyDescent="0.3">
      <c r="A513" s="2"/>
      <c r="B513" s="113"/>
      <c r="C513" s="11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5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6.5" customHeight="1" x14ac:dyDescent="0.3">
      <c r="A514" s="2"/>
      <c r="B514" s="113"/>
      <c r="C514" s="11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5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6.5" customHeight="1" x14ac:dyDescent="0.3">
      <c r="A515" s="2"/>
      <c r="B515" s="113"/>
      <c r="C515" s="11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5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6.5" customHeight="1" x14ac:dyDescent="0.3">
      <c r="A516" s="2"/>
      <c r="B516" s="113"/>
      <c r="C516" s="11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5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6.5" customHeight="1" x14ac:dyDescent="0.3">
      <c r="A517" s="2"/>
      <c r="B517" s="113"/>
      <c r="C517" s="11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5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6.5" customHeight="1" x14ac:dyDescent="0.3">
      <c r="A518" s="2"/>
      <c r="B518" s="113"/>
      <c r="C518" s="11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5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6.5" customHeight="1" x14ac:dyDescent="0.3">
      <c r="A519" s="2"/>
      <c r="B519" s="113"/>
      <c r="C519" s="11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5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6.5" customHeight="1" x14ac:dyDescent="0.3">
      <c r="A520" s="2"/>
      <c r="B520" s="113"/>
      <c r="C520" s="11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5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6.5" customHeight="1" x14ac:dyDescent="0.3">
      <c r="A521" s="2"/>
      <c r="B521" s="113"/>
      <c r="C521" s="11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5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6.5" customHeight="1" x14ac:dyDescent="0.3">
      <c r="A522" s="2"/>
      <c r="B522" s="113"/>
      <c r="C522" s="11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5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6.5" customHeight="1" x14ac:dyDescent="0.3">
      <c r="A523" s="2"/>
      <c r="B523" s="113"/>
      <c r="C523" s="11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5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6.5" customHeight="1" x14ac:dyDescent="0.3">
      <c r="A524" s="2"/>
      <c r="B524" s="113"/>
      <c r="C524" s="11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5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6.5" customHeight="1" x14ac:dyDescent="0.3">
      <c r="A525" s="2"/>
      <c r="B525" s="113"/>
      <c r="C525" s="11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5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6.5" customHeight="1" x14ac:dyDescent="0.3">
      <c r="A526" s="2"/>
      <c r="B526" s="113"/>
      <c r="C526" s="11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5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6.5" customHeight="1" x14ac:dyDescent="0.3">
      <c r="A527" s="2"/>
      <c r="B527" s="113"/>
      <c r="C527" s="11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5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6.5" customHeight="1" x14ac:dyDescent="0.3">
      <c r="A528" s="2"/>
      <c r="B528" s="113"/>
      <c r="C528" s="11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5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6.5" customHeight="1" x14ac:dyDescent="0.3">
      <c r="A529" s="2"/>
      <c r="B529" s="113"/>
      <c r="C529" s="11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5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6.5" customHeight="1" x14ac:dyDescent="0.3">
      <c r="A530" s="2"/>
      <c r="B530" s="113"/>
      <c r="C530" s="11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5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6.5" customHeight="1" x14ac:dyDescent="0.3">
      <c r="A531" s="2"/>
      <c r="B531" s="113"/>
      <c r="C531" s="11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5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6.5" customHeight="1" x14ac:dyDescent="0.3">
      <c r="A532" s="2"/>
      <c r="B532" s="113"/>
      <c r="C532" s="11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5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6.5" customHeight="1" x14ac:dyDescent="0.3">
      <c r="A533" s="2"/>
      <c r="B533" s="113"/>
      <c r="C533" s="11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5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6.5" customHeight="1" x14ac:dyDescent="0.3">
      <c r="A534" s="2"/>
      <c r="B534" s="113"/>
      <c r="C534" s="11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5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6.5" customHeight="1" x14ac:dyDescent="0.3">
      <c r="A535" s="2"/>
      <c r="B535" s="113"/>
      <c r="C535" s="11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5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6.5" customHeight="1" x14ac:dyDescent="0.3">
      <c r="A536" s="2"/>
      <c r="B536" s="113"/>
      <c r="C536" s="11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5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6.5" customHeight="1" x14ac:dyDescent="0.3">
      <c r="A537" s="2"/>
      <c r="B537" s="113"/>
      <c r="C537" s="11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5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6.5" customHeight="1" x14ac:dyDescent="0.3">
      <c r="A538" s="2"/>
      <c r="B538" s="113"/>
      <c r="C538" s="11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5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6.5" customHeight="1" x14ac:dyDescent="0.3">
      <c r="A539" s="2"/>
      <c r="B539" s="113"/>
      <c r="C539" s="11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5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6.5" customHeight="1" x14ac:dyDescent="0.3">
      <c r="A540" s="2"/>
      <c r="B540" s="113"/>
      <c r="C540" s="11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5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6.5" customHeight="1" x14ac:dyDescent="0.3">
      <c r="A541" s="2"/>
      <c r="B541" s="113"/>
      <c r="C541" s="11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5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6.5" customHeight="1" x14ac:dyDescent="0.3">
      <c r="A542" s="2"/>
      <c r="B542" s="113"/>
      <c r="C542" s="11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5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6.5" customHeight="1" x14ac:dyDescent="0.3">
      <c r="A543" s="2"/>
      <c r="B543" s="113"/>
      <c r="C543" s="11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5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6.5" customHeight="1" x14ac:dyDescent="0.3">
      <c r="A544" s="2"/>
      <c r="B544" s="113"/>
      <c r="C544" s="11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5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6.5" customHeight="1" x14ac:dyDescent="0.3">
      <c r="A545" s="2"/>
      <c r="B545" s="113"/>
      <c r="C545" s="11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5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6.5" customHeight="1" x14ac:dyDescent="0.3">
      <c r="A546" s="2"/>
      <c r="B546" s="113"/>
      <c r="C546" s="11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5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6.5" customHeight="1" x14ac:dyDescent="0.3">
      <c r="A547" s="2"/>
      <c r="B547" s="113"/>
      <c r="C547" s="11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5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6.5" customHeight="1" x14ac:dyDescent="0.3">
      <c r="A548" s="2"/>
      <c r="B548" s="113"/>
      <c r="C548" s="11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5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6.5" customHeight="1" x14ac:dyDescent="0.3">
      <c r="A549" s="2"/>
      <c r="B549" s="113"/>
      <c r="C549" s="11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5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6.5" customHeight="1" x14ac:dyDescent="0.3">
      <c r="A550" s="2"/>
      <c r="B550" s="113"/>
      <c r="C550" s="11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5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6.5" customHeight="1" x14ac:dyDescent="0.3">
      <c r="A551" s="2"/>
      <c r="B551" s="113"/>
      <c r="C551" s="11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5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6.5" customHeight="1" x14ac:dyDescent="0.3">
      <c r="A552" s="2"/>
      <c r="B552" s="113"/>
      <c r="C552" s="11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5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6.5" customHeight="1" x14ac:dyDescent="0.3">
      <c r="A553" s="2"/>
      <c r="B553" s="113"/>
      <c r="C553" s="11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5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6.5" customHeight="1" x14ac:dyDescent="0.3">
      <c r="A554" s="2"/>
      <c r="B554" s="113"/>
      <c r="C554" s="11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5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6.5" customHeight="1" x14ac:dyDescent="0.3">
      <c r="A555" s="2"/>
      <c r="B555" s="113"/>
      <c r="C555" s="11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5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6.5" customHeight="1" x14ac:dyDescent="0.3">
      <c r="A556" s="2"/>
      <c r="B556" s="113"/>
      <c r="C556" s="11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5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6.5" customHeight="1" x14ac:dyDescent="0.3">
      <c r="A557" s="2"/>
      <c r="B557" s="113"/>
      <c r="C557" s="11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5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6.5" customHeight="1" x14ac:dyDescent="0.3">
      <c r="A558" s="2"/>
      <c r="B558" s="113"/>
      <c r="C558" s="11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5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6.5" customHeight="1" x14ac:dyDescent="0.3">
      <c r="A559" s="2"/>
      <c r="B559" s="113"/>
      <c r="C559" s="11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5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6.5" customHeight="1" x14ac:dyDescent="0.3">
      <c r="A560" s="2"/>
      <c r="B560" s="113"/>
      <c r="C560" s="11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5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6.5" customHeight="1" x14ac:dyDescent="0.3">
      <c r="A561" s="2"/>
      <c r="B561" s="113"/>
      <c r="C561" s="11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5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6.5" customHeight="1" x14ac:dyDescent="0.3">
      <c r="A562" s="2"/>
      <c r="B562" s="113"/>
      <c r="C562" s="11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5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6.5" customHeight="1" x14ac:dyDescent="0.3">
      <c r="A563" s="2"/>
      <c r="B563" s="113"/>
      <c r="C563" s="11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5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6.5" customHeight="1" x14ac:dyDescent="0.3">
      <c r="A564" s="2"/>
      <c r="B564" s="113"/>
      <c r="C564" s="11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5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6.5" customHeight="1" x14ac:dyDescent="0.3">
      <c r="A565" s="2"/>
      <c r="B565" s="113"/>
      <c r="C565" s="11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5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6.5" customHeight="1" x14ac:dyDescent="0.3">
      <c r="A566" s="2"/>
      <c r="B566" s="113"/>
      <c r="C566" s="11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5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6.5" customHeight="1" x14ac:dyDescent="0.3">
      <c r="A567" s="2"/>
      <c r="B567" s="113"/>
      <c r="C567" s="11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5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6.5" customHeight="1" x14ac:dyDescent="0.3">
      <c r="A568" s="2"/>
      <c r="B568" s="113"/>
      <c r="C568" s="11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5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6.5" customHeight="1" x14ac:dyDescent="0.3">
      <c r="A569" s="2"/>
      <c r="B569" s="113"/>
      <c r="C569" s="11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5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6.5" customHeight="1" x14ac:dyDescent="0.3">
      <c r="A570" s="2"/>
      <c r="B570" s="113"/>
      <c r="C570" s="11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5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6.5" customHeight="1" x14ac:dyDescent="0.3">
      <c r="A571" s="2"/>
      <c r="B571" s="113"/>
      <c r="C571" s="11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5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6.5" customHeight="1" x14ac:dyDescent="0.3">
      <c r="A572" s="2"/>
      <c r="B572" s="113"/>
      <c r="C572" s="11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5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6.5" customHeight="1" x14ac:dyDescent="0.3">
      <c r="A573" s="2"/>
      <c r="B573" s="113"/>
      <c r="C573" s="11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5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6.5" customHeight="1" x14ac:dyDescent="0.3">
      <c r="A574" s="2"/>
      <c r="B574" s="113"/>
      <c r="C574" s="11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5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6.5" customHeight="1" x14ac:dyDescent="0.3">
      <c r="A575" s="2"/>
      <c r="B575" s="113"/>
      <c r="C575" s="11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5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6.5" customHeight="1" x14ac:dyDescent="0.3">
      <c r="A576" s="2"/>
      <c r="B576" s="113"/>
      <c r="C576" s="11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5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6.5" customHeight="1" x14ac:dyDescent="0.3">
      <c r="A577" s="2"/>
      <c r="B577" s="113"/>
      <c r="C577" s="11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5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6.5" customHeight="1" x14ac:dyDescent="0.3">
      <c r="A578" s="2"/>
      <c r="B578" s="113"/>
      <c r="C578" s="11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5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6.5" customHeight="1" x14ac:dyDescent="0.3">
      <c r="A579" s="2"/>
      <c r="B579" s="113"/>
      <c r="C579" s="11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5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6.5" customHeight="1" x14ac:dyDescent="0.3">
      <c r="A580" s="2"/>
      <c r="B580" s="113"/>
      <c r="C580" s="11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5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6.5" customHeight="1" x14ac:dyDescent="0.3">
      <c r="A581" s="2"/>
      <c r="B581" s="113"/>
      <c r="C581" s="11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5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6.5" customHeight="1" x14ac:dyDescent="0.3">
      <c r="A582" s="2"/>
      <c r="B582" s="113"/>
      <c r="C582" s="11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5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6.5" customHeight="1" x14ac:dyDescent="0.3">
      <c r="A583" s="2"/>
      <c r="B583" s="113"/>
      <c r="C583" s="11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5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6.5" customHeight="1" x14ac:dyDescent="0.3">
      <c r="A584" s="2"/>
      <c r="B584" s="113"/>
      <c r="C584" s="11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5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6.5" customHeight="1" x14ac:dyDescent="0.3">
      <c r="A585" s="2"/>
      <c r="B585" s="113"/>
      <c r="C585" s="11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5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6.5" customHeight="1" x14ac:dyDescent="0.3">
      <c r="A586" s="2"/>
      <c r="B586" s="113"/>
      <c r="C586" s="11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5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6.5" customHeight="1" x14ac:dyDescent="0.3">
      <c r="A587" s="2"/>
      <c r="B587" s="113"/>
      <c r="C587" s="11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5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6.5" customHeight="1" x14ac:dyDescent="0.3">
      <c r="A588" s="2"/>
      <c r="B588" s="113"/>
      <c r="C588" s="11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5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6.5" customHeight="1" x14ac:dyDescent="0.3">
      <c r="A589" s="2"/>
      <c r="B589" s="113"/>
      <c r="C589" s="11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5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6.5" customHeight="1" x14ac:dyDescent="0.3">
      <c r="A590" s="2"/>
      <c r="B590" s="113"/>
      <c r="C590" s="11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5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6.5" customHeight="1" x14ac:dyDescent="0.3">
      <c r="A591" s="2"/>
      <c r="B591" s="113"/>
      <c r="C591" s="11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5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6.5" customHeight="1" x14ac:dyDescent="0.3">
      <c r="A592" s="2"/>
      <c r="B592" s="113"/>
      <c r="C592" s="11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5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6.5" customHeight="1" x14ac:dyDescent="0.3">
      <c r="A593" s="2"/>
      <c r="B593" s="113"/>
      <c r="C593" s="11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5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6.5" customHeight="1" x14ac:dyDescent="0.3">
      <c r="A594" s="2"/>
      <c r="B594" s="113"/>
      <c r="C594" s="11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5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6.5" customHeight="1" x14ac:dyDescent="0.3">
      <c r="A595" s="2"/>
      <c r="B595" s="113"/>
      <c r="C595" s="11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5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6.5" customHeight="1" x14ac:dyDescent="0.3">
      <c r="A596" s="2"/>
      <c r="B596" s="113"/>
      <c r="C596" s="11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5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6.5" customHeight="1" x14ac:dyDescent="0.3">
      <c r="A597" s="2"/>
      <c r="B597" s="113"/>
      <c r="C597" s="11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5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6.5" customHeight="1" x14ac:dyDescent="0.3">
      <c r="A598" s="2"/>
      <c r="B598" s="113"/>
      <c r="C598" s="11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5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6.5" customHeight="1" x14ac:dyDescent="0.3">
      <c r="A599" s="2"/>
      <c r="B599" s="113"/>
      <c r="C599" s="11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5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6.5" customHeight="1" x14ac:dyDescent="0.3">
      <c r="A600" s="2"/>
      <c r="B600" s="113"/>
      <c r="C600" s="11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5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6.5" customHeight="1" x14ac:dyDescent="0.3">
      <c r="A601" s="2"/>
      <c r="B601" s="113"/>
      <c r="C601" s="11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5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6.5" customHeight="1" x14ac:dyDescent="0.3">
      <c r="A602" s="2"/>
      <c r="B602" s="113"/>
      <c r="C602" s="11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5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6.5" customHeight="1" x14ac:dyDescent="0.3">
      <c r="A603" s="2"/>
      <c r="B603" s="113"/>
      <c r="C603" s="11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5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6.5" customHeight="1" x14ac:dyDescent="0.3">
      <c r="A604" s="2"/>
      <c r="B604" s="113"/>
      <c r="C604" s="11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5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6.5" customHeight="1" x14ac:dyDescent="0.3">
      <c r="A605" s="2"/>
      <c r="B605" s="113"/>
      <c r="C605" s="11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5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6.5" customHeight="1" x14ac:dyDescent="0.3">
      <c r="A606" s="2"/>
      <c r="B606" s="113"/>
      <c r="C606" s="11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5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6.5" customHeight="1" x14ac:dyDescent="0.3">
      <c r="A607" s="2"/>
      <c r="B607" s="113"/>
      <c r="C607" s="11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5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6.5" customHeight="1" x14ac:dyDescent="0.3">
      <c r="A608" s="2"/>
      <c r="B608" s="113"/>
      <c r="C608" s="11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5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6.5" customHeight="1" x14ac:dyDescent="0.3">
      <c r="A609" s="2"/>
      <c r="B609" s="113"/>
      <c r="C609" s="11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5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6.5" customHeight="1" x14ac:dyDescent="0.3">
      <c r="A610" s="2"/>
      <c r="B610" s="113"/>
      <c r="C610" s="11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5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6.5" customHeight="1" x14ac:dyDescent="0.3">
      <c r="A611" s="2"/>
      <c r="B611" s="113"/>
      <c r="C611" s="11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5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6.5" customHeight="1" x14ac:dyDescent="0.3">
      <c r="A612" s="2"/>
      <c r="B612" s="113"/>
      <c r="C612" s="11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5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6.5" customHeight="1" x14ac:dyDescent="0.3">
      <c r="A613" s="2"/>
      <c r="B613" s="113"/>
      <c r="C613" s="11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5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6.5" customHeight="1" x14ac:dyDescent="0.3">
      <c r="A614" s="2"/>
      <c r="B614" s="113"/>
      <c r="C614" s="11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5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6.5" customHeight="1" x14ac:dyDescent="0.3">
      <c r="A615" s="2"/>
      <c r="B615" s="113"/>
      <c r="C615" s="11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5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6.5" customHeight="1" x14ac:dyDescent="0.3">
      <c r="A616" s="2"/>
      <c r="B616" s="113"/>
      <c r="C616" s="11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5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6.5" customHeight="1" x14ac:dyDescent="0.3">
      <c r="A617" s="2"/>
      <c r="B617" s="113"/>
      <c r="C617" s="11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5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6.5" customHeight="1" x14ac:dyDescent="0.3">
      <c r="A618" s="2"/>
      <c r="B618" s="113"/>
      <c r="C618" s="11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5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6.5" customHeight="1" x14ac:dyDescent="0.3">
      <c r="A619" s="2"/>
      <c r="B619" s="113"/>
      <c r="C619" s="11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5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6.5" customHeight="1" x14ac:dyDescent="0.3">
      <c r="A620" s="2"/>
      <c r="B620" s="113"/>
      <c r="C620" s="11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5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6.5" customHeight="1" x14ac:dyDescent="0.3">
      <c r="A621" s="2"/>
      <c r="B621" s="113"/>
      <c r="C621" s="11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5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6.5" customHeight="1" x14ac:dyDescent="0.3">
      <c r="A622" s="2"/>
      <c r="B622" s="113"/>
      <c r="C622" s="11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5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6.5" customHeight="1" x14ac:dyDescent="0.3">
      <c r="A623" s="2"/>
      <c r="B623" s="113"/>
      <c r="C623" s="11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5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6.5" customHeight="1" x14ac:dyDescent="0.3">
      <c r="A624" s="2"/>
      <c r="B624" s="113"/>
      <c r="C624" s="11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5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6.5" customHeight="1" x14ac:dyDescent="0.3">
      <c r="A625" s="2"/>
      <c r="B625" s="113"/>
      <c r="C625" s="11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5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6.5" customHeight="1" x14ac:dyDescent="0.3">
      <c r="A626" s="2"/>
      <c r="B626" s="113"/>
      <c r="C626" s="11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5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6.5" customHeight="1" x14ac:dyDescent="0.3">
      <c r="A627" s="2"/>
      <c r="B627" s="113"/>
      <c r="C627" s="11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5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6.5" customHeight="1" x14ac:dyDescent="0.3">
      <c r="A628" s="2"/>
      <c r="B628" s="113"/>
      <c r="C628" s="11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5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6.5" customHeight="1" x14ac:dyDescent="0.3">
      <c r="A629" s="2"/>
      <c r="B629" s="113"/>
      <c r="C629" s="11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5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6.5" customHeight="1" x14ac:dyDescent="0.3">
      <c r="A630" s="2"/>
      <c r="B630" s="113"/>
      <c r="C630" s="11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5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6.5" customHeight="1" x14ac:dyDescent="0.3">
      <c r="A631" s="2"/>
      <c r="B631" s="113"/>
      <c r="C631" s="11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5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6.5" customHeight="1" x14ac:dyDescent="0.3">
      <c r="A632" s="2"/>
      <c r="B632" s="113"/>
      <c r="C632" s="11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5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6.5" customHeight="1" x14ac:dyDescent="0.3">
      <c r="A633" s="2"/>
      <c r="B633" s="113"/>
      <c r="C633" s="11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5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6.5" customHeight="1" x14ac:dyDescent="0.3">
      <c r="A634" s="2"/>
      <c r="B634" s="113"/>
      <c r="C634" s="11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5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6.5" customHeight="1" x14ac:dyDescent="0.3">
      <c r="A635" s="2"/>
      <c r="B635" s="113"/>
      <c r="C635" s="11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5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6.5" customHeight="1" x14ac:dyDescent="0.3">
      <c r="A636" s="2"/>
      <c r="B636" s="113"/>
      <c r="C636" s="11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5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6.5" customHeight="1" x14ac:dyDescent="0.3">
      <c r="A637" s="2"/>
      <c r="B637" s="113"/>
      <c r="C637" s="11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5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6.5" customHeight="1" x14ac:dyDescent="0.3">
      <c r="A638" s="2"/>
      <c r="B638" s="113"/>
      <c r="C638" s="11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5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6.5" customHeight="1" x14ac:dyDescent="0.3">
      <c r="A639" s="2"/>
      <c r="B639" s="113"/>
      <c r="C639" s="11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5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6.5" customHeight="1" x14ac:dyDescent="0.3">
      <c r="A640" s="2"/>
      <c r="B640" s="113"/>
      <c r="C640" s="11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5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6.5" customHeight="1" x14ac:dyDescent="0.3">
      <c r="A641" s="2"/>
      <c r="B641" s="113"/>
      <c r="C641" s="11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5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6.5" customHeight="1" x14ac:dyDescent="0.3">
      <c r="A642" s="2"/>
      <c r="B642" s="113"/>
      <c r="C642" s="11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5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6.5" customHeight="1" x14ac:dyDescent="0.3">
      <c r="A643" s="2"/>
      <c r="B643" s="113"/>
      <c r="C643" s="11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5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6.5" customHeight="1" x14ac:dyDescent="0.3">
      <c r="A644" s="2"/>
      <c r="B644" s="113"/>
      <c r="C644" s="11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5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6.5" customHeight="1" x14ac:dyDescent="0.3">
      <c r="A645" s="2"/>
      <c r="B645" s="113"/>
      <c r="C645" s="11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5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6.5" customHeight="1" x14ac:dyDescent="0.3">
      <c r="A646" s="2"/>
      <c r="B646" s="113"/>
      <c r="C646" s="11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5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6.5" customHeight="1" x14ac:dyDescent="0.3">
      <c r="A647" s="2"/>
      <c r="B647" s="113"/>
      <c r="C647" s="11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5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6.5" customHeight="1" x14ac:dyDescent="0.3">
      <c r="A648" s="2"/>
      <c r="B648" s="113"/>
      <c r="C648" s="11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5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6.5" customHeight="1" x14ac:dyDescent="0.3">
      <c r="A649" s="2"/>
      <c r="B649" s="113"/>
      <c r="C649" s="11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5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6.5" customHeight="1" x14ac:dyDescent="0.3">
      <c r="A650" s="2"/>
      <c r="B650" s="113"/>
      <c r="C650" s="11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5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6.5" customHeight="1" x14ac:dyDescent="0.3">
      <c r="A651" s="2"/>
      <c r="B651" s="113"/>
      <c r="C651" s="11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5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6.5" customHeight="1" x14ac:dyDescent="0.3">
      <c r="A652" s="2"/>
      <c r="B652" s="113"/>
      <c r="C652" s="11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5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6.5" customHeight="1" x14ac:dyDescent="0.3">
      <c r="A653" s="2"/>
      <c r="B653" s="113"/>
      <c r="C653" s="11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5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6.5" customHeight="1" x14ac:dyDescent="0.3">
      <c r="A654" s="2"/>
      <c r="B654" s="113"/>
      <c r="C654" s="11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5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6.5" customHeight="1" x14ac:dyDescent="0.3">
      <c r="A655" s="2"/>
      <c r="B655" s="113"/>
      <c r="C655" s="11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5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6.5" customHeight="1" x14ac:dyDescent="0.3">
      <c r="A656" s="2"/>
      <c r="B656" s="113"/>
      <c r="C656" s="11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5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6.5" customHeight="1" x14ac:dyDescent="0.3">
      <c r="A657" s="2"/>
      <c r="B657" s="113"/>
      <c r="C657" s="11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5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6.5" customHeight="1" x14ac:dyDescent="0.3">
      <c r="A658" s="2"/>
      <c r="B658" s="113"/>
      <c r="C658" s="11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5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6.5" customHeight="1" x14ac:dyDescent="0.3">
      <c r="A659" s="2"/>
      <c r="B659" s="113"/>
      <c r="C659" s="11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5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6.5" customHeight="1" x14ac:dyDescent="0.3">
      <c r="A660" s="2"/>
      <c r="B660" s="113"/>
      <c r="C660" s="11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5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6.5" customHeight="1" x14ac:dyDescent="0.3">
      <c r="A661" s="2"/>
      <c r="B661" s="113"/>
      <c r="C661" s="11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5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6.5" customHeight="1" x14ac:dyDescent="0.3">
      <c r="A662" s="2"/>
      <c r="B662" s="113"/>
      <c r="C662" s="11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5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6.5" customHeight="1" x14ac:dyDescent="0.3">
      <c r="A663" s="2"/>
      <c r="B663" s="113"/>
      <c r="C663" s="11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5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6.5" customHeight="1" x14ac:dyDescent="0.3">
      <c r="A664" s="2"/>
      <c r="B664" s="113"/>
      <c r="C664" s="11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5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6.5" customHeight="1" x14ac:dyDescent="0.3">
      <c r="A665" s="2"/>
      <c r="B665" s="113"/>
      <c r="C665" s="11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5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6.5" customHeight="1" x14ac:dyDescent="0.3">
      <c r="A666" s="2"/>
      <c r="B666" s="113"/>
      <c r="C666" s="11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5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6.5" customHeight="1" x14ac:dyDescent="0.3">
      <c r="A667" s="2"/>
      <c r="B667" s="113"/>
      <c r="C667" s="11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5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6.5" customHeight="1" x14ac:dyDescent="0.3">
      <c r="A668" s="2"/>
      <c r="B668" s="113"/>
      <c r="C668" s="11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5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6.5" customHeight="1" x14ac:dyDescent="0.3">
      <c r="A669" s="2"/>
      <c r="B669" s="113"/>
      <c r="C669" s="11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5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6.5" customHeight="1" x14ac:dyDescent="0.3">
      <c r="A670" s="2"/>
      <c r="B670" s="113"/>
      <c r="C670" s="11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5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6.5" customHeight="1" x14ac:dyDescent="0.3">
      <c r="A671" s="2"/>
      <c r="B671" s="113"/>
      <c r="C671" s="11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5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6.5" customHeight="1" x14ac:dyDescent="0.3">
      <c r="A672" s="2"/>
      <c r="B672" s="113"/>
      <c r="C672" s="11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5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6.5" customHeight="1" x14ac:dyDescent="0.3">
      <c r="A673" s="2"/>
      <c r="B673" s="113"/>
      <c r="C673" s="11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5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6.5" customHeight="1" x14ac:dyDescent="0.3">
      <c r="A674" s="2"/>
      <c r="B674" s="113"/>
      <c r="C674" s="11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5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6.5" customHeight="1" x14ac:dyDescent="0.3">
      <c r="A675" s="2"/>
      <c r="B675" s="113"/>
      <c r="C675" s="11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5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6.5" customHeight="1" x14ac:dyDescent="0.3">
      <c r="A676" s="2"/>
      <c r="B676" s="113"/>
      <c r="C676" s="11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5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6.5" customHeight="1" x14ac:dyDescent="0.3">
      <c r="A677" s="2"/>
      <c r="B677" s="113"/>
      <c r="C677" s="11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5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6.5" customHeight="1" x14ac:dyDescent="0.3">
      <c r="A678" s="2"/>
      <c r="B678" s="113"/>
      <c r="C678" s="11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5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6.5" customHeight="1" x14ac:dyDescent="0.3">
      <c r="A679" s="2"/>
      <c r="B679" s="113"/>
      <c r="C679" s="11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5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6.5" customHeight="1" x14ac:dyDescent="0.3">
      <c r="A680" s="2"/>
      <c r="B680" s="113"/>
      <c r="C680" s="11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5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6.5" customHeight="1" x14ac:dyDescent="0.3">
      <c r="A681" s="2"/>
      <c r="B681" s="113"/>
      <c r="C681" s="11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5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6.5" customHeight="1" x14ac:dyDescent="0.3">
      <c r="A682" s="2"/>
      <c r="B682" s="113"/>
      <c r="C682" s="11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5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6.5" customHeight="1" x14ac:dyDescent="0.3">
      <c r="A683" s="2"/>
      <c r="B683" s="113"/>
      <c r="C683" s="11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5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6.5" customHeight="1" x14ac:dyDescent="0.3">
      <c r="A684" s="2"/>
      <c r="B684" s="113"/>
      <c r="C684" s="11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5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6.5" customHeight="1" x14ac:dyDescent="0.3">
      <c r="A685" s="2"/>
      <c r="B685" s="113"/>
      <c r="C685" s="11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5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6.5" customHeight="1" x14ac:dyDescent="0.3">
      <c r="A686" s="2"/>
      <c r="B686" s="113"/>
      <c r="C686" s="11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5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6.5" customHeight="1" x14ac:dyDescent="0.3">
      <c r="A687" s="2"/>
      <c r="B687" s="113"/>
      <c r="C687" s="11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5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6.5" customHeight="1" x14ac:dyDescent="0.3">
      <c r="A688" s="2"/>
      <c r="B688" s="113"/>
      <c r="C688" s="11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5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6.5" customHeight="1" x14ac:dyDescent="0.3">
      <c r="A689" s="2"/>
      <c r="B689" s="113"/>
      <c r="C689" s="11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5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6.5" customHeight="1" x14ac:dyDescent="0.3">
      <c r="A690" s="2"/>
      <c r="B690" s="113"/>
      <c r="C690" s="11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5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6.5" customHeight="1" x14ac:dyDescent="0.3">
      <c r="A691" s="2"/>
      <c r="B691" s="113"/>
      <c r="C691" s="11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5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6.5" customHeight="1" x14ac:dyDescent="0.3">
      <c r="A692" s="2"/>
      <c r="B692" s="113"/>
      <c r="C692" s="11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5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6.5" customHeight="1" x14ac:dyDescent="0.3">
      <c r="A693" s="2"/>
      <c r="B693" s="113"/>
      <c r="C693" s="11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5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6.5" customHeight="1" x14ac:dyDescent="0.3">
      <c r="A694" s="2"/>
      <c r="B694" s="113"/>
      <c r="C694" s="11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5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6.5" customHeight="1" x14ac:dyDescent="0.3">
      <c r="A695" s="2"/>
      <c r="B695" s="113"/>
      <c r="C695" s="11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5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6.5" customHeight="1" x14ac:dyDescent="0.3">
      <c r="A696" s="2"/>
      <c r="B696" s="113"/>
      <c r="C696" s="11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5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6.5" customHeight="1" x14ac:dyDescent="0.3">
      <c r="A697" s="2"/>
      <c r="B697" s="113"/>
      <c r="C697" s="11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5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6.5" customHeight="1" x14ac:dyDescent="0.3">
      <c r="A698" s="2"/>
      <c r="B698" s="113"/>
      <c r="C698" s="11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5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6.5" customHeight="1" x14ac:dyDescent="0.3">
      <c r="A699" s="2"/>
      <c r="B699" s="113"/>
      <c r="C699" s="11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5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6.5" customHeight="1" x14ac:dyDescent="0.3">
      <c r="A700" s="2"/>
      <c r="B700" s="113"/>
      <c r="C700" s="11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5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6.5" customHeight="1" x14ac:dyDescent="0.3">
      <c r="A701" s="2"/>
      <c r="B701" s="113"/>
      <c r="C701" s="11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5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6.5" customHeight="1" x14ac:dyDescent="0.3">
      <c r="A702" s="2"/>
      <c r="B702" s="113"/>
      <c r="C702" s="11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5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6.5" customHeight="1" x14ac:dyDescent="0.3">
      <c r="A703" s="2"/>
      <c r="B703" s="113"/>
      <c r="C703" s="11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5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6.5" customHeight="1" x14ac:dyDescent="0.3">
      <c r="A704" s="2"/>
      <c r="B704" s="113"/>
      <c r="C704" s="11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5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6.5" customHeight="1" x14ac:dyDescent="0.3">
      <c r="A705" s="2"/>
      <c r="B705" s="113"/>
      <c r="C705" s="11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5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6.5" customHeight="1" x14ac:dyDescent="0.3">
      <c r="A706" s="2"/>
      <c r="B706" s="113"/>
      <c r="C706" s="11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5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6.5" customHeight="1" x14ac:dyDescent="0.3">
      <c r="A707" s="2"/>
      <c r="B707" s="113"/>
      <c r="C707" s="11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5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6.5" customHeight="1" x14ac:dyDescent="0.3">
      <c r="A708" s="2"/>
      <c r="B708" s="113"/>
      <c r="C708" s="11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5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6.5" customHeight="1" x14ac:dyDescent="0.3">
      <c r="A709" s="2"/>
      <c r="B709" s="113"/>
      <c r="C709" s="11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5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6.5" customHeight="1" x14ac:dyDescent="0.3">
      <c r="A710" s="2"/>
      <c r="B710" s="113"/>
      <c r="C710" s="11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5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6.5" customHeight="1" x14ac:dyDescent="0.3">
      <c r="A711" s="2"/>
      <c r="B711" s="113"/>
      <c r="C711" s="11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5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6.5" customHeight="1" x14ac:dyDescent="0.3">
      <c r="A712" s="2"/>
      <c r="B712" s="113"/>
      <c r="C712" s="11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5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6.5" customHeight="1" x14ac:dyDescent="0.3">
      <c r="A713" s="2"/>
      <c r="B713" s="113"/>
      <c r="C713" s="11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5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6.5" customHeight="1" x14ac:dyDescent="0.3">
      <c r="A714" s="2"/>
      <c r="B714" s="113"/>
      <c r="C714" s="11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5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6.5" customHeight="1" x14ac:dyDescent="0.3">
      <c r="A715" s="2"/>
      <c r="B715" s="113"/>
      <c r="C715" s="11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5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6.5" customHeight="1" x14ac:dyDescent="0.3">
      <c r="A716" s="2"/>
      <c r="B716" s="113"/>
      <c r="C716" s="11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5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6.5" customHeight="1" x14ac:dyDescent="0.3">
      <c r="A717" s="2"/>
      <c r="B717" s="113"/>
      <c r="C717" s="11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5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6.5" customHeight="1" x14ac:dyDescent="0.3">
      <c r="A718" s="2"/>
      <c r="B718" s="113"/>
      <c r="C718" s="11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5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6.5" customHeight="1" x14ac:dyDescent="0.3">
      <c r="A719" s="2"/>
      <c r="B719" s="113"/>
      <c r="C719" s="11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5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6.5" customHeight="1" x14ac:dyDescent="0.3">
      <c r="A720" s="2"/>
      <c r="B720" s="113"/>
      <c r="C720" s="11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5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6.5" customHeight="1" x14ac:dyDescent="0.3">
      <c r="A721" s="2"/>
      <c r="B721" s="113"/>
      <c r="C721" s="11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5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6.5" customHeight="1" x14ac:dyDescent="0.3">
      <c r="A722" s="2"/>
      <c r="B722" s="113"/>
      <c r="C722" s="11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5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6.5" customHeight="1" x14ac:dyDescent="0.3">
      <c r="A723" s="2"/>
      <c r="B723" s="113"/>
      <c r="C723" s="11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5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6.5" customHeight="1" x14ac:dyDescent="0.3">
      <c r="A724" s="2"/>
      <c r="B724" s="113"/>
      <c r="C724" s="11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5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6.5" customHeight="1" x14ac:dyDescent="0.3">
      <c r="A725" s="2"/>
      <c r="B725" s="113"/>
      <c r="C725" s="11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5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6.5" customHeight="1" x14ac:dyDescent="0.3">
      <c r="A726" s="2"/>
      <c r="B726" s="113"/>
      <c r="C726" s="11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5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6.5" customHeight="1" x14ac:dyDescent="0.3">
      <c r="A727" s="2"/>
      <c r="B727" s="113"/>
      <c r="C727" s="11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5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6.5" customHeight="1" x14ac:dyDescent="0.3">
      <c r="A728" s="2"/>
      <c r="B728" s="113"/>
      <c r="C728" s="11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5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6.5" customHeight="1" x14ac:dyDescent="0.3">
      <c r="A729" s="2"/>
      <c r="B729" s="113"/>
      <c r="C729" s="11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5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6.5" customHeight="1" x14ac:dyDescent="0.3">
      <c r="A730" s="2"/>
      <c r="B730" s="113"/>
      <c r="C730" s="11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5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6.5" customHeight="1" x14ac:dyDescent="0.3">
      <c r="A731" s="2"/>
      <c r="B731" s="113"/>
      <c r="C731" s="11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5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6.5" customHeight="1" x14ac:dyDescent="0.3">
      <c r="A732" s="2"/>
      <c r="B732" s="113"/>
      <c r="C732" s="11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5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6.5" customHeight="1" x14ac:dyDescent="0.3">
      <c r="A733" s="2"/>
      <c r="B733" s="113"/>
      <c r="C733" s="11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5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6.5" customHeight="1" x14ac:dyDescent="0.3">
      <c r="A734" s="2"/>
      <c r="B734" s="113"/>
      <c r="C734" s="11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5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6.5" customHeight="1" x14ac:dyDescent="0.3">
      <c r="A735" s="2"/>
      <c r="B735" s="113"/>
      <c r="C735" s="11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5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6.5" customHeight="1" x14ac:dyDescent="0.3">
      <c r="A736" s="2"/>
      <c r="B736" s="113"/>
      <c r="C736" s="11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5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6.5" customHeight="1" x14ac:dyDescent="0.3">
      <c r="A737" s="2"/>
      <c r="B737" s="113"/>
      <c r="C737" s="11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5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6.5" customHeight="1" x14ac:dyDescent="0.3">
      <c r="A738" s="2"/>
      <c r="B738" s="113"/>
      <c r="C738" s="11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5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6.5" customHeight="1" x14ac:dyDescent="0.3">
      <c r="A739" s="2"/>
      <c r="B739" s="113"/>
      <c r="C739" s="11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5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6.5" customHeight="1" x14ac:dyDescent="0.3">
      <c r="A740" s="2"/>
      <c r="B740" s="113"/>
      <c r="C740" s="11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5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6.5" customHeight="1" x14ac:dyDescent="0.3">
      <c r="A741" s="2"/>
      <c r="B741" s="113"/>
      <c r="C741" s="11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5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6.5" customHeight="1" x14ac:dyDescent="0.3">
      <c r="A742" s="2"/>
      <c r="B742" s="113"/>
      <c r="C742" s="11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5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6.5" customHeight="1" x14ac:dyDescent="0.3">
      <c r="A743" s="2"/>
      <c r="B743" s="113"/>
      <c r="C743" s="11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5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6.5" customHeight="1" x14ac:dyDescent="0.3">
      <c r="A744" s="2"/>
      <c r="B744" s="113"/>
      <c r="C744" s="11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5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6.5" customHeight="1" x14ac:dyDescent="0.3">
      <c r="A745" s="2"/>
      <c r="B745" s="113"/>
      <c r="C745" s="11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5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6.5" customHeight="1" x14ac:dyDescent="0.3">
      <c r="A746" s="2"/>
      <c r="B746" s="113"/>
      <c r="C746" s="11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5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6.5" customHeight="1" x14ac:dyDescent="0.3">
      <c r="A747" s="2"/>
      <c r="B747" s="113"/>
      <c r="C747" s="11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5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6.5" customHeight="1" x14ac:dyDescent="0.3">
      <c r="A748" s="2"/>
      <c r="B748" s="113"/>
      <c r="C748" s="11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5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6.5" customHeight="1" x14ac:dyDescent="0.3">
      <c r="A749" s="2"/>
      <c r="B749" s="113"/>
      <c r="C749" s="11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5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6.5" customHeight="1" x14ac:dyDescent="0.3">
      <c r="A750" s="2"/>
      <c r="B750" s="113"/>
      <c r="C750" s="11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5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6.5" customHeight="1" x14ac:dyDescent="0.3">
      <c r="A751" s="2"/>
      <c r="B751" s="113"/>
      <c r="C751" s="11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5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6.5" customHeight="1" x14ac:dyDescent="0.3">
      <c r="A752" s="2"/>
      <c r="B752" s="113"/>
      <c r="C752" s="11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5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6.5" customHeight="1" x14ac:dyDescent="0.3">
      <c r="A753" s="2"/>
      <c r="B753" s="113"/>
      <c r="C753" s="11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5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6.5" customHeight="1" x14ac:dyDescent="0.3">
      <c r="A754" s="2"/>
      <c r="B754" s="113"/>
      <c r="C754" s="11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5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6.5" customHeight="1" x14ac:dyDescent="0.3">
      <c r="A755" s="2"/>
      <c r="B755" s="113"/>
      <c r="C755" s="11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5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6.5" customHeight="1" x14ac:dyDescent="0.3">
      <c r="A756" s="2"/>
      <c r="B756" s="113"/>
      <c r="C756" s="11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5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6.5" customHeight="1" x14ac:dyDescent="0.3">
      <c r="A757" s="2"/>
      <c r="B757" s="113"/>
      <c r="C757" s="11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5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6.5" customHeight="1" x14ac:dyDescent="0.3">
      <c r="A758" s="2"/>
      <c r="B758" s="113"/>
      <c r="C758" s="11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5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6.5" customHeight="1" x14ac:dyDescent="0.3">
      <c r="A759" s="2"/>
      <c r="B759" s="113"/>
      <c r="C759" s="11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5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6.5" customHeight="1" x14ac:dyDescent="0.3">
      <c r="A760" s="2"/>
      <c r="B760" s="113"/>
      <c r="C760" s="11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5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6.5" customHeight="1" x14ac:dyDescent="0.3">
      <c r="A761" s="2"/>
      <c r="B761" s="113"/>
      <c r="C761" s="11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5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6.5" customHeight="1" x14ac:dyDescent="0.3">
      <c r="A762" s="2"/>
      <c r="B762" s="113"/>
      <c r="C762" s="11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5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6.5" customHeight="1" x14ac:dyDescent="0.3">
      <c r="A763" s="2"/>
      <c r="B763" s="113"/>
      <c r="C763" s="11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5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6.5" customHeight="1" x14ac:dyDescent="0.3">
      <c r="A764" s="2"/>
      <c r="B764" s="113"/>
      <c r="C764" s="11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5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6.5" customHeight="1" x14ac:dyDescent="0.3">
      <c r="A765" s="2"/>
      <c r="B765" s="113"/>
      <c r="C765" s="11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5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6.5" customHeight="1" x14ac:dyDescent="0.3">
      <c r="A766" s="2"/>
      <c r="B766" s="113"/>
      <c r="C766" s="11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5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6.5" customHeight="1" x14ac:dyDescent="0.3">
      <c r="A767" s="2"/>
      <c r="B767" s="113"/>
      <c r="C767" s="11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5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6.5" customHeight="1" x14ac:dyDescent="0.3">
      <c r="A768" s="2"/>
      <c r="B768" s="113"/>
      <c r="C768" s="11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5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6.5" customHeight="1" x14ac:dyDescent="0.3">
      <c r="A769" s="2"/>
      <c r="B769" s="113"/>
      <c r="C769" s="11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5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6.5" customHeight="1" x14ac:dyDescent="0.3">
      <c r="A770" s="2"/>
      <c r="B770" s="113"/>
      <c r="C770" s="11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5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6.5" customHeight="1" x14ac:dyDescent="0.3">
      <c r="A771" s="2"/>
      <c r="B771" s="113"/>
      <c r="C771" s="11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5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6.5" customHeight="1" x14ac:dyDescent="0.3">
      <c r="A772" s="2"/>
      <c r="B772" s="113"/>
      <c r="C772" s="11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5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6.5" customHeight="1" x14ac:dyDescent="0.3">
      <c r="A773" s="2"/>
      <c r="B773" s="113"/>
      <c r="C773" s="11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5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6.5" customHeight="1" x14ac:dyDescent="0.3">
      <c r="A774" s="2"/>
      <c r="B774" s="113"/>
      <c r="C774" s="11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5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6.5" customHeight="1" x14ac:dyDescent="0.3">
      <c r="A775" s="2"/>
      <c r="B775" s="113"/>
      <c r="C775" s="11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5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6.5" customHeight="1" x14ac:dyDescent="0.3">
      <c r="A776" s="2"/>
      <c r="B776" s="113"/>
      <c r="C776" s="11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5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6.5" customHeight="1" x14ac:dyDescent="0.3">
      <c r="A777" s="2"/>
      <c r="B777" s="113"/>
      <c r="C777" s="11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5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6.5" customHeight="1" x14ac:dyDescent="0.3">
      <c r="A778" s="2"/>
      <c r="B778" s="113"/>
      <c r="C778" s="11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5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6.5" customHeight="1" x14ac:dyDescent="0.3">
      <c r="A779" s="2"/>
      <c r="B779" s="113"/>
      <c r="C779" s="11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5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6.5" customHeight="1" x14ac:dyDescent="0.3">
      <c r="A780" s="2"/>
      <c r="B780" s="113"/>
      <c r="C780" s="11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5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6.5" customHeight="1" x14ac:dyDescent="0.3">
      <c r="A781" s="2"/>
      <c r="B781" s="113"/>
      <c r="C781" s="11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5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6.5" customHeight="1" x14ac:dyDescent="0.3">
      <c r="A782" s="2"/>
      <c r="B782" s="113"/>
      <c r="C782" s="11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5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6.5" customHeight="1" x14ac:dyDescent="0.3">
      <c r="A783" s="2"/>
      <c r="B783" s="113"/>
      <c r="C783" s="11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5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6.5" customHeight="1" x14ac:dyDescent="0.3">
      <c r="A784" s="2"/>
      <c r="B784" s="113"/>
      <c r="C784" s="11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5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6.5" customHeight="1" x14ac:dyDescent="0.3">
      <c r="A785" s="2"/>
      <c r="B785" s="113"/>
      <c r="C785" s="11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5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6.5" customHeight="1" x14ac:dyDescent="0.3">
      <c r="A786" s="2"/>
      <c r="B786" s="113"/>
      <c r="C786" s="11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5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6.5" customHeight="1" x14ac:dyDescent="0.3">
      <c r="A787" s="2"/>
      <c r="B787" s="113"/>
      <c r="C787" s="11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5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6.5" customHeight="1" x14ac:dyDescent="0.3">
      <c r="A788" s="2"/>
      <c r="B788" s="113"/>
      <c r="C788" s="11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5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6.5" customHeight="1" x14ac:dyDescent="0.3">
      <c r="A789" s="2"/>
      <c r="B789" s="113"/>
      <c r="C789" s="11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5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6.5" customHeight="1" x14ac:dyDescent="0.3">
      <c r="A790" s="2"/>
      <c r="B790" s="113"/>
      <c r="C790" s="11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5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6.5" customHeight="1" x14ac:dyDescent="0.3">
      <c r="A791" s="2"/>
      <c r="B791" s="113"/>
      <c r="C791" s="11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5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6.5" customHeight="1" x14ac:dyDescent="0.3">
      <c r="A792" s="2"/>
      <c r="B792" s="113"/>
      <c r="C792" s="11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5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6.5" customHeight="1" x14ac:dyDescent="0.3">
      <c r="A793" s="2"/>
      <c r="B793" s="113"/>
      <c r="C793" s="11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5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6.5" customHeight="1" x14ac:dyDescent="0.3">
      <c r="A794" s="2"/>
      <c r="B794" s="113"/>
      <c r="C794" s="11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5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6.5" customHeight="1" x14ac:dyDescent="0.3">
      <c r="A795" s="2"/>
      <c r="B795" s="113"/>
      <c r="C795" s="11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5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6.5" customHeight="1" x14ac:dyDescent="0.3">
      <c r="A796" s="2"/>
      <c r="B796" s="113"/>
      <c r="C796" s="11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5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6.5" customHeight="1" x14ac:dyDescent="0.3">
      <c r="A797" s="2"/>
      <c r="B797" s="113"/>
      <c r="C797" s="11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5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6.5" customHeight="1" x14ac:dyDescent="0.3">
      <c r="A798" s="2"/>
      <c r="B798" s="113"/>
      <c r="C798" s="11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5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6.5" customHeight="1" x14ac:dyDescent="0.3">
      <c r="A799" s="2"/>
      <c r="B799" s="113"/>
      <c r="C799" s="11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5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6.5" customHeight="1" x14ac:dyDescent="0.3">
      <c r="A800" s="2"/>
      <c r="B800" s="113"/>
      <c r="C800" s="11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5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6.5" customHeight="1" x14ac:dyDescent="0.3">
      <c r="A801" s="2"/>
      <c r="B801" s="113"/>
      <c r="C801" s="11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5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6.5" customHeight="1" x14ac:dyDescent="0.3">
      <c r="A802" s="2"/>
      <c r="B802" s="113"/>
      <c r="C802" s="11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5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6.5" customHeight="1" x14ac:dyDescent="0.3">
      <c r="A803" s="2"/>
      <c r="B803" s="113"/>
      <c r="C803" s="11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5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6.5" customHeight="1" x14ac:dyDescent="0.3">
      <c r="A804" s="2"/>
      <c r="B804" s="113"/>
      <c r="C804" s="11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5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6.5" customHeight="1" x14ac:dyDescent="0.3">
      <c r="A805" s="2"/>
      <c r="B805" s="113"/>
      <c r="C805" s="11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5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6.5" customHeight="1" x14ac:dyDescent="0.3">
      <c r="A806" s="2"/>
      <c r="B806" s="113"/>
      <c r="C806" s="11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5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6.5" customHeight="1" x14ac:dyDescent="0.3">
      <c r="A807" s="2"/>
      <c r="B807" s="113"/>
      <c r="C807" s="11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5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6.5" customHeight="1" x14ac:dyDescent="0.3">
      <c r="A808" s="2"/>
      <c r="B808" s="113"/>
      <c r="C808" s="11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5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6.5" customHeight="1" x14ac:dyDescent="0.3">
      <c r="A809" s="2"/>
      <c r="B809" s="113"/>
      <c r="C809" s="11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5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6.5" customHeight="1" x14ac:dyDescent="0.3">
      <c r="A810" s="2"/>
      <c r="B810" s="113"/>
      <c r="C810" s="11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5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6.5" customHeight="1" x14ac:dyDescent="0.3">
      <c r="A811" s="2"/>
      <c r="B811" s="113"/>
      <c r="C811" s="11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5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6.5" customHeight="1" x14ac:dyDescent="0.3">
      <c r="A812" s="2"/>
      <c r="B812" s="113"/>
      <c r="C812" s="11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5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6.5" customHeight="1" x14ac:dyDescent="0.3">
      <c r="A813" s="2"/>
      <c r="B813" s="113"/>
      <c r="C813" s="11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5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6.5" customHeight="1" x14ac:dyDescent="0.3">
      <c r="A814" s="2"/>
      <c r="B814" s="113"/>
      <c r="C814" s="11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5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6.5" customHeight="1" x14ac:dyDescent="0.3">
      <c r="A815" s="2"/>
      <c r="B815" s="113"/>
      <c r="C815" s="11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5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6.5" customHeight="1" x14ac:dyDescent="0.3">
      <c r="A816" s="2"/>
      <c r="B816" s="113"/>
      <c r="C816" s="11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5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6.5" customHeight="1" x14ac:dyDescent="0.3">
      <c r="A817" s="2"/>
      <c r="B817" s="113"/>
      <c r="C817" s="11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5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6.5" customHeight="1" x14ac:dyDescent="0.3">
      <c r="A818" s="2"/>
      <c r="B818" s="113"/>
      <c r="C818" s="11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5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6.5" customHeight="1" x14ac:dyDescent="0.3">
      <c r="A819" s="2"/>
      <c r="B819" s="113"/>
      <c r="C819" s="11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5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6.5" customHeight="1" x14ac:dyDescent="0.3">
      <c r="A820" s="2"/>
      <c r="B820" s="113"/>
      <c r="C820" s="11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5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6.5" customHeight="1" x14ac:dyDescent="0.3">
      <c r="A821" s="2"/>
      <c r="B821" s="113"/>
      <c r="C821" s="11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5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6.5" customHeight="1" x14ac:dyDescent="0.3">
      <c r="A822" s="2"/>
      <c r="B822" s="113"/>
      <c r="C822" s="11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5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6.5" customHeight="1" x14ac:dyDescent="0.3">
      <c r="A823" s="2"/>
      <c r="B823" s="113"/>
      <c r="C823" s="11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5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6.5" customHeight="1" x14ac:dyDescent="0.3">
      <c r="A824" s="2"/>
      <c r="B824" s="113"/>
      <c r="C824" s="11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5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6.5" customHeight="1" x14ac:dyDescent="0.3">
      <c r="A825" s="2"/>
      <c r="B825" s="113"/>
      <c r="C825" s="11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5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6.5" customHeight="1" x14ac:dyDescent="0.3">
      <c r="A826" s="2"/>
      <c r="B826" s="113"/>
      <c r="C826" s="11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5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6.5" customHeight="1" x14ac:dyDescent="0.3">
      <c r="A827" s="2"/>
      <c r="B827" s="113"/>
      <c r="C827" s="11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5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6.5" customHeight="1" x14ac:dyDescent="0.3">
      <c r="A828" s="2"/>
      <c r="B828" s="113"/>
      <c r="C828" s="11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5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6.5" customHeight="1" x14ac:dyDescent="0.3">
      <c r="A829" s="2"/>
      <c r="B829" s="113"/>
      <c r="C829" s="11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5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6.5" customHeight="1" x14ac:dyDescent="0.3">
      <c r="A830" s="2"/>
      <c r="B830" s="113"/>
      <c r="C830" s="11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5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6.5" customHeight="1" x14ac:dyDescent="0.3">
      <c r="A831" s="2"/>
      <c r="B831" s="113"/>
      <c r="C831" s="11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5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6.5" customHeight="1" x14ac:dyDescent="0.3">
      <c r="A832" s="2"/>
      <c r="B832" s="113"/>
      <c r="C832" s="11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5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6.5" customHeight="1" x14ac:dyDescent="0.3">
      <c r="A833" s="2"/>
      <c r="B833" s="113"/>
      <c r="C833" s="11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5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6.5" customHeight="1" x14ac:dyDescent="0.3">
      <c r="A834" s="2"/>
      <c r="B834" s="113"/>
      <c r="C834" s="11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5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6.5" customHeight="1" x14ac:dyDescent="0.3">
      <c r="A835" s="2"/>
      <c r="B835" s="113"/>
      <c r="C835" s="11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5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6.5" customHeight="1" x14ac:dyDescent="0.3">
      <c r="A836" s="2"/>
      <c r="B836" s="113"/>
      <c r="C836" s="11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5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6.5" customHeight="1" x14ac:dyDescent="0.3">
      <c r="A837" s="2"/>
      <c r="B837" s="113"/>
      <c r="C837" s="11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5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6.5" customHeight="1" x14ac:dyDescent="0.3">
      <c r="A838" s="2"/>
      <c r="B838" s="113"/>
      <c r="C838" s="11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5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6.5" customHeight="1" x14ac:dyDescent="0.3">
      <c r="A839" s="2"/>
      <c r="B839" s="113"/>
      <c r="C839" s="11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5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6.5" customHeight="1" x14ac:dyDescent="0.3">
      <c r="A840" s="2"/>
      <c r="B840" s="113"/>
      <c r="C840" s="11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5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6.5" customHeight="1" x14ac:dyDescent="0.3">
      <c r="A841" s="2"/>
      <c r="B841" s="113"/>
      <c r="C841" s="11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5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6.5" customHeight="1" x14ac:dyDescent="0.3">
      <c r="A842" s="2"/>
      <c r="B842" s="113"/>
      <c r="C842" s="11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5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6.5" customHeight="1" x14ac:dyDescent="0.3">
      <c r="A843" s="2"/>
      <c r="B843" s="113"/>
      <c r="C843" s="11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5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6.5" customHeight="1" x14ac:dyDescent="0.3">
      <c r="A844" s="2"/>
      <c r="B844" s="113"/>
      <c r="C844" s="11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5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6.5" customHeight="1" x14ac:dyDescent="0.3">
      <c r="A845" s="2"/>
      <c r="B845" s="113"/>
      <c r="C845" s="11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5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6.5" customHeight="1" x14ac:dyDescent="0.3">
      <c r="A846" s="2"/>
      <c r="B846" s="113"/>
      <c r="C846" s="11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5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6.5" customHeight="1" x14ac:dyDescent="0.3">
      <c r="A847" s="2"/>
      <c r="B847" s="113"/>
      <c r="C847" s="11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5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6.5" customHeight="1" x14ac:dyDescent="0.3">
      <c r="A848" s="2"/>
      <c r="B848" s="113"/>
      <c r="C848" s="11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5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6.5" customHeight="1" x14ac:dyDescent="0.3">
      <c r="A849" s="2"/>
      <c r="B849" s="113"/>
      <c r="C849" s="11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5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6.5" customHeight="1" x14ac:dyDescent="0.3">
      <c r="A850" s="2"/>
      <c r="B850" s="113"/>
      <c r="C850" s="11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5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6.5" customHeight="1" x14ac:dyDescent="0.3">
      <c r="A851" s="2"/>
      <c r="B851" s="113"/>
      <c r="C851" s="11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5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6.5" customHeight="1" x14ac:dyDescent="0.3">
      <c r="A852" s="2"/>
      <c r="B852" s="113"/>
      <c r="C852" s="11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5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6.5" customHeight="1" x14ac:dyDescent="0.3">
      <c r="A853" s="2"/>
      <c r="B853" s="113"/>
      <c r="C853" s="11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5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6.5" customHeight="1" x14ac:dyDescent="0.3">
      <c r="A854" s="2"/>
      <c r="B854" s="113"/>
      <c r="C854" s="11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5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6.5" customHeight="1" x14ac:dyDescent="0.3">
      <c r="A855" s="2"/>
      <c r="B855" s="113"/>
      <c r="C855" s="11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5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6.5" customHeight="1" x14ac:dyDescent="0.3">
      <c r="A856" s="2"/>
      <c r="B856" s="113"/>
      <c r="C856" s="11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5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6.5" customHeight="1" x14ac:dyDescent="0.3">
      <c r="A857" s="2"/>
      <c r="B857" s="113"/>
      <c r="C857" s="11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5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6.5" customHeight="1" x14ac:dyDescent="0.3">
      <c r="A858" s="2"/>
      <c r="B858" s="113"/>
      <c r="C858" s="11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5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6.5" customHeight="1" x14ac:dyDescent="0.3">
      <c r="A859" s="2"/>
      <c r="B859" s="113"/>
      <c r="C859" s="11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5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6.5" customHeight="1" x14ac:dyDescent="0.3">
      <c r="A860" s="2"/>
      <c r="B860" s="113"/>
      <c r="C860" s="11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5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6.5" customHeight="1" x14ac:dyDescent="0.3">
      <c r="A861" s="2"/>
      <c r="B861" s="113"/>
      <c r="C861" s="11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5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6.5" customHeight="1" x14ac:dyDescent="0.3">
      <c r="A862" s="2"/>
      <c r="B862" s="113"/>
      <c r="C862" s="11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5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6.5" customHeight="1" x14ac:dyDescent="0.3">
      <c r="A863" s="2"/>
      <c r="B863" s="113"/>
      <c r="C863" s="11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5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6.5" customHeight="1" x14ac:dyDescent="0.3">
      <c r="A864" s="2"/>
      <c r="B864" s="113"/>
      <c r="C864" s="11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5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6.5" customHeight="1" x14ac:dyDescent="0.3">
      <c r="A865" s="2"/>
      <c r="B865" s="113"/>
      <c r="C865" s="11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5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6.5" customHeight="1" x14ac:dyDescent="0.3">
      <c r="A866" s="2"/>
      <c r="B866" s="113"/>
      <c r="C866" s="11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5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6.5" customHeight="1" x14ac:dyDescent="0.3">
      <c r="A867" s="2"/>
      <c r="B867" s="113"/>
      <c r="C867" s="11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5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6.5" customHeight="1" x14ac:dyDescent="0.3">
      <c r="A868" s="2"/>
      <c r="B868" s="113"/>
      <c r="C868" s="11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5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6.5" customHeight="1" x14ac:dyDescent="0.3">
      <c r="A869" s="2"/>
      <c r="B869" s="113"/>
      <c r="C869" s="11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5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6.5" customHeight="1" x14ac:dyDescent="0.3">
      <c r="A870" s="2"/>
      <c r="B870" s="113"/>
      <c r="C870" s="11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5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6.5" customHeight="1" x14ac:dyDescent="0.3">
      <c r="A871" s="2"/>
      <c r="B871" s="113"/>
      <c r="C871" s="11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5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6.5" customHeight="1" x14ac:dyDescent="0.3">
      <c r="A872" s="2"/>
      <c r="B872" s="113"/>
      <c r="C872" s="11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5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6.5" customHeight="1" x14ac:dyDescent="0.3">
      <c r="A873" s="2"/>
      <c r="B873" s="113"/>
      <c r="C873" s="11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5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6.5" customHeight="1" x14ac:dyDescent="0.3">
      <c r="A874" s="2"/>
      <c r="B874" s="113"/>
      <c r="C874" s="11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5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6.5" customHeight="1" x14ac:dyDescent="0.3">
      <c r="A875" s="2"/>
      <c r="B875" s="113"/>
      <c r="C875" s="11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5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6.5" customHeight="1" x14ac:dyDescent="0.3">
      <c r="A876" s="2"/>
      <c r="B876" s="113"/>
      <c r="C876" s="11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5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6.5" customHeight="1" x14ac:dyDescent="0.3">
      <c r="A877" s="2"/>
      <c r="B877" s="113"/>
      <c r="C877" s="11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5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6.5" customHeight="1" x14ac:dyDescent="0.3">
      <c r="A878" s="2"/>
      <c r="B878" s="113"/>
      <c r="C878" s="11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5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6.5" customHeight="1" x14ac:dyDescent="0.3">
      <c r="A879" s="2"/>
      <c r="B879" s="113"/>
      <c r="C879" s="11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5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6.5" customHeight="1" x14ac:dyDescent="0.3">
      <c r="A880" s="2"/>
      <c r="B880" s="113"/>
      <c r="C880" s="11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5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6.5" customHeight="1" x14ac:dyDescent="0.3">
      <c r="A881" s="2"/>
      <c r="B881" s="113"/>
      <c r="C881" s="11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5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6.5" customHeight="1" x14ac:dyDescent="0.3">
      <c r="A882" s="2"/>
      <c r="B882" s="113"/>
      <c r="C882" s="11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5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6.5" customHeight="1" x14ac:dyDescent="0.3">
      <c r="A883" s="2"/>
      <c r="B883" s="113"/>
      <c r="C883" s="11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5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6.5" customHeight="1" x14ac:dyDescent="0.3">
      <c r="A884" s="2"/>
      <c r="B884" s="113"/>
      <c r="C884" s="11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5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6.5" customHeight="1" x14ac:dyDescent="0.3">
      <c r="A885" s="2"/>
      <c r="B885" s="113"/>
      <c r="C885" s="11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5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6.5" customHeight="1" x14ac:dyDescent="0.3">
      <c r="A886" s="2"/>
      <c r="B886" s="113"/>
      <c r="C886" s="11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5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6.5" customHeight="1" x14ac:dyDescent="0.3">
      <c r="A887" s="2"/>
      <c r="B887" s="113"/>
      <c r="C887" s="11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5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6.5" customHeight="1" x14ac:dyDescent="0.3">
      <c r="A888" s="2"/>
      <c r="B888" s="113"/>
      <c r="C888" s="11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5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6.5" customHeight="1" x14ac:dyDescent="0.3">
      <c r="A889" s="2"/>
      <c r="B889" s="113"/>
      <c r="C889" s="11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5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6.5" customHeight="1" x14ac:dyDescent="0.3">
      <c r="A890" s="2"/>
      <c r="B890" s="113"/>
      <c r="C890" s="11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5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6.5" customHeight="1" x14ac:dyDescent="0.3">
      <c r="A891" s="2"/>
      <c r="B891" s="113"/>
      <c r="C891" s="11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5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6.5" customHeight="1" x14ac:dyDescent="0.3">
      <c r="A892" s="2"/>
      <c r="B892" s="113"/>
      <c r="C892" s="11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5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6.5" customHeight="1" x14ac:dyDescent="0.3">
      <c r="A893" s="2"/>
      <c r="B893" s="113"/>
      <c r="C893" s="11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5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6.5" customHeight="1" x14ac:dyDescent="0.3">
      <c r="A894" s="2"/>
      <c r="B894" s="113"/>
      <c r="C894" s="11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5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6.5" customHeight="1" x14ac:dyDescent="0.3">
      <c r="A895" s="2"/>
      <c r="B895" s="113"/>
      <c r="C895" s="11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5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6.5" customHeight="1" x14ac:dyDescent="0.3">
      <c r="A896" s="2"/>
      <c r="B896" s="113"/>
      <c r="C896" s="11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5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6.5" customHeight="1" x14ac:dyDescent="0.3">
      <c r="A897" s="2"/>
      <c r="B897" s="113"/>
      <c r="C897" s="11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5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6.5" customHeight="1" x14ac:dyDescent="0.3">
      <c r="A898" s="2"/>
      <c r="B898" s="113"/>
      <c r="C898" s="11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5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6.5" customHeight="1" x14ac:dyDescent="0.3">
      <c r="A899" s="2"/>
      <c r="B899" s="113"/>
      <c r="C899" s="11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5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6.5" customHeight="1" x14ac:dyDescent="0.3">
      <c r="A900" s="2"/>
      <c r="B900" s="113"/>
      <c r="C900" s="11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5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6.5" customHeight="1" x14ac:dyDescent="0.3">
      <c r="A901" s="2"/>
      <c r="B901" s="113"/>
      <c r="C901" s="11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5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6.5" customHeight="1" x14ac:dyDescent="0.3">
      <c r="A902" s="2"/>
      <c r="B902" s="113"/>
      <c r="C902" s="11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5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6.5" customHeight="1" x14ac:dyDescent="0.3">
      <c r="A903" s="2"/>
      <c r="B903" s="113"/>
      <c r="C903" s="11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5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6.5" customHeight="1" x14ac:dyDescent="0.3">
      <c r="A904" s="2"/>
      <c r="B904" s="113"/>
      <c r="C904" s="11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5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6.5" customHeight="1" x14ac:dyDescent="0.3">
      <c r="A905" s="2"/>
      <c r="B905" s="113"/>
      <c r="C905" s="11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5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6.5" customHeight="1" x14ac:dyDescent="0.3">
      <c r="A906" s="2"/>
      <c r="B906" s="113"/>
      <c r="C906" s="11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5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6.5" customHeight="1" x14ac:dyDescent="0.3">
      <c r="A907" s="2"/>
      <c r="B907" s="113"/>
      <c r="C907" s="11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5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6.5" customHeight="1" x14ac:dyDescent="0.3">
      <c r="A908" s="2"/>
      <c r="B908" s="113"/>
      <c r="C908" s="11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5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6.5" customHeight="1" x14ac:dyDescent="0.3">
      <c r="A909" s="2"/>
      <c r="B909" s="113"/>
      <c r="C909" s="11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5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6.5" customHeight="1" x14ac:dyDescent="0.3">
      <c r="A910" s="2"/>
      <c r="B910" s="113"/>
      <c r="C910" s="11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5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6.5" customHeight="1" x14ac:dyDescent="0.3">
      <c r="A911" s="2"/>
      <c r="B911" s="113"/>
      <c r="C911" s="11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5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6.5" customHeight="1" x14ac:dyDescent="0.3">
      <c r="A912" s="2"/>
      <c r="B912" s="113"/>
      <c r="C912" s="11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5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6.5" customHeight="1" x14ac:dyDescent="0.3">
      <c r="A913" s="2"/>
      <c r="B913" s="113"/>
      <c r="C913" s="11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5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6.5" customHeight="1" x14ac:dyDescent="0.3">
      <c r="A914" s="2"/>
      <c r="B914" s="113"/>
      <c r="C914" s="11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5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6.5" customHeight="1" x14ac:dyDescent="0.3">
      <c r="A915" s="2"/>
      <c r="B915" s="113"/>
      <c r="C915" s="11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5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6.5" customHeight="1" x14ac:dyDescent="0.3">
      <c r="A916" s="2"/>
      <c r="B916" s="113"/>
      <c r="C916" s="11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5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6.5" customHeight="1" x14ac:dyDescent="0.3">
      <c r="A917" s="2"/>
      <c r="B917" s="113"/>
      <c r="C917" s="11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5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6.5" customHeight="1" x14ac:dyDescent="0.3">
      <c r="A918" s="2"/>
      <c r="B918" s="113"/>
      <c r="C918" s="11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5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6.5" customHeight="1" x14ac:dyDescent="0.3">
      <c r="A919" s="2"/>
      <c r="B919" s="113"/>
      <c r="C919" s="11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5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6.5" customHeight="1" x14ac:dyDescent="0.3">
      <c r="A920" s="2"/>
      <c r="B920" s="113"/>
      <c r="C920" s="11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5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6.5" customHeight="1" x14ac:dyDescent="0.3">
      <c r="A921" s="2"/>
      <c r="B921" s="113"/>
      <c r="C921" s="11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5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6.5" customHeight="1" x14ac:dyDescent="0.3">
      <c r="A922" s="2"/>
      <c r="B922" s="113"/>
      <c r="C922" s="11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5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6.5" customHeight="1" x14ac:dyDescent="0.3">
      <c r="A923" s="2"/>
      <c r="B923" s="113"/>
      <c r="C923" s="11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5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6.5" customHeight="1" x14ac:dyDescent="0.3">
      <c r="A924" s="2"/>
      <c r="B924" s="113"/>
      <c r="C924" s="11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5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6.5" customHeight="1" x14ac:dyDescent="0.3">
      <c r="A925" s="2"/>
      <c r="B925" s="113"/>
      <c r="C925" s="11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5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6.5" customHeight="1" x14ac:dyDescent="0.3">
      <c r="A926" s="2"/>
      <c r="B926" s="113"/>
      <c r="C926" s="11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5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6.5" customHeight="1" x14ac:dyDescent="0.3">
      <c r="A927" s="2"/>
      <c r="B927" s="113"/>
      <c r="C927" s="11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5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6.5" customHeight="1" x14ac:dyDescent="0.3">
      <c r="A928" s="2"/>
      <c r="B928" s="113"/>
      <c r="C928" s="11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5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6.5" customHeight="1" x14ac:dyDescent="0.3">
      <c r="A929" s="2"/>
      <c r="B929" s="113"/>
      <c r="C929" s="11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5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6.5" customHeight="1" x14ac:dyDescent="0.3">
      <c r="A930" s="2"/>
      <c r="B930" s="113"/>
      <c r="C930" s="11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5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6.5" customHeight="1" x14ac:dyDescent="0.3">
      <c r="A931" s="2"/>
      <c r="B931" s="113"/>
      <c r="C931" s="11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5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6.5" customHeight="1" x14ac:dyDescent="0.3">
      <c r="A932" s="2"/>
      <c r="B932" s="113"/>
      <c r="C932" s="11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5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6.5" customHeight="1" x14ac:dyDescent="0.3">
      <c r="A933" s="2"/>
      <c r="B933" s="113"/>
      <c r="C933" s="11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5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6.5" customHeight="1" x14ac:dyDescent="0.3">
      <c r="A934" s="2"/>
      <c r="B934" s="113"/>
      <c r="C934" s="11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5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6.5" customHeight="1" x14ac:dyDescent="0.3">
      <c r="A935" s="2"/>
      <c r="B935" s="113"/>
      <c r="C935" s="11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5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6.5" customHeight="1" x14ac:dyDescent="0.3">
      <c r="A936" s="2"/>
      <c r="B936" s="113"/>
      <c r="C936" s="11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5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6.5" customHeight="1" x14ac:dyDescent="0.3">
      <c r="A937" s="2"/>
      <c r="B937" s="113"/>
      <c r="C937" s="11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5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6.5" customHeight="1" x14ac:dyDescent="0.3">
      <c r="A938" s="2"/>
      <c r="B938" s="113"/>
      <c r="C938" s="11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5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6.5" customHeight="1" x14ac:dyDescent="0.3">
      <c r="A939" s="2"/>
      <c r="B939" s="113"/>
      <c r="C939" s="11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5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6.5" customHeight="1" x14ac:dyDescent="0.3">
      <c r="A940" s="2"/>
      <c r="B940" s="113"/>
      <c r="C940" s="11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5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6.5" customHeight="1" x14ac:dyDescent="0.3">
      <c r="A941" s="2"/>
      <c r="B941" s="113"/>
      <c r="C941" s="11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5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6.5" customHeight="1" x14ac:dyDescent="0.3">
      <c r="A942" s="2"/>
      <c r="B942" s="113"/>
      <c r="C942" s="11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5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6.5" customHeight="1" x14ac:dyDescent="0.3">
      <c r="A943" s="2"/>
      <c r="B943" s="113"/>
      <c r="C943" s="11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5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6.5" customHeight="1" x14ac:dyDescent="0.3">
      <c r="A944" s="2"/>
      <c r="B944" s="113"/>
      <c r="C944" s="11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5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6.5" customHeight="1" x14ac:dyDescent="0.3">
      <c r="A945" s="2"/>
      <c r="B945" s="113"/>
      <c r="C945" s="11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5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6.5" customHeight="1" x14ac:dyDescent="0.3">
      <c r="A946" s="2"/>
      <c r="B946" s="113"/>
      <c r="C946" s="11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5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6.5" customHeight="1" x14ac:dyDescent="0.3">
      <c r="A947" s="2"/>
      <c r="B947" s="113"/>
      <c r="C947" s="11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5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6.5" customHeight="1" x14ac:dyDescent="0.3">
      <c r="A948" s="2"/>
      <c r="B948" s="113"/>
      <c r="C948" s="11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5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6.5" customHeight="1" x14ac:dyDescent="0.3">
      <c r="A949" s="2"/>
      <c r="B949" s="113"/>
      <c r="C949" s="11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5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6.5" customHeight="1" x14ac:dyDescent="0.3">
      <c r="A950" s="2"/>
      <c r="B950" s="113"/>
      <c r="C950" s="11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5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6.5" customHeight="1" x14ac:dyDescent="0.3">
      <c r="A951" s="2"/>
      <c r="B951" s="113"/>
      <c r="C951" s="11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5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6.5" customHeight="1" x14ac:dyDescent="0.3">
      <c r="A952" s="2"/>
      <c r="B952" s="113"/>
      <c r="C952" s="11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5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6.5" customHeight="1" x14ac:dyDescent="0.3">
      <c r="A953" s="2"/>
      <c r="B953" s="113"/>
      <c r="C953" s="11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5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6.5" customHeight="1" x14ac:dyDescent="0.3">
      <c r="A954" s="2"/>
      <c r="B954" s="113"/>
      <c r="C954" s="11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5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6.5" customHeight="1" x14ac:dyDescent="0.3">
      <c r="A955" s="2"/>
      <c r="B955" s="113"/>
      <c r="C955" s="11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5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6.5" customHeight="1" x14ac:dyDescent="0.3">
      <c r="A956" s="2"/>
      <c r="B956" s="113"/>
      <c r="C956" s="11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5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16.5" customHeight="1" x14ac:dyDescent="0.3">
      <c r="A957" s="2"/>
      <c r="B957" s="113"/>
      <c r="C957" s="11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5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16.5" customHeight="1" x14ac:dyDescent="0.3">
      <c r="A958" s="2"/>
      <c r="B958" s="113"/>
      <c r="C958" s="11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5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16.5" customHeight="1" x14ac:dyDescent="0.3">
      <c r="A959" s="2"/>
      <c r="B959" s="113"/>
      <c r="C959" s="11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5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16.5" customHeight="1" x14ac:dyDescent="0.3">
      <c r="A960" s="2"/>
      <c r="B960" s="113"/>
      <c r="C960" s="11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5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16.5" customHeight="1" x14ac:dyDescent="0.3">
      <c r="A961" s="2"/>
      <c r="B961" s="113"/>
      <c r="C961" s="11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5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16.5" customHeight="1" x14ac:dyDescent="0.3">
      <c r="A962" s="2"/>
      <c r="B962" s="113"/>
      <c r="C962" s="11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5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16.5" customHeight="1" x14ac:dyDescent="0.3">
      <c r="A963" s="2"/>
      <c r="B963" s="113"/>
      <c r="C963" s="11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5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16.5" customHeight="1" x14ac:dyDescent="0.3">
      <c r="A964" s="2"/>
      <c r="B964" s="113"/>
      <c r="C964" s="11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5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16.5" customHeight="1" x14ac:dyDescent="0.3">
      <c r="A965" s="2"/>
      <c r="B965" s="113"/>
      <c r="C965" s="11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5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16.5" customHeight="1" x14ac:dyDescent="0.3">
      <c r="A966" s="2"/>
      <c r="B966" s="113"/>
      <c r="C966" s="11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5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16.5" customHeight="1" x14ac:dyDescent="0.3">
      <c r="A967" s="2"/>
      <c r="B967" s="113"/>
      <c r="C967" s="11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5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16.5" customHeight="1" x14ac:dyDescent="0.3">
      <c r="A968" s="2"/>
      <c r="B968" s="113"/>
      <c r="C968" s="11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5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16.5" customHeight="1" x14ac:dyDescent="0.3">
      <c r="A969" s="2"/>
      <c r="B969" s="113"/>
      <c r="C969" s="11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5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16.5" customHeight="1" x14ac:dyDescent="0.3">
      <c r="A970" s="2"/>
      <c r="B970" s="113"/>
      <c r="C970" s="11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5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16.5" customHeight="1" x14ac:dyDescent="0.3">
      <c r="A971" s="2"/>
      <c r="B971" s="113"/>
      <c r="C971" s="11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5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16.5" customHeight="1" x14ac:dyDescent="0.3">
      <c r="A972" s="2"/>
      <c r="B972" s="113"/>
      <c r="C972" s="11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5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16.5" customHeight="1" x14ac:dyDescent="0.3">
      <c r="A973" s="2"/>
      <c r="B973" s="113"/>
      <c r="C973" s="11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5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16.5" customHeight="1" x14ac:dyDescent="0.3">
      <c r="A974" s="2"/>
      <c r="B974" s="113"/>
      <c r="C974" s="11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5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16.5" customHeight="1" x14ac:dyDescent="0.3">
      <c r="A975" s="2"/>
      <c r="B975" s="113"/>
      <c r="C975" s="11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5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16.5" customHeight="1" x14ac:dyDescent="0.3">
      <c r="A976" s="2"/>
      <c r="B976" s="113"/>
      <c r="C976" s="11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5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16.5" customHeight="1" x14ac:dyDescent="0.3">
      <c r="A977" s="2"/>
      <c r="B977" s="113"/>
      <c r="C977" s="11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5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16.5" customHeight="1" x14ac:dyDescent="0.3">
      <c r="A978" s="2"/>
      <c r="B978" s="113"/>
      <c r="C978" s="11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5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16.5" customHeight="1" x14ac:dyDescent="0.3">
      <c r="A979" s="2"/>
      <c r="B979" s="113"/>
      <c r="C979" s="11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5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16.5" customHeight="1" x14ac:dyDescent="0.3">
      <c r="A980" s="2"/>
      <c r="B980" s="113"/>
      <c r="C980" s="11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5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16.5" customHeight="1" x14ac:dyDescent="0.3">
      <c r="A981" s="2"/>
      <c r="B981" s="113"/>
      <c r="C981" s="11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5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16.5" customHeight="1" x14ac:dyDescent="0.3">
      <c r="A982" s="2"/>
      <c r="B982" s="113"/>
      <c r="C982" s="11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5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16.5" customHeight="1" x14ac:dyDescent="0.3">
      <c r="A983" s="2"/>
      <c r="B983" s="113"/>
      <c r="C983" s="11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5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16.5" customHeight="1" x14ac:dyDescent="0.3">
      <c r="A984" s="2"/>
      <c r="B984" s="113"/>
      <c r="C984" s="11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5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16.5" customHeight="1" x14ac:dyDescent="0.3">
      <c r="A985" s="2"/>
      <c r="B985" s="113"/>
      <c r="C985" s="11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5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16.5" customHeight="1" x14ac:dyDescent="0.3">
      <c r="A986" s="2"/>
      <c r="B986" s="113"/>
      <c r="C986" s="11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5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16.5" customHeight="1" x14ac:dyDescent="0.3">
      <c r="A987" s="2"/>
      <c r="B987" s="113"/>
      <c r="C987" s="11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5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16.5" customHeight="1" x14ac:dyDescent="0.3">
      <c r="A988" s="2"/>
      <c r="B988" s="113"/>
      <c r="C988" s="11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5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16.5" customHeight="1" x14ac:dyDescent="0.3">
      <c r="A989" s="2"/>
      <c r="B989" s="113"/>
      <c r="C989" s="11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5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16.5" customHeight="1" x14ac:dyDescent="0.3">
      <c r="A990" s="2"/>
      <c r="B990" s="113"/>
      <c r="C990" s="11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5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16.5" customHeight="1" x14ac:dyDescent="0.3">
      <c r="A991" s="2"/>
      <c r="B991" s="113"/>
      <c r="C991" s="11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5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16.5" customHeight="1" x14ac:dyDescent="0.3">
      <c r="A992" s="2"/>
      <c r="B992" s="113"/>
      <c r="C992" s="11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5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16.5" customHeight="1" x14ac:dyDescent="0.3">
      <c r="A993" s="2"/>
      <c r="B993" s="113"/>
      <c r="C993" s="11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5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16.5" customHeight="1" x14ac:dyDescent="0.3">
      <c r="A994" s="2"/>
      <c r="B994" s="113"/>
      <c r="C994" s="11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5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16.5" customHeight="1" x14ac:dyDescent="0.3">
      <c r="A995" s="2"/>
      <c r="B995" s="113"/>
      <c r="C995" s="11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5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16.5" customHeight="1" x14ac:dyDescent="0.3">
      <c r="A996" s="2"/>
      <c r="B996" s="113"/>
      <c r="C996" s="11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5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16.5" customHeight="1" x14ac:dyDescent="0.3">
      <c r="A997" s="2"/>
      <c r="B997" s="113"/>
      <c r="C997" s="11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5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16.5" customHeight="1" x14ac:dyDescent="0.3">
      <c r="A998" s="2"/>
      <c r="B998" s="113"/>
      <c r="C998" s="11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5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spans="1:40" ht="16.5" customHeight="1" x14ac:dyDescent="0.3">
      <c r="A999" s="2"/>
      <c r="B999" s="113"/>
      <c r="C999" s="11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5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spans="1:40" ht="16.5" customHeight="1" x14ac:dyDescent="0.3">
      <c r="A1000" s="2"/>
      <c r="B1000" s="113"/>
      <c r="C1000" s="11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5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 spans="1:40" ht="16.5" customHeight="1" x14ac:dyDescent="0.3">
      <c r="A1001" s="2"/>
      <c r="B1001" s="113"/>
      <c r="C1001" s="117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5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  <row r="1002" spans="1:40" ht="16.5" customHeight="1" x14ac:dyDescent="0.3">
      <c r="A1002" s="2"/>
      <c r="B1002" s="113"/>
      <c r="C1002" s="117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5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</row>
    <row r="1003" spans="1:40" ht="16.5" customHeight="1" x14ac:dyDescent="0.3">
      <c r="A1003" s="2"/>
      <c r="B1003" s="113"/>
      <c r="C1003" s="117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5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</row>
    <row r="1004" spans="1:40" ht="16.5" customHeight="1" x14ac:dyDescent="0.3">
      <c r="A1004" s="2"/>
      <c r="B1004" s="113"/>
      <c r="C1004" s="117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5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</row>
    <row r="1005" spans="1:40" ht="16.5" customHeight="1" x14ac:dyDescent="0.3">
      <c r="A1005" s="2"/>
      <c r="B1005" s="113"/>
      <c r="C1005" s="117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5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</row>
    <row r="1006" spans="1:40" ht="16.5" customHeight="1" x14ac:dyDescent="0.3">
      <c r="A1006" s="2"/>
      <c r="B1006" s="113"/>
      <c r="C1006" s="117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5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</row>
    <row r="1007" spans="1:40" ht="16.5" customHeight="1" x14ac:dyDescent="0.3">
      <c r="A1007" s="2"/>
      <c r="B1007" s="113"/>
      <c r="C1007" s="117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5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</row>
    <row r="1008" spans="1:40" ht="16.5" customHeight="1" x14ac:dyDescent="0.3">
      <c r="A1008" s="2"/>
      <c r="B1008" s="113"/>
      <c r="C1008" s="117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5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</row>
    <row r="1009" spans="1:40" ht="16.5" customHeight="1" x14ac:dyDescent="0.3">
      <c r="A1009" s="2"/>
      <c r="B1009" s="113"/>
      <c r="C1009" s="117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5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</row>
    <row r="1010" spans="1:40" ht="16.5" customHeight="1" x14ac:dyDescent="0.3">
      <c r="A1010" s="2"/>
      <c r="B1010" s="113"/>
      <c r="C1010" s="117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5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</row>
    <row r="1011" spans="1:40" ht="16.5" customHeight="1" x14ac:dyDescent="0.3">
      <c r="A1011" s="2"/>
      <c r="B1011" s="113"/>
      <c r="C1011" s="117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5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</row>
    <row r="1012" spans="1:40" ht="16.5" customHeight="1" x14ac:dyDescent="0.3">
      <c r="A1012" s="2"/>
      <c r="B1012" s="113"/>
      <c r="C1012" s="117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5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</row>
    <row r="1013" spans="1:40" ht="16.5" customHeight="1" x14ac:dyDescent="0.3">
      <c r="A1013" s="2"/>
      <c r="B1013" s="113"/>
      <c r="C1013" s="117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5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</row>
    <row r="1014" spans="1:40" ht="16.5" customHeight="1" x14ac:dyDescent="0.3">
      <c r="A1014" s="2"/>
      <c r="B1014" s="113"/>
      <c r="C1014" s="117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5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</row>
    <row r="1015" spans="1:40" ht="16.5" customHeight="1" x14ac:dyDescent="0.3">
      <c r="A1015" s="2"/>
      <c r="B1015" s="113"/>
      <c r="C1015" s="117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5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</row>
    <row r="1016" spans="1:40" ht="16.5" customHeight="1" x14ac:dyDescent="0.3">
      <c r="A1016" s="2"/>
      <c r="B1016" s="113"/>
      <c r="C1016" s="117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5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</row>
    <row r="1017" spans="1:40" ht="16.5" customHeight="1" x14ac:dyDescent="0.3">
      <c r="A1017" s="2"/>
      <c r="B1017" s="113"/>
      <c r="C1017" s="117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5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</row>
    <row r="1018" spans="1:40" ht="16.5" customHeight="1" x14ac:dyDescent="0.3">
      <c r="A1018" s="2"/>
      <c r="B1018" s="113"/>
      <c r="C1018" s="117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5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</row>
    <row r="1019" spans="1:40" ht="16.5" customHeight="1" x14ac:dyDescent="0.3">
      <c r="A1019" s="2"/>
      <c r="B1019" s="113"/>
      <c r="C1019" s="117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5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</row>
    <row r="1020" spans="1:40" ht="16.5" customHeight="1" x14ac:dyDescent="0.3">
      <c r="A1020" s="2"/>
      <c r="B1020" s="113"/>
      <c r="C1020" s="117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5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</row>
    <row r="1021" spans="1:40" ht="16.5" customHeight="1" x14ac:dyDescent="0.3">
      <c r="A1021" s="2"/>
      <c r="B1021" s="113"/>
      <c r="C1021" s="117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5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</row>
    <row r="1022" spans="1:40" ht="16.5" customHeight="1" x14ac:dyDescent="0.3">
      <c r="A1022" s="2"/>
      <c r="B1022" s="113"/>
      <c r="C1022" s="117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5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</row>
    <row r="1023" spans="1:40" ht="16.5" customHeight="1" x14ac:dyDescent="0.3">
      <c r="A1023" s="2"/>
      <c r="B1023" s="113"/>
      <c r="C1023" s="117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5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</row>
    <row r="1024" spans="1:40" ht="16.5" customHeight="1" x14ac:dyDescent="0.3">
      <c r="A1024" s="2"/>
      <c r="B1024" s="113"/>
      <c r="C1024" s="117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5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</row>
    <row r="1025" spans="1:40" ht="16.5" customHeight="1" x14ac:dyDescent="0.3">
      <c r="A1025" s="2"/>
      <c r="B1025" s="113"/>
      <c r="C1025" s="117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5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</row>
    <row r="1026" spans="1:40" ht="16.5" customHeight="1" x14ac:dyDescent="0.3">
      <c r="A1026" s="2"/>
      <c r="B1026" s="113"/>
      <c r="C1026" s="117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5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</row>
    <row r="1027" spans="1:40" ht="16.5" customHeight="1" x14ac:dyDescent="0.3">
      <c r="A1027" s="2"/>
      <c r="B1027" s="113"/>
      <c r="C1027" s="117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5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</row>
    <row r="1028" spans="1:40" ht="16.5" customHeight="1" x14ac:dyDescent="0.3">
      <c r="A1028" s="2"/>
      <c r="B1028" s="113"/>
      <c r="C1028" s="117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5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</row>
    <row r="1029" spans="1:40" ht="16.5" customHeight="1" x14ac:dyDescent="0.3">
      <c r="A1029" s="2"/>
      <c r="B1029" s="113"/>
      <c r="C1029" s="117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5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</row>
    <row r="1030" spans="1:40" ht="16.5" customHeight="1" x14ac:dyDescent="0.3">
      <c r="A1030" s="2"/>
      <c r="B1030" s="113"/>
      <c r="C1030" s="117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5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</row>
    <row r="1031" spans="1:40" ht="16.5" customHeight="1" x14ac:dyDescent="0.3">
      <c r="A1031" s="2"/>
      <c r="B1031" s="113"/>
      <c r="C1031" s="117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5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</row>
    <row r="1032" spans="1:40" ht="16.5" customHeight="1" x14ac:dyDescent="0.3">
      <c r="A1032" s="2"/>
      <c r="B1032" s="113"/>
      <c r="C1032" s="117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5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</row>
    <row r="1033" spans="1:40" ht="16.5" customHeight="1" x14ac:dyDescent="0.3">
      <c r="A1033" s="2"/>
      <c r="B1033" s="113"/>
      <c r="C1033" s="117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5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</row>
    <row r="1034" spans="1:40" ht="16.5" customHeight="1" x14ac:dyDescent="0.3">
      <c r="A1034" s="2"/>
      <c r="B1034" s="113"/>
      <c r="C1034" s="117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5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</row>
    <row r="1035" spans="1:40" ht="16.5" customHeight="1" x14ac:dyDescent="0.3">
      <c r="A1035" s="2"/>
      <c r="B1035" s="113"/>
      <c r="C1035" s="117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5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</row>
    <row r="1036" spans="1:40" ht="16.5" customHeight="1" x14ac:dyDescent="0.3">
      <c r="A1036" s="2"/>
      <c r="B1036" s="113"/>
      <c r="C1036" s="117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5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</row>
    <row r="1037" spans="1:40" ht="16.5" customHeight="1" x14ac:dyDescent="0.3">
      <c r="A1037" s="2"/>
      <c r="B1037" s="113"/>
      <c r="C1037" s="117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5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</row>
    <row r="1038" spans="1:40" ht="16.5" customHeight="1" x14ac:dyDescent="0.3">
      <c r="A1038" s="2"/>
      <c r="B1038" s="113"/>
      <c r="C1038" s="117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5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</row>
    <row r="1039" spans="1:40" ht="16.5" customHeight="1" x14ac:dyDescent="0.3">
      <c r="A1039" s="2"/>
      <c r="B1039" s="113"/>
      <c r="C1039" s="117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5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</row>
    <row r="1040" spans="1:40" ht="16.5" customHeight="1" x14ac:dyDescent="0.3">
      <c r="A1040" s="2"/>
      <c r="B1040" s="113"/>
      <c r="C1040" s="117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5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</row>
    <row r="1041" spans="1:40" ht="16.5" customHeight="1" x14ac:dyDescent="0.3">
      <c r="A1041" s="2"/>
      <c r="B1041" s="113"/>
      <c r="C1041" s="117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5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</row>
    <row r="1042" spans="1:40" ht="16.5" customHeight="1" x14ac:dyDescent="0.3">
      <c r="A1042" s="2"/>
      <c r="B1042" s="113"/>
      <c r="C1042" s="117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5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</row>
    <row r="1043" spans="1:40" ht="16.5" customHeight="1" x14ac:dyDescent="0.3">
      <c r="A1043" s="2"/>
      <c r="B1043" s="113"/>
      <c r="C1043" s="117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5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</row>
    <row r="1044" spans="1:40" ht="16.5" customHeight="1" x14ac:dyDescent="0.3">
      <c r="A1044" s="2"/>
      <c r="B1044" s="113"/>
      <c r="C1044" s="117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5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</row>
    <row r="1045" spans="1:40" ht="16.5" customHeight="1" x14ac:dyDescent="0.3">
      <c r="A1045" s="2"/>
      <c r="B1045" s="113"/>
      <c r="C1045" s="117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5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</row>
    <row r="1046" spans="1:40" ht="16.5" customHeight="1" x14ac:dyDescent="0.3">
      <c r="A1046" s="2"/>
      <c r="B1046" s="113"/>
      <c r="C1046" s="117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5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</row>
    <row r="1047" spans="1:40" ht="16.5" customHeight="1" x14ac:dyDescent="0.3">
      <c r="A1047" s="2"/>
      <c r="B1047" s="113"/>
      <c r="C1047" s="117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5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</row>
    <row r="1048" spans="1:40" ht="16.5" customHeight="1" x14ac:dyDescent="0.3">
      <c r="A1048" s="2"/>
      <c r="B1048" s="113"/>
      <c r="C1048" s="117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5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</row>
    <row r="1049" spans="1:40" ht="16.5" customHeight="1" x14ac:dyDescent="0.3">
      <c r="A1049" s="2"/>
      <c r="B1049" s="113"/>
      <c r="C1049" s="117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5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</row>
    <row r="1050" spans="1:40" ht="16.5" customHeight="1" x14ac:dyDescent="0.3">
      <c r="A1050" s="2"/>
      <c r="B1050" s="113"/>
      <c r="C1050" s="117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5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</row>
    <row r="1051" spans="1:40" ht="16.5" customHeight="1" x14ac:dyDescent="0.3">
      <c r="A1051" s="2"/>
      <c r="B1051" s="113"/>
      <c r="C1051" s="117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5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</row>
    <row r="1052" spans="1:40" ht="16.5" customHeight="1" x14ac:dyDescent="0.3">
      <c r="A1052" s="2"/>
      <c r="B1052" s="113"/>
      <c r="C1052" s="117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5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</row>
    <row r="1053" spans="1:40" ht="16.5" customHeight="1" x14ac:dyDescent="0.3">
      <c r="A1053" s="2"/>
      <c r="B1053" s="113"/>
      <c r="C1053" s="117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5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</row>
    <row r="1054" spans="1:40" ht="16.5" customHeight="1" x14ac:dyDescent="0.3">
      <c r="A1054" s="2"/>
      <c r="B1054" s="113"/>
      <c r="C1054" s="117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5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</row>
    <row r="1055" spans="1:40" ht="16.5" customHeight="1" x14ac:dyDescent="0.3">
      <c r="A1055" s="2"/>
      <c r="B1055" s="113"/>
      <c r="C1055" s="117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5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</row>
    <row r="1056" spans="1:40" ht="16.5" customHeight="1" x14ac:dyDescent="0.3">
      <c r="A1056" s="2"/>
      <c r="B1056" s="113"/>
      <c r="C1056" s="117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5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</row>
    <row r="1057" spans="1:40" ht="16.5" customHeight="1" x14ac:dyDescent="0.3">
      <c r="A1057" s="2"/>
      <c r="B1057" s="113"/>
      <c r="C1057" s="117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5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</row>
    <row r="1058" spans="1:40" ht="16.5" customHeight="1" x14ac:dyDescent="0.3">
      <c r="A1058" s="2"/>
      <c r="B1058" s="113"/>
      <c r="C1058" s="117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5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</row>
    <row r="1059" spans="1:40" ht="16.5" customHeight="1" x14ac:dyDescent="0.3">
      <c r="A1059" s="2"/>
      <c r="B1059" s="113"/>
      <c r="C1059" s="117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5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</row>
    <row r="1060" spans="1:40" ht="16.5" customHeight="1" x14ac:dyDescent="0.3">
      <c r="A1060" s="2"/>
      <c r="B1060" s="113"/>
      <c r="C1060" s="117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5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</row>
    <row r="1061" spans="1:40" ht="16.5" customHeight="1" x14ac:dyDescent="0.3">
      <c r="A1061" s="2"/>
      <c r="B1061" s="113"/>
      <c r="C1061" s="117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5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</row>
    <row r="1062" spans="1:40" ht="16.5" customHeight="1" x14ac:dyDescent="0.3">
      <c r="A1062" s="2"/>
      <c r="B1062" s="113"/>
      <c r="C1062" s="117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5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</row>
    <row r="1063" spans="1:40" ht="16.5" customHeight="1" x14ac:dyDescent="0.3">
      <c r="A1063" s="2"/>
      <c r="B1063" s="113"/>
      <c r="C1063" s="117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5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</row>
    <row r="1064" spans="1:40" ht="16.5" customHeight="1" x14ac:dyDescent="0.3">
      <c r="A1064" s="2"/>
      <c r="B1064" s="113"/>
      <c r="C1064" s="117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5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</row>
    <row r="1065" spans="1:40" ht="16.5" customHeight="1" x14ac:dyDescent="0.3">
      <c r="A1065" s="2"/>
      <c r="B1065" s="113"/>
      <c r="C1065" s="117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5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</row>
    <row r="1066" spans="1:40" ht="16.5" customHeight="1" x14ac:dyDescent="0.3">
      <c r="A1066" s="2"/>
      <c r="B1066" s="113"/>
      <c r="C1066" s="117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5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</row>
    <row r="1067" spans="1:40" ht="16.5" customHeight="1" x14ac:dyDescent="0.3">
      <c r="A1067" s="2"/>
      <c r="B1067" s="113"/>
      <c r="C1067" s="117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5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</row>
    <row r="1068" spans="1:40" ht="16.5" customHeight="1" x14ac:dyDescent="0.3">
      <c r="A1068" s="2"/>
      <c r="B1068" s="113"/>
      <c r="C1068" s="117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5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</row>
    <row r="1069" spans="1:40" ht="16.5" customHeight="1" x14ac:dyDescent="0.3">
      <c r="A1069" s="2"/>
      <c r="B1069" s="113"/>
      <c r="C1069" s="117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5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</row>
    <row r="1070" spans="1:40" ht="16.5" customHeight="1" x14ac:dyDescent="0.3">
      <c r="A1070" s="2"/>
      <c r="B1070" s="113"/>
      <c r="C1070" s="117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5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</row>
    <row r="1071" spans="1:40" ht="16.5" customHeight="1" x14ac:dyDescent="0.3">
      <c r="A1071" s="2"/>
      <c r="B1071" s="113"/>
      <c r="C1071" s="117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5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</row>
    <row r="1072" spans="1:40" ht="16.5" customHeight="1" x14ac:dyDescent="0.3">
      <c r="A1072" s="2"/>
      <c r="B1072" s="113"/>
      <c r="C1072" s="117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5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</row>
    <row r="1073" spans="1:40" ht="16.5" customHeight="1" x14ac:dyDescent="0.3">
      <c r="A1073" s="2"/>
      <c r="B1073" s="113"/>
      <c r="C1073" s="117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5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</row>
    <row r="1074" spans="1:40" ht="16.5" customHeight="1" x14ac:dyDescent="0.3">
      <c r="A1074" s="2"/>
      <c r="B1074" s="113"/>
      <c r="C1074" s="117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5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</row>
    <row r="1075" spans="1:40" ht="16.5" customHeight="1" x14ac:dyDescent="0.3">
      <c r="A1075" s="2"/>
      <c r="B1075" s="113"/>
      <c r="C1075" s="117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5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</row>
    <row r="1076" spans="1:40" ht="16.5" customHeight="1" x14ac:dyDescent="0.3">
      <c r="A1076" s="2"/>
      <c r="B1076" s="113"/>
      <c r="C1076" s="117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5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</row>
    <row r="1077" spans="1:40" ht="16.5" customHeight="1" x14ac:dyDescent="0.3">
      <c r="A1077" s="2"/>
      <c r="B1077" s="113"/>
      <c r="C1077" s="117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5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</row>
    <row r="1078" spans="1:40" ht="16.5" customHeight="1" x14ac:dyDescent="0.3">
      <c r="A1078" s="2"/>
      <c r="B1078" s="113"/>
      <c r="C1078" s="117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5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</row>
    <row r="1079" spans="1:40" ht="16.5" customHeight="1" x14ac:dyDescent="0.3">
      <c r="A1079" s="2"/>
      <c r="B1079" s="113"/>
      <c r="C1079" s="117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5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</row>
    <row r="1080" spans="1:40" ht="16.5" customHeight="1" x14ac:dyDescent="0.3">
      <c r="A1080" s="2"/>
      <c r="B1080" s="113"/>
      <c r="C1080" s="117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5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</row>
    <row r="1081" spans="1:40" ht="16.5" customHeight="1" x14ac:dyDescent="0.3">
      <c r="A1081" s="2"/>
      <c r="B1081" s="113"/>
      <c r="C1081" s="117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5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</row>
    <row r="1082" spans="1:40" ht="16.5" customHeight="1" x14ac:dyDescent="0.3">
      <c r="A1082" s="2"/>
      <c r="B1082" s="113"/>
      <c r="C1082" s="117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5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</row>
    <row r="1083" spans="1:40" ht="16.5" customHeight="1" x14ac:dyDescent="0.3">
      <c r="A1083" s="2"/>
      <c r="B1083" s="113"/>
      <c r="C1083" s="117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5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</row>
    <row r="1084" spans="1:40" ht="16.5" customHeight="1" x14ac:dyDescent="0.3">
      <c r="A1084" s="2"/>
      <c r="B1084" s="113"/>
      <c r="C1084" s="117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5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</row>
    <row r="1085" spans="1:40" ht="16.5" customHeight="1" x14ac:dyDescent="0.3">
      <c r="A1085" s="2"/>
      <c r="B1085" s="113"/>
      <c r="C1085" s="117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5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</row>
    <row r="1086" spans="1:40" ht="16.5" customHeight="1" x14ac:dyDescent="0.3">
      <c r="A1086" s="2"/>
      <c r="B1086" s="113"/>
      <c r="C1086" s="117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5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</row>
    <row r="1087" spans="1:40" ht="16.5" customHeight="1" x14ac:dyDescent="0.3">
      <c r="A1087" s="2"/>
      <c r="B1087" s="113"/>
      <c r="C1087" s="117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5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</row>
    <row r="1088" spans="1:40" ht="16.5" customHeight="1" x14ac:dyDescent="0.3">
      <c r="A1088" s="2"/>
      <c r="B1088" s="113"/>
      <c r="C1088" s="117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5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</row>
    <row r="1089" spans="1:40" ht="16.5" customHeight="1" x14ac:dyDescent="0.3">
      <c r="A1089" s="2"/>
      <c r="B1089" s="113"/>
      <c r="C1089" s="117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5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</row>
    <row r="1090" spans="1:40" ht="16.5" customHeight="1" x14ac:dyDescent="0.3">
      <c r="A1090" s="2"/>
      <c r="B1090" s="113"/>
      <c r="C1090" s="117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5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</row>
    <row r="1091" spans="1:40" ht="16.5" customHeight="1" x14ac:dyDescent="0.3">
      <c r="A1091" s="2"/>
      <c r="B1091" s="113"/>
      <c r="C1091" s="117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5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</row>
    <row r="1092" spans="1:40" ht="16.5" customHeight="1" x14ac:dyDescent="0.3">
      <c r="A1092" s="2"/>
      <c r="B1092" s="113"/>
      <c r="C1092" s="117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5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</row>
    <row r="1093" spans="1:40" ht="16.5" customHeight="1" x14ac:dyDescent="0.3">
      <c r="A1093" s="2"/>
      <c r="B1093" s="113"/>
      <c r="C1093" s="117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5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</row>
    <row r="1094" spans="1:40" ht="16.5" customHeight="1" x14ac:dyDescent="0.3">
      <c r="A1094" s="2"/>
      <c r="B1094" s="113"/>
      <c r="C1094" s="117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5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</row>
    <row r="1095" spans="1:40" ht="16.5" customHeight="1" x14ac:dyDescent="0.3">
      <c r="A1095" s="2"/>
      <c r="B1095" s="113"/>
      <c r="C1095" s="117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5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</row>
    <row r="1096" spans="1:40" ht="16.5" customHeight="1" x14ac:dyDescent="0.3">
      <c r="A1096" s="2"/>
      <c r="B1096" s="113"/>
      <c r="C1096" s="117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5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</row>
    <row r="1097" spans="1:40" ht="16.5" customHeight="1" x14ac:dyDescent="0.3">
      <c r="A1097" s="2"/>
      <c r="B1097" s="113"/>
      <c r="C1097" s="117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5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</row>
    <row r="1098" spans="1:40" ht="16.5" customHeight="1" x14ac:dyDescent="0.3">
      <c r="A1098" s="2"/>
      <c r="B1098" s="113"/>
      <c r="C1098" s="117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5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</row>
    <row r="1099" spans="1:40" ht="16.5" customHeight="1" x14ac:dyDescent="0.3">
      <c r="A1099" s="2"/>
      <c r="B1099" s="113"/>
      <c r="C1099" s="117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5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</row>
    <row r="1100" spans="1:40" ht="16.5" customHeight="1" x14ac:dyDescent="0.3">
      <c r="A1100" s="2"/>
      <c r="B1100" s="113"/>
      <c r="C1100" s="117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5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</row>
    <row r="1101" spans="1:40" ht="16.5" customHeight="1" x14ac:dyDescent="0.3">
      <c r="A1101" s="2"/>
      <c r="B1101" s="113"/>
      <c r="C1101" s="117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5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</row>
    <row r="1102" spans="1:40" ht="16.5" customHeight="1" x14ac:dyDescent="0.3">
      <c r="A1102" s="2"/>
      <c r="B1102" s="113"/>
      <c r="C1102" s="117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5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</row>
    <row r="1103" spans="1:40" ht="16.5" customHeight="1" x14ac:dyDescent="0.3">
      <c r="A1103" s="2"/>
      <c r="B1103" s="113"/>
      <c r="C1103" s="117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5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</row>
    <row r="1104" spans="1:40" ht="16.5" customHeight="1" x14ac:dyDescent="0.3">
      <c r="A1104" s="2"/>
      <c r="B1104" s="113"/>
      <c r="C1104" s="117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5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</row>
    <row r="1105" spans="1:40" ht="16.5" customHeight="1" x14ac:dyDescent="0.3">
      <c r="A1105" s="2"/>
      <c r="B1105" s="113"/>
      <c r="C1105" s="117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5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</row>
    <row r="1106" spans="1:40" ht="16.5" customHeight="1" x14ac:dyDescent="0.3">
      <c r="A1106" s="2"/>
      <c r="B1106" s="113"/>
      <c r="C1106" s="117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5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</row>
    <row r="1107" spans="1:40" ht="16.5" customHeight="1" x14ac:dyDescent="0.3">
      <c r="A1107" s="2"/>
      <c r="B1107" s="113"/>
      <c r="C1107" s="117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5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</row>
    <row r="1108" spans="1:40" ht="16.5" customHeight="1" x14ac:dyDescent="0.3">
      <c r="A1108" s="2"/>
      <c r="B1108" s="113"/>
      <c r="C1108" s="117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5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</row>
    <row r="1109" spans="1:40" ht="16.5" customHeight="1" x14ac:dyDescent="0.3">
      <c r="A1109" s="2"/>
      <c r="B1109" s="113"/>
      <c r="C1109" s="117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5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</row>
    <row r="1110" spans="1:40" ht="16.5" customHeight="1" x14ac:dyDescent="0.3">
      <c r="A1110" s="2"/>
      <c r="B1110" s="113"/>
      <c r="C1110" s="117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5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</row>
    <row r="1111" spans="1:40" ht="16.5" customHeight="1" x14ac:dyDescent="0.3">
      <c r="A1111" s="2"/>
      <c r="B1111" s="113"/>
      <c r="C1111" s="117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5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</row>
    <row r="1112" spans="1:40" ht="16.5" customHeight="1" x14ac:dyDescent="0.3">
      <c r="A1112" s="2"/>
      <c r="B1112" s="113"/>
      <c r="C1112" s="117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5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</row>
    <row r="1113" spans="1:40" ht="16.5" customHeight="1" x14ac:dyDescent="0.3">
      <c r="A1113" s="2"/>
      <c r="B1113" s="113"/>
      <c r="C1113" s="117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5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</row>
    <row r="1114" spans="1:40" ht="16.5" customHeight="1" x14ac:dyDescent="0.3">
      <c r="A1114" s="2"/>
      <c r="B1114" s="113"/>
      <c r="C1114" s="117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5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</row>
    <row r="1115" spans="1:40" ht="16.5" customHeight="1" x14ac:dyDescent="0.3">
      <c r="A1115" s="2"/>
      <c r="B1115" s="113"/>
      <c r="C1115" s="117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5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</row>
    <row r="1116" spans="1:40" ht="16.5" customHeight="1" x14ac:dyDescent="0.3">
      <c r="A1116" s="2"/>
      <c r="B1116" s="113"/>
      <c r="C1116" s="117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5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</row>
    <row r="1117" spans="1:40" ht="16.5" customHeight="1" x14ac:dyDescent="0.3">
      <c r="A1117" s="2"/>
      <c r="B1117" s="113"/>
      <c r="C1117" s="117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5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</row>
    <row r="1118" spans="1:40" ht="16.5" customHeight="1" x14ac:dyDescent="0.3">
      <c r="A1118" s="2"/>
      <c r="B1118" s="113"/>
      <c r="C1118" s="117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5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</row>
    <row r="1119" spans="1:40" ht="16.5" customHeight="1" x14ac:dyDescent="0.3">
      <c r="A1119" s="2"/>
      <c r="B1119" s="113"/>
      <c r="C1119" s="117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5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</row>
    <row r="1120" spans="1:40" ht="16.5" customHeight="1" x14ac:dyDescent="0.3">
      <c r="A1120" s="2"/>
      <c r="B1120" s="113"/>
      <c r="C1120" s="117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5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</row>
    <row r="1121" spans="1:40" ht="16.5" customHeight="1" x14ac:dyDescent="0.3">
      <c r="A1121" s="2"/>
      <c r="B1121" s="113"/>
      <c r="C1121" s="117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5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</row>
    <row r="1122" spans="1:40" ht="16.5" customHeight="1" x14ac:dyDescent="0.3">
      <c r="A1122" s="2"/>
      <c r="B1122" s="113"/>
      <c r="C1122" s="117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5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</row>
    <row r="1123" spans="1:40" ht="16.5" customHeight="1" x14ac:dyDescent="0.3">
      <c r="A1123" s="2"/>
      <c r="B1123" s="113"/>
      <c r="C1123" s="117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5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</row>
    <row r="1124" spans="1:40" ht="16.5" customHeight="1" x14ac:dyDescent="0.3">
      <c r="A1124" s="2"/>
      <c r="B1124" s="113"/>
      <c r="C1124" s="117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5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</row>
    <row r="1125" spans="1:40" ht="16.5" customHeight="1" x14ac:dyDescent="0.3">
      <c r="A1125" s="2"/>
      <c r="B1125" s="113"/>
      <c r="C1125" s="117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5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</row>
    <row r="1126" spans="1:40" ht="16.5" customHeight="1" x14ac:dyDescent="0.3">
      <c r="A1126" s="2"/>
      <c r="B1126" s="113"/>
      <c r="C1126" s="117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5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</row>
    <row r="1127" spans="1:40" ht="16.5" customHeight="1" x14ac:dyDescent="0.3">
      <c r="A1127" s="2"/>
      <c r="B1127" s="113"/>
      <c r="C1127" s="117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5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</row>
    <row r="1128" spans="1:40" ht="16.5" customHeight="1" x14ac:dyDescent="0.3">
      <c r="A1128" s="2"/>
      <c r="B1128" s="113"/>
      <c r="C1128" s="117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5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</row>
    <row r="1129" spans="1:40" ht="16.5" customHeight="1" x14ac:dyDescent="0.3">
      <c r="A1129" s="2"/>
      <c r="B1129" s="113"/>
      <c r="C1129" s="117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5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</row>
    <row r="1130" spans="1:40" ht="16.5" customHeight="1" x14ac:dyDescent="0.3">
      <c r="A1130" s="2"/>
      <c r="B1130" s="113"/>
      <c r="C1130" s="117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5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</row>
    <row r="1131" spans="1:40" ht="16.5" customHeight="1" x14ac:dyDescent="0.3">
      <c r="A1131" s="2"/>
      <c r="B1131" s="113"/>
      <c r="C1131" s="117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5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</row>
    <row r="1132" spans="1:40" ht="16.5" customHeight="1" x14ac:dyDescent="0.3">
      <c r="A1132" s="2"/>
      <c r="B1132" s="113"/>
      <c r="C1132" s="117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5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</row>
    <row r="1133" spans="1:40" ht="16.5" customHeight="1" x14ac:dyDescent="0.3">
      <c r="A1133" s="2"/>
      <c r="B1133" s="113"/>
      <c r="C1133" s="117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5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</row>
    <row r="1134" spans="1:40" ht="16.5" customHeight="1" x14ac:dyDescent="0.3">
      <c r="A1134" s="2"/>
      <c r="B1134" s="113"/>
      <c r="C1134" s="117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5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</row>
    <row r="1135" spans="1:40" ht="16.5" customHeight="1" x14ac:dyDescent="0.3">
      <c r="A1135" s="2"/>
      <c r="B1135" s="113"/>
      <c r="C1135" s="117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5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</row>
    <row r="1136" spans="1:40" ht="16.5" customHeight="1" x14ac:dyDescent="0.3">
      <c r="A1136" s="2"/>
      <c r="B1136" s="113"/>
      <c r="C1136" s="117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5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</row>
    <row r="1137" spans="1:40" ht="16.5" customHeight="1" x14ac:dyDescent="0.3">
      <c r="A1137" s="2"/>
      <c r="B1137" s="113"/>
      <c r="C1137" s="117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5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</row>
    <row r="1138" spans="1:40" ht="16.5" customHeight="1" x14ac:dyDescent="0.3">
      <c r="A1138" s="2"/>
      <c r="B1138" s="113"/>
      <c r="C1138" s="117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5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</row>
    <row r="1139" spans="1:40" ht="16.5" customHeight="1" x14ac:dyDescent="0.3">
      <c r="A1139" s="2"/>
      <c r="B1139" s="113"/>
      <c r="C1139" s="117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5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</row>
    <row r="1140" spans="1:40" ht="16.5" customHeight="1" x14ac:dyDescent="0.3">
      <c r="A1140" s="2"/>
      <c r="B1140" s="113"/>
      <c r="C1140" s="117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5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</row>
    <row r="1141" spans="1:40" ht="16.5" customHeight="1" x14ac:dyDescent="0.3">
      <c r="A1141" s="2"/>
      <c r="B1141" s="113"/>
      <c r="C1141" s="117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5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</row>
    <row r="1142" spans="1:40" ht="16.5" customHeight="1" x14ac:dyDescent="0.3">
      <c r="A1142" s="2"/>
      <c r="B1142" s="113"/>
      <c r="C1142" s="117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5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</row>
    <row r="1143" spans="1:40" ht="16.5" customHeight="1" x14ac:dyDescent="0.3">
      <c r="A1143" s="2"/>
      <c r="B1143" s="113"/>
      <c r="C1143" s="117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5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</row>
    <row r="1144" spans="1:40" ht="16.5" customHeight="1" x14ac:dyDescent="0.3">
      <c r="A1144" s="2"/>
      <c r="B1144" s="113"/>
      <c r="C1144" s="117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5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</row>
    <row r="1145" spans="1:40" ht="16.5" customHeight="1" x14ac:dyDescent="0.3">
      <c r="A1145" s="2"/>
      <c r="B1145" s="113"/>
      <c r="C1145" s="117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5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</row>
    <row r="1146" spans="1:40" ht="16.5" customHeight="1" x14ac:dyDescent="0.3">
      <c r="A1146" s="2"/>
      <c r="B1146" s="113"/>
      <c r="C1146" s="117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5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</row>
    <row r="1147" spans="1:40" ht="16.5" customHeight="1" x14ac:dyDescent="0.3">
      <c r="A1147" s="2"/>
      <c r="B1147" s="113"/>
      <c r="C1147" s="117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5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</row>
    <row r="1148" spans="1:40" ht="16.5" customHeight="1" x14ac:dyDescent="0.3">
      <c r="A1148" s="2"/>
      <c r="B1148" s="113"/>
      <c r="C1148" s="117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5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</row>
    <row r="1149" spans="1:40" ht="16.5" customHeight="1" x14ac:dyDescent="0.3">
      <c r="A1149" s="2"/>
      <c r="B1149" s="113"/>
      <c r="C1149" s="117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5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</row>
    <row r="1150" spans="1:40" ht="16.5" customHeight="1" x14ac:dyDescent="0.3">
      <c r="A1150" s="2"/>
      <c r="B1150" s="113"/>
      <c r="C1150" s="117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5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</row>
    <row r="1151" spans="1:40" ht="16.5" customHeight="1" x14ac:dyDescent="0.3">
      <c r="A1151" s="2"/>
      <c r="B1151" s="113"/>
      <c r="C1151" s="117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5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</row>
    <row r="1152" spans="1:40" ht="16.5" customHeight="1" x14ac:dyDescent="0.3">
      <c r="A1152" s="2"/>
      <c r="B1152" s="113"/>
      <c r="C1152" s="117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5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</row>
    <row r="1153" spans="1:40" ht="16.5" customHeight="1" x14ac:dyDescent="0.3">
      <c r="A1153" s="2"/>
      <c r="B1153" s="113"/>
      <c r="C1153" s="117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5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</row>
    <row r="1154" spans="1:40" ht="16.5" customHeight="1" x14ac:dyDescent="0.3">
      <c r="A1154" s="2"/>
      <c r="B1154" s="113"/>
      <c r="C1154" s="117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5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</row>
    <row r="1155" spans="1:40" ht="16.5" customHeight="1" x14ac:dyDescent="0.3">
      <c r="A1155" s="2"/>
      <c r="B1155" s="113"/>
      <c r="C1155" s="117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5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</row>
    <row r="1156" spans="1:40" ht="16.5" customHeight="1" x14ac:dyDescent="0.3">
      <c r="A1156" s="2"/>
      <c r="B1156" s="113"/>
      <c r="C1156" s="117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5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</row>
    <row r="1157" spans="1:40" ht="16.5" customHeight="1" x14ac:dyDescent="0.3">
      <c r="A1157" s="2"/>
      <c r="B1157" s="113"/>
      <c r="C1157" s="117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5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</row>
    <row r="1158" spans="1:40" ht="16.5" customHeight="1" x14ac:dyDescent="0.3">
      <c r="A1158" s="2"/>
      <c r="B1158" s="113"/>
      <c r="C1158" s="117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5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</row>
    <row r="1159" spans="1:40" ht="16.5" customHeight="1" x14ac:dyDescent="0.3">
      <c r="A1159" s="2"/>
      <c r="B1159" s="113"/>
      <c r="C1159" s="117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5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</row>
    <row r="1160" spans="1:40" ht="16.5" customHeight="1" x14ac:dyDescent="0.3">
      <c r="A1160" s="2"/>
      <c r="B1160" s="113"/>
      <c r="C1160" s="117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5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</row>
    <row r="1161" spans="1:40" ht="16.5" customHeight="1" x14ac:dyDescent="0.3">
      <c r="A1161" s="2"/>
      <c r="B1161" s="113"/>
      <c r="C1161" s="117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5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</row>
    <row r="1162" spans="1:40" ht="16.5" customHeight="1" x14ac:dyDescent="0.3">
      <c r="A1162" s="2"/>
      <c r="B1162" s="113"/>
      <c r="C1162" s="117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5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</row>
    <row r="1163" spans="1:40" ht="16.5" customHeight="1" x14ac:dyDescent="0.3">
      <c r="A1163" s="2"/>
      <c r="B1163" s="113"/>
      <c r="C1163" s="117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5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</row>
    <row r="1164" spans="1:40" ht="16.5" customHeight="1" x14ac:dyDescent="0.3">
      <c r="A1164" s="2"/>
      <c r="B1164" s="113"/>
      <c r="C1164" s="117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5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</row>
    <row r="1165" spans="1:40" ht="16.5" customHeight="1" x14ac:dyDescent="0.3">
      <c r="A1165" s="2"/>
      <c r="B1165" s="113"/>
      <c r="C1165" s="117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5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</row>
    <row r="1166" spans="1:40" ht="16.5" customHeight="1" x14ac:dyDescent="0.3">
      <c r="A1166" s="2"/>
      <c r="B1166" s="113"/>
      <c r="C1166" s="117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5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</row>
    <row r="1167" spans="1:40" ht="16.5" customHeight="1" x14ac:dyDescent="0.3">
      <c r="A1167" s="2"/>
      <c r="B1167" s="113"/>
      <c r="C1167" s="117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5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</row>
    <row r="1168" spans="1:40" ht="16.5" customHeight="1" x14ac:dyDescent="0.3">
      <c r="A1168" s="2"/>
      <c r="B1168" s="113"/>
      <c r="C1168" s="117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5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</row>
    <row r="1169" spans="1:40" ht="16.5" customHeight="1" x14ac:dyDescent="0.3">
      <c r="A1169" s="2"/>
      <c r="B1169" s="113"/>
      <c r="C1169" s="117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5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</row>
    <row r="1170" spans="1:40" ht="16.5" customHeight="1" x14ac:dyDescent="0.3">
      <c r="A1170" s="2"/>
      <c r="B1170" s="113"/>
      <c r="C1170" s="117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5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</row>
    <row r="1171" spans="1:40" ht="16.5" customHeight="1" x14ac:dyDescent="0.3">
      <c r="A1171" s="2"/>
      <c r="B1171" s="113"/>
      <c r="C1171" s="117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5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</row>
    <row r="1172" spans="1:40" ht="16.5" customHeight="1" x14ac:dyDescent="0.3">
      <c r="A1172" s="2"/>
      <c r="B1172" s="113"/>
      <c r="C1172" s="117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5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</row>
    <row r="1173" spans="1:40" ht="16.5" customHeight="1" x14ac:dyDescent="0.3">
      <c r="A1173" s="2"/>
      <c r="B1173" s="113"/>
      <c r="C1173" s="117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5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</row>
    <row r="1174" spans="1:40" ht="16.5" customHeight="1" x14ac:dyDescent="0.3">
      <c r="A1174" s="2"/>
      <c r="B1174" s="113"/>
      <c r="C1174" s="117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5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</row>
    <row r="1175" spans="1:40" ht="16.5" customHeight="1" x14ac:dyDescent="0.3">
      <c r="A1175" s="2"/>
      <c r="B1175" s="113"/>
      <c r="C1175" s="117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5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</row>
    <row r="1176" spans="1:40" ht="16.5" customHeight="1" x14ac:dyDescent="0.3">
      <c r="A1176" s="2"/>
      <c r="B1176" s="113"/>
      <c r="C1176" s="117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5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</row>
    <row r="1177" spans="1:40" ht="16.5" customHeight="1" x14ac:dyDescent="0.3">
      <c r="A1177" s="2"/>
      <c r="B1177" s="113"/>
      <c r="C1177" s="117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5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</row>
    <row r="1178" spans="1:40" ht="16.5" customHeight="1" x14ac:dyDescent="0.3">
      <c r="A1178" s="2"/>
      <c r="B1178" s="113"/>
      <c r="C1178" s="117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5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</row>
    <row r="1179" spans="1:40" ht="16.5" customHeight="1" x14ac:dyDescent="0.3">
      <c r="A1179" s="2"/>
      <c r="B1179" s="113"/>
      <c r="C1179" s="117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5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</row>
    <row r="1180" spans="1:40" ht="16.5" customHeight="1" x14ac:dyDescent="0.3">
      <c r="A1180" s="2"/>
      <c r="B1180" s="113"/>
      <c r="C1180" s="117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5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</row>
    <row r="1181" spans="1:40" ht="16.5" customHeight="1" x14ac:dyDescent="0.3">
      <c r="A1181" s="2"/>
      <c r="B1181" s="113"/>
      <c r="C1181" s="117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5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</row>
    <row r="1182" spans="1:40" ht="16.5" customHeight="1" x14ac:dyDescent="0.3">
      <c r="A1182" s="2"/>
      <c r="B1182" s="113"/>
      <c r="C1182" s="117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5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</row>
    <row r="1183" spans="1:40" ht="16.5" customHeight="1" x14ac:dyDescent="0.3">
      <c r="A1183" s="2"/>
      <c r="B1183" s="113"/>
      <c r="C1183" s="117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5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</row>
    <row r="1184" spans="1:40" ht="16.5" customHeight="1" x14ac:dyDescent="0.3">
      <c r="A1184" s="2"/>
      <c r="B1184" s="113"/>
      <c r="C1184" s="117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5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</row>
    <row r="1185" spans="1:40" ht="16.5" customHeight="1" x14ac:dyDescent="0.3">
      <c r="A1185" s="2"/>
      <c r="B1185" s="113"/>
      <c r="C1185" s="117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5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</row>
    <row r="1186" spans="1:40" ht="16.5" customHeight="1" x14ac:dyDescent="0.3">
      <c r="A1186" s="2"/>
      <c r="B1186" s="113"/>
      <c r="C1186" s="117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5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</row>
    <row r="1187" spans="1:40" ht="16.5" customHeight="1" x14ac:dyDescent="0.3">
      <c r="A1187" s="2"/>
      <c r="B1187" s="113"/>
      <c r="C1187" s="117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5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</row>
    <row r="1188" spans="1:40" ht="16.5" customHeight="1" x14ac:dyDescent="0.3">
      <c r="A1188" s="2"/>
      <c r="B1188" s="113"/>
      <c r="C1188" s="117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5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</row>
    <row r="1189" spans="1:40" ht="16.5" customHeight="1" x14ac:dyDescent="0.3">
      <c r="A1189" s="2"/>
      <c r="B1189" s="113"/>
      <c r="C1189" s="117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5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</row>
    <row r="1190" spans="1:40" ht="16.5" customHeight="1" x14ac:dyDescent="0.3">
      <c r="A1190" s="2"/>
      <c r="B1190" s="113"/>
      <c r="C1190" s="117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5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</row>
    <row r="1191" spans="1:40" ht="16.5" customHeight="1" x14ac:dyDescent="0.3">
      <c r="A1191" s="2"/>
      <c r="B1191" s="113"/>
      <c r="C1191" s="117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5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</row>
    <row r="1192" spans="1:40" ht="16.5" customHeight="1" x14ac:dyDescent="0.3">
      <c r="A1192" s="2"/>
      <c r="B1192" s="113"/>
      <c r="C1192" s="117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5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</row>
    <row r="1193" spans="1:40" ht="16.5" customHeight="1" x14ac:dyDescent="0.3">
      <c r="A1193" s="2"/>
      <c r="B1193" s="113"/>
      <c r="C1193" s="117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5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</row>
    <row r="1194" spans="1:40" ht="16.5" customHeight="1" x14ac:dyDescent="0.3">
      <c r="A1194" s="2"/>
      <c r="B1194" s="113"/>
      <c r="C1194" s="117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5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</row>
    <row r="1195" spans="1:40" ht="16.5" customHeight="1" x14ac:dyDescent="0.3">
      <c r="A1195" s="2"/>
      <c r="B1195" s="113"/>
      <c r="C1195" s="117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5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</row>
    <row r="1196" spans="1:40" ht="16.5" customHeight="1" x14ac:dyDescent="0.3">
      <c r="A1196" s="2"/>
      <c r="B1196" s="113"/>
      <c r="C1196" s="117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5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</row>
    <row r="1197" spans="1:40" ht="16.5" customHeight="1" x14ac:dyDescent="0.3">
      <c r="A1197" s="2"/>
      <c r="B1197" s="113"/>
      <c r="C1197" s="117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5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</row>
    <row r="1198" spans="1:40" ht="16.5" customHeight="1" x14ac:dyDescent="0.3">
      <c r="A1198" s="2"/>
      <c r="B1198" s="113"/>
      <c r="C1198" s="117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5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</row>
    <row r="1199" spans="1:40" ht="16.5" customHeight="1" x14ac:dyDescent="0.3">
      <c r="A1199" s="2"/>
      <c r="B1199" s="113"/>
      <c r="C1199" s="117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5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</row>
    <row r="1200" spans="1:40" ht="16.5" customHeight="1" x14ac:dyDescent="0.3">
      <c r="A1200" s="2"/>
      <c r="B1200" s="113"/>
      <c r="C1200" s="117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5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</row>
    <row r="1201" spans="1:40" ht="16.5" customHeight="1" x14ac:dyDescent="0.3">
      <c r="A1201" s="2"/>
      <c r="B1201" s="113"/>
      <c r="C1201" s="117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5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</row>
    <row r="1202" spans="1:40" ht="16.5" customHeight="1" x14ac:dyDescent="0.3">
      <c r="A1202" s="2"/>
      <c r="B1202" s="113"/>
      <c r="C1202" s="117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5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</row>
    <row r="1203" spans="1:40" ht="16.5" customHeight="1" x14ac:dyDescent="0.3">
      <c r="A1203" s="2"/>
      <c r="B1203" s="113"/>
      <c r="C1203" s="117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5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</row>
    <row r="1204" spans="1:40" ht="16.5" customHeight="1" x14ac:dyDescent="0.3">
      <c r="A1204" s="2"/>
      <c r="B1204" s="113"/>
      <c r="C1204" s="117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5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</row>
    <row r="1205" spans="1:40" ht="16.5" customHeight="1" x14ac:dyDescent="0.3">
      <c r="A1205" s="2"/>
      <c r="B1205" s="113"/>
      <c r="C1205" s="117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5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</row>
    <row r="1206" spans="1:40" ht="16.5" customHeight="1" x14ac:dyDescent="0.3">
      <c r="A1206" s="2"/>
      <c r="B1206" s="113"/>
      <c r="C1206" s="117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5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</row>
    <row r="1207" spans="1:40" ht="16.5" customHeight="1" x14ac:dyDescent="0.3">
      <c r="A1207" s="2"/>
      <c r="B1207" s="113"/>
      <c r="C1207" s="117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5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</row>
    <row r="1208" spans="1:40" ht="16.5" customHeight="1" x14ac:dyDescent="0.3">
      <c r="A1208" s="2"/>
      <c r="B1208" s="113"/>
      <c r="C1208" s="117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5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</row>
    <row r="1209" spans="1:40" ht="16.5" customHeight="1" x14ac:dyDescent="0.3">
      <c r="A1209" s="2"/>
      <c r="B1209" s="113"/>
      <c r="C1209" s="117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5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</row>
    <row r="1210" spans="1:40" ht="16.5" customHeight="1" x14ac:dyDescent="0.3">
      <c r="A1210" s="2"/>
      <c r="B1210" s="113"/>
      <c r="C1210" s="117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5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</row>
    <row r="1211" spans="1:40" ht="16.5" customHeight="1" x14ac:dyDescent="0.3">
      <c r="A1211" s="2"/>
      <c r="B1211" s="113"/>
      <c r="C1211" s="117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5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</row>
    <row r="1212" spans="1:40" ht="16.5" customHeight="1" x14ac:dyDescent="0.3">
      <c r="A1212" s="2"/>
      <c r="B1212" s="113"/>
      <c r="C1212" s="117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5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</row>
    <row r="1213" spans="1:40" ht="16.5" customHeight="1" x14ac:dyDescent="0.3">
      <c r="A1213" s="2"/>
      <c r="B1213" s="113"/>
      <c r="C1213" s="117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5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</row>
    <row r="1214" spans="1:40" ht="16.5" customHeight="1" x14ac:dyDescent="0.3">
      <c r="A1214" s="2"/>
      <c r="B1214" s="113"/>
      <c r="C1214" s="117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5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</row>
    <row r="1215" spans="1:40" ht="16.5" customHeight="1" x14ac:dyDescent="0.3">
      <c r="A1215" s="2"/>
      <c r="B1215" s="113"/>
      <c r="C1215" s="117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5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</row>
    <row r="1216" spans="1:40" ht="16.5" customHeight="1" x14ac:dyDescent="0.3">
      <c r="A1216" s="2"/>
      <c r="B1216" s="113"/>
      <c r="C1216" s="117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5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</row>
    <row r="1217" spans="1:40" ht="16.5" customHeight="1" x14ac:dyDescent="0.3">
      <c r="A1217" s="2"/>
      <c r="B1217" s="113"/>
      <c r="C1217" s="117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5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</row>
    <row r="1218" spans="1:40" ht="16.5" customHeight="1" x14ac:dyDescent="0.3">
      <c r="A1218" s="2"/>
      <c r="B1218" s="113"/>
      <c r="C1218" s="117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5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</row>
    <row r="1219" spans="1:40" ht="16.5" customHeight="1" x14ac:dyDescent="0.3">
      <c r="A1219" s="2"/>
      <c r="B1219" s="113"/>
      <c r="C1219" s="117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5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</row>
    <row r="1220" spans="1:40" ht="16.5" customHeight="1" x14ac:dyDescent="0.3">
      <c r="A1220" s="2"/>
      <c r="B1220" s="113"/>
      <c r="C1220" s="117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5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</row>
    <row r="1221" spans="1:40" ht="16.5" customHeight="1" x14ac:dyDescent="0.3">
      <c r="A1221" s="2"/>
      <c r="B1221" s="113"/>
      <c r="C1221" s="117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5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</row>
    <row r="1222" spans="1:40" ht="16.5" customHeight="1" x14ac:dyDescent="0.3">
      <c r="A1222" s="2"/>
      <c r="B1222" s="113"/>
      <c r="C1222" s="117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5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</row>
    <row r="1223" spans="1:40" ht="16.5" customHeight="1" x14ac:dyDescent="0.3">
      <c r="A1223" s="2"/>
      <c r="B1223" s="113"/>
      <c r="C1223" s="117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5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</row>
    <row r="1224" spans="1:40" ht="16.5" customHeight="1" x14ac:dyDescent="0.3">
      <c r="A1224" s="2"/>
      <c r="B1224" s="113"/>
      <c r="C1224" s="117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5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</row>
    <row r="1225" spans="1:40" ht="16.5" customHeight="1" x14ac:dyDescent="0.3">
      <c r="A1225" s="2"/>
      <c r="B1225" s="113"/>
      <c r="C1225" s="117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5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</row>
    <row r="1226" spans="1:40" ht="16.5" customHeight="1" x14ac:dyDescent="0.3">
      <c r="A1226" s="2"/>
      <c r="B1226" s="113"/>
      <c r="C1226" s="117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5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</row>
    <row r="1227" spans="1:40" ht="16.5" customHeight="1" x14ac:dyDescent="0.3">
      <c r="A1227" s="2"/>
      <c r="B1227" s="113"/>
      <c r="C1227" s="117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5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</row>
    <row r="1228" spans="1:40" ht="16.5" customHeight="1" x14ac:dyDescent="0.3">
      <c r="A1228" s="2"/>
      <c r="B1228" s="113"/>
      <c r="C1228" s="117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5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</row>
    <row r="1229" spans="1:40" ht="16.5" customHeight="1" x14ac:dyDescent="0.3">
      <c r="A1229" s="2"/>
      <c r="B1229" s="113"/>
      <c r="C1229" s="117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5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</row>
    <row r="1230" spans="1:40" ht="16.5" customHeight="1" x14ac:dyDescent="0.3">
      <c r="A1230" s="2"/>
      <c r="B1230" s="113"/>
      <c r="C1230" s="117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5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</row>
    <row r="1231" spans="1:40" ht="16.5" customHeight="1" x14ac:dyDescent="0.3">
      <c r="A1231" s="2"/>
      <c r="B1231" s="113"/>
      <c r="C1231" s="117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5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</row>
    <row r="1232" spans="1:40" ht="16.5" customHeight="1" x14ac:dyDescent="0.3">
      <c r="A1232" s="2"/>
      <c r="B1232" s="113"/>
      <c r="C1232" s="117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5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</row>
    <row r="1233" spans="1:40" ht="16.5" customHeight="1" x14ac:dyDescent="0.3">
      <c r="A1233" s="2"/>
      <c r="B1233" s="113"/>
      <c r="C1233" s="117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5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</row>
    <row r="1234" spans="1:40" ht="16.5" customHeight="1" x14ac:dyDescent="0.3">
      <c r="A1234" s="2"/>
      <c r="B1234" s="113"/>
      <c r="C1234" s="117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5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</row>
    <row r="1235" spans="1:40" ht="16.5" customHeight="1" x14ac:dyDescent="0.3">
      <c r="A1235" s="2"/>
      <c r="B1235" s="113"/>
      <c r="C1235" s="117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5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</row>
    <row r="1236" spans="1:40" ht="16.5" customHeight="1" x14ac:dyDescent="0.3">
      <c r="A1236" s="2"/>
      <c r="B1236" s="113"/>
      <c r="C1236" s="117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5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</row>
    <row r="1237" spans="1:40" ht="16.5" customHeight="1" x14ac:dyDescent="0.3">
      <c r="A1237" s="2"/>
      <c r="B1237" s="113"/>
      <c r="C1237" s="117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5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</row>
    <row r="1238" spans="1:40" ht="16.5" customHeight="1" x14ac:dyDescent="0.3">
      <c r="A1238" s="2"/>
      <c r="B1238" s="113"/>
      <c r="C1238" s="117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5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</row>
    <row r="1239" spans="1:40" ht="16.5" customHeight="1" x14ac:dyDescent="0.3">
      <c r="A1239" s="2"/>
      <c r="B1239" s="113"/>
      <c r="C1239" s="117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5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</row>
    <row r="1240" spans="1:40" ht="16.5" customHeight="1" x14ac:dyDescent="0.3">
      <c r="A1240" s="2"/>
      <c r="B1240" s="113"/>
      <c r="C1240" s="117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5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</row>
    <row r="1241" spans="1:40" ht="16.5" customHeight="1" x14ac:dyDescent="0.3">
      <c r="A1241" s="2"/>
      <c r="B1241" s="113"/>
      <c r="C1241" s="117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5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</row>
    <row r="1242" spans="1:40" ht="16.5" customHeight="1" x14ac:dyDescent="0.3">
      <c r="A1242" s="2"/>
      <c r="B1242" s="113"/>
      <c r="C1242" s="117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5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</row>
    <row r="1243" spans="1:40" ht="16.5" customHeight="1" x14ac:dyDescent="0.3">
      <c r="A1243" s="2"/>
      <c r="B1243" s="113"/>
      <c r="C1243" s="117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5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</row>
  </sheetData>
  <autoFilter ref="A11:T322" xr:uid="{3021B756-BADB-4A9F-B0BE-E02B44B9F138}"/>
  <mergeCells count="66">
    <mergeCell ref="D341:F341"/>
    <mergeCell ref="M322:N322"/>
    <mergeCell ref="O322:P322"/>
    <mergeCell ref="Q322:R322"/>
    <mergeCell ref="S322:T322"/>
    <mergeCell ref="A322:B322"/>
    <mergeCell ref="C322:F322"/>
    <mergeCell ref="G322:H322"/>
    <mergeCell ref="I322:J322"/>
    <mergeCell ref="K322:L322"/>
    <mergeCell ref="S320:T320"/>
    <mergeCell ref="A321:B321"/>
    <mergeCell ref="C321:F321"/>
    <mergeCell ref="G321:H321"/>
    <mergeCell ref="I321:J321"/>
    <mergeCell ref="K321:L321"/>
    <mergeCell ref="M321:N321"/>
    <mergeCell ref="O321:P321"/>
    <mergeCell ref="Q321:R321"/>
    <mergeCell ref="S321:T321"/>
    <mergeCell ref="A320:B320"/>
    <mergeCell ref="C320:F320"/>
    <mergeCell ref="G320:H320"/>
    <mergeCell ref="I320:J320"/>
    <mergeCell ref="K320:L320"/>
    <mergeCell ref="M320:N320"/>
    <mergeCell ref="A319:B319"/>
    <mergeCell ref="C319:F319"/>
    <mergeCell ref="G319:H319"/>
    <mergeCell ref="I319:J319"/>
    <mergeCell ref="O319:P319"/>
    <mergeCell ref="K319:L319"/>
    <mergeCell ref="M319:N319"/>
    <mergeCell ref="O320:P320"/>
    <mergeCell ref="M318:N318"/>
    <mergeCell ref="O318:P318"/>
    <mergeCell ref="Q318:R318"/>
    <mergeCell ref="Q320:R320"/>
    <mergeCell ref="S318:T318"/>
    <mergeCell ref="Q319:R319"/>
    <mergeCell ref="S319:T319"/>
    <mergeCell ref="G318:H318"/>
    <mergeCell ref="I318:J318"/>
    <mergeCell ref="K318:L318"/>
    <mergeCell ref="AI10:AN10"/>
    <mergeCell ref="K10:L10"/>
    <mergeCell ref="O10:P10"/>
    <mergeCell ref="Q10:R10"/>
    <mergeCell ref="S10:T10"/>
    <mergeCell ref="AA10:AF10"/>
    <mergeCell ref="M10:N10"/>
    <mergeCell ref="A1:T1"/>
    <mergeCell ref="A2:A4"/>
    <mergeCell ref="C2:J8"/>
    <mergeCell ref="O2:T2"/>
    <mergeCell ref="O3:O4"/>
    <mergeCell ref="P3:T4"/>
    <mergeCell ref="S5:T5"/>
    <mergeCell ref="A6:A8"/>
    <mergeCell ref="O6:O8"/>
    <mergeCell ref="P6:T8"/>
    <mergeCell ref="C318:F318"/>
    <mergeCell ref="A10:B10"/>
    <mergeCell ref="D10:F10"/>
    <mergeCell ref="G10:H10"/>
    <mergeCell ref="I10:J10"/>
  </mergeCells>
  <pageMargins left="0.7" right="0.7" top="0.75" bottom="0.75" header="0.3" footer="0.3"/>
  <pageSetup orientation="portrait" horizontalDpi="360" verticalDpi="360" r:id="rId1"/>
  <colBreaks count="1" manualBreakCount="1">
    <brk id="22" max="12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23CC-A735-4936-866B-6E0ABE8044AD}">
  <dimension ref="B1:AO271"/>
  <sheetViews>
    <sheetView topLeftCell="D1" zoomScale="70" zoomScaleNormal="70" workbookViewId="0">
      <pane xSplit="6" ySplit="4" topLeftCell="V32" activePane="bottomRight" state="frozen"/>
      <selection pane="topRight" activeCell="H1" sqref="H1"/>
      <selection pane="bottomLeft" activeCell="D5" sqref="D5"/>
      <selection pane="bottomRight" activeCell="I20" sqref="I20:I41"/>
    </sheetView>
  </sheetViews>
  <sheetFormatPr baseColWidth="10" defaultColWidth="11.44140625" defaultRowHeight="14.4" x14ac:dyDescent="0.3"/>
  <cols>
    <col min="1" max="1" width="3.44140625" customWidth="1"/>
    <col min="3" max="3" width="9.109375" customWidth="1"/>
    <col min="4" max="4" width="3.44140625" customWidth="1"/>
    <col min="5" max="5" width="9.109375" style="305" customWidth="1"/>
    <col min="6" max="6" width="43.33203125" style="213" customWidth="1"/>
    <col min="7" max="7" width="13.5546875" customWidth="1"/>
    <col min="8" max="8" width="13" customWidth="1"/>
    <col min="9" max="9" width="11.5546875" customWidth="1"/>
    <col min="10" max="10" width="1.6640625" customWidth="1"/>
    <col min="11" max="11" width="10.109375" bestFit="1" customWidth="1"/>
    <col min="12" max="12" width="16.33203125" bestFit="1" customWidth="1"/>
    <col min="13" max="13" width="2.5546875" customWidth="1"/>
    <col min="14" max="14" width="9" bestFit="1" customWidth="1"/>
    <col min="15" max="15" width="16.33203125" bestFit="1" customWidth="1"/>
    <col min="16" max="16" width="2.33203125" customWidth="1"/>
    <col min="17" max="17" width="9.5546875" bestFit="1" customWidth="1"/>
    <col min="18" max="18" width="16.33203125" bestFit="1" customWidth="1"/>
    <col min="19" max="19" width="2.33203125" customWidth="1"/>
    <col min="20" max="20" width="9.5546875" bestFit="1" customWidth="1"/>
    <col min="21" max="21" width="16.33203125" bestFit="1" customWidth="1"/>
    <col min="22" max="22" width="2" customWidth="1"/>
    <col min="23" max="23" width="9" bestFit="1" customWidth="1"/>
    <col min="24" max="24" width="16.33203125" bestFit="1" customWidth="1"/>
    <col min="25" max="25" width="2" customWidth="1"/>
    <col min="26" max="26" width="10.109375" bestFit="1" customWidth="1"/>
    <col min="27" max="27" width="17.5546875" bestFit="1" customWidth="1"/>
    <col min="28" max="28" width="2" customWidth="1"/>
    <col min="29" max="29" width="9" bestFit="1" customWidth="1"/>
    <col min="30" max="30" width="17.109375" bestFit="1" customWidth="1"/>
    <col min="31" max="31" width="2" customWidth="1"/>
    <col min="32" max="32" width="9" customWidth="1"/>
    <col min="33" max="33" width="16.33203125" bestFit="1" customWidth="1"/>
    <col min="34" max="34" width="2" customWidth="1"/>
    <col min="35" max="35" width="9" bestFit="1" customWidth="1"/>
    <col min="36" max="36" width="16" customWidth="1"/>
    <col min="37" max="37" width="2" customWidth="1"/>
    <col min="38" max="38" width="10.21875" customWidth="1"/>
    <col min="39" max="39" width="18.33203125" customWidth="1"/>
    <col min="40" max="40" width="14.33203125" bestFit="1" customWidth="1"/>
    <col min="41" max="41" width="15.88671875" bestFit="1" customWidth="1"/>
  </cols>
  <sheetData>
    <row r="1" spans="2:41" ht="15" thickBot="1" x14ac:dyDescent="0.35">
      <c r="F1" s="312"/>
      <c r="G1" s="335">
        <f>84266966-F3</f>
        <v>84266808.937149793</v>
      </c>
    </row>
    <row r="2" spans="2:41" ht="27" customHeight="1" x14ac:dyDescent="0.3">
      <c r="F2" s="325"/>
      <c r="H2" s="164"/>
      <c r="K2" s="468" t="s">
        <v>585</v>
      </c>
      <c r="L2" s="469"/>
      <c r="M2" s="254"/>
      <c r="N2" s="468" t="s">
        <v>586</v>
      </c>
      <c r="O2" s="469"/>
      <c r="Q2" s="468" t="s">
        <v>587</v>
      </c>
      <c r="R2" s="469"/>
      <c r="T2" s="468" t="s">
        <v>588</v>
      </c>
      <c r="U2" s="469"/>
      <c r="W2" s="468" t="s">
        <v>589</v>
      </c>
      <c r="X2" s="469"/>
      <c r="Z2" s="468" t="s">
        <v>590</v>
      </c>
      <c r="AA2" s="469"/>
      <c r="AC2" s="472" t="s">
        <v>605</v>
      </c>
      <c r="AD2" s="473"/>
      <c r="AF2" s="468" t="s">
        <v>591</v>
      </c>
      <c r="AG2" s="469"/>
      <c r="AI2" s="468" t="s">
        <v>631</v>
      </c>
      <c r="AJ2" s="469"/>
      <c r="AL2" s="472" t="s">
        <v>629</v>
      </c>
      <c r="AM2" s="473"/>
    </row>
    <row r="3" spans="2:41" ht="27.6" customHeight="1" thickBot="1" x14ac:dyDescent="0.35">
      <c r="E3" s="305">
        <f>+F3-44</f>
        <v>113.06285021384306</v>
      </c>
      <c r="F3" s="223">
        <f>3500000/I47</f>
        <v>157.06285021384306</v>
      </c>
      <c r="G3" s="305">
        <f>+G1/I65</f>
        <v>3463.4250511638852</v>
      </c>
      <c r="K3" s="470" t="s">
        <v>624</v>
      </c>
      <c r="L3" s="471"/>
      <c r="M3" s="254"/>
      <c r="N3" s="470" t="s">
        <v>624</v>
      </c>
      <c r="O3" s="471"/>
      <c r="Q3" s="470" t="s">
        <v>624</v>
      </c>
      <c r="R3" s="471"/>
      <c r="T3" s="470" t="s">
        <v>628</v>
      </c>
      <c r="U3" s="471"/>
      <c r="W3" s="470" t="s">
        <v>628</v>
      </c>
      <c r="X3" s="471"/>
      <c r="Z3" s="470" t="s">
        <v>628</v>
      </c>
      <c r="AA3" s="471"/>
      <c r="AC3" s="470" t="s">
        <v>628</v>
      </c>
      <c r="AD3" s="471"/>
      <c r="AF3" s="470" t="s">
        <v>628</v>
      </c>
      <c r="AG3" s="471"/>
      <c r="AI3" s="470" t="s">
        <v>628</v>
      </c>
      <c r="AJ3" s="471"/>
      <c r="AL3" s="470"/>
      <c r="AM3" s="471"/>
    </row>
    <row r="4" spans="2:41" ht="32.4" customHeight="1" thickBot="1" x14ac:dyDescent="0.35">
      <c r="B4" s="118"/>
      <c r="C4" s="119" t="s">
        <v>592</v>
      </c>
      <c r="D4" s="118"/>
      <c r="E4" s="224" t="s">
        <v>10</v>
      </c>
      <c r="F4" s="120" t="s">
        <v>593</v>
      </c>
      <c r="G4" s="121" t="s">
        <v>594</v>
      </c>
      <c r="H4" s="122" t="s">
        <v>595</v>
      </c>
      <c r="I4" s="123" t="s">
        <v>596</v>
      </c>
      <c r="K4" s="255" t="s">
        <v>13</v>
      </c>
      <c r="L4" s="256" t="s">
        <v>15</v>
      </c>
      <c r="M4" s="257"/>
      <c r="N4" s="258" t="s">
        <v>13</v>
      </c>
      <c r="O4" s="259" t="s">
        <v>15</v>
      </c>
      <c r="Q4" s="258" t="s">
        <v>13</v>
      </c>
      <c r="R4" s="259" t="s">
        <v>15</v>
      </c>
      <c r="T4" s="258" t="s">
        <v>13</v>
      </c>
      <c r="U4" s="259" t="s">
        <v>15</v>
      </c>
      <c r="W4" s="258" t="s">
        <v>13</v>
      </c>
      <c r="X4" s="259" t="s">
        <v>15</v>
      </c>
      <c r="Z4" s="258" t="s">
        <v>13</v>
      </c>
      <c r="AA4" s="259" t="s">
        <v>15</v>
      </c>
      <c r="AC4" s="258" t="s">
        <v>13</v>
      </c>
      <c r="AD4" s="259" t="s">
        <v>15</v>
      </c>
      <c r="AF4" s="258" t="s">
        <v>13</v>
      </c>
      <c r="AG4" s="259" t="s">
        <v>15</v>
      </c>
      <c r="AI4" s="258" t="s">
        <v>13</v>
      </c>
      <c r="AJ4" s="259" t="s">
        <v>15</v>
      </c>
      <c r="AL4" s="258" t="s">
        <v>13</v>
      </c>
      <c r="AM4" s="259" t="s">
        <v>15</v>
      </c>
    </row>
    <row r="5" spans="2:41" ht="30.6" customHeight="1" x14ac:dyDescent="0.3">
      <c r="B5" s="463" t="s">
        <v>597</v>
      </c>
      <c r="C5" s="124" t="s">
        <v>16</v>
      </c>
      <c r="D5" s="466" t="s">
        <v>597</v>
      </c>
      <c r="E5" s="196" t="s">
        <v>16</v>
      </c>
      <c r="F5" s="125" t="s">
        <v>17</v>
      </c>
      <c r="G5" s="126" t="s">
        <v>18</v>
      </c>
      <c r="H5" s="127">
        <v>1</v>
      </c>
      <c r="I5" s="128">
        <v>1662.2598225265847</v>
      </c>
      <c r="J5" s="311"/>
      <c r="K5" s="260">
        <v>7887</v>
      </c>
      <c r="L5" s="163">
        <f t="shared" ref="L5:L68" si="0">+K5*I5</f>
        <v>13110243.220267173</v>
      </c>
      <c r="M5" s="261"/>
      <c r="N5" s="260">
        <v>15000</v>
      </c>
      <c r="O5" s="163">
        <f t="shared" ref="O5:O68" si="1">+N5*I5</f>
        <v>24933897.337898768</v>
      </c>
      <c r="Q5" s="260">
        <v>19287.400000000001</v>
      </c>
      <c r="R5" s="163">
        <f t="shared" ref="R5:R68" si="2">+Q5*I5</f>
        <v>32060670.100999251</v>
      </c>
      <c r="T5" s="260">
        <v>18070</v>
      </c>
      <c r="U5" s="163">
        <f t="shared" ref="U5:U68" si="3">+T5*I5</f>
        <v>30037034.993055385</v>
      </c>
      <c r="W5" s="262">
        <v>32076</v>
      </c>
      <c r="X5" s="163">
        <f>+W5*I5</f>
        <v>53318646.067362733</v>
      </c>
      <c r="Z5" s="260">
        <v>0</v>
      </c>
      <c r="AA5" s="163">
        <f t="shared" ref="AA5:AA68" si="4">+Z5*I5</f>
        <v>0</v>
      </c>
      <c r="AC5" s="260">
        <v>23412</v>
      </c>
      <c r="AD5" s="163">
        <f t="shared" ref="AD5:AD68" si="5">+AC5*I5</f>
        <v>38916826.964992404</v>
      </c>
      <c r="AF5" s="260">
        <v>0</v>
      </c>
      <c r="AG5" s="163">
        <f>+AF5*I5</f>
        <v>0</v>
      </c>
      <c r="AI5" s="260">
        <v>40225.272557672215</v>
      </c>
      <c r="AJ5" s="163">
        <f>+AI5*I5</f>
        <v>66864854.422799714</v>
      </c>
      <c r="AL5" s="162">
        <f>+K5+N5+Q5+T5+Z5+AF5+AC5+W5+AI5</f>
        <v>155957.67255767219</v>
      </c>
      <c r="AM5" s="163">
        <f t="shared" ref="AM5:AM68" si="6">+AL5*I5</f>
        <v>259242173.10737538</v>
      </c>
    </row>
    <row r="6" spans="2:41" ht="30.6" customHeight="1" x14ac:dyDescent="0.3">
      <c r="B6" s="464"/>
      <c r="C6" s="129" t="s">
        <v>19</v>
      </c>
      <c r="D6" s="467"/>
      <c r="E6" s="197" t="s">
        <v>19</v>
      </c>
      <c r="F6" s="130" t="s">
        <v>20</v>
      </c>
      <c r="G6" s="131" t="s">
        <v>21</v>
      </c>
      <c r="H6" s="132">
        <v>1</v>
      </c>
      <c r="I6" s="133">
        <v>154.21794665428655</v>
      </c>
      <c r="J6" s="311"/>
      <c r="K6" s="262">
        <v>0</v>
      </c>
      <c r="L6" s="163">
        <f t="shared" si="0"/>
        <v>0</v>
      </c>
      <c r="M6" s="261"/>
      <c r="N6" s="262">
        <v>0</v>
      </c>
      <c r="O6" s="163">
        <f t="shared" si="1"/>
        <v>0</v>
      </c>
      <c r="Q6" s="260">
        <v>0</v>
      </c>
      <c r="R6" s="163">
        <f t="shared" si="2"/>
        <v>0</v>
      </c>
      <c r="T6" s="260">
        <v>0</v>
      </c>
      <c r="U6" s="163">
        <f t="shared" si="3"/>
        <v>0</v>
      </c>
      <c r="W6" s="262"/>
      <c r="X6" s="163">
        <f t="shared" ref="X6:X19" si="7">+W6*I6</f>
        <v>0</v>
      </c>
      <c r="Z6" s="260">
        <v>0</v>
      </c>
      <c r="AA6" s="163">
        <f t="shared" si="4"/>
        <v>0</v>
      </c>
      <c r="AC6" s="260">
        <v>0</v>
      </c>
      <c r="AD6" s="163">
        <f t="shared" si="5"/>
        <v>0</v>
      </c>
      <c r="AF6" s="260">
        <v>0</v>
      </c>
      <c r="AG6" s="163">
        <f t="shared" ref="AG6:AG69" si="8">+AF6*I6</f>
        <v>0</v>
      </c>
      <c r="AI6" s="260">
        <v>0</v>
      </c>
      <c r="AJ6" s="163">
        <f t="shared" ref="AJ6:AJ69" si="9">+AI6*I6</f>
        <v>0</v>
      </c>
      <c r="AL6" s="162">
        <f t="shared" ref="AL6:AL69" si="10">+K6+N6+Q6+T6+Z6+AF6+AC6+W6+AI6</f>
        <v>0</v>
      </c>
      <c r="AM6" s="163">
        <f t="shared" si="6"/>
        <v>0</v>
      </c>
    </row>
    <row r="7" spans="2:41" ht="30.6" customHeight="1" x14ac:dyDescent="0.3">
      <c r="B7" s="464"/>
      <c r="C7" s="129" t="s">
        <v>22</v>
      </c>
      <c r="D7" s="467"/>
      <c r="E7" s="197" t="s">
        <v>22</v>
      </c>
      <c r="F7" s="130" t="s">
        <v>23</v>
      </c>
      <c r="G7" s="131" t="s">
        <v>24</v>
      </c>
      <c r="H7" s="132">
        <v>1</v>
      </c>
      <c r="I7" s="134">
        <v>290842.43447819131</v>
      </c>
      <c r="J7" s="311"/>
      <c r="K7" s="262">
        <v>90</v>
      </c>
      <c r="L7" s="163">
        <f t="shared" si="0"/>
        <v>26175819.103037219</v>
      </c>
      <c r="M7" s="261"/>
      <c r="N7" s="260">
        <v>0</v>
      </c>
      <c r="O7" s="163">
        <f t="shared" si="1"/>
        <v>0</v>
      </c>
      <c r="Q7" s="262">
        <v>59</v>
      </c>
      <c r="R7" s="163">
        <f t="shared" si="2"/>
        <v>17159703.634213287</v>
      </c>
      <c r="T7" s="262">
        <f>45+30</f>
        <v>75</v>
      </c>
      <c r="U7" s="163">
        <f t="shared" si="3"/>
        <v>21813182.585864346</v>
      </c>
      <c r="W7" s="262"/>
      <c r="X7" s="163">
        <f t="shared" si="7"/>
        <v>0</v>
      </c>
      <c r="Z7" s="262">
        <v>78</v>
      </c>
      <c r="AA7" s="163">
        <f t="shared" si="4"/>
        <v>22685709.889298923</v>
      </c>
      <c r="AC7" s="260">
        <v>50</v>
      </c>
      <c r="AD7" s="163">
        <f t="shared" si="5"/>
        <v>14542121.723909566</v>
      </c>
      <c r="AF7" s="260">
        <v>0</v>
      </c>
      <c r="AG7" s="163">
        <f t="shared" si="8"/>
        <v>0</v>
      </c>
      <c r="AI7" s="260">
        <v>0</v>
      </c>
      <c r="AJ7" s="163">
        <f t="shared" si="9"/>
        <v>0</v>
      </c>
      <c r="AL7" s="162">
        <f t="shared" si="10"/>
        <v>352</v>
      </c>
      <c r="AM7" s="163">
        <f t="shared" si="6"/>
        <v>102376536.93632334</v>
      </c>
    </row>
    <row r="8" spans="2:41" ht="30.6" customHeight="1" x14ac:dyDescent="0.3">
      <c r="B8" s="464"/>
      <c r="C8" s="129" t="s">
        <v>25</v>
      </c>
      <c r="D8" s="467"/>
      <c r="E8" s="197" t="s">
        <v>25</v>
      </c>
      <c r="F8" s="130" t="s">
        <v>26</v>
      </c>
      <c r="G8" s="131" t="s">
        <v>27</v>
      </c>
      <c r="H8" s="132">
        <v>1</v>
      </c>
      <c r="I8" s="134">
        <v>1728.1855135438595</v>
      </c>
      <c r="J8" s="311"/>
      <c r="K8" s="260">
        <v>1075</v>
      </c>
      <c r="L8" s="163">
        <f t="shared" si="0"/>
        <v>1857799.427059649</v>
      </c>
      <c r="M8" s="261"/>
      <c r="N8" s="260">
        <v>0</v>
      </c>
      <c r="O8" s="163">
        <f t="shared" si="1"/>
        <v>0</v>
      </c>
      <c r="Q8" s="260">
        <v>600</v>
      </c>
      <c r="R8" s="163">
        <f t="shared" si="2"/>
        <v>1036911.3081263157</v>
      </c>
      <c r="T8" s="260">
        <v>325</v>
      </c>
      <c r="U8" s="163">
        <f t="shared" si="3"/>
        <v>561660.29190175433</v>
      </c>
      <c r="W8" s="262"/>
      <c r="X8" s="163">
        <f t="shared" si="7"/>
        <v>0</v>
      </c>
      <c r="Z8" s="260">
        <v>0</v>
      </c>
      <c r="AA8" s="163">
        <f t="shared" si="4"/>
        <v>0</v>
      </c>
      <c r="AC8" s="260">
        <v>250</v>
      </c>
      <c r="AD8" s="163">
        <f t="shared" si="5"/>
        <v>432046.3783859649</v>
      </c>
      <c r="AF8" s="260">
        <v>0</v>
      </c>
      <c r="AG8" s="163">
        <f t="shared" si="8"/>
        <v>0</v>
      </c>
      <c r="AI8" s="260">
        <v>0</v>
      </c>
      <c r="AJ8" s="163">
        <f t="shared" si="9"/>
        <v>0</v>
      </c>
      <c r="AL8" s="162">
        <f t="shared" si="10"/>
        <v>2250</v>
      </c>
      <c r="AM8" s="163">
        <f t="shared" si="6"/>
        <v>3888417.405473684</v>
      </c>
      <c r="AO8" s="311"/>
    </row>
    <row r="9" spans="2:41" ht="30.6" customHeight="1" x14ac:dyDescent="0.3">
      <c r="B9" s="464"/>
      <c r="C9" s="129" t="s">
        <v>28</v>
      </c>
      <c r="D9" s="467"/>
      <c r="E9" s="197" t="s">
        <v>28</v>
      </c>
      <c r="F9" s="130" t="s">
        <v>29</v>
      </c>
      <c r="G9" s="131" t="s">
        <v>30</v>
      </c>
      <c r="H9" s="132">
        <v>1</v>
      </c>
      <c r="I9" s="134">
        <v>100367.89873425654</v>
      </c>
      <c r="J9" s="311"/>
      <c r="K9" s="260">
        <v>0</v>
      </c>
      <c r="L9" s="163">
        <f t="shared" si="0"/>
        <v>0</v>
      </c>
      <c r="M9" s="261"/>
      <c r="N9" s="260">
        <v>0</v>
      </c>
      <c r="O9" s="163">
        <f t="shared" si="1"/>
        <v>0</v>
      </c>
      <c r="Q9" s="260">
        <v>15</v>
      </c>
      <c r="R9" s="163">
        <f t="shared" si="2"/>
        <v>1505518.481013848</v>
      </c>
      <c r="T9" s="260">
        <v>15</v>
      </c>
      <c r="U9" s="163">
        <f t="shared" si="3"/>
        <v>1505518.481013848</v>
      </c>
      <c r="W9" s="262"/>
      <c r="X9" s="163">
        <f t="shared" si="7"/>
        <v>0</v>
      </c>
      <c r="Z9" s="260">
        <v>0</v>
      </c>
      <c r="AA9" s="163">
        <f t="shared" si="4"/>
        <v>0</v>
      </c>
      <c r="AC9" s="260">
        <v>0</v>
      </c>
      <c r="AD9" s="163">
        <f t="shared" si="5"/>
        <v>0</v>
      </c>
      <c r="AF9" s="260">
        <v>0</v>
      </c>
      <c r="AG9" s="163">
        <f t="shared" si="8"/>
        <v>0</v>
      </c>
      <c r="AI9" s="260">
        <v>0</v>
      </c>
      <c r="AJ9" s="163">
        <f t="shared" si="9"/>
        <v>0</v>
      </c>
      <c r="AL9" s="162">
        <f t="shared" si="10"/>
        <v>30</v>
      </c>
      <c r="AM9" s="163">
        <f t="shared" si="6"/>
        <v>3011036.962027696</v>
      </c>
    </row>
    <row r="10" spans="2:41" ht="30.6" customHeight="1" x14ac:dyDescent="0.3">
      <c r="B10" s="464"/>
      <c r="C10" s="129" t="s">
        <v>31</v>
      </c>
      <c r="D10" s="467"/>
      <c r="E10" s="197" t="s">
        <v>31</v>
      </c>
      <c r="F10" s="130" t="s">
        <v>32</v>
      </c>
      <c r="G10" s="131" t="s">
        <v>30</v>
      </c>
      <c r="H10" s="132">
        <v>1</v>
      </c>
      <c r="I10" s="134">
        <v>103195.53266872774</v>
      </c>
      <c r="J10" s="311"/>
      <c r="K10" s="260">
        <v>0</v>
      </c>
      <c r="L10" s="163">
        <f t="shared" si="0"/>
        <v>0</v>
      </c>
      <c r="M10" s="261"/>
      <c r="N10" s="260">
        <v>0</v>
      </c>
      <c r="O10" s="163">
        <f t="shared" si="1"/>
        <v>0</v>
      </c>
      <c r="Q10" s="260">
        <v>8</v>
      </c>
      <c r="R10" s="163">
        <f t="shared" si="2"/>
        <v>825564.26134982193</v>
      </c>
      <c r="T10" s="260">
        <v>15</v>
      </c>
      <c r="U10" s="163">
        <f t="shared" si="3"/>
        <v>1547932.9900309162</v>
      </c>
      <c r="W10" s="262"/>
      <c r="X10" s="163">
        <f t="shared" si="7"/>
        <v>0</v>
      </c>
      <c r="Z10" s="260">
        <v>0</v>
      </c>
      <c r="AA10" s="163">
        <f t="shared" si="4"/>
        <v>0</v>
      </c>
      <c r="AC10" s="260">
        <v>0</v>
      </c>
      <c r="AD10" s="163">
        <f t="shared" si="5"/>
        <v>0</v>
      </c>
      <c r="AF10" s="260">
        <v>0</v>
      </c>
      <c r="AG10" s="163">
        <f t="shared" si="8"/>
        <v>0</v>
      </c>
      <c r="AI10" s="260">
        <v>0</v>
      </c>
      <c r="AJ10" s="163">
        <f t="shared" si="9"/>
        <v>0</v>
      </c>
      <c r="AL10" s="162">
        <f t="shared" si="10"/>
        <v>23</v>
      </c>
      <c r="AM10" s="163">
        <f t="shared" si="6"/>
        <v>2373497.2513807379</v>
      </c>
    </row>
    <row r="11" spans="2:41" ht="30.6" customHeight="1" x14ac:dyDescent="0.3">
      <c r="B11" s="464"/>
      <c r="C11" s="129" t="s">
        <v>33</v>
      </c>
      <c r="D11" s="467"/>
      <c r="E11" s="197" t="s">
        <v>33</v>
      </c>
      <c r="F11" s="130" t="s">
        <v>34</v>
      </c>
      <c r="G11" s="131" t="s">
        <v>30</v>
      </c>
      <c r="H11" s="132">
        <v>1</v>
      </c>
      <c r="I11" s="134">
        <v>40788.327355343106</v>
      </c>
      <c r="J11" s="311"/>
      <c r="K11" s="260">
        <v>0</v>
      </c>
      <c r="L11" s="163">
        <f t="shared" si="0"/>
        <v>0</v>
      </c>
      <c r="M11" s="261"/>
      <c r="N11" s="260">
        <v>0</v>
      </c>
      <c r="O11" s="163">
        <f t="shared" si="1"/>
        <v>0</v>
      </c>
      <c r="Q11" s="260">
        <v>15</v>
      </c>
      <c r="R11" s="163">
        <f t="shared" si="2"/>
        <v>611824.91033014655</v>
      </c>
      <c r="T11" s="260">
        <v>15</v>
      </c>
      <c r="U11" s="163">
        <f t="shared" si="3"/>
        <v>611824.91033014655</v>
      </c>
      <c r="W11" s="262"/>
      <c r="X11" s="163">
        <f t="shared" si="7"/>
        <v>0</v>
      </c>
      <c r="Z11" s="260">
        <v>0</v>
      </c>
      <c r="AA11" s="163">
        <f t="shared" si="4"/>
        <v>0</v>
      </c>
      <c r="AC11" s="260">
        <v>0</v>
      </c>
      <c r="AD11" s="163">
        <f t="shared" si="5"/>
        <v>0</v>
      </c>
      <c r="AF11" s="260">
        <v>0</v>
      </c>
      <c r="AG11" s="163">
        <f t="shared" si="8"/>
        <v>0</v>
      </c>
      <c r="AI11" s="260">
        <v>0</v>
      </c>
      <c r="AJ11" s="163">
        <f t="shared" si="9"/>
        <v>0</v>
      </c>
      <c r="AL11" s="162">
        <f t="shared" si="10"/>
        <v>30</v>
      </c>
      <c r="AM11" s="163">
        <f t="shared" si="6"/>
        <v>1223649.8206602931</v>
      </c>
    </row>
    <row r="12" spans="2:41" ht="30.6" customHeight="1" x14ac:dyDescent="0.3">
      <c r="B12" s="464"/>
      <c r="C12" s="129" t="s">
        <v>35</v>
      </c>
      <c r="D12" s="467"/>
      <c r="E12" s="197" t="s">
        <v>35</v>
      </c>
      <c r="F12" s="130" t="s">
        <v>36</v>
      </c>
      <c r="G12" s="131" t="s">
        <v>30</v>
      </c>
      <c r="H12" s="132">
        <v>1</v>
      </c>
      <c r="I12" s="134">
        <v>55997.942034394458</v>
      </c>
      <c r="J12" s="311"/>
      <c r="K12" s="268">
        <v>0</v>
      </c>
      <c r="L12" s="163">
        <f t="shared" si="0"/>
        <v>0</v>
      </c>
      <c r="M12" s="261"/>
      <c r="N12" s="260">
        <v>0</v>
      </c>
      <c r="O12" s="163">
        <f t="shared" si="1"/>
        <v>0</v>
      </c>
      <c r="Q12" s="260">
        <v>1</v>
      </c>
      <c r="R12" s="163">
        <f t="shared" si="2"/>
        <v>55997.942034394458</v>
      </c>
      <c r="T12" s="260">
        <v>15</v>
      </c>
      <c r="U12" s="163">
        <f t="shared" si="3"/>
        <v>839969.13051591686</v>
      </c>
      <c r="W12" s="262"/>
      <c r="X12" s="163">
        <f t="shared" si="7"/>
        <v>0</v>
      </c>
      <c r="Z12" s="260">
        <v>0</v>
      </c>
      <c r="AA12" s="163">
        <f t="shared" si="4"/>
        <v>0</v>
      </c>
      <c r="AC12" s="260">
        <v>0</v>
      </c>
      <c r="AD12" s="163">
        <f t="shared" si="5"/>
        <v>0</v>
      </c>
      <c r="AF12" s="260">
        <v>0</v>
      </c>
      <c r="AG12" s="163">
        <f t="shared" si="8"/>
        <v>0</v>
      </c>
      <c r="AI12" s="260">
        <v>0</v>
      </c>
      <c r="AJ12" s="163">
        <f t="shared" si="9"/>
        <v>0</v>
      </c>
      <c r="AL12" s="162">
        <f t="shared" si="10"/>
        <v>16</v>
      </c>
      <c r="AM12" s="163">
        <f t="shared" si="6"/>
        <v>895967.07255031134</v>
      </c>
    </row>
    <row r="13" spans="2:41" ht="30.6" customHeight="1" x14ac:dyDescent="0.3">
      <c r="B13" s="464"/>
      <c r="C13" s="129" t="s">
        <v>37</v>
      </c>
      <c r="D13" s="467"/>
      <c r="E13" s="197" t="s">
        <v>37</v>
      </c>
      <c r="F13" s="130" t="s">
        <v>38</v>
      </c>
      <c r="G13" s="131" t="s">
        <v>27</v>
      </c>
      <c r="H13" s="132">
        <v>1</v>
      </c>
      <c r="I13" s="134">
        <v>2244.2080928174714</v>
      </c>
      <c r="J13" s="311"/>
      <c r="K13" s="260">
        <v>450</v>
      </c>
      <c r="L13" s="163">
        <f t="shared" si="0"/>
        <v>1009893.6417678621</v>
      </c>
      <c r="M13" s="261"/>
      <c r="N13" s="260">
        <v>700</v>
      </c>
      <c r="O13" s="163">
        <f t="shared" si="1"/>
        <v>1570945.6649722301</v>
      </c>
      <c r="Q13" s="260">
        <v>300</v>
      </c>
      <c r="R13" s="163">
        <f t="shared" si="2"/>
        <v>673262.42784524139</v>
      </c>
      <c r="T13" s="260">
        <v>450</v>
      </c>
      <c r="U13" s="163">
        <f t="shared" si="3"/>
        <v>1009893.6417678621</v>
      </c>
      <c r="W13" s="262"/>
      <c r="X13" s="163">
        <f t="shared" si="7"/>
        <v>0</v>
      </c>
      <c r="Z13" s="260">
        <v>0</v>
      </c>
      <c r="AA13" s="163">
        <f t="shared" si="4"/>
        <v>0</v>
      </c>
      <c r="AC13" s="260">
        <v>300</v>
      </c>
      <c r="AD13" s="163">
        <f t="shared" si="5"/>
        <v>673262.42784524139</v>
      </c>
      <c r="AF13" s="260">
        <v>0</v>
      </c>
      <c r="AG13" s="163">
        <f t="shared" si="8"/>
        <v>0</v>
      </c>
      <c r="AI13" s="260">
        <v>0</v>
      </c>
      <c r="AJ13" s="163">
        <f t="shared" si="9"/>
        <v>0</v>
      </c>
      <c r="AL13" s="162">
        <f t="shared" si="10"/>
        <v>2200</v>
      </c>
      <c r="AM13" s="163">
        <f t="shared" si="6"/>
        <v>4937257.8041984374</v>
      </c>
    </row>
    <row r="14" spans="2:41" ht="30.6" customHeight="1" x14ac:dyDescent="0.3">
      <c r="B14" s="464"/>
      <c r="C14" s="129" t="s">
        <v>39</v>
      </c>
      <c r="D14" s="467"/>
      <c r="E14" s="197" t="s">
        <v>39</v>
      </c>
      <c r="F14" s="130" t="s">
        <v>40</v>
      </c>
      <c r="G14" s="131" t="s">
        <v>21</v>
      </c>
      <c r="H14" s="132">
        <v>1</v>
      </c>
      <c r="I14" s="134">
        <v>1225.0546864956552</v>
      </c>
      <c r="J14" s="311"/>
      <c r="K14" s="260">
        <v>7267</v>
      </c>
      <c r="L14" s="163">
        <f t="shared" si="0"/>
        <v>8902472.4067639261</v>
      </c>
      <c r="M14" s="261"/>
      <c r="N14" s="260">
        <f>7045*3</f>
        <v>21135</v>
      </c>
      <c r="O14" s="163">
        <f t="shared" si="1"/>
        <v>25891530.799085673</v>
      </c>
      <c r="Q14" s="260">
        <v>19287.400000000001</v>
      </c>
      <c r="R14" s="163">
        <f t="shared" si="2"/>
        <v>23628119.760316301</v>
      </c>
      <c r="T14" s="260">
        <v>18070</v>
      </c>
      <c r="U14" s="163">
        <f t="shared" si="3"/>
        <v>22136738.184976488</v>
      </c>
      <c r="W14" s="262">
        <v>32076</v>
      </c>
      <c r="X14" s="163">
        <f t="shared" si="7"/>
        <v>39294854.124034636</v>
      </c>
      <c r="Z14" s="260">
        <v>0</v>
      </c>
      <c r="AA14" s="163">
        <f t="shared" si="4"/>
        <v>0</v>
      </c>
      <c r="AC14" s="262">
        <v>23412</v>
      </c>
      <c r="AD14" s="163">
        <f t="shared" si="5"/>
        <v>28680980.320236281</v>
      </c>
      <c r="AF14" s="260">
        <v>0</v>
      </c>
      <c r="AG14" s="163">
        <f t="shared" si="8"/>
        <v>0</v>
      </c>
      <c r="AI14" s="260">
        <v>32475.232464938814</v>
      </c>
      <c r="AJ14" s="163">
        <f t="shared" si="9"/>
        <v>39783935.726209141</v>
      </c>
      <c r="AL14" s="162">
        <f t="shared" si="10"/>
        <v>153722.6324649388</v>
      </c>
      <c r="AM14" s="163">
        <f t="shared" si="6"/>
        <v>188318631.32162243</v>
      </c>
      <c r="AO14" s="164"/>
    </row>
    <row r="15" spans="2:41" ht="30.6" customHeight="1" x14ac:dyDescent="0.3">
      <c r="B15" s="464"/>
      <c r="C15" s="129" t="s">
        <v>41</v>
      </c>
      <c r="D15" s="467"/>
      <c r="E15" s="197" t="s">
        <v>41</v>
      </c>
      <c r="F15" s="130" t="s">
        <v>42</v>
      </c>
      <c r="G15" s="131" t="s">
        <v>21</v>
      </c>
      <c r="H15" s="132">
        <v>1</v>
      </c>
      <c r="I15" s="134">
        <v>1272.5387378054043</v>
      </c>
      <c r="J15" s="311"/>
      <c r="K15" s="260">
        <v>3633.5</v>
      </c>
      <c r="L15" s="163">
        <f t="shared" si="0"/>
        <v>4623769.5038159359</v>
      </c>
      <c r="M15" s="261"/>
      <c r="N15" s="260">
        <f>7045*3</f>
        <v>21135</v>
      </c>
      <c r="O15" s="163">
        <f t="shared" si="1"/>
        <v>26895106.22351722</v>
      </c>
      <c r="Q15" s="260">
        <v>9643.7000000000007</v>
      </c>
      <c r="R15" s="163">
        <f t="shared" si="2"/>
        <v>12271981.825773979</v>
      </c>
      <c r="T15" s="260">
        <v>9035</v>
      </c>
      <c r="U15" s="163">
        <f t="shared" si="3"/>
        <v>11497387.496071827</v>
      </c>
      <c r="W15" s="262">
        <v>32076</v>
      </c>
      <c r="X15" s="163">
        <f t="shared" si="7"/>
        <v>40817952.553846143</v>
      </c>
      <c r="Z15" s="260">
        <v>0</v>
      </c>
      <c r="AA15" s="163">
        <f t="shared" si="4"/>
        <v>0</v>
      </c>
      <c r="AC15" s="262">
        <v>11706</v>
      </c>
      <c r="AD15" s="163">
        <f t="shared" si="5"/>
        <v>14896338.464750063</v>
      </c>
      <c r="AF15" s="260">
        <v>0</v>
      </c>
      <c r="AG15" s="163">
        <f t="shared" si="8"/>
        <v>0</v>
      </c>
      <c r="AI15" s="260">
        <v>0</v>
      </c>
      <c r="AJ15" s="163">
        <f t="shared" si="9"/>
        <v>0</v>
      </c>
      <c r="AL15" s="162">
        <f t="shared" si="10"/>
        <v>87229.2</v>
      </c>
      <c r="AM15" s="163">
        <f t="shared" si="6"/>
        <v>111002536.06777516</v>
      </c>
      <c r="AN15" s="324"/>
    </row>
    <row r="16" spans="2:41" ht="30.6" customHeight="1" x14ac:dyDescent="0.3">
      <c r="B16" s="464"/>
      <c r="C16" s="129" t="s">
        <v>43</v>
      </c>
      <c r="D16" s="467"/>
      <c r="E16" s="197" t="s">
        <v>43</v>
      </c>
      <c r="F16" s="130" t="s">
        <v>44</v>
      </c>
      <c r="G16" s="131" t="s">
        <v>30</v>
      </c>
      <c r="H16" s="132">
        <v>1</v>
      </c>
      <c r="I16" s="134">
        <v>88383.365703664749</v>
      </c>
      <c r="J16" s="311"/>
      <c r="K16" s="260">
        <f>5*15</f>
        <v>75</v>
      </c>
      <c r="L16" s="163">
        <f t="shared" si="0"/>
        <v>6628752.4277748559</v>
      </c>
      <c r="M16" s="261"/>
      <c r="N16" s="260">
        <v>30</v>
      </c>
      <c r="O16" s="163">
        <f t="shared" si="1"/>
        <v>2651500.9711099425</v>
      </c>
      <c r="Q16" s="260">
        <f>6*15</f>
        <v>90</v>
      </c>
      <c r="R16" s="163">
        <f t="shared" si="2"/>
        <v>7954502.9133298276</v>
      </c>
      <c r="T16" s="260">
        <f>5*15</f>
        <v>75</v>
      </c>
      <c r="U16" s="163">
        <f t="shared" si="3"/>
        <v>6628752.4277748559</v>
      </c>
      <c r="W16" s="262"/>
      <c r="X16" s="163">
        <f t="shared" si="7"/>
        <v>0</v>
      </c>
      <c r="Z16" s="260">
        <v>0</v>
      </c>
      <c r="AA16" s="163">
        <f t="shared" si="4"/>
        <v>0</v>
      </c>
      <c r="AC16" s="262">
        <f>11*15</f>
        <v>165</v>
      </c>
      <c r="AD16" s="163">
        <f t="shared" si="5"/>
        <v>14583255.341104684</v>
      </c>
      <c r="AF16" s="260">
        <v>0</v>
      </c>
      <c r="AG16" s="163">
        <f t="shared" si="8"/>
        <v>0</v>
      </c>
      <c r="AI16" s="260">
        <v>0</v>
      </c>
      <c r="AJ16" s="163">
        <f t="shared" si="9"/>
        <v>0</v>
      </c>
      <c r="AL16" s="162">
        <f t="shared" si="10"/>
        <v>435</v>
      </c>
      <c r="AM16" s="163">
        <f t="shared" si="6"/>
        <v>38446764.081094168</v>
      </c>
      <c r="AN16" s="299"/>
    </row>
    <row r="17" spans="2:40" ht="30.6" customHeight="1" x14ac:dyDescent="0.3">
      <c r="B17" s="464"/>
      <c r="C17" s="129" t="s">
        <v>45</v>
      </c>
      <c r="D17" s="467"/>
      <c r="E17" s="197" t="s">
        <v>45</v>
      </c>
      <c r="F17" s="130" t="s">
        <v>46</v>
      </c>
      <c r="G17" s="131" t="s">
        <v>30</v>
      </c>
      <c r="H17" s="132">
        <v>1</v>
      </c>
      <c r="I17" s="134">
        <v>88383.365703664749</v>
      </c>
      <c r="J17" s="311"/>
      <c r="K17" s="260">
        <v>30</v>
      </c>
      <c r="L17" s="163">
        <f t="shared" si="0"/>
        <v>2651500.9711099425</v>
      </c>
      <c r="M17" s="261"/>
      <c r="N17" s="260">
        <v>45</v>
      </c>
      <c r="O17" s="163">
        <f t="shared" si="1"/>
        <v>3977251.4566649138</v>
      </c>
      <c r="Q17" s="260">
        <f>5*15</f>
        <v>75</v>
      </c>
      <c r="R17" s="163">
        <f t="shared" si="2"/>
        <v>6628752.4277748559</v>
      </c>
      <c r="T17" s="260">
        <f>3*15</f>
        <v>45</v>
      </c>
      <c r="U17" s="163">
        <f t="shared" si="3"/>
        <v>3977251.4566649138</v>
      </c>
      <c r="W17" s="262"/>
      <c r="X17" s="163">
        <f t="shared" si="7"/>
        <v>0</v>
      </c>
      <c r="Z17" s="260">
        <v>0</v>
      </c>
      <c r="AA17" s="163">
        <f t="shared" si="4"/>
        <v>0</v>
      </c>
      <c r="AC17" s="262"/>
      <c r="AD17" s="163">
        <f t="shared" si="5"/>
        <v>0</v>
      </c>
      <c r="AF17" s="260">
        <v>0</v>
      </c>
      <c r="AG17" s="163">
        <f t="shared" si="8"/>
        <v>0</v>
      </c>
      <c r="AI17" s="260">
        <v>0</v>
      </c>
      <c r="AJ17" s="163">
        <f t="shared" si="9"/>
        <v>0</v>
      </c>
      <c r="AL17" s="162">
        <f t="shared" si="10"/>
        <v>195</v>
      </c>
      <c r="AM17" s="163">
        <f t="shared" si="6"/>
        <v>17234756.312214628</v>
      </c>
      <c r="AN17">
        <f>900/15</f>
        <v>60</v>
      </c>
    </row>
    <row r="18" spans="2:40" ht="30.6" customHeight="1" x14ac:dyDescent="0.3">
      <c r="B18" s="464"/>
      <c r="C18" s="129" t="s">
        <v>47</v>
      </c>
      <c r="D18" s="467"/>
      <c r="E18" s="197" t="s">
        <v>47</v>
      </c>
      <c r="F18" s="130" t="s">
        <v>48</v>
      </c>
      <c r="G18" s="131" t="s">
        <v>21</v>
      </c>
      <c r="H18" s="132">
        <v>1</v>
      </c>
      <c r="I18" s="135">
        <v>185.43411209588882</v>
      </c>
      <c r="J18" s="311"/>
      <c r="K18" s="260">
        <v>7267</v>
      </c>
      <c r="L18" s="163">
        <f t="shared" si="0"/>
        <v>1347549.6926008242</v>
      </c>
      <c r="M18" s="261"/>
      <c r="N18" s="260">
        <v>14090</v>
      </c>
      <c r="O18" s="163">
        <f t="shared" si="1"/>
        <v>2612766.6394310733</v>
      </c>
      <c r="Q18" s="260">
        <v>19287.400000000001</v>
      </c>
      <c r="R18" s="163">
        <f t="shared" si="2"/>
        <v>3576541.8936382462</v>
      </c>
      <c r="T18" s="260">
        <v>18070</v>
      </c>
      <c r="U18" s="163">
        <f t="shared" si="3"/>
        <v>3350794.405572711</v>
      </c>
      <c r="W18" s="262">
        <v>32076</v>
      </c>
      <c r="X18" s="163">
        <f t="shared" si="7"/>
        <v>5947984.5795877296</v>
      </c>
      <c r="Z18" s="260">
        <v>0</v>
      </c>
      <c r="AA18" s="163">
        <f t="shared" si="4"/>
        <v>0</v>
      </c>
      <c r="AC18" s="260">
        <v>23412</v>
      </c>
      <c r="AD18" s="230">
        <f t="shared" si="5"/>
        <v>4341383.4323889492</v>
      </c>
      <c r="AF18" s="260">
        <v>0</v>
      </c>
      <c r="AG18" s="163">
        <f t="shared" si="8"/>
        <v>0</v>
      </c>
      <c r="AI18" s="260">
        <v>0</v>
      </c>
      <c r="AJ18" s="163">
        <f t="shared" si="9"/>
        <v>0</v>
      </c>
      <c r="AL18" s="162">
        <f t="shared" si="10"/>
        <v>114202.4</v>
      </c>
      <c r="AM18" s="163">
        <f t="shared" si="6"/>
        <v>21177020.643219531</v>
      </c>
    </row>
    <row r="19" spans="2:40" ht="30.6" customHeight="1" thickBot="1" x14ac:dyDescent="0.35">
      <c r="B19" s="465"/>
      <c r="C19" s="136" t="s">
        <v>49</v>
      </c>
      <c r="D19" s="467"/>
      <c r="E19" s="225" t="s">
        <v>49</v>
      </c>
      <c r="F19" s="226" t="s">
        <v>50</v>
      </c>
      <c r="G19" s="227" t="s">
        <v>21</v>
      </c>
      <c r="H19" s="228">
        <v>1</v>
      </c>
      <c r="I19" s="229">
        <v>221.51865288994117</v>
      </c>
      <c r="J19" s="311"/>
      <c r="K19" s="263">
        <v>29068</v>
      </c>
      <c r="L19" s="230">
        <f t="shared" si="0"/>
        <v>6439104.2022048095</v>
      </c>
      <c r="M19" s="327"/>
      <c r="N19" s="263">
        <f>+N18*4</f>
        <v>56360</v>
      </c>
      <c r="O19" s="230">
        <f t="shared" si="1"/>
        <v>12484791.276877085</v>
      </c>
      <c r="P19" s="296"/>
      <c r="Q19" s="263">
        <v>115724.40000000001</v>
      </c>
      <c r="R19" s="230">
        <f t="shared" si="2"/>
        <v>25635113.19449671</v>
      </c>
      <c r="S19" s="296"/>
      <c r="T19" s="263">
        <v>108420</v>
      </c>
      <c r="U19" s="230">
        <f t="shared" si="3"/>
        <v>24017052.34632742</v>
      </c>
      <c r="V19" s="296"/>
      <c r="W19" s="264">
        <f>+W18*3</f>
        <v>96228</v>
      </c>
      <c r="X19" s="163">
        <f t="shared" si="7"/>
        <v>21316296.930293258</v>
      </c>
      <c r="Y19" s="296"/>
      <c r="Z19" s="263">
        <v>0</v>
      </c>
      <c r="AA19" s="230">
        <f t="shared" si="4"/>
        <v>0</v>
      </c>
      <c r="AB19" s="296"/>
      <c r="AC19" s="264">
        <v>93648</v>
      </c>
      <c r="AD19" s="270">
        <f t="shared" si="5"/>
        <v>20744778.80583721</v>
      </c>
      <c r="AE19" s="296"/>
      <c r="AF19" s="263">
        <v>0</v>
      </c>
      <c r="AG19" s="230">
        <f t="shared" si="8"/>
        <v>0</v>
      </c>
      <c r="AH19" s="328"/>
      <c r="AI19" s="263">
        <v>0</v>
      </c>
      <c r="AJ19" s="230">
        <f t="shared" si="9"/>
        <v>0</v>
      </c>
      <c r="AK19" s="329"/>
      <c r="AL19" s="345">
        <f t="shared" si="10"/>
        <v>499448.4</v>
      </c>
      <c r="AM19" s="270">
        <f t="shared" si="6"/>
        <v>110637136.75603649</v>
      </c>
    </row>
    <row r="20" spans="2:40" ht="30.6" customHeight="1" x14ac:dyDescent="0.3">
      <c r="B20" s="452" t="s">
        <v>598</v>
      </c>
      <c r="C20" s="137" t="s">
        <v>51</v>
      </c>
      <c r="D20" s="455" t="s">
        <v>598</v>
      </c>
      <c r="E20" s="198" t="s">
        <v>51</v>
      </c>
      <c r="F20" s="138" t="s">
        <v>52</v>
      </c>
      <c r="G20" s="139" t="s">
        <v>18</v>
      </c>
      <c r="H20" s="140">
        <v>1</v>
      </c>
      <c r="I20" s="141">
        <v>731.32023821260339</v>
      </c>
      <c r="J20" s="311"/>
      <c r="K20" s="267">
        <v>1850.33</v>
      </c>
      <c r="L20" s="266">
        <f t="shared" si="0"/>
        <v>1353183.7763719263</v>
      </c>
      <c r="M20" s="261"/>
      <c r="N20" s="265">
        <v>350</v>
      </c>
      <c r="O20" s="266">
        <f t="shared" si="1"/>
        <v>255962.08337441119</v>
      </c>
      <c r="Q20" s="265">
        <v>2295</v>
      </c>
      <c r="R20" s="266">
        <f t="shared" si="2"/>
        <v>1678379.9466979248</v>
      </c>
      <c r="T20" s="265">
        <v>3636.5</v>
      </c>
      <c r="U20" s="266">
        <f t="shared" si="3"/>
        <v>2659446.046260132</v>
      </c>
      <c r="W20" s="336">
        <v>4931.99</v>
      </c>
      <c r="X20" s="266">
        <f t="shared" ref="X20:X70" si="11">+W20*I20</f>
        <v>3606864.1016621776</v>
      </c>
      <c r="Z20" s="267">
        <v>723.53</v>
      </c>
      <c r="AA20" s="266">
        <f t="shared" si="4"/>
        <v>529132.13195396494</v>
      </c>
      <c r="AC20" s="265">
        <v>840.49</v>
      </c>
      <c r="AD20" s="236">
        <f t="shared" si="5"/>
        <v>614667.34701531101</v>
      </c>
      <c r="AF20" s="265">
        <v>1225</v>
      </c>
      <c r="AG20" s="266">
        <f t="shared" si="8"/>
        <v>895867.2918104392</v>
      </c>
      <c r="AI20" s="265"/>
      <c r="AJ20" s="266">
        <f t="shared" si="9"/>
        <v>0</v>
      </c>
      <c r="AL20" s="340">
        <f t="shared" si="10"/>
        <v>15852.84</v>
      </c>
      <c r="AM20" s="236">
        <f t="shared" si="6"/>
        <v>11593502.725146288</v>
      </c>
    </row>
    <row r="21" spans="2:40" ht="30.6" customHeight="1" x14ac:dyDescent="0.3">
      <c r="B21" s="453"/>
      <c r="C21" s="142" t="s">
        <v>53</v>
      </c>
      <c r="D21" s="456"/>
      <c r="E21" s="199" t="s">
        <v>53</v>
      </c>
      <c r="F21" s="143" t="s">
        <v>54</v>
      </c>
      <c r="G21" s="144" t="s">
        <v>18</v>
      </c>
      <c r="H21" s="145">
        <v>1</v>
      </c>
      <c r="I21" s="146">
        <v>829.4500317332745</v>
      </c>
      <c r="J21" s="311"/>
      <c r="K21" s="268">
        <v>544.67999999999995</v>
      </c>
      <c r="L21" s="163">
        <f t="shared" si="0"/>
        <v>451784.84328447992</v>
      </c>
      <c r="M21" s="261"/>
      <c r="N21" s="260">
        <v>0</v>
      </c>
      <c r="O21" s="163">
        <f t="shared" si="1"/>
        <v>0</v>
      </c>
      <c r="Q21" s="260">
        <v>0</v>
      </c>
      <c r="R21" s="163">
        <f t="shared" si="2"/>
        <v>0</v>
      </c>
      <c r="T21" s="260">
        <v>0</v>
      </c>
      <c r="U21" s="163">
        <f t="shared" si="3"/>
        <v>0</v>
      </c>
      <c r="W21" s="262">
        <v>830.70999999999992</v>
      </c>
      <c r="X21" s="163">
        <f t="shared" si="11"/>
        <v>689032.43586114841</v>
      </c>
      <c r="Z21" s="268">
        <v>65.989999999999995</v>
      </c>
      <c r="AA21" s="163">
        <f t="shared" si="4"/>
        <v>54735.407594078781</v>
      </c>
      <c r="AC21" s="260">
        <v>55</v>
      </c>
      <c r="AD21" s="163">
        <f t="shared" si="5"/>
        <v>45619.751745330097</v>
      </c>
      <c r="AF21" s="260">
        <v>4663</v>
      </c>
      <c r="AG21" s="163">
        <f t="shared" si="8"/>
        <v>3867725.4979722588</v>
      </c>
      <c r="AI21" s="260"/>
      <c r="AJ21" s="163">
        <f t="shared" si="9"/>
        <v>0</v>
      </c>
      <c r="AL21" s="162">
        <f t="shared" si="10"/>
        <v>6159.38</v>
      </c>
      <c r="AM21" s="163">
        <f t="shared" si="6"/>
        <v>5108897.9364572968</v>
      </c>
    </row>
    <row r="22" spans="2:40" ht="30.6" customHeight="1" x14ac:dyDescent="0.3">
      <c r="B22" s="453"/>
      <c r="C22" s="142" t="s">
        <v>55</v>
      </c>
      <c r="D22" s="456"/>
      <c r="E22" s="199" t="s">
        <v>55</v>
      </c>
      <c r="F22" s="143" t="s">
        <v>56</v>
      </c>
      <c r="G22" s="144" t="s">
        <v>57</v>
      </c>
      <c r="H22" s="145">
        <v>1</v>
      </c>
      <c r="I22" s="146">
        <v>2238.4639619000218</v>
      </c>
      <c r="J22" s="311"/>
      <c r="K22" s="260">
        <v>225</v>
      </c>
      <c r="L22" s="163">
        <f t="shared" si="0"/>
        <v>503654.39142750489</v>
      </c>
      <c r="M22" s="261"/>
      <c r="N22" s="260">
        <v>0</v>
      </c>
      <c r="O22" s="163">
        <f t="shared" si="1"/>
        <v>0</v>
      </c>
      <c r="Q22" s="260">
        <v>111</v>
      </c>
      <c r="R22" s="163">
        <f t="shared" si="2"/>
        <v>248469.49977090242</v>
      </c>
      <c r="T22" s="260">
        <v>127</v>
      </c>
      <c r="U22" s="163">
        <f t="shared" si="3"/>
        <v>284284.92316130275</v>
      </c>
      <c r="W22" s="262">
        <v>214</v>
      </c>
      <c r="X22" s="163">
        <f t="shared" si="11"/>
        <v>479031.28784660465</v>
      </c>
      <c r="Z22" s="260">
        <v>111</v>
      </c>
      <c r="AA22" s="163">
        <f t="shared" si="4"/>
        <v>248469.49977090242</v>
      </c>
      <c r="AC22" s="260">
        <v>0</v>
      </c>
      <c r="AD22" s="163">
        <f t="shared" si="5"/>
        <v>0</v>
      </c>
      <c r="AF22" s="260">
        <v>243</v>
      </c>
      <c r="AG22" s="163">
        <f t="shared" si="8"/>
        <v>543946.74274170527</v>
      </c>
      <c r="AI22" s="260"/>
      <c r="AJ22" s="163">
        <f t="shared" si="9"/>
        <v>0</v>
      </c>
      <c r="AL22" s="162">
        <f t="shared" si="10"/>
        <v>1031</v>
      </c>
      <c r="AM22" s="163">
        <f t="shared" si="6"/>
        <v>2307856.3447189224</v>
      </c>
    </row>
    <row r="23" spans="2:40" ht="30.6" customHeight="1" x14ac:dyDescent="0.3">
      <c r="B23" s="453"/>
      <c r="C23" s="142" t="s">
        <v>58</v>
      </c>
      <c r="D23" s="456"/>
      <c r="E23" s="199" t="s">
        <v>58</v>
      </c>
      <c r="F23" s="143" t="s">
        <v>59</v>
      </c>
      <c r="G23" s="144" t="s">
        <v>18</v>
      </c>
      <c r="H23" s="145">
        <v>1</v>
      </c>
      <c r="I23" s="146">
        <v>594.89471667771511</v>
      </c>
      <c r="J23" s="311"/>
      <c r="K23" s="260">
        <v>544.67999999999995</v>
      </c>
      <c r="L23" s="163">
        <f t="shared" si="0"/>
        <v>324027.25428001786</v>
      </c>
      <c r="M23" s="261"/>
      <c r="N23" s="260">
        <v>0</v>
      </c>
      <c r="O23" s="163">
        <f t="shared" si="1"/>
        <v>0</v>
      </c>
      <c r="Q23" s="260">
        <v>0</v>
      </c>
      <c r="R23" s="163">
        <f t="shared" si="2"/>
        <v>0</v>
      </c>
      <c r="T23" s="260">
        <v>0</v>
      </c>
      <c r="U23" s="163">
        <f t="shared" si="3"/>
        <v>0</v>
      </c>
      <c r="W23" s="262">
        <v>830.70999999999992</v>
      </c>
      <c r="X23" s="163">
        <f t="shared" si="11"/>
        <v>494184.99009134469</v>
      </c>
      <c r="Z23" s="260">
        <v>65.989999999999995</v>
      </c>
      <c r="AA23" s="163">
        <f t="shared" si="4"/>
        <v>39257.102353562419</v>
      </c>
      <c r="AC23" s="260">
        <v>55</v>
      </c>
      <c r="AD23" s="163">
        <f t="shared" si="5"/>
        <v>32719.209417274331</v>
      </c>
      <c r="AF23" s="260">
        <v>4663</v>
      </c>
      <c r="AG23" s="163">
        <f t="shared" si="8"/>
        <v>2773994.0638681855</v>
      </c>
      <c r="AI23" s="260"/>
      <c r="AJ23" s="163">
        <f t="shared" si="9"/>
        <v>0</v>
      </c>
      <c r="AL23" s="162">
        <f t="shared" si="10"/>
        <v>6159.38</v>
      </c>
      <c r="AM23" s="163">
        <f t="shared" si="6"/>
        <v>3664182.6200103848</v>
      </c>
    </row>
    <row r="24" spans="2:40" ht="30.6" customHeight="1" x14ac:dyDescent="0.3">
      <c r="B24" s="453"/>
      <c r="C24" s="142" t="s">
        <v>60</v>
      </c>
      <c r="D24" s="456"/>
      <c r="E24" s="199" t="s">
        <v>60</v>
      </c>
      <c r="F24" s="143" t="s">
        <v>61</v>
      </c>
      <c r="G24" s="144" t="s">
        <v>57</v>
      </c>
      <c r="H24" s="145">
        <v>1</v>
      </c>
      <c r="I24" s="146">
        <v>3703.4708434459826</v>
      </c>
      <c r="J24" s="311"/>
      <c r="K24" s="260">
        <v>225</v>
      </c>
      <c r="L24" s="163">
        <f t="shared" si="0"/>
        <v>833280.93977534608</v>
      </c>
      <c r="M24" s="261"/>
      <c r="N24" s="260">
        <v>0</v>
      </c>
      <c r="O24" s="163">
        <f t="shared" si="1"/>
        <v>0</v>
      </c>
      <c r="Q24" s="260">
        <v>111</v>
      </c>
      <c r="R24" s="163">
        <f t="shared" si="2"/>
        <v>411085.26362250408</v>
      </c>
      <c r="T24" s="260">
        <v>127</v>
      </c>
      <c r="U24" s="163">
        <f t="shared" si="3"/>
        <v>470340.7971176398</v>
      </c>
      <c r="W24" s="262">
        <v>214</v>
      </c>
      <c r="X24" s="163">
        <f t="shared" si="11"/>
        <v>792542.76049744023</v>
      </c>
      <c r="Z24" s="260">
        <v>111</v>
      </c>
      <c r="AA24" s="163">
        <f t="shared" si="4"/>
        <v>411085.26362250408</v>
      </c>
      <c r="AC24" s="260">
        <v>0</v>
      </c>
      <c r="AD24" s="163">
        <f t="shared" si="5"/>
        <v>0</v>
      </c>
      <c r="AF24" s="260">
        <v>243</v>
      </c>
      <c r="AG24" s="163">
        <f t="shared" si="8"/>
        <v>899943.41495737375</v>
      </c>
      <c r="AI24" s="260"/>
      <c r="AJ24" s="163">
        <f t="shared" si="9"/>
        <v>0</v>
      </c>
      <c r="AL24" s="162">
        <f t="shared" si="10"/>
        <v>1031</v>
      </c>
      <c r="AM24" s="163">
        <f t="shared" si="6"/>
        <v>3818278.439592808</v>
      </c>
    </row>
    <row r="25" spans="2:40" ht="30.6" customHeight="1" x14ac:dyDescent="0.3">
      <c r="B25" s="453"/>
      <c r="C25" s="142" t="s">
        <v>62</v>
      </c>
      <c r="D25" s="456"/>
      <c r="E25" s="199" t="s">
        <v>62</v>
      </c>
      <c r="F25" s="143" t="s">
        <v>63</v>
      </c>
      <c r="G25" s="144" t="s">
        <v>18</v>
      </c>
      <c r="H25" s="145">
        <v>1</v>
      </c>
      <c r="I25" s="146">
        <v>347.30623848765714</v>
      </c>
      <c r="J25" s="311"/>
      <c r="K25" s="268">
        <v>1850.33</v>
      </c>
      <c r="L25" s="163">
        <f t="shared" si="0"/>
        <v>642631.1522608666</v>
      </c>
      <c r="M25" s="261"/>
      <c r="N25" s="260">
        <v>350</v>
      </c>
      <c r="O25" s="163">
        <f t="shared" si="1"/>
        <v>121557.18347068</v>
      </c>
      <c r="Q25" s="260">
        <v>2295</v>
      </c>
      <c r="R25" s="163">
        <f t="shared" si="2"/>
        <v>797067.81732917309</v>
      </c>
      <c r="T25" s="260">
        <v>3636.5</v>
      </c>
      <c r="U25" s="163">
        <f t="shared" si="3"/>
        <v>1262979.1362603651</v>
      </c>
      <c r="W25" s="262">
        <v>4931.99</v>
      </c>
      <c r="X25" s="163">
        <f t="shared" si="11"/>
        <v>1712910.89515874</v>
      </c>
      <c r="Z25" s="260">
        <v>723.53</v>
      </c>
      <c r="AA25" s="163">
        <f t="shared" si="4"/>
        <v>251286.48273297457</v>
      </c>
      <c r="AC25" s="260">
        <v>840.49</v>
      </c>
      <c r="AD25" s="163">
        <f t="shared" si="5"/>
        <v>291907.42038649094</v>
      </c>
      <c r="AF25" s="260">
        <v>1225</v>
      </c>
      <c r="AG25" s="163">
        <f t="shared" si="8"/>
        <v>425450.14214737999</v>
      </c>
      <c r="AI25" s="260"/>
      <c r="AJ25" s="163">
        <f t="shared" si="9"/>
        <v>0</v>
      </c>
      <c r="AL25" s="162">
        <f t="shared" si="10"/>
        <v>15852.84</v>
      </c>
      <c r="AM25" s="163">
        <f t="shared" si="6"/>
        <v>5505790.2297466705</v>
      </c>
    </row>
    <row r="26" spans="2:40" ht="30.6" customHeight="1" x14ac:dyDescent="0.3">
      <c r="B26" s="453"/>
      <c r="C26" s="142" t="s">
        <v>64</v>
      </c>
      <c r="D26" s="456"/>
      <c r="E26" s="199" t="s">
        <v>64</v>
      </c>
      <c r="F26" s="143" t="s">
        <v>65</v>
      </c>
      <c r="G26" s="144" t="s">
        <v>18</v>
      </c>
      <c r="H26" s="145">
        <v>1</v>
      </c>
      <c r="I26" s="146">
        <v>232.85969804498103</v>
      </c>
      <c r="J26" s="311"/>
      <c r="K26" s="260">
        <v>544.67999999999995</v>
      </c>
      <c r="L26" s="163">
        <f t="shared" si="0"/>
        <v>126834.02033114026</v>
      </c>
      <c r="M26" s="261"/>
      <c r="N26" s="260">
        <v>0</v>
      </c>
      <c r="O26" s="163">
        <f t="shared" si="1"/>
        <v>0</v>
      </c>
      <c r="Q26" s="260">
        <v>0</v>
      </c>
      <c r="R26" s="163">
        <f t="shared" si="2"/>
        <v>0</v>
      </c>
      <c r="T26" s="260">
        <v>0</v>
      </c>
      <c r="U26" s="163">
        <f t="shared" si="3"/>
        <v>0</v>
      </c>
      <c r="W26" s="262">
        <v>830.70999999999992</v>
      </c>
      <c r="X26" s="163">
        <f t="shared" si="11"/>
        <v>193438.87976294616</v>
      </c>
      <c r="Z26" s="268">
        <v>65.989999999999995</v>
      </c>
      <c r="AA26" s="163">
        <f t="shared" si="4"/>
        <v>15366.411473988297</v>
      </c>
      <c r="AC26" s="260">
        <v>55</v>
      </c>
      <c r="AD26" s="163">
        <f t="shared" si="5"/>
        <v>12807.283392473957</v>
      </c>
      <c r="AF26" s="260">
        <v>4663</v>
      </c>
      <c r="AG26" s="163">
        <f t="shared" si="8"/>
        <v>1085824.7719837464</v>
      </c>
      <c r="AI26" s="260"/>
      <c r="AJ26" s="163">
        <f t="shared" si="9"/>
        <v>0</v>
      </c>
      <c r="AL26" s="162">
        <f t="shared" si="10"/>
        <v>6159.38</v>
      </c>
      <c r="AM26" s="163">
        <f t="shared" si="6"/>
        <v>1434271.3669442954</v>
      </c>
    </row>
    <row r="27" spans="2:40" ht="30.6" customHeight="1" x14ac:dyDescent="0.3">
      <c r="B27" s="453"/>
      <c r="C27" s="142" t="s">
        <v>66</v>
      </c>
      <c r="D27" s="456"/>
      <c r="E27" s="199" t="s">
        <v>66</v>
      </c>
      <c r="F27" s="143" t="s">
        <v>67</v>
      </c>
      <c r="G27" s="144" t="s">
        <v>57</v>
      </c>
      <c r="H27" s="145">
        <v>1</v>
      </c>
      <c r="I27" s="146">
        <v>2113.4734203155826</v>
      </c>
      <c r="J27" s="311"/>
      <c r="K27" s="260">
        <v>225</v>
      </c>
      <c r="L27" s="163">
        <f t="shared" si="0"/>
        <v>475531.51957100612</v>
      </c>
      <c r="M27" s="261"/>
      <c r="N27" s="260">
        <v>0</v>
      </c>
      <c r="O27" s="163">
        <f t="shared" si="1"/>
        <v>0</v>
      </c>
      <c r="Q27" s="260">
        <v>111</v>
      </c>
      <c r="R27" s="163">
        <f t="shared" si="2"/>
        <v>234595.54965502967</v>
      </c>
      <c r="T27" s="260">
        <v>127</v>
      </c>
      <c r="U27" s="163">
        <f t="shared" si="3"/>
        <v>268411.12438007898</v>
      </c>
      <c r="W27" s="262">
        <v>214</v>
      </c>
      <c r="X27" s="163">
        <f t="shared" si="11"/>
        <v>452283.31194753468</v>
      </c>
      <c r="Z27" s="260">
        <v>111</v>
      </c>
      <c r="AA27" s="163">
        <f t="shared" si="4"/>
        <v>234595.54965502967</v>
      </c>
      <c r="AC27" s="260">
        <v>0</v>
      </c>
      <c r="AD27" s="163">
        <f t="shared" si="5"/>
        <v>0</v>
      </c>
      <c r="AF27" s="260">
        <v>243</v>
      </c>
      <c r="AG27" s="163">
        <f t="shared" si="8"/>
        <v>513574.04113668657</v>
      </c>
      <c r="AI27" s="260"/>
      <c r="AJ27" s="163">
        <f t="shared" si="9"/>
        <v>0</v>
      </c>
      <c r="AL27" s="162">
        <f t="shared" si="10"/>
        <v>1031</v>
      </c>
      <c r="AM27" s="163">
        <f t="shared" si="6"/>
        <v>2178991.0963453655</v>
      </c>
    </row>
    <row r="28" spans="2:40" ht="30.6" customHeight="1" x14ac:dyDescent="0.3">
      <c r="B28" s="453"/>
      <c r="C28" s="142" t="s">
        <v>68</v>
      </c>
      <c r="D28" s="456"/>
      <c r="E28" s="199" t="s">
        <v>68</v>
      </c>
      <c r="F28" s="143" t="s">
        <v>69</v>
      </c>
      <c r="G28" s="144" t="s">
        <v>18</v>
      </c>
      <c r="H28" s="145">
        <v>1</v>
      </c>
      <c r="I28" s="146">
        <v>2093.0557045627966</v>
      </c>
      <c r="J28" s="311"/>
      <c r="K28" s="260"/>
      <c r="L28" s="163">
        <f t="shared" si="0"/>
        <v>0</v>
      </c>
      <c r="M28" s="261"/>
      <c r="N28" s="260">
        <v>0</v>
      </c>
      <c r="O28" s="163">
        <f t="shared" si="1"/>
        <v>0</v>
      </c>
      <c r="Q28" s="260"/>
      <c r="R28" s="163">
        <f t="shared" si="2"/>
        <v>0</v>
      </c>
      <c r="T28" s="260"/>
      <c r="U28" s="163">
        <f t="shared" si="3"/>
        <v>0</v>
      </c>
      <c r="W28" s="262"/>
      <c r="X28" s="163">
        <f t="shared" si="11"/>
        <v>0</v>
      </c>
      <c r="Z28" s="260"/>
      <c r="AA28" s="163">
        <f t="shared" si="4"/>
        <v>0</v>
      </c>
      <c r="AC28" s="260">
        <v>0</v>
      </c>
      <c r="AD28" s="163">
        <f t="shared" si="5"/>
        <v>0</v>
      </c>
      <c r="AF28" s="260"/>
      <c r="AG28" s="163">
        <f t="shared" si="8"/>
        <v>0</v>
      </c>
      <c r="AI28" s="260"/>
      <c r="AJ28" s="163">
        <f t="shared" si="9"/>
        <v>0</v>
      </c>
      <c r="AL28" s="162">
        <f t="shared" si="10"/>
        <v>0</v>
      </c>
      <c r="AM28" s="163">
        <f t="shared" si="6"/>
        <v>0</v>
      </c>
    </row>
    <row r="29" spans="2:40" ht="30.6" customHeight="1" x14ac:dyDescent="0.3">
      <c r="B29" s="453"/>
      <c r="C29" s="142" t="s">
        <v>70</v>
      </c>
      <c r="D29" s="456"/>
      <c r="E29" s="199" t="s">
        <v>70</v>
      </c>
      <c r="F29" s="143" t="s">
        <v>71</v>
      </c>
      <c r="G29" s="144" t="s">
        <v>18</v>
      </c>
      <c r="H29" s="145">
        <v>1</v>
      </c>
      <c r="I29" s="146">
        <v>2093.0557045627966</v>
      </c>
      <c r="J29" s="311"/>
      <c r="K29" s="260"/>
      <c r="L29" s="163">
        <f t="shared" si="0"/>
        <v>0</v>
      </c>
      <c r="M29" s="261"/>
      <c r="N29" s="260">
        <v>0</v>
      </c>
      <c r="O29" s="163">
        <f t="shared" si="1"/>
        <v>0</v>
      </c>
      <c r="Q29" s="260"/>
      <c r="R29" s="163">
        <f t="shared" si="2"/>
        <v>0</v>
      </c>
      <c r="T29" s="260">
        <v>0</v>
      </c>
      <c r="U29" s="163">
        <f t="shared" si="3"/>
        <v>0</v>
      </c>
      <c r="W29" s="262"/>
      <c r="X29" s="163">
        <f t="shared" si="11"/>
        <v>0</v>
      </c>
      <c r="Z29" s="260"/>
      <c r="AA29" s="163">
        <f t="shared" si="4"/>
        <v>0</v>
      </c>
      <c r="AC29" s="260">
        <v>0</v>
      </c>
      <c r="AD29" s="163">
        <f t="shared" si="5"/>
        <v>0</v>
      </c>
      <c r="AF29" s="260"/>
      <c r="AG29" s="163">
        <f t="shared" si="8"/>
        <v>0</v>
      </c>
      <c r="AI29" s="260"/>
      <c r="AJ29" s="163">
        <f t="shared" si="9"/>
        <v>0</v>
      </c>
      <c r="AL29" s="162">
        <f t="shared" si="10"/>
        <v>0</v>
      </c>
      <c r="AM29" s="163">
        <f t="shared" si="6"/>
        <v>0</v>
      </c>
    </row>
    <row r="30" spans="2:40" ht="30.6" customHeight="1" x14ac:dyDescent="0.3">
      <c r="B30" s="453"/>
      <c r="C30" s="142" t="s">
        <v>72</v>
      </c>
      <c r="D30" s="456"/>
      <c r="E30" s="199" t="s">
        <v>72</v>
      </c>
      <c r="F30" s="143" t="s">
        <v>73</v>
      </c>
      <c r="G30" s="144" t="s">
        <v>57</v>
      </c>
      <c r="H30" s="145">
        <v>1</v>
      </c>
      <c r="I30" s="146">
        <v>13612.224665413896</v>
      </c>
      <c r="J30" s="311"/>
      <c r="K30" s="260"/>
      <c r="L30" s="163">
        <f t="shared" si="0"/>
        <v>0</v>
      </c>
      <c r="M30" s="261"/>
      <c r="N30" s="260">
        <v>0</v>
      </c>
      <c r="O30" s="163">
        <f t="shared" si="1"/>
        <v>0</v>
      </c>
      <c r="Q30" s="260"/>
      <c r="R30" s="163">
        <f t="shared" si="2"/>
        <v>0</v>
      </c>
      <c r="T30" s="260"/>
      <c r="U30" s="163">
        <f t="shared" si="3"/>
        <v>0</v>
      </c>
      <c r="W30" s="262"/>
      <c r="X30" s="163">
        <f t="shared" si="11"/>
        <v>0</v>
      </c>
      <c r="Z30" s="260"/>
      <c r="AA30" s="163">
        <f t="shared" si="4"/>
        <v>0</v>
      </c>
      <c r="AC30" s="260">
        <v>0</v>
      </c>
      <c r="AD30" s="163">
        <f t="shared" si="5"/>
        <v>0</v>
      </c>
      <c r="AF30" s="260"/>
      <c r="AG30" s="163">
        <f t="shared" si="8"/>
        <v>0</v>
      </c>
      <c r="AI30" s="260"/>
      <c r="AJ30" s="163">
        <f t="shared" si="9"/>
        <v>0</v>
      </c>
      <c r="AL30" s="162">
        <f t="shared" si="10"/>
        <v>0</v>
      </c>
      <c r="AM30" s="163">
        <f t="shared" si="6"/>
        <v>0</v>
      </c>
    </row>
    <row r="31" spans="2:40" ht="30.6" customHeight="1" x14ac:dyDescent="0.3">
      <c r="B31" s="453"/>
      <c r="C31" s="142" t="s">
        <v>74</v>
      </c>
      <c r="D31" s="456"/>
      <c r="E31" s="199" t="s">
        <v>74</v>
      </c>
      <c r="F31" s="143" t="s">
        <v>75</v>
      </c>
      <c r="G31" s="144" t="s">
        <v>18</v>
      </c>
      <c r="H31" s="145">
        <v>1</v>
      </c>
      <c r="I31" s="146">
        <v>1144.8498986763207</v>
      </c>
      <c r="J31" s="311"/>
      <c r="K31" s="260">
        <v>1850.33</v>
      </c>
      <c r="L31" s="163">
        <f t="shared" si="0"/>
        <v>2118350.1130177565</v>
      </c>
      <c r="M31" s="261"/>
      <c r="N31" s="260">
        <v>350</v>
      </c>
      <c r="O31" s="163">
        <f t="shared" si="1"/>
        <v>400697.46453671221</v>
      </c>
      <c r="Q31" s="260">
        <v>2376.04</v>
      </c>
      <c r="R31" s="163">
        <f t="shared" si="2"/>
        <v>2720209.1532508847</v>
      </c>
      <c r="T31" s="260">
        <v>3636.5</v>
      </c>
      <c r="U31" s="163">
        <f t="shared" si="3"/>
        <v>4163246.6565364399</v>
      </c>
      <c r="W31" s="262">
        <v>4931.99</v>
      </c>
      <c r="X31" s="163">
        <f t="shared" si="11"/>
        <v>5646388.2517726263</v>
      </c>
      <c r="Z31" s="260">
        <v>723.53</v>
      </c>
      <c r="AA31" s="163">
        <f t="shared" si="4"/>
        <v>828333.24718927825</v>
      </c>
      <c r="AC31" s="260">
        <v>840.49</v>
      </c>
      <c r="AD31" s="163">
        <f t="shared" si="5"/>
        <v>962234.89133846073</v>
      </c>
      <c r="AF31" s="260">
        <v>1225</v>
      </c>
      <c r="AG31" s="163">
        <f t="shared" si="8"/>
        <v>1402441.1258784928</v>
      </c>
      <c r="AI31" s="260"/>
      <c r="AJ31" s="163">
        <f t="shared" si="9"/>
        <v>0</v>
      </c>
      <c r="AL31" s="162">
        <f t="shared" si="10"/>
        <v>15933.88</v>
      </c>
      <c r="AM31" s="163">
        <f t="shared" si="6"/>
        <v>18241900.903520651</v>
      </c>
    </row>
    <row r="32" spans="2:40" ht="30.6" customHeight="1" x14ac:dyDescent="0.3">
      <c r="B32" s="453"/>
      <c r="C32" s="142" t="s">
        <v>76</v>
      </c>
      <c r="D32" s="456"/>
      <c r="E32" s="199" t="s">
        <v>76</v>
      </c>
      <c r="F32" s="143" t="s">
        <v>77</v>
      </c>
      <c r="G32" s="144" t="s">
        <v>18</v>
      </c>
      <c r="H32" s="145">
        <v>1</v>
      </c>
      <c r="I32" s="146">
        <v>259.98889087925915</v>
      </c>
      <c r="J32" s="311"/>
      <c r="K32" s="260">
        <v>544.67999999999995</v>
      </c>
      <c r="L32" s="163">
        <f t="shared" si="0"/>
        <v>141610.74908411485</v>
      </c>
      <c r="M32" s="261"/>
      <c r="N32" s="260">
        <v>0</v>
      </c>
      <c r="O32" s="163">
        <f t="shared" si="1"/>
        <v>0</v>
      </c>
      <c r="Q32" s="260">
        <v>0</v>
      </c>
      <c r="R32" s="163">
        <f t="shared" si="2"/>
        <v>0</v>
      </c>
      <c r="T32" s="260">
        <v>0</v>
      </c>
      <c r="U32" s="163">
        <f t="shared" si="3"/>
        <v>0</v>
      </c>
      <c r="W32" s="262">
        <v>830.70999999999992</v>
      </c>
      <c r="X32" s="163">
        <f t="shared" si="11"/>
        <v>215975.37154230935</v>
      </c>
      <c r="Z32" s="268">
        <v>65.989999999999995</v>
      </c>
      <c r="AA32" s="163">
        <f t="shared" si="4"/>
        <v>17156.666909122308</v>
      </c>
      <c r="AC32" s="260">
        <v>55</v>
      </c>
      <c r="AD32" s="163">
        <f t="shared" si="5"/>
        <v>14299.388998359253</v>
      </c>
      <c r="AF32" s="260">
        <v>4663</v>
      </c>
      <c r="AG32" s="163">
        <f t="shared" si="8"/>
        <v>1212328.1981699853</v>
      </c>
      <c r="AI32" s="260"/>
      <c r="AJ32" s="163">
        <f t="shared" si="9"/>
        <v>0</v>
      </c>
      <c r="AL32" s="162">
        <f t="shared" si="10"/>
        <v>6159.38</v>
      </c>
      <c r="AM32" s="163">
        <f t="shared" si="6"/>
        <v>1601370.3747038911</v>
      </c>
    </row>
    <row r="33" spans="2:39" ht="30.6" customHeight="1" x14ac:dyDescent="0.3">
      <c r="B33" s="453"/>
      <c r="C33" s="142" t="s">
        <v>78</v>
      </c>
      <c r="D33" s="456"/>
      <c r="E33" s="199" t="s">
        <v>78</v>
      </c>
      <c r="F33" s="143" t="s">
        <v>79</v>
      </c>
      <c r="G33" s="144" t="s">
        <v>57</v>
      </c>
      <c r="H33" s="145">
        <v>1</v>
      </c>
      <c r="I33" s="146">
        <v>18027.214659401503</v>
      </c>
      <c r="J33" s="311"/>
      <c r="K33" s="260">
        <v>225</v>
      </c>
      <c r="L33" s="163">
        <f t="shared" si="0"/>
        <v>4056123.2983653382</v>
      </c>
      <c r="M33" s="261"/>
      <c r="N33" s="260">
        <v>0</v>
      </c>
      <c r="O33" s="163">
        <f t="shared" si="1"/>
        <v>0</v>
      </c>
      <c r="Q33" s="260">
        <v>111</v>
      </c>
      <c r="R33" s="163">
        <f t="shared" si="2"/>
        <v>2001020.8271935668</v>
      </c>
      <c r="T33" s="260">
        <v>63.5</v>
      </c>
      <c r="U33" s="163">
        <f t="shared" si="3"/>
        <v>1144728.1308719954</v>
      </c>
      <c r="W33" s="262">
        <v>214</v>
      </c>
      <c r="X33" s="163">
        <f t="shared" si="11"/>
        <v>3857823.9371119216</v>
      </c>
      <c r="Z33" s="260">
        <v>111</v>
      </c>
      <c r="AA33" s="163">
        <f t="shared" si="4"/>
        <v>2001020.8271935668</v>
      </c>
      <c r="AC33" s="260">
        <v>0</v>
      </c>
      <c r="AD33" s="163">
        <f t="shared" si="5"/>
        <v>0</v>
      </c>
      <c r="AF33" s="260">
        <v>243</v>
      </c>
      <c r="AG33" s="163">
        <f t="shared" si="8"/>
        <v>4380613.1622345652</v>
      </c>
      <c r="AI33" s="260"/>
      <c r="AJ33" s="163">
        <f t="shared" si="9"/>
        <v>0</v>
      </c>
      <c r="AL33" s="162">
        <f t="shared" si="10"/>
        <v>967.5</v>
      </c>
      <c r="AM33" s="163">
        <f t="shared" si="6"/>
        <v>17441330.182970956</v>
      </c>
    </row>
    <row r="34" spans="2:39" ht="30.6" customHeight="1" x14ac:dyDescent="0.3">
      <c r="B34" s="453"/>
      <c r="C34" s="142" t="s">
        <v>80</v>
      </c>
      <c r="D34" s="456"/>
      <c r="E34" s="199" t="s">
        <v>80</v>
      </c>
      <c r="F34" s="143" t="s">
        <v>81</v>
      </c>
      <c r="G34" s="144" t="s">
        <v>82</v>
      </c>
      <c r="H34" s="145">
        <v>1</v>
      </c>
      <c r="I34" s="146">
        <v>2762.7907377443657</v>
      </c>
      <c r="J34" s="311"/>
      <c r="K34" s="260">
        <v>544.67999999999995</v>
      </c>
      <c r="L34" s="163">
        <f t="shared" si="0"/>
        <v>1504836.8590346009</v>
      </c>
      <c r="M34" s="261"/>
      <c r="N34" s="260">
        <v>0</v>
      </c>
      <c r="O34" s="163">
        <f t="shared" si="1"/>
        <v>0</v>
      </c>
      <c r="Q34" s="260">
        <v>0</v>
      </c>
      <c r="R34" s="163">
        <f t="shared" si="2"/>
        <v>0</v>
      </c>
      <c r="T34" s="260">
        <v>0</v>
      </c>
      <c r="U34" s="163">
        <f t="shared" si="3"/>
        <v>0</v>
      </c>
      <c r="W34" s="262">
        <v>830.70999999999992</v>
      </c>
      <c r="X34" s="163">
        <f t="shared" si="11"/>
        <v>2295077.8937516217</v>
      </c>
      <c r="Z34" s="260">
        <v>65.989999999999995</v>
      </c>
      <c r="AA34" s="163">
        <f t="shared" si="4"/>
        <v>182316.56078375067</v>
      </c>
      <c r="AC34" s="260">
        <v>55</v>
      </c>
      <c r="AD34" s="163">
        <f t="shared" si="5"/>
        <v>151953.49057594012</v>
      </c>
      <c r="AF34" s="260">
        <v>3427</v>
      </c>
      <c r="AG34" s="163">
        <f t="shared" si="8"/>
        <v>9468083.8582499418</v>
      </c>
      <c r="AI34" s="260"/>
      <c r="AJ34" s="163">
        <f t="shared" si="9"/>
        <v>0</v>
      </c>
      <c r="AL34" s="162">
        <f t="shared" si="10"/>
        <v>4923.38</v>
      </c>
      <c r="AM34" s="163">
        <f t="shared" si="6"/>
        <v>13602268.662395855</v>
      </c>
    </row>
    <row r="35" spans="2:39" ht="30.6" customHeight="1" x14ac:dyDescent="0.3">
      <c r="B35" s="453"/>
      <c r="C35" s="142" t="s">
        <v>83</v>
      </c>
      <c r="D35" s="456"/>
      <c r="E35" s="199" t="s">
        <v>83</v>
      </c>
      <c r="F35" s="143" t="s">
        <v>84</v>
      </c>
      <c r="G35" s="144" t="s">
        <v>18</v>
      </c>
      <c r="H35" s="145">
        <v>1</v>
      </c>
      <c r="I35" s="146">
        <v>526.66168034125826</v>
      </c>
      <c r="J35" s="311"/>
      <c r="K35" s="260">
        <v>2620.0099999999998</v>
      </c>
      <c r="L35" s="163">
        <f t="shared" si="0"/>
        <v>1379858.8691109</v>
      </c>
      <c r="M35" s="261"/>
      <c r="N35" s="260">
        <v>0</v>
      </c>
      <c r="O35" s="163">
        <f t="shared" si="1"/>
        <v>0</v>
      </c>
      <c r="Q35" s="260">
        <v>2295</v>
      </c>
      <c r="R35" s="163">
        <f t="shared" si="2"/>
        <v>1208688.5563831876</v>
      </c>
      <c r="T35" s="260">
        <v>3636.5</v>
      </c>
      <c r="U35" s="163">
        <f t="shared" si="3"/>
        <v>1915205.2005609856</v>
      </c>
      <c r="W35" s="262">
        <v>5976.7</v>
      </c>
      <c r="X35" s="163">
        <f t="shared" si="11"/>
        <v>3147698.864895598</v>
      </c>
      <c r="Z35" s="260">
        <v>1053.52</v>
      </c>
      <c r="AA35" s="163">
        <f t="shared" si="4"/>
        <v>554848.61347312236</v>
      </c>
      <c r="AC35" s="260">
        <v>895.49</v>
      </c>
      <c r="AD35" s="163">
        <f t="shared" si="5"/>
        <v>471620.26812879334</v>
      </c>
      <c r="AF35" s="260">
        <v>5887</v>
      </c>
      <c r="AG35" s="163">
        <f t="shared" si="8"/>
        <v>3100457.3121689875</v>
      </c>
      <c r="AI35" s="260"/>
      <c r="AJ35" s="163">
        <f t="shared" si="9"/>
        <v>0</v>
      </c>
      <c r="AL35" s="162">
        <f t="shared" si="10"/>
        <v>22364.22</v>
      </c>
      <c r="AM35" s="163">
        <f t="shared" si="6"/>
        <v>11778377.684721576</v>
      </c>
    </row>
    <row r="36" spans="2:39" ht="30.6" customHeight="1" x14ac:dyDescent="0.3">
      <c r="B36" s="453"/>
      <c r="C36" s="142" t="s">
        <v>85</v>
      </c>
      <c r="D36" s="456"/>
      <c r="E36" s="199" t="s">
        <v>85</v>
      </c>
      <c r="F36" s="143" t="s">
        <v>86</v>
      </c>
      <c r="G36" s="144" t="s">
        <v>87</v>
      </c>
      <c r="H36" s="145">
        <v>1</v>
      </c>
      <c r="I36" s="146">
        <v>847518.54318307794</v>
      </c>
      <c r="J36" s="311"/>
      <c r="K36" s="260">
        <v>9</v>
      </c>
      <c r="L36" s="163">
        <f t="shared" si="0"/>
        <v>7627666.8886477016</v>
      </c>
      <c r="M36" s="261"/>
      <c r="N36" s="260">
        <v>6</v>
      </c>
      <c r="O36" s="163">
        <f t="shared" si="1"/>
        <v>5085111.2590984674</v>
      </c>
      <c r="Q36" s="260">
        <v>0</v>
      </c>
      <c r="R36" s="163">
        <f t="shared" si="2"/>
        <v>0</v>
      </c>
      <c r="T36" s="260">
        <v>0</v>
      </c>
      <c r="U36" s="163">
        <f t="shared" si="3"/>
        <v>0</v>
      </c>
      <c r="W36" s="262">
        <v>13</v>
      </c>
      <c r="X36" s="163">
        <f t="shared" si="11"/>
        <v>11017741.061380014</v>
      </c>
      <c r="Z36" s="260">
        <v>2</v>
      </c>
      <c r="AA36" s="163">
        <f t="shared" si="4"/>
        <v>1695037.0863661559</v>
      </c>
      <c r="AC36" s="260">
        <v>0</v>
      </c>
      <c r="AD36" s="163">
        <f t="shared" si="5"/>
        <v>0</v>
      </c>
      <c r="AF36" s="260">
        <v>36</v>
      </c>
      <c r="AG36" s="163">
        <f t="shared" si="8"/>
        <v>30510667.554590806</v>
      </c>
      <c r="AI36" s="260"/>
      <c r="AJ36" s="163">
        <f t="shared" si="9"/>
        <v>0</v>
      </c>
      <c r="AL36" s="162">
        <f t="shared" si="10"/>
        <v>66</v>
      </c>
      <c r="AM36" s="163">
        <f t="shared" si="6"/>
        <v>55936223.850083143</v>
      </c>
    </row>
    <row r="37" spans="2:39" ht="30.6" customHeight="1" thickBot="1" x14ac:dyDescent="0.35">
      <c r="B37" s="454"/>
      <c r="C37" s="147" t="s">
        <v>88</v>
      </c>
      <c r="D37" s="456"/>
      <c r="E37" s="216" t="s">
        <v>88</v>
      </c>
      <c r="F37" s="217" t="s">
        <v>89</v>
      </c>
      <c r="G37" s="218" t="s">
        <v>18</v>
      </c>
      <c r="H37" s="219">
        <v>1</v>
      </c>
      <c r="I37" s="220">
        <v>1366.1760146780125</v>
      </c>
      <c r="J37" s="311"/>
      <c r="K37" s="260">
        <v>2620.0099999999998</v>
      </c>
      <c r="L37" s="163">
        <f t="shared" si="0"/>
        <v>3579394.8202165393</v>
      </c>
      <c r="M37" s="261"/>
      <c r="N37" s="260">
        <v>350</v>
      </c>
      <c r="O37" s="163">
        <f t="shared" si="1"/>
        <v>478161.6051373044</v>
      </c>
      <c r="Q37" s="260">
        <v>2406</v>
      </c>
      <c r="R37" s="163">
        <f t="shared" si="2"/>
        <v>3287019.4913152982</v>
      </c>
      <c r="T37" s="260">
        <v>3763.5</v>
      </c>
      <c r="U37" s="163">
        <f t="shared" si="3"/>
        <v>5141603.4312407002</v>
      </c>
      <c r="W37" s="262">
        <v>5976.7</v>
      </c>
      <c r="X37" s="163">
        <f t="shared" si="11"/>
        <v>8165224.1869260771</v>
      </c>
      <c r="Z37" s="260">
        <v>900.52</v>
      </c>
      <c r="AA37" s="163">
        <f t="shared" si="4"/>
        <v>1230268.8247378438</v>
      </c>
      <c r="AC37" s="260">
        <v>895.49</v>
      </c>
      <c r="AD37" s="163">
        <f t="shared" si="5"/>
        <v>1223396.9593840134</v>
      </c>
      <c r="AF37" s="260">
        <v>10550</v>
      </c>
      <c r="AG37" s="163">
        <f t="shared" si="8"/>
        <v>14413156.954853032</v>
      </c>
      <c r="AI37" s="260"/>
      <c r="AJ37" s="163">
        <f t="shared" si="9"/>
        <v>0</v>
      </c>
      <c r="AL37" s="162">
        <f t="shared" si="10"/>
        <v>27462.22</v>
      </c>
      <c r="AM37" s="163">
        <f t="shared" si="6"/>
        <v>37518226.273810811</v>
      </c>
    </row>
    <row r="38" spans="2:39" ht="30.6" customHeight="1" x14ac:dyDescent="0.3">
      <c r="B38" s="212"/>
      <c r="C38" s="215"/>
      <c r="D38" s="456"/>
      <c r="E38" s="216">
        <v>2.19</v>
      </c>
      <c r="F38" s="217" t="s">
        <v>90</v>
      </c>
      <c r="G38" s="218" t="s">
        <v>18</v>
      </c>
      <c r="H38" s="219">
        <v>1</v>
      </c>
      <c r="I38" s="220">
        <v>3078.6933350710128</v>
      </c>
      <c r="J38" s="311"/>
      <c r="K38" s="260">
        <v>0</v>
      </c>
      <c r="L38" s="163">
        <f t="shared" si="0"/>
        <v>0</v>
      </c>
      <c r="M38" s="261"/>
      <c r="N38" s="260">
        <v>0</v>
      </c>
      <c r="O38" s="163">
        <f t="shared" si="1"/>
        <v>0</v>
      </c>
      <c r="Q38" s="260">
        <v>0</v>
      </c>
      <c r="R38" s="163">
        <f t="shared" si="2"/>
        <v>0</v>
      </c>
      <c r="T38" s="260">
        <v>0</v>
      </c>
      <c r="U38" s="163">
        <f t="shared" si="3"/>
        <v>0</v>
      </c>
      <c r="W38" s="262">
        <v>0</v>
      </c>
      <c r="X38" s="163">
        <f t="shared" si="11"/>
        <v>0</v>
      </c>
      <c r="Z38" s="260">
        <v>153</v>
      </c>
      <c r="AA38" s="163">
        <f t="shared" si="4"/>
        <v>471040.08026586496</v>
      </c>
      <c r="AC38" s="260">
        <v>0</v>
      </c>
      <c r="AD38" s="163">
        <f t="shared" si="5"/>
        <v>0</v>
      </c>
      <c r="AF38" s="260">
        <v>0</v>
      </c>
      <c r="AG38" s="163">
        <f t="shared" si="8"/>
        <v>0</v>
      </c>
      <c r="AI38" s="260"/>
      <c r="AJ38" s="163">
        <f t="shared" si="9"/>
        <v>0</v>
      </c>
      <c r="AL38" s="162">
        <f t="shared" si="10"/>
        <v>153</v>
      </c>
      <c r="AM38" s="163">
        <f t="shared" si="6"/>
        <v>471040.08026586496</v>
      </c>
    </row>
    <row r="39" spans="2:39" ht="30.6" customHeight="1" x14ac:dyDescent="0.3">
      <c r="B39" s="212"/>
      <c r="C39" s="215"/>
      <c r="D39" s="456"/>
      <c r="E39" s="216">
        <v>2.2000000000000002</v>
      </c>
      <c r="F39" s="217" t="s">
        <v>91</v>
      </c>
      <c r="G39" s="218" t="s">
        <v>18</v>
      </c>
      <c r="H39" s="219">
        <v>1</v>
      </c>
      <c r="I39" s="220">
        <v>3403.9983705544573</v>
      </c>
      <c r="J39" s="311"/>
      <c r="K39" s="260">
        <v>0</v>
      </c>
      <c r="L39" s="163">
        <f t="shared" si="0"/>
        <v>0</v>
      </c>
      <c r="M39" s="261"/>
      <c r="N39" s="260">
        <v>0</v>
      </c>
      <c r="O39" s="163">
        <f t="shared" si="1"/>
        <v>0</v>
      </c>
      <c r="Q39" s="260">
        <v>0</v>
      </c>
      <c r="R39" s="163">
        <f t="shared" si="2"/>
        <v>0</v>
      </c>
      <c r="T39" s="260">
        <v>0</v>
      </c>
      <c r="U39" s="163">
        <f t="shared" si="3"/>
        <v>0</v>
      </c>
      <c r="W39" s="262">
        <v>0</v>
      </c>
      <c r="X39" s="163">
        <f t="shared" si="11"/>
        <v>0</v>
      </c>
      <c r="Z39" s="260">
        <v>153</v>
      </c>
      <c r="AA39" s="163">
        <f t="shared" si="4"/>
        <v>520811.75069483195</v>
      </c>
      <c r="AC39" s="260">
        <v>0</v>
      </c>
      <c r="AD39" s="163">
        <f t="shared" si="5"/>
        <v>0</v>
      </c>
      <c r="AF39" s="260">
        <v>0</v>
      </c>
      <c r="AG39" s="163">
        <f t="shared" si="8"/>
        <v>0</v>
      </c>
      <c r="AI39" s="260"/>
      <c r="AJ39" s="163">
        <f t="shared" si="9"/>
        <v>0</v>
      </c>
      <c r="AL39" s="162">
        <f t="shared" si="10"/>
        <v>153</v>
      </c>
      <c r="AM39" s="163">
        <f t="shared" si="6"/>
        <v>520811.75069483195</v>
      </c>
    </row>
    <row r="40" spans="2:39" ht="30.6" customHeight="1" x14ac:dyDescent="0.3">
      <c r="B40" s="212"/>
      <c r="C40" s="215"/>
      <c r="D40" s="456"/>
      <c r="E40" s="216">
        <v>2.21</v>
      </c>
      <c r="F40" s="217" t="s">
        <v>92</v>
      </c>
      <c r="G40" s="218" t="s">
        <v>18</v>
      </c>
      <c r="H40" s="219">
        <v>1</v>
      </c>
      <c r="I40" s="220">
        <v>2869.2426152216503</v>
      </c>
      <c r="J40" s="311"/>
      <c r="K40" s="260">
        <v>0</v>
      </c>
      <c r="L40" s="163">
        <f t="shared" si="0"/>
        <v>0</v>
      </c>
      <c r="M40" s="261"/>
      <c r="N40" s="260">
        <v>0</v>
      </c>
      <c r="O40" s="163">
        <f t="shared" si="1"/>
        <v>0</v>
      </c>
      <c r="Q40" s="260">
        <v>0</v>
      </c>
      <c r="R40" s="163">
        <f t="shared" si="2"/>
        <v>0</v>
      </c>
      <c r="T40" s="260">
        <v>0</v>
      </c>
      <c r="U40" s="163">
        <f t="shared" si="3"/>
        <v>0</v>
      </c>
      <c r="W40" s="262">
        <v>0</v>
      </c>
      <c r="X40" s="163">
        <f t="shared" si="11"/>
        <v>0</v>
      </c>
      <c r="Z40" s="260">
        <v>153</v>
      </c>
      <c r="AA40" s="163">
        <f t="shared" si="4"/>
        <v>438994.1201289125</v>
      </c>
      <c r="AC40" s="260">
        <v>0</v>
      </c>
      <c r="AD40" s="163">
        <f t="shared" si="5"/>
        <v>0</v>
      </c>
      <c r="AF40" s="260">
        <v>0</v>
      </c>
      <c r="AG40" s="163">
        <f t="shared" si="8"/>
        <v>0</v>
      </c>
      <c r="AI40" s="260"/>
      <c r="AJ40" s="163">
        <f t="shared" si="9"/>
        <v>0</v>
      </c>
      <c r="AL40" s="162">
        <f t="shared" si="10"/>
        <v>153</v>
      </c>
      <c r="AM40" s="163">
        <f t="shared" si="6"/>
        <v>438994.1201289125</v>
      </c>
    </row>
    <row r="41" spans="2:39" ht="30.6" customHeight="1" thickBot="1" x14ac:dyDescent="0.35">
      <c r="B41" s="212"/>
      <c r="C41" s="215"/>
      <c r="D41" s="457"/>
      <c r="E41" s="147">
        <v>2.2200000000000002</v>
      </c>
      <c r="F41" s="237" t="s">
        <v>93</v>
      </c>
      <c r="G41" s="238" t="s">
        <v>18</v>
      </c>
      <c r="H41" s="239">
        <v>1</v>
      </c>
      <c r="I41" s="240">
        <v>3441.8250787235925</v>
      </c>
      <c r="J41" s="311"/>
      <c r="K41" s="269">
        <v>0</v>
      </c>
      <c r="L41" s="270">
        <f t="shared" si="0"/>
        <v>0</v>
      </c>
      <c r="M41" s="271"/>
      <c r="N41" s="269">
        <v>0</v>
      </c>
      <c r="O41" s="270">
        <f t="shared" si="1"/>
        <v>0</v>
      </c>
      <c r="P41" s="241"/>
      <c r="Q41" s="269">
        <v>0</v>
      </c>
      <c r="R41" s="270">
        <f t="shared" si="2"/>
        <v>0</v>
      </c>
      <c r="S41" s="241"/>
      <c r="T41" s="269">
        <v>0</v>
      </c>
      <c r="U41" s="270">
        <f t="shared" si="3"/>
        <v>0</v>
      </c>
      <c r="V41" s="241"/>
      <c r="W41" s="337">
        <v>0</v>
      </c>
      <c r="X41" s="270">
        <f t="shared" si="11"/>
        <v>0</v>
      </c>
      <c r="Y41" s="241"/>
      <c r="Z41" s="269"/>
      <c r="AA41" s="270">
        <f t="shared" si="4"/>
        <v>0</v>
      </c>
      <c r="AB41" s="296"/>
      <c r="AC41" s="269">
        <v>0</v>
      </c>
      <c r="AD41" s="270">
        <f t="shared" si="5"/>
        <v>0</v>
      </c>
      <c r="AE41" s="241"/>
      <c r="AF41" s="269">
        <v>0</v>
      </c>
      <c r="AG41" s="270">
        <f t="shared" si="8"/>
        <v>0</v>
      </c>
      <c r="AH41" s="241"/>
      <c r="AI41" s="269"/>
      <c r="AJ41" s="270">
        <f t="shared" si="9"/>
        <v>0</v>
      </c>
      <c r="AK41" s="241"/>
      <c r="AL41" s="162">
        <f t="shared" si="10"/>
        <v>0</v>
      </c>
      <c r="AM41" s="270">
        <f t="shared" si="6"/>
        <v>0</v>
      </c>
    </row>
    <row r="42" spans="2:39" ht="30.6" customHeight="1" x14ac:dyDescent="0.3">
      <c r="B42" s="458" t="s">
        <v>599</v>
      </c>
      <c r="C42" s="148">
        <v>3.01</v>
      </c>
      <c r="D42" s="458" t="s">
        <v>599</v>
      </c>
      <c r="E42" s="231">
        <v>3.01</v>
      </c>
      <c r="F42" s="232" t="s">
        <v>94</v>
      </c>
      <c r="G42" s="233" t="s">
        <v>82</v>
      </c>
      <c r="H42" s="234">
        <v>1</v>
      </c>
      <c r="I42" s="235">
        <v>29683.035643413514</v>
      </c>
      <c r="J42" s="311"/>
      <c r="K42" s="272">
        <v>340</v>
      </c>
      <c r="L42" s="236">
        <f t="shared" si="0"/>
        <v>10092232.118760595</v>
      </c>
      <c r="M42" s="261"/>
      <c r="N42" s="272">
        <v>0</v>
      </c>
      <c r="O42" s="236">
        <f t="shared" si="1"/>
        <v>0</v>
      </c>
      <c r="Q42" s="272">
        <v>0</v>
      </c>
      <c r="R42" s="236">
        <f t="shared" si="2"/>
        <v>0</v>
      </c>
      <c r="T42" s="272">
        <v>0</v>
      </c>
      <c r="U42" s="236">
        <f t="shared" si="3"/>
        <v>0</v>
      </c>
      <c r="W42" s="338">
        <v>0</v>
      </c>
      <c r="X42" s="236">
        <f t="shared" si="11"/>
        <v>0</v>
      </c>
      <c r="Z42" s="272">
        <v>0</v>
      </c>
      <c r="AA42" s="236">
        <f t="shared" si="4"/>
        <v>0</v>
      </c>
      <c r="AC42" s="272">
        <v>0</v>
      </c>
      <c r="AD42" s="236">
        <f t="shared" si="5"/>
        <v>0</v>
      </c>
      <c r="AF42" s="272">
        <v>0</v>
      </c>
      <c r="AG42" s="236">
        <f t="shared" si="8"/>
        <v>0</v>
      </c>
      <c r="AI42" s="272"/>
      <c r="AJ42" s="236">
        <f t="shared" si="9"/>
        <v>0</v>
      </c>
      <c r="AL42" s="162">
        <f t="shared" si="10"/>
        <v>340</v>
      </c>
      <c r="AM42" s="236">
        <f t="shared" si="6"/>
        <v>10092232.118760595</v>
      </c>
    </row>
    <row r="43" spans="2:39" ht="30.6" customHeight="1" x14ac:dyDescent="0.3">
      <c r="B43" s="459"/>
      <c r="C43" s="149">
        <v>3.02</v>
      </c>
      <c r="D43" s="459"/>
      <c r="E43" s="200">
        <v>3.02</v>
      </c>
      <c r="F43" s="150" t="s">
        <v>95</v>
      </c>
      <c r="G43" s="151" t="s">
        <v>18</v>
      </c>
      <c r="H43" s="152">
        <v>1</v>
      </c>
      <c r="I43" s="153">
        <v>210.64279344195319</v>
      </c>
      <c r="J43" s="311"/>
      <c r="K43" s="260">
        <v>17149.86</v>
      </c>
      <c r="L43" s="163">
        <f t="shared" si="0"/>
        <v>3612494.4175384156</v>
      </c>
      <c r="M43" s="261"/>
      <c r="N43" s="260">
        <v>0</v>
      </c>
      <c r="O43" s="163">
        <f t="shared" si="1"/>
        <v>0</v>
      </c>
      <c r="Q43" s="260">
        <v>0</v>
      </c>
      <c r="R43" s="163">
        <f t="shared" si="2"/>
        <v>0</v>
      </c>
      <c r="T43" s="260">
        <v>0</v>
      </c>
      <c r="U43" s="163">
        <f t="shared" si="3"/>
        <v>0</v>
      </c>
      <c r="W43" s="262">
        <v>12606.94</v>
      </c>
      <c r="X43" s="163">
        <f t="shared" si="11"/>
        <v>2655561.0583550977</v>
      </c>
      <c r="Z43" s="260">
        <v>0</v>
      </c>
      <c r="AA43" s="163">
        <f t="shared" si="4"/>
        <v>0</v>
      </c>
      <c r="AC43" s="260">
        <v>7674.74</v>
      </c>
      <c r="AD43" s="163">
        <f t="shared" si="5"/>
        <v>1616628.6725406959</v>
      </c>
      <c r="AF43" s="260">
        <v>1881</v>
      </c>
      <c r="AG43" s="163">
        <f t="shared" si="8"/>
        <v>396219.09446431394</v>
      </c>
      <c r="AI43" s="260"/>
      <c r="AJ43" s="163">
        <f t="shared" si="9"/>
        <v>0</v>
      </c>
      <c r="AL43" s="162">
        <f t="shared" si="10"/>
        <v>39312.54</v>
      </c>
      <c r="AM43" s="163">
        <f t="shared" si="6"/>
        <v>8280903.2428985229</v>
      </c>
    </row>
    <row r="44" spans="2:39" ht="30.6" customHeight="1" x14ac:dyDescent="0.3">
      <c r="B44" s="459"/>
      <c r="C44" s="149">
        <v>3.03</v>
      </c>
      <c r="D44" s="459"/>
      <c r="E44" s="200">
        <v>3.03</v>
      </c>
      <c r="F44" s="150" t="s">
        <v>96</v>
      </c>
      <c r="G44" s="151" t="s">
        <v>18</v>
      </c>
      <c r="H44" s="152">
        <v>1</v>
      </c>
      <c r="I44" s="153">
        <v>1513.5690705821555</v>
      </c>
      <c r="J44" s="311"/>
      <c r="K44" s="260">
        <v>17149.86</v>
      </c>
      <c r="L44" s="163">
        <f t="shared" si="0"/>
        <v>25957497.660814088</v>
      </c>
      <c r="M44" s="261"/>
      <c r="N44" s="260"/>
      <c r="O44" s="163">
        <f t="shared" si="1"/>
        <v>0</v>
      </c>
      <c r="Q44" s="260">
        <v>3852</v>
      </c>
      <c r="R44" s="163">
        <f t="shared" si="2"/>
        <v>5830268.059882463</v>
      </c>
      <c r="T44" s="260">
        <v>3555</v>
      </c>
      <c r="U44" s="163">
        <f t="shared" si="3"/>
        <v>5380738.0459195627</v>
      </c>
      <c r="W44" s="262">
        <v>12606.94</v>
      </c>
      <c r="X44" s="163">
        <f t="shared" si="11"/>
        <v>19081474.458684999</v>
      </c>
      <c r="Z44" s="260">
        <v>11659.439999999999</v>
      </c>
      <c r="AA44" s="163">
        <f t="shared" si="4"/>
        <v>17647367.764308404</v>
      </c>
      <c r="AC44" s="260">
        <v>8568.0499999999993</v>
      </c>
      <c r="AD44" s="163">
        <f t="shared" si="5"/>
        <v>12968335.475201437</v>
      </c>
      <c r="AF44" s="260">
        <v>1881</v>
      </c>
      <c r="AG44" s="163">
        <f t="shared" si="8"/>
        <v>2847023.4217650346</v>
      </c>
      <c r="AI44" s="260"/>
      <c r="AJ44" s="163">
        <f t="shared" si="9"/>
        <v>0</v>
      </c>
      <c r="AL44" s="162">
        <f t="shared" si="10"/>
        <v>59272.290000000008</v>
      </c>
      <c r="AM44" s="163">
        <f t="shared" si="6"/>
        <v>89712704.886575997</v>
      </c>
    </row>
    <row r="45" spans="2:39" ht="30.6" customHeight="1" x14ac:dyDescent="0.3">
      <c r="B45" s="459"/>
      <c r="C45" s="149">
        <v>3.04</v>
      </c>
      <c r="D45" s="459"/>
      <c r="E45" s="200">
        <v>3.04</v>
      </c>
      <c r="F45" s="150" t="s">
        <v>97</v>
      </c>
      <c r="G45" s="151" t="s">
        <v>21</v>
      </c>
      <c r="H45" s="152">
        <v>1</v>
      </c>
      <c r="I45" s="153">
        <v>603.88170776925142</v>
      </c>
      <c r="J45" s="311"/>
      <c r="K45" s="260">
        <v>17149.86</v>
      </c>
      <c r="L45" s="163">
        <f t="shared" si="0"/>
        <v>10356486.744803574</v>
      </c>
      <c r="M45" s="261"/>
      <c r="N45" s="260"/>
      <c r="O45" s="163">
        <f t="shared" si="1"/>
        <v>0</v>
      </c>
      <c r="Q45" s="260">
        <v>7704</v>
      </c>
      <c r="R45" s="163">
        <f t="shared" si="2"/>
        <v>4652304.6766543128</v>
      </c>
      <c r="T45" s="260">
        <v>7110</v>
      </c>
      <c r="U45" s="163">
        <f t="shared" si="3"/>
        <v>4293598.9422393776</v>
      </c>
      <c r="W45" s="262">
        <v>12606.94</v>
      </c>
      <c r="X45" s="163">
        <f t="shared" si="11"/>
        <v>7613100.4569444871</v>
      </c>
      <c r="Z45" s="260">
        <f>11717.74*2</f>
        <v>23435.48</v>
      </c>
      <c r="AA45" s="163">
        <f t="shared" si="4"/>
        <v>14152257.684792137</v>
      </c>
      <c r="AC45" s="260">
        <v>2983.1</v>
      </c>
      <c r="AD45" s="163">
        <f t="shared" si="5"/>
        <v>1801439.5224464538</v>
      </c>
      <c r="AF45" s="260">
        <v>1881</v>
      </c>
      <c r="AG45" s="163">
        <f t="shared" si="8"/>
        <v>1135901.492313962</v>
      </c>
      <c r="AI45" s="260"/>
      <c r="AJ45" s="163">
        <f t="shared" si="9"/>
        <v>0</v>
      </c>
      <c r="AL45" s="162">
        <f t="shared" si="10"/>
        <v>72870.37999999999</v>
      </c>
      <c r="AM45" s="163">
        <f t="shared" si="6"/>
        <v>44005089.5201943</v>
      </c>
    </row>
    <row r="46" spans="2:39" ht="30.6" customHeight="1" x14ac:dyDescent="0.3">
      <c r="B46" s="459"/>
      <c r="C46" s="154">
        <v>3.05</v>
      </c>
      <c r="D46" s="459"/>
      <c r="E46" s="201">
        <v>3.05</v>
      </c>
      <c r="F46" s="155" t="s">
        <v>98</v>
      </c>
      <c r="G46" s="156" t="s">
        <v>18</v>
      </c>
      <c r="H46" s="157">
        <v>1</v>
      </c>
      <c r="I46" s="158">
        <v>146.32132674787175</v>
      </c>
      <c r="J46" s="311"/>
      <c r="K46" s="260">
        <v>17149.86</v>
      </c>
      <c r="L46" s="163">
        <f t="shared" si="0"/>
        <v>2509390.2687402559</v>
      </c>
      <c r="M46" s="261"/>
      <c r="N46" s="260">
        <v>0</v>
      </c>
      <c r="O46" s="163">
        <f t="shared" si="1"/>
        <v>0</v>
      </c>
      <c r="Q46" s="260">
        <v>0</v>
      </c>
      <c r="R46" s="163">
        <f t="shared" si="2"/>
        <v>0</v>
      </c>
      <c r="T46" s="260">
        <v>0</v>
      </c>
      <c r="U46" s="163">
        <f t="shared" si="3"/>
        <v>0</v>
      </c>
      <c r="W46" s="262">
        <v>12606.94</v>
      </c>
      <c r="X46" s="163">
        <f t="shared" si="11"/>
        <v>1844664.1870308144</v>
      </c>
      <c r="Z46" s="260">
        <v>0</v>
      </c>
      <c r="AA46" s="163">
        <f t="shared" si="4"/>
        <v>0</v>
      </c>
      <c r="AC46" s="260">
        <v>0</v>
      </c>
      <c r="AD46" s="163">
        <f t="shared" si="5"/>
        <v>0</v>
      </c>
      <c r="AF46" s="260">
        <v>1881</v>
      </c>
      <c r="AG46" s="163">
        <f t="shared" si="8"/>
        <v>275230.41561274679</v>
      </c>
      <c r="AI46" s="260"/>
      <c r="AJ46" s="163">
        <f t="shared" si="9"/>
        <v>0</v>
      </c>
      <c r="AL46" s="162">
        <f t="shared" si="10"/>
        <v>31637.800000000003</v>
      </c>
      <c r="AM46" s="163">
        <f t="shared" si="6"/>
        <v>4629284.8713838169</v>
      </c>
    </row>
    <row r="47" spans="2:39" ht="30.6" customHeight="1" thickBot="1" x14ac:dyDescent="0.35">
      <c r="B47" s="460"/>
      <c r="C47" s="159">
        <v>3.06</v>
      </c>
      <c r="D47" s="459"/>
      <c r="E47" s="201">
        <v>3.06</v>
      </c>
      <c r="F47" s="155" t="str">
        <f>UPPER("Pulido y encerado de pisos  de mármol por medios mecánicos y manuales")</f>
        <v>PULIDO Y ENCERADO DE PISOS  DE MÁRMOL POR MEDIOS MECÁNICOS Y MANUALES</v>
      </c>
      <c r="G47" s="156" t="s">
        <v>21</v>
      </c>
      <c r="H47" s="157">
        <v>1</v>
      </c>
      <c r="I47" s="158">
        <v>22284.072874232868</v>
      </c>
      <c r="J47" s="311"/>
      <c r="K47" s="260">
        <v>2384</v>
      </c>
      <c r="L47" s="163">
        <f t="shared" si="0"/>
        <v>53125229.732171156</v>
      </c>
      <c r="M47" s="261"/>
      <c r="N47" s="260">
        <v>0</v>
      </c>
      <c r="O47" s="163">
        <f t="shared" si="1"/>
        <v>0</v>
      </c>
      <c r="Q47" s="260">
        <v>0</v>
      </c>
      <c r="R47" s="163">
        <f t="shared" si="2"/>
        <v>0</v>
      </c>
      <c r="T47" s="260">
        <v>0</v>
      </c>
      <c r="U47" s="163">
        <f t="shared" si="3"/>
        <v>0</v>
      </c>
      <c r="W47" s="262">
        <v>0</v>
      </c>
      <c r="X47" s="163">
        <f t="shared" si="11"/>
        <v>0</v>
      </c>
      <c r="Z47" s="268">
        <v>6726.14</v>
      </c>
      <c r="AA47" s="163">
        <f t="shared" si="4"/>
        <v>149885793.92229268</v>
      </c>
      <c r="AC47" s="260">
        <v>0</v>
      </c>
      <c r="AD47" s="163">
        <f t="shared" si="5"/>
        <v>0</v>
      </c>
      <c r="AF47" s="260">
        <v>0</v>
      </c>
      <c r="AG47" s="163">
        <f t="shared" si="8"/>
        <v>0</v>
      </c>
      <c r="AI47" s="260"/>
      <c r="AJ47" s="163">
        <f t="shared" si="9"/>
        <v>0</v>
      </c>
      <c r="AL47" s="162">
        <f t="shared" si="10"/>
        <v>9110.14</v>
      </c>
      <c r="AM47" s="163">
        <f t="shared" si="6"/>
        <v>203011023.6544638</v>
      </c>
    </row>
    <row r="48" spans="2:39" ht="30.6" customHeight="1" x14ac:dyDescent="0.3">
      <c r="B48" s="461" t="s">
        <v>600</v>
      </c>
      <c r="C48" s="160" t="s">
        <v>109</v>
      </c>
      <c r="D48" s="459"/>
      <c r="E48" s="201">
        <v>3.07</v>
      </c>
      <c r="F48" s="155" t="s">
        <v>99</v>
      </c>
      <c r="G48" s="156" t="s">
        <v>100</v>
      </c>
      <c r="H48" s="157">
        <v>1</v>
      </c>
      <c r="I48" s="158">
        <v>942338.45832020871</v>
      </c>
      <c r="J48" s="311"/>
      <c r="K48" s="260">
        <v>22</v>
      </c>
      <c r="L48" s="163">
        <f t="shared" si="0"/>
        <v>20731446.083044592</v>
      </c>
      <c r="M48" s="261"/>
      <c r="N48" s="260"/>
      <c r="O48" s="163">
        <f t="shared" si="1"/>
        <v>0</v>
      </c>
      <c r="Q48" s="260">
        <v>8</v>
      </c>
      <c r="R48" s="163">
        <f t="shared" si="2"/>
        <v>7538707.6665616697</v>
      </c>
      <c r="T48" s="260">
        <v>8</v>
      </c>
      <c r="U48" s="163">
        <f t="shared" si="3"/>
        <v>7538707.6665616697</v>
      </c>
      <c r="W48" s="262">
        <v>0</v>
      </c>
      <c r="X48" s="163">
        <f t="shared" si="11"/>
        <v>0</v>
      </c>
      <c r="Z48" s="260">
        <v>31</v>
      </c>
      <c r="AA48" s="163">
        <f t="shared" si="4"/>
        <v>29212492.207926471</v>
      </c>
      <c r="AC48" s="260">
        <v>7</v>
      </c>
      <c r="AD48" s="163">
        <f t="shared" si="5"/>
        <v>6596369.2082414608</v>
      </c>
      <c r="AF48" s="260">
        <v>0</v>
      </c>
      <c r="AG48" s="163">
        <f t="shared" si="8"/>
        <v>0</v>
      </c>
      <c r="AI48" s="260"/>
      <c r="AJ48" s="163">
        <f t="shared" si="9"/>
        <v>0</v>
      </c>
      <c r="AL48" s="162">
        <f t="shared" si="10"/>
        <v>76</v>
      </c>
      <c r="AM48" s="163">
        <f t="shared" si="6"/>
        <v>71617722.83233586</v>
      </c>
    </row>
    <row r="49" spans="2:39" ht="30.6" customHeight="1" x14ac:dyDescent="0.3">
      <c r="B49" s="462"/>
      <c r="C49" s="161" t="s">
        <v>112</v>
      </c>
      <c r="D49" s="459"/>
      <c r="E49" s="201">
        <v>3.08</v>
      </c>
      <c r="F49" s="155" t="s">
        <v>101</v>
      </c>
      <c r="G49" s="156" t="s">
        <v>82</v>
      </c>
      <c r="H49" s="157">
        <v>1</v>
      </c>
      <c r="I49" s="158">
        <v>10241.849753372102</v>
      </c>
      <c r="J49" s="311"/>
      <c r="K49" s="260"/>
      <c r="L49" s="163">
        <f t="shared" si="0"/>
        <v>0</v>
      </c>
      <c r="M49" s="261"/>
      <c r="N49" s="260"/>
      <c r="O49" s="163">
        <f t="shared" si="1"/>
        <v>0</v>
      </c>
      <c r="Q49" s="260">
        <v>0</v>
      </c>
      <c r="R49" s="163">
        <f t="shared" si="2"/>
        <v>0</v>
      </c>
      <c r="T49" s="260">
        <v>0</v>
      </c>
      <c r="U49" s="163">
        <f t="shared" si="3"/>
        <v>0</v>
      </c>
      <c r="W49" s="262">
        <v>0</v>
      </c>
      <c r="X49" s="163">
        <f t="shared" si="11"/>
        <v>0</v>
      </c>
      <c r="Z49" s="260">
        <v>865</v>
      </c>
      <c r="AA49" s="163">
        <f t="shared" si="4"/>
        <v>8859200.0366668683</v>
      </c>
      <c r="AC49" s="260">
        <v>0</v>
      </c>
      <c r="AD49" s="163">
        <f t="shared" si="5"/>
        <v>0</v>
      </c>
      <c r="AF49" s="260">
        <v>0</v>
      </c>
      <c r="AG49" s="163">
        <f t="shared" si="8"/>
        <v>0</v>
      </c>
      <c r="AI49" s="260"/>
      <c r="AJ49" s="163">
        <f t="shared" si="9"/>
        <v>0</v>
      </c>
      <c r="AL49" s="162">
        <f t="shared" si="10"/>
        <v>865</v>
      </c>
      <c r="AM49" s="163">
        <f t="shared" si="6"/>
        <v>8859200.0366668683</v>
      </c>
    </row>
    <row r="50" spans="2:39" ht="30.6" customHeight="1" x14ac:dyDescent="0.3">
      <c r="B50" s="462"/>
      <c r="C50" s="161"/>
      <c r="D50" s="459"/>
      <c r="E50" s="201">
        <v>3.09</v>
      </c>
      <c r="F50" s="155" t="s">
        <v>102</v>
      </c>
      <c r="G50" s="156" t="s">
        <v>57</v>
      </c>
      <c r="H50" s="157">
        <v>2</v>
      </c>
      <c r="I50" s="158">
        <v>5814402.3451612899</v>
      </c>
      <c r="J50" s="311"/>
      <c r="K50" s="260"/>
      <c r="L50" s="163">
        <f t="shared" si="0"/>
        <v>0</v>
      </c>
      <c r="M50" s="261"/>
      <c r="N50" s="260"/>
      <c r="O50" s="163">
        <f t="shared" si="1"/>
        <v>0</v>
      </c>
      <c r="Q50" s="260">
        <v>0</v>
      </c>
      <c r="R50" s="163">
        <f t="shared" si="2"/>
        <v>0</v>
      </c>
      <c r="T50" s="260">
        <v>0</v>
      </c>
      <c r="U50" s="163">
        <f t="shared" si="3"/>
        <v>0</v>
      </c>
      <c r="W50" s="262">
        <v>0</v>
      </c>
      <c r="X50" s="163">
        <f t="shared" si="11"/>
        <v>0</v>
      </c>
      <c r="Z50" s="260">
        <v>1</v>
      </c>
      <c r="AA50" s="163">
        <f t="shared" si="4"/>
        <v>5814402.3451612899</v>
      </c>
      <c r="AC50" s="260">
        <v>0</v>
      </c>
      <c r="AD50" s="163">
        <f t="shared" si="5"/>
        <v>0</v>
      </c>
      <c r="AF50" s="260">
        <v>0</v>
      </c>
      <c r="AG50" s="163">
        <f t="shared" si="8"/>
        <v>0</v>
      </c>
      <c r="AI50" s="260"/>
      <c r="AJ50" s="163">
        <f t="shared" si="9"/>
        <v>0</v>
      </c>
      <c r="AL50" s="162">
        <f t="shared" si="10"/>
        <v>1</v>
      </c>
      <c r="AM50" s="163">
        <f t="shared" si="6"/>
        <v>5814402.3451612899</v>
      </c>
    </row>
    <row r="51" spans="2:39" ht="30.6" customHeight="1" x14ac:dyDescent="0.3">
      <c r="B51" s="462"/>
      <c r="C51" s="161"/>
      <c r="D51" s="459"/>
      <c r="E51" s="201">
        <v>3.1</v>
      </c>
      <c r="F51" s="155" t="s">
        <v>103</v>
      </c>
      <c r="G51" s="156" t="s">
        <v>27</v>
      </c>
      <c r="H51" s="157">
        <v>1</v>
      </c>
      <c r="I51" s="158">
        <v>4098619.0906396816</v>
      </c>
      <c r="J51" s="311"/>
      <c r="K51" s="260"/>
      <c r="L51" s="163">
        <f t="shared" si="0"/>
        <v>0</v>
      </c>
      <c r="M51" s="261"/>
      <c r="N51" s="260"/>
      <c r="O51" s="163">
        <f t="shared" si="1"/>
        <v>0</v>
      </c>
      <c r="Q51" s="260">
        <v>4</v>
      </c>
      <c r="R51" s="163">
        <f t="shared" si="2"/>
        <v>16394476.362558726</v>
      </c>
      <c r="T51" s="260">
        <v>2</v>
      </c>
      <c r="U51" s="163">
        <f t="shared" si="3"/>
        <v>8197238.1812793631</v>
      </c>
      <c r="W51" s="262">
        <v>0</v>
      </c>
      <c r="X51" s="163">
        <f t="shared" si="11"/>
        <v>0</v>
      </c>
      <c r="Z51" s="262">
        <v>2</v>
      </c>
      <c r="AA51" s="163">
        <f t="shared" si="4"/>
        <v>8197238.1812793631</v>
      </c>
      <c r="AC51" s="260">
        <v>1</v>
      </c>
      <c r="AD51" s="163">
        <f t="shared" si="5"/>
        <v>4098619.0906396816</v>
      </c>
      <c r="AF51" s="260">
        <v>0</v>
      </c>
      <c r="AG51" s="163">
        <f t="shared" si="8"/>
        <v>0</v>
      </c>
      <c r="AI51" s="260"/>
      <c r="AJ51" s="163">
        <f t="shared" si="9"/>
        <v>0</v>
      </c>
      <c r="AL51" s="162">
        <f t="shared" si="10"/>
        <v>9</v>
      </c>
      <c r="AM51" s="163">
        <f t="shared" si="6"/>
        <v>36887571.815757133</v>
      </c>
    </row>
    <row r="52" spans="2:39" ht="30.6" customHeight="1" x14ac:dyDescent="0.3">
      <c r="B52" s="462"/>
      <c r="C52" s="161"/>
      <c r="D52" s="459"/>
      <c r="E52" s="201">
        <v>3.11</v>
      </c>
      <c r="F52" s="155" t="s">
        <v>104</v>
      </c>
      <c r="G52" s="156" t="s">
        <v>21</v>
      </c>
      <c r="H52" s="157">
        <v>35</v>
      </c>
      <c r="I52" s="158">
        <v>78433.172361960766</v>
      </c>
      <c r="J52" s="311"/>
      <c r="K52" s="260"/>
      <c r="L52" s="163">
        <f t="shared" si="0"/>
        <v>0</v>
      </c>
      <c r="M52" s="261"/>
      <c r="N52" s="260"/>
      <c r="O52" s="163">
        <f t="shared" si="1"/>
        <v>0</v>
      </c>
      <c r="Q52" s="260">
        <v>0</v>
      </c>
      <c r="R52" s="163">
        <f t="shared" si="2"/>
        <v>0</v>
      </c>
      <c r="T52" s="260">
        <v>0</v>
      </c>
      <c r="U52" s="163">
        <f t="shared" si="3"/>
        <v>0</v>
      </c>
      <c r="W52" s="262">
        <v>0</v>
      </c>
      <c r="X52" s="163">
        <f t="shared" si="11"/>
        <v>0</v>
      </c>
      <c r="Z52" s="260">
        <v>35</v>
      </c>
      <c r="AA52" s="163">
        <f t="shared" si="4"/>
        <v>2745161.0326686269</v>
      </c>
      <c r="AC52" s="260">
        <v>0</v>
      </c>
      <c r="AD52" s="163">
        <f t="shared" si="5"/>
        <v>0</v>
      </c>
      <c r="AF52" s="260">
        <v>0</v>
      </c>
      <c r="AG52" s="163">
        <f t="shared" si="8"/>
        <v>0</v>
      </c>
      <c r="AI52" s="260"/>
      <c r="AJ52" s="163">
        <f t="shared" si="9"/>
        <v>0</v>
      </c>
      <c r="AL52" s="162">
        <f t="shared" si="10"/>
        <v>35</v>
      </c>
      <c r="AM52" s="163">
        <f t="shared" si="6"/>
        <v>2745161.0326686269</v>
      </c>
    </row>
    <row r="53" spans="2:39" ht="73.2" customHeight="1" x14ac:dyDescent="0.3">
      <c r="B53" s="462"/>
      <c r="C53" s="161"/>
      <c r="D53" s="459"/>
      <c r="E53" s="201">
        <v>3.12</v>
      </c>
      <c r="F53" s="155" t="s">
        <v>615</v>
      </c>
      <c r="G53" s="156" t="s">
        <v>27</v>
      </c>
      <c r="H53" s="157">
        <v>1</v>
      </c>
      <c r="I53" s="158">
        <v>17812777.757419351</v>
      </c>
      <c r="J53" s="311"/>
      <c r="K53" s="260"/>
      <c r="L53" s="163">
        <f t="shared" si="0"/>
        <v>0</v>
      </c>
      <c r="M53" s="261"/>
      <c r="N53" s="260"/>
      <c r="O53" s="163">
        <f t="shared" si="1"/>
        <v>0</v>
      </c>
      <c r="Q53" s="260">
        <v>0</v>
      </c>
      <c r="R53" s="163">
        <f t="shared" si="2"/>
        <v>0</v>
      </c>
      <c r="T53" s="260">
        <v>0</v>
      </c>
      <c r="U53" s="163">
        <f t="shared" si="3"/>
        <v>0</v>
      </c>
      <c r="W53" s="262">
        <v>0</v>
      </c>
      <c r="X53" s="163">
        <f t="shared" si="11"/>
        <v>0</v>
      </c>
      <c r="Z53" s="275">
        <v>1</v>
      </c>
      <c r="AA53" s="333">
        <f t="shared" si="4"/>
        <v>17812777.757419351</v>
      </c>
      <c r="AC53" s="260">
        <v>0</v>
      </c>
      <c r="AD53" s="163">
        <f t="shared" si="5"/>
        <v>0</v>
      </c>
      <c r="AF53" s="260">
        <v>0</v>
      </c>
      <c r="AG53" s="163">
        <f t="shared" si="8"/>
        <v>0</v>
      </c>
      <c r="AI53" s="260"/>
      <c r="AJ53" s="163">
        <f t="shared" si="9"/>
        <v>0</v>
      </c>
      <c r="AL53" s="162">
        <f t="shared" si="10"/>
        <v>1</v>
      </c>
      <c r="AM53" s="163">
        <f t="shared" si="6"/>
        <v>17812777.757419351</v>
      </c>
    </row>
    <row r="54" spans="2:39" ht="30.6" customHeight="1" x14ac:dyDescent="0.3">
      <c r="B54" s="462"/>
      <c r="C54" s="161"/>
      <c r="D54" s="459"/>
      <c r="E54" s="149">
        <v>3.13</v>
      </c>
      <c r="F54" s="150" t="s">
        <v>630</v>
      </c>
      <c r="G54" s="151" t="s">
        <v>21</v>
      </c>
      <c r="H54" s="152">
        <v>610</v>
      </c>
      <c r="I54" s="153">
        <v>50833.132277968361</v>
      </c>
      <c r="J54" s="311"/>
      <c r="K54" s="260"/>
      <c r="L54" s="163">
        <f t="shared" si="0"/>
        <v>0</v>
      </c>
      <c r="M54" s="261"/>
      <c r="N54" s="260"/>
      <c r="O54" s="163">
        <f t="shared" si="1"/>
        <v>0</v>
      </c>
      <c r="Q54" s="260">
        <v>0</v>
      </c>
      <c r="R54" s="163">
        <f t="shared" si="2"/>
        <v>0</v>
      </c>
      <c r="T54" s="260">
        <v>0</v>
      </c>
      <c r="U54" s="163">
        <f t="shared" si="3"/>
        <v>0</v>
      </c>
      <c r="W54" s="262">
        <v>0</v>
      </c>
      <c r="X54" s="163">
        <f t="shared" si="11"/>
        <v>0</v>
      </c>
      <c r="Z54" s="260">
        <v>610</v>
      </c>
      <c r="AA54" s="163">
        <f t="shared" si="4"/>
        <v>31008210.6895607</v>
      </c>
      <c r="AC54" s="260">
        <v>0</v>
      </c>
      <c r="AD54" s="163">
        <f t="shared" si="5"/>
        <v>0</v>
      </c>
      <c r="AF54" s="260">
        <v>0</v>
      </c>
      <c r="AG54" s="163">
        <f t="shared" si="8"/>
        <v>0</v>
      </c>
      <c r="AI54" s="260"/>
      <c r="AJ54" s="163">
        <f t="shared" si="9"/>
        <v>0</v>
      </c>
      <c r="AL54" s="162">
        <f t="shared" si="10"/>
        <v>610</v>
      </c>
      <c r="AM54" s="163">
        <f t="shared" si="6"/>
        <v>31008210.6895607</v>
      </c>
    </row>
    <row r="55" spans="2:39" ht="52.2" hidden="1" customHeight="1" x14ac:dyDescent="0.35">
      <c r="B55" s="462"/>
      <c r="C55" s="161"/>
      <c r="D55" s="460"/>
      <c r="E55" s="222" t="s">
        <v>107</v>
      </c>
      <c r="F55" s="244" t="s">
        <v>108</v>
      </c>
      <c r="G55" s="245" t="s">
        <v>27</v>
      </c>
      <c r="H55" s="246">
        <v>1</v>
      </c>
      <c r="I55" s="247">
        <v>10897591.202133331</v>
      </c>
      <c r="J55" s="311"/>
      <c r="K55" s="260"/>
      <c r="L55" s="163">
        <f t="shared" si="0"/>
        <v>0</v>
      </c>
      <c r="M55" s="261"/>
      <c r="N55" s="260"/>
      <c r="O55" s="163">
        <f t="shared" si="1"/>
        <v>0</v>
      </c>
      <c r="Q55" s="260">
        <v>0</v>
      </c>
      <c r="R55" s="163">
        <f t="shared" si="2"/>
        <v>0</v>
      </c>
      <c r="T55" s="260">
        <v>0</v>
      </c>
      <c r="U55" s="163">
        <f t="shared" si="3"/>
        <v>0</v>
      </c>
      <c r="W55" s="262">
        <v>0</v>
      </c>
      <c r="X55" s="163">
        <f t="shared" si="11"/>
        <v>0</v>
      </c>
      <c r="Z55" s="260">
        <v>0</v>
      </c>
      <c r="AA55" s="163">
        <f t="shared" si="4"/>
        <v>0</v>
      </c>
      <c r="AC55" s="260">
        <v>0</v>
      </c>
      <c r="AD55" s="163">
        <f t="shared" si="5"/>
        <v>0</v>
      </c>
      <c r="AF55" s="260">
        <v>0</v>
      </c>
      <c r="AG55" s="163">
        <f t="shared" si="8"/>
        <v>0</v>
      </c>
      <c r="AI55" s="260"/>
      <c r="AJ55" s="163">
        <f t="shared" si="9"/>
        <v>0</v>
      </c>
      <c r="AL55" s="162">
        <f t="shared" si="10"/>
        <v>0</v>
      </c>
      <c r="AM55" s="163">
        <f t="shared" si="6"/>
        <v>0</v>
      </c>
    </row>
    <row r="56" spans="2:39" ht="52.2" customHeight="1" thickBot="1" x14ac:dyDescent="0.35">
      <c r="B56" s="462"/>
      <c r="C56" s="161"/>
      <c r="D56" s="300"/>
      <c r="E56" s="159">
        <v>3.14</v>
      </c>
      <c r="F56" s="346" t="s">
        <v>606</v>
      </c>
      <c r="G56" s="330" t="s">
        <v>27</v>
      </c>
      <c r="H56" s="331">
        <v>1</v>
      </c>
      <c r="I56" s="332">
        <v>10897591.202133331</v>
      </c>
      <c r="J56" s="311"/>
      <c r="K56" s="269"/>
      <c r="L56" s="270">
        <f t="shared" si="0"/>
        <v>0</v>
      </c>
      <c r="M56" s="261"/>
      <c r="N56" s="269"/>
      <c r="O56" s="270">
        <f t="shared" si="1"/>
        <v>0</v>
      </c>
      <c r="Q56" s="269"/>
      <c r="R56" s="270">
        <f t="shared" si="2"/>
        <v>0</v>
      </c>
      <c r="T56" s="269"/>
      <c r="U56" s="270">
        <f t="shared" si="3"/>
        <v>0</v>
      </c>
      <c r="W56" s="337">
        <v>0</v>
      </c>
      <c r="X56" s="270">
        <f t="shared" si="11"/>
        <v>0</v>
      </c>
      <c r="Z56" s="269"/>
      <c r="AA56" s="270">
        <f t="shared" si="4"/>
        <v>0</v>
      </c>
      <c r="AC56" s="269"/>
      <c r="AD56" s="270">
        <f t="shared" si="5"/>
        <v>0</v>
      </c>
      <c r="AF56" s="269"/>
      <c r="AG56" s="270">
        <f t="shared" si="8"/>
        <v>0</v>
      </c>
      <c r="AI56" s="269"/>
      <c r="AJ56" s="270">
        <f t="shared" si="9"/>
        <v>0</v>
      </c>
      <c r="AL56" s="345">
        <f t="shared" si="10"/>
        <v>0</v>
      </c>
      <c r="AM56" s="270">
        <f t="shared" si="6"/>
        <v>0</v>
      </c>
    </row>
    <row r="57" spans="2:39" ht="30.75" customHeight="1" x14ac:dyDescent="0.3">
      <c r="B57" s="440"/>
      <c r="C57" s="167">
        <v>5.03</v>
      </c>
      <c r="D57" s="442" t="s">
        <v>601</v>
      </c>
      <c r="E57" s="341">
        <v>5.01</v>
      </c>
      <c r="F57" s="342" t="s">
        <v>222</v>
      </c>
      <c r="G57" s="343" t="s">
        <v>30</v>
      </c>
      <c r="H57" s="344">
        <v>1</v>
      </c>
      <c r="I57" s="204">
        <v>555161.41717731138</v>
      </c>
      <c r="J57" s="310"/>
      <c r="K57" s="272">
        <v>3</v>
      </c>
      <c r="L57" s="236">
        <f t="shared" si="0"/>
        <v>1665484.2515319341</v>
      </c>
      <c r="M57" s="261"/>
      <c r="N57" s="272"/>
      <c r="O57" s="236">
        <f t="shared" si="1"/>
        <v>0</v>
      </c>
      <c r="Q57" s="272"/>
      <c r="R57" s="236">
        <f t="shared" si="2"/>
        <v>0</v>
      </c>
      <c r="T57" s="272"/>
      <c r="U57" s="236">
        <f t="shared" si="3"/>
        <v>0</v>
      </c>
      <c r="W57" s="338">
        <v>0</v>
      </c>
      <c r="X57" s="236">
        <f t="shared" si="11"/>
        <v>0</v>
      </c>
      <c r="Z57" s="272"/>
      <c r="AA57" s="236">
        <f t="shared" si="4"/>
        <v>0</v>
      </c>
      <c r="AC57" s="272"/>
      <c r="AD57" s="236">
        <f t="shared" si="5"/>
        <v>0</v>
      </c>
      <c r="AF57" s="272"/>
      <c r="AG57" s="236">
        <f t="shared" si="8"/>
        <v>0</v>
      </c>
      <c r="AI57" s="272"/>
      <c r="AJ57" s="236">
        <f t="shared" si="9"/>
        <v>0</v>
      </c>
      <c r="AL57" s="340">
        <f t="shared" si="10"/>
        <v>3</v>
      </c>
      <c r="AM57" s="236">
        <f t="shared" si="6"/>
        <v>1665484.2515319341</v>
      </c>
    </row>
    <row r="58" spans="2:39" ht="30.75" customHeight="1" x14ac:dyDescent="0.3">
      <c r="B58" s="440"/>
      <c r="C58" s="167" t="str">
        <f>+'[1]CAP.5 '!$C$134</f>
        <v>5.04</v>
      </c>
      <c r="D58" s="443"/>
      <c r="E58" s="167">
        <v>5.0199999999999996</v>
      </c>
      <c r="F58" s="168" t="s">
        <v>223</v>
      </c>
      <c r="G58" s="169" t="s">
        <v>30</v>
      </c>
      <c r="H58" s="170">
        <v>1</v>
      </c>
      <c r="I58" s="204">
        <v>101446.66246156191</v>
      </c>
      <c r="J58" s="310"/>
      <c r="K58" s="260">
        <v>2</v>
      </c>
      <c r="L58" s="163">
        <f t="shared" si="0"/>
        <v>202893.32492312382</v>
      </c>
      <c r="M58" s="261"/>
      <c r="N58" s="260"/>
      <c r="O58" s="163">
        <f t="shared" si="1"/>
        <v>0</v>
      </c>
      <c r="Q58" s="260"/>
      <c r="R58" s="163">
        <f t="shared" si="2"/>
        <v>0</v>
      </c>
      <c r="T58" s="260"/>
      <c r="U58" s="163">
        <f t="shared" si="3"/>
        <v>0</v>
      </c>
      <c r="W58" s="262">
        <v>0</v>
      </c>
      <c r="X58" s="163">
        <f t="shared" si="11"/>
        <v>0</v>
      </c>
      <c r="Z58" s="260"/>
      <c r="AA58" s="163">
        <f t="shared" si="4"/>
        <v>0</v>
      </c>
      <c r="AC58" s="260"/>
      <c r="AD58" s="163">
        <f t="shared" si="5"/>
        <v>0</v>
      </c>
      <c r="AF58" s="260"/>
      <c r="AG58" s="163">
        <f t="shared" si="8"/>
        <v>0</v>
      </c>
      <c r="AI58" s="260"/>
      <c r="AJ58" s="163">
        <f t="shared" si="9"/>
        <v>0</v>
      </c>
      <c r="AL58" s="162">
        <f t="shared" si="10"/>
        <v>2</v>
      </c>
      <c r="AM58" s="163">
        <f t="shared" si="6"/>
        <v>202893.32492312382</v>
      </c>
    </row>
    <row r="59" spans="2:39" ht="30.75" customHeight="1" x14ac:dyDescent="0.3">
      <c r="B59" s="440"/>
      <c r="C59" s="167" t="str">
        <f>+'[1]CAP.5 '!$C$174</f>
        <v>5.05</v>
      </c>
      <c r="D59" s="443"/>
      <c r="E59" s="167">
        <v>5.03</v>
      </c>
      <c r="F59" s="168" t="s">
        <v>224</v>
      </c>
      <c r="G59" s="169" t="s">
        <v>225</v>
      </c>
      <c r="H59" s="170">
        <v>1</v>
      </c>
      <c r="I59" s="204">
        <v>10351.0122901576</v>
      </c>
      <c r="J59" s="310"/>
      <c r="K59" s="260">
        <v>35</v>
      </c>
      <c r="L59" s="163">
        <f t="shared" si="0"/>
        <v>362285.43015551596</v>
      </c>
      <c r="M59" s="261"/>
      <c r="N59" s="260"/>
      <c r="O59" s="163">
        <f t="shared" si="1"/>
        <v>0</v>
      </c>
      <c r="Q59" s="260"/>
      <c r="R59" s="163">
        <f t="shared" si="2"/>
        <v>0</v>
      </c>
      <c r="T59" s="260"/>
      <c r="U59" s="163">
        <f t="shared" si="3"/>
        <v>0</v>
      </c>
      <c r="W59" s="262">
        <v>0</v>
      </c>
      <c r="X59" s="163">
        <f t="shared" si="11"/>
        <v>0</v>
      </c>
      <c r="Z59" s="260"/>
      <c r="AA59" s="163">
        <f t="shared" si="4"/>
        <v>0</v>
      </c>
      <c r="AC59" s="260"/>
      <c r="AD59" s="163">
        <f t="shared" si="5"/>
        <v>0</v>
      </c>
      <c r="AF59" s="260"/>
      <c r="AG59" s="163">
        <f t="shared" si="8"/>
        <v>0</v>
      </c>
      <c r="AI59" s="260"/>
      <c r="AJ59" s="163">
        <f t="shared" si="9"/>
        <v>0</v>
      </c>
      <c r="AL59" s="162">
        <f t="shared" si="10"/>
        <v>35</v>
      </c>
      <c r="AM59" s="163">
        <f t="shared" si="6"/>
        <v>362285.43015551596</v>
      </c>
    </row>
    <row r="60" spans="2:39" ht="30.75" customHeight="1" x14ac:dyDescent="0.3">
      <c r="B60" s="440"/>
      <c r="C60" s="167" t="str">
        <f>+'[1]CAP.5 '!$C$216</f>
        <v>5.06</v>
      </c>
      <c r="D60" s="443"/>
      <c r="E60" s="167" t="str">
        <f>+'[1]CAP.5 '!$C$134</f>
        <v>5.04</v>
      </c>
      <c r="F60" s="171" t="s">
        <v>227</v>
      </c>
      <c r="G60" s="172" t="s">
        <v>21</v>
      </c>
      <c r="H60" s="170">
        <v>1</v>
      </c>
      <c r="I60" s="204">
        <v>1527231.93473193</v>
      </c>
      <c r="J60" s="310"/>
      <c r="K60" s="260"/>
      <c r="L60" s="163">
        <f t="shared" si="0"/>
        <v>0</v>
      </c>
      <c r="M60" s="261"/>
      <c r="N60" s="260"/>
      <c r="O60" s="163">
        <f t="shared" si="1"/>
        <v>0</v>
      </c>
      <c r="Q60" s="260"/>
      <c r="R60" s="163">
        <f t="shared" si="2"/>
        <v>0</v>
      </c>
      <c r="T60" s="260"/>
      <c r="U60" s="163">
        <f t="shared" si="3"/>
        <v>0</v>
      </c>
      <c r="W60" s="262">
        <v>0</v>
      </c>
      <c r="X60" s="163">
        <f t="shared" si="11"/>
        <v>0</v>
      </c>
      <c r="Z60" s="260"/>
      <c r="AA60" s="163">
        <f t="shared" si="4"/>
        <v>0</v>
      </c>
      <c r="AC60" s="260"/>
      <c r="AD60" s="163">
        <f t="shared" si="5"/>
        <v>0</v>
      </c>
      <c r="AF60" s="260"/>
      <c r="AG60" s="163">
        <f t="shared" si="8"/>
        <v>0</v>
      </c>
      <c r="AI60" s="260"/>
      <c r="AJ60" s="163">
        <f t="shared" si="9"/>
        <v>0</v>
      </c>
      <c r="AL60" s="162">
        <f t="shared" si="10"/>
        <v>0</v>
      </c>
      <c r="AM60" s="163">
        <f t="shared" si="6"/>
        <v>0</v>
      </c>
    </row>
    <row r="61" spans="2:39" ht="30.75" customHeight="1" x14ac:dyDescent="0.3">
      <c r="B61" s="440"/>
      <c r="C61" s="167" t="str">
        <f>+'[1]CAP.5 '!$C$257</f>
        <v>5.07</v>
      </c>
      <c r="D61" s="443"/>
      <c r="E61" s="167" t="str">
        <f>+'[1]CAP.5 '!$C$174</f>
        <v>5.05</v>
      </c>
      <c r="F61" s="171" t="s">
        <v>229</v>
      </c>
      <c r="G61" s="172" t="s">
        <v>230</v>
      </c>
      <c r="H61" s="170">
        <v>1</v>
      </c>
      <c r="I61" s="204">
        <v>40573.847448847446</v>
      </c>
      <c r="J61" s="310"/>
      <c r="K61" s="260"/>
      <c r="L61" s="163">
        <f t="shared" si="0"/>
        <v>0</v>
      </c>
      <c r="M61" s="261"/>
      <c r="N61" s="260"/>
      <c r="O61" s="163">
        <f t="shared" si="1"/>
        <v>0</v>
      </c>
      <c r="Q61" s="260"/>
      <c r="R61" s="163">
        <f t="shared" si="2"/>
        <v>0</v>
      </c>
      <c r="T61" s="260"/>
      <c r="U61" s="163">
        <f t="shared" si="3"/>
        <v>0</v>
      </c>
      <c r="W61" s="262">
        <v>0</v>
      </c>
      <c r="X61" s="163">
        <f t="shared" si="11"/>
        <v>0</v>
      </c>
      <c r="Z61" s="260"/>
      <c r="AA61" s="163">
        <f t="shared" si="4"/>
        <v>0</v>
      </c>
      <c r="AC61" s="260"/>
      <c r="AD61" s="163">
        <f t="shared" si="5"/>
        <v>0</v>
      </c>
      <c r="AF61" s="260"/>
      <c r="AG61" s="163">
        <f t="shared" si="8"/>
        <v>0</v>
      </c>
      <c r="AI61" s="260"/>
      <c r="AJ61" s="163">
        <f t="shared" si="9"/>
        <v>0</v>
      </c>
      <c r="AL61" s="162">
        <f t="shared" si="10"/>
        <v>0</v>
      </c>
      <c r="AM61" s="163">
        <f t="shared" si="6"/>
        <v>0</v>
      </c>
    </row>
    <row r="62" spans="2:39" ht="30.75" customHeight="1" x14ac:dyDescent="0.3">
      <c r="B62" s="440"/>
      <c r="C62" s="167" t="str">
        <f>+'[1]CAP.5 '!$C$298</f>
        <v>5.08</v>
      </c>
      <c r="D62" s="443"/>
      <c r="E62" s="167" t="str">
        <f>+'[1]CAP.5 '!$C$216</f>
        <v>5.06</v>
      </c>
      <c r="F62" s="173" t="s">
        <v>232</v>
      </c>
      <c r="G62" s="172" t="s">
        <v>21</v>
      </c>
      <c r="H62" s="170">
        <v>1</v>
      </c>
      <c r="I62" s="204">
        <v>37487.211862211858</v>
      </c>
      <c r="J62" s="310"/>
      <c r="K62" s="260"/>
      <c r="L62" s="163">
        <f t="shared" si="0"/>
        <v>0</v>
      </c>
      <c r="M62" s="261"/>
      <c r="N62" s="260"/>
      <c r="O62" s="163">
        <f t="shared" si="1"/>
        <v>0</v>
      </c>
      <c r="Q62" s="260"/>
      <c r="R62" s="163">
        <f t="shared" si="2"/>
        <v>0</v>
      </c>
      <c r="T62" s="260"/>
      <c r="U62" s="163">
        <f t="shared" si="3"/>
        <v>0</v>
      </c>
      <c r="W62" s="262">
        <v>0</v>
      </c>
      <c r="X62" s="163">
        <f t="shared" si="11"/>
        <v>0</v>
      </c>
      <c r="Z62" s="260"/>
      <c r="AA62" s="163">
        <f t="shared" si="4"/>
        <v>0</v>
      </c>
      <c r="AC62" s="260"/>
      <c r="AD62" s="163">
        <f t="shared" si="5"/>
        <v>0</v>
      </c>
      <c r="AF62" s="260"/>
      <c r="AG62" s="163">
        <f t="shared" si="8"/>
        <v>0</v>
      </c>
      <c r="AI62" s="260"/>
      <c r="AJ62" s="163">
        <f t="shared" si="9"/>
        <v>0</v>
      </c>
      <c r="AL62" s="162">
        <f t="shared" si="10"/>
        <v>0</v>
      </c>
      <c r="AM62" s="163">
        <f t="shared" si="6"/>
        <v>0</v>
      </c>
    </row>
    <row r="63" spans="2:39" ht="30.75" customHeight="1" x14ac:dyDescent="0.3">
      <c r="B63" s="440"/>
      <c r="C63" s="167" t="str">
        <f>+'[1]CAP.5 '!$C$340</f>
        <v>5.09</v>
      </c>
      <c r="D63" s="443"/>
      <c r="E63" s="167" t="str">
        <f>+'[1]CAP.5 '!$C$257</f>
        <v>5.07</v>
      </c>
      <c r="F63" s="173" t="s">
        <v>234</v>
      </c>
      <c r="G63" s="172" t="s">
        <v>21</v>
      </c>
      <c r="H63" s="170">
        <v>1</v>
      </c>
      <c r="I63" s="204">
        <v>54528.295778295767</v>
      </c>
      <c r="J63" s="310"/>
      <c r="K63" s="268"/>
      <c r="L63" s="163">
        <f t="shared" si="0"/>
        <v>0</v>
      </c>
      <c r="M63" s="261"/>
      <c r="N63" s="260"/>
      <c r="O63" s="163">
        <f t="shared" si="1"/>
        <v>0</v>
      </c>
      <c r="Q63" s="260"/>
      <c r="R63" s="163">
        <f t="shared" si="2"/>
        <v>0</v>
      </c>
      <c r="T63" s="260"/>
      <c r="U63" s="163">
        <f t="shared" si="3"/>
        <v>0</v>
      </c>
      <c r="W63" s="262">
        <v>0</v>
      </c>
      <c r="X63" s="163">
        <f t="shared" si="11"/>
        <v>0</v>
      </c>
      <c r="Z63" s="260"/>
      <c r="AA63" s="163">
        <f t="shared" si="4"/>
        <v>0</v>
      </c>
      <c r="AC63" s="260"/>
      <c r="AD63" s="163">
        <f t="shared" si="5"/>
        <v>0</v>
      </c>
      <c r="AF63" s="260"/>
      <c r="AG63" s="163">
        <f t="shared" si="8"/>
        <v>0</v>
      </c>
      <c r="AI63" s="260"/>
      <c r="AJ63" s="163">
        <f t="shared" si="9"/>
        <v>0</v>
      </c>
      <c r="AL63" s="162">
        <f t="shared" si="10"/>
        <v>0</v>
      </c>
      <c r="AM63" s="163">
        <f t="shared" si="6"/>
        <v>0</v>
      </c>
    </row>
    <row r="64" spans="2:39" ht="30.75" customHeight="1" x14ac:dyDescent="0.3">
      <c r="B64" s="440"/>
      <c r="C64" s="167" t="str">
        <f>+'[1]CAP.5 '!$C$382</f>
        <v>5.10</v>
      </c>
      <c r="D64" s="443"/>
      <c r="E64" s="167" t="str">
        <f>+'[1]CAP.5 '!$C$298</f>
        <v>5.08</v>
      </c>
      <c r="F64" s="173" t="s">
        <v>236</v>
      </c>
      <c r="G64" s="172" t="s">
        <v>21</v>
      </c>
      <c r="H64" s="170">
        <v>1</v>
      </c>
      <c r="I64" s="204">
        <v>19816.787593680387</v>
      </c>
      <c r="J64" s="310"/>
      <c r="K64" s="268"/>
      <c r="L64" s="163">
        <f t="shared" si="0"/>
        <v>0</v>
      </c>
      <c r="M64" s="261"/>
      <c r="N64" s="260"/>
      <c r="O64" s="163">
        <f t="shared" si="1"/>
        <v>0</v>
      </c>
      <c r="Q64" s="268"/>
      <c r="R64" s="163">
        <f t="shared" si="2"/>
        <v>0</v>
      </c>
      <c r="T64" s="268"/>
      <c r="U64" s="163">
        <f t="shared" si="3"/>
        <v>0</v>
      </c>
      <c r="W64" s="262">
        <v>0</v>
      </c>
      <c r="X64" s="163">
        <f t="shared" si="11"/>
        <v>0</v>
      </c>
      <c r="Z64" s="274">
        <v>479.09999999999997</v>
      </c>
      <c r="AA64" s="163">
        <f t="shared" si="4"/>
        <v>9494222.9361322727</v>
      </c>
      <c r="AC64" s="260"/>
      <c r="AD64" s="163">
        <f t="shared" si="5"/>
        <v>0</v>
      </c>
      <c r="AF64" s="260"/>
      <c r="AG64" s="163">
        <f t="shared" si="8"/>
        <v>0</v>
      </c>
      <c r="AI64" s="260"/>
      <c r="AJ64" s="163">
        <f t="shared" si="9"/>
        <v>0</v>
      </c>
      <c r="AL64" s="162">
        <f t="shared" si="10"/>
        <v>479.09999999999997</v>
      </c>
      <c r="AM64" s="163">
        <f t="shared" si="6"/>
        <v>9494222.9361322727</v>
      </c>
    </row>
    <row r="65" spans="2:39" ht="30.75" customHeight="1" x14ac:dyDescent="0.3">
      <c r="B65" s="440"/>
      <c r="C65" s="167" t="str">
        <f>+'[1]CAP.5 '!$C$424</f>
        <v>5.11</v>
      </c>
      <c r="D65" s="443"/>
      <c r="E65" s="167" t="str">
        <f>+'[1]CAP.5 '!$C$340</f>
        <v>5.09</v>
      </c>
      <c r="F65" s="171" t="s">
        <v>238</v>
      </c>
      <c r="G65" s="172" t="s">
        <v>21</v>
      </c>
      <c r="H65" s="170">
        <v>1</v>
      </c>
      <c r="I65" s="204">
        <v>24330.484330484327</v>
      </c>
      <c r="J65" s="310"/>
      <c r="K65" s="313"/>
      <c r="L65" s="163">
        <f t="shared" si="0"/>
        <v>0</v>
      </c>
      <c r="M65" s="261"/>
      <c r="N65" s="260"/>
      <c r="O65" s="163">
        <f t="shared" si="1"/>
        <v>0</v>
      </c>
      <c r="Q65" s="268"/>
      <c r="R65" s="163">
        <f t="shared" si="2"/>
        <v>0</v>
      </c>
      <c r="T65" s="268"/>
      <c r="U65" s="163">
        <f t="shared" si="3"/>
        <v>0</v>
      </c>
      <c r="W65" s="262">
        <v>0</v>
      </c>
      <c r="X65" s="163">
        <f t="shared" si="11"/>
        <v>0</v>
      </c>
      <c r="Z65" s="260"/>
      <c r="AA65" s="163">
        <f t="shared" si="4"/>
        <v>0</v>
      </c>
      <c r="AC65" s="260"/>
      <c r="AD65" s="163">
        <f t="shared" si="5"/>
        <v>0</v>
      </c>
      <c r="AF65" s="260"/>
      <c r="AG65" s="163">
        <f t="shared" si="8"/>
        <v>0</v>
      </c>
      <c r="AI65" s="260"/>
      <c r="AJ65" s="163">
        <f t="shared" si="9"/>
        <v>0</v>
      </c>
      <c r="AL65" s="162">
        <f t="shared" si="10"/>
        <v>0</v>
      </c>
      <c r="AM65" s="163">
        <f t="shared" si="6"/>
        <v>0</v>
      </c>
    </row>
    <row r="66" spans="2:39" ht="30.75" customHeight="1" x14ac:dyDescent="0.3">
      <c r="B66" s="440"/>
      <c r="C66" s="167" t="str">
        <f>+'[1]CAP.5 '!$C$466</f>
        <v>5.12</v>
      </c>
      <c r="D66" s="443"/>
      <c r="E66" s="167" t="str">
        <f>+'[1]CAP.5 '!$C$382</f>
        <v>5.10</v>
      </c>
      <c r="F66" s="173" t="s">
        <v>240</v>
      </c>
      <c r="G66" s="172" t="s">
        <v>21</v>
      </c>
      <c r="H66" s="170">
        <v>1</v>
      </c>
      <c r="I66" s="204">
        <v>43109.783734783727</v>
      </c>
      <c r="J66" s="310"/>
      <c r="K66" s="260"/>
      <c r="L66" s="163">
        <f t="shared" si="0"/>
        <v>0</v>
      </c>
      <c r="M66" s="261"/>
      <c r="N66" s="260"/>
      <c r="O66" s="163">
        <f t="shared" si="1"/>
        <v>0</v>
      </c>
      <c r="Q66" s="260"/>
      <c r="R66" s="163">
        <f t="shared" si="2"/>
        <v>0</v>
      </c>
      <c r="T66" s="260"/>
      <c r="U66" s="163">
        <f t="shared" si="3"/>
        <v>0</v>
      </c>
      <c r="W66" s="262">
        <v>0</v>
      </c>
      <c r="X66" s="163">
        <f t="shared" si="11"/>
        <v>0</v>
      </c>
      <c r="Z66" s="260"/>
      <c r="AA66" s="163">
        <f t="shared" si="4"/>
        <v>0</v>
      </c>
      <c r="AC66" s="260"/>
      <c r="AD66" s="163">
        <f t="shared" si="5"/>
        <v>0</v>
      </c>
      <c r="AF66" s="260"/>
      <c r="AG66" s="163">
        <f t="shared" si="8"/>
        <v>0</v>
      </c>
      <c r="AI66" s="260"/>
      <c r="AJ66" s="163">
        <f t="shared" si="9"/>
        <v>0</v>
      </c>
      <c r="AL66" s="162">
        <f t="shared" si="10"/>
        <v>0</v>
      </c>
      <c r="AM66" s="163">
        <f t="shared" si="6"/>
        <v>0</v>
      </c>
    </row>
    <row r="67" spans="2:39" ht="30.75" customHeight="1" x14ac:dyDescent="0.3">
      <c r="B67" s="440"/>
      <c r="C67" s="167" t="str">
        <f>+'[1]CAP.5 '!$C$508</f>
        <v>5.13</v>
      </c>
      <c r="D67" s="443"/>
      <c r="E67" s="167" t="str">
        <f>+'[1]CAP.5 '!$C$424</f>
        <v>5.11</v>
      </c>
      <c r="F67" s="173" t="s">
        <v>242</v>
      </c>
      <c r="G67" s="172" t="s">
        <v>21</v>
      </c>
      <c r="H67" s="170">
        <v>1</v>
      </c>
      <c r="I67" s="204">
        <v>43482.582232582223</v>
      </c>
      <c r="J67" s="310"/>
      <c r="K67" s="260"/>
      <c r="L67" s="163">
        <f t="shared" si="0"/>
        <v>0</v>
      </c>
      <c r="M67" s="261"/>
      <c r="N67" s="260"/>
      <c r="O67" s="163">
        <f t="shared" si="1"/>
        <v>0</v>
      </c>
      <c r="Q67" s="260"/>
      <c r="R67" s="163">
        <f t="shared" si="2"/>
        <v>0</v>
      </c>
      <c r="T67" s="260"/>
      <c r="U67" s="163">
        <f t="shared" si="3"/>
        <v>0</v>
      </c>
      <c r="W67" s="262">
        <v>0</v>
      </c>
      <c r="X67" s="163">
        <f t="shared" si="11"/>
        <v>0</v>
      </c>
      <c r="Z67" s="260"/>
      <c r="AA67" s="163">
        <f t="shared" si="4"/>
        <v>0</v>
      </c>
      <c r="AC67" s="260"/>
      <c r="AD67" s="163">
        <f t="shared" si="5"/>
        <v>0</v>
      </c>
      <c r="AF67" s="260"/>
      <c r="AG67" s="163">
        <f t="shared" si="8"/>
        <v>0</v>
      </c>
      <c r="AI67" s="260"/>
      <c r="AJ67" s="163">
        <f t="shared" si="9"/>
        <v>0</v>
      </c>
      <c r="AL67" s="162">
        <f t="shared" si="10"/>
        <v>0</v>
      </c>
      <c r="AM67" s="163">
        <f t="shared" si="6"/>
        <v>0</v>
      </c>
    </row>
    <row r="68" spans="2:39" ht="30.75" customHeight="1" x14ac:dyDescent="0.3">
      <c r="B68" s="440"/>
      <c r="C68" s="167" t="str">
        <f>+'[1]CAP.5 '!$C$549</f>
        <v>5.14</v>
      </c>
      <c r="D68" s="443"/>
      <c r="E68" s="167" t="str">
        <f>+'[1]CAP.5 '!$C$466</f>
        <v>5.12</v>
      </c>
      <c r="F68" s="173" t="s">
        <v>244</v>
      </c>
      <c r="G68" s="172" t="s">
        <v>21</v>
      </c>
      <c r="H68" s="170">
        <v>1</v>
      </c>
      <c r="I68" s="204">
        <v>176654.36415436413</v>
      </c>
      <c r="J68" s="310"/>
      <c r="K68" s="260"/>
      <c r="L68" s="163">
        <f t="shared" si="0"/>
        <v>0</v>
      </c>
      <c r="M68" s="261"/>
      <c r="N68" s="260"/>
      <c r="O68" s="163">
        <f t="shared" si="1"/>
        <v>0</v>
      </c>
      <c r="Q68" s="260"/>
      <c r="R68" s="163">
        <f t="shared" si="2"/>
        <v>0</v>
      </c>
      <c r="T68" s="260"/>
      <c r="U68" s="163">
        <f t="shared" si="3"/>
        <v>0</v>
      </c>
      <c r="W68" s="262">
        <v>0</v>
      </c>
      <c r="X68" s="163">
        <f t="shared" si="11"/>
        <v>0</v>
      </c>
      <c r="Z68" s="260"/>
      <c r="AA68" s="163">
        <f t="shared" si="4"/>
        <v>0</v>
      </c>
      <c r="AC68" s="260"/>
      <c r="AD68" s="163">
        <f t="shared" si="5"/>
        <v>0</v>
      </c>
      <c r="AF68" s="260"/>
      <c r="AG68" s="163">
        <f t="shared" si="8"/>
        <v>0</v>
      </c>
      <c r="AI68" s="260"/>
      <c r="AJ68" s="163">
        <f t="shared" si="9"/>
        <v>0</v>
      </c>
      <c r="AL68" s="162">
        <f t="shared" si="10"/>
        <v>0</v>
      </c>
      <c r="AM68" s="163">
        <f t="shared" si="6"/>
        <v>0</v>
      </c>
    </row>
    <row r="69" spans="2:39" ht="30.75" customHeight="1" x14ac:dyDescent="0.3">
      <c r="B69" s="440"/>
      <c r="C69" s="167" t="str">
        <f>+'[1]CAP.5 '!$C$591</f>
        <v>5.15</v>
      </c>
      <c r="D69" s="443"/>
      <c r="E69" s="167" t="str">
        <f>+'[1]CAP.5 '!$C$508</f>
        <v>5.13</v>
      </c>
      <c r="F69" s="173" t="s">
        <v>611</v>
      </c>
      <c r="G69" s="172" t="s">
        <v>230</v>
      </c>
      <c r="H69" s="170">
        <v>1</v>
      </c>
      <c r="I69" s="204">
        <v>238085.6643356643</v>
      </c>
      <c r="J69" s="310"/>
      <c r="K69" s="260"/>
      <c r="L69" s="163">
        <f t="shared" ref="L69:L132" si="12">+K69*I69</f>
        <v>0</v>
      </c>
      <c r="M69" s="261"/>
      <c r="N69" s="260"/>
      <c r="O69" s="163">
        <f t="shared" ref="O69:O132" si="13">+N69*I69</f>
        <v>0</v>
      </c>
      <c r="Q69" s="260"/>
      <c r="R69" s="163">
        <f t="shared" ref="R69:R132" si="14">+Q69*I69</f>
        <v>0</v>
      </c>
      <c r="T69" s="260"/>
      <c r="U69" s="163">
        <f t="shared" ref="U69:U132" si="15">+T69*I69</f>
        <v>0</v>
      </c>
      <c r="W69" s="262">
        <v>0</v>
      </c>
      <c r="X69" s="163">
        <f t="shared" si="11"/>
        <v>0</v>
      </c>
      <c r="Z69" s="260"/>
      <c r="AA69" s="163">
        <f t="shared" ref="AA69:AA132" si="16">+Z69*I69</f>
        <v>0</v>
      </c>
      <c r="AC69" s="260"/>
      <c r="AD69" s="163">
        <f t="shared" ref="AD69:AD132" si="17">+AC69*I69</f>
        <v>0</v>
      </c>
      <c r="AF69" s="260"/>
      <c r="AG69" s="163">
        <f t="shared" si="8"/>
        <v>0</v>
      </c>
      <c r="AI69" s="260"/>
      <c r="AJ69" s="163">
        <f t="shared" si="9"/>
        <v>0</v>
      </c>
      <c r="AL69" s="162">
        <f t="shared" si="10"/>
        <v>0</v>
      </c>
      <c r="AM69" s="163">
        <f t="shared" ref="AM69:AM132" si="18">+AL69*I69</f>
        <v>0</v>
      </c>
    </row>
    <row r="70" spans="2:39" ht="30.75" customHeight="1" x14ac:dyDescent="0.3">
      <c r="B70" s="440"/>
      <c r="C70" s="167" t="str">
        <f>+'[1]CAP.5 '!$C$633</f>
        <v>5.16</v>
      </c>
      <c r="D70" s="443"/>
      <c r="E70" s="167" t="str">
        <f>+'[1]CAP.5 '!$C$549</f>
        <v>5.14</v>
      </c>
      <c r="F70" s="173" t="s">
        <v>612</v>
      </c>
      <c r="G70" s="172" t="s">
        <v>21</v>
      </c>
      <c r="H70" s="170">
        <v>1</v>
      </c>
      <c r="I70" s="204">
        <v>409492.52136752132</v>
      </c>
      <c r="J70" s="310"/>
      <c r="K70" s="260"/>
      <c r="L70" s="163">
        <f t="shared" si="12"/>
        <v>0</v>
      </c>
      <c r="M70" s="261"/>
      <c r="N70" s="260"/>
      <c r="O70" s="163">
        <f t="shared" si="13"/>
        <v>0</v>
      </c>
      <c r="Q70" s="260"/>
      <c r="R70" s="163">
        <f t="shared" si="14"/>
        <v>0</v>
      </c>
      <c r="T70" s="260"/>
      <c r="U70" s="163">
        <f t="shared" si="15"/>
        <v>0</v>
      </c>
      <c r="W70" s="262">
        <v>0</v>
      </c>
      <c r="X70" s="163">
        <f t="shared" si="11"/>
        <v>0</v>
      </c>
      <c r="Z70" s="260"/>
      <c r="AA70" s="163">
        <f t="shared" si="16"/>
        <v>0</v>
      </c>
      <c r="AC70" s="260"/>
      <c r="AD70" s="163">
        <f t="shared" si="17"/>
        <v>0</v>
      </c>
      <c r="AF70" s="260"/>
      <c r="AG70" s="163">
        <f t="shared" ref="AG70:AG133" si="19">+AF70*I70</f>
        <v>0</v>
      </c>
      <c r="AI70" s="260"/>
      <c r="AJ70" s="163">
        <f t="shared" ref="AJ70:AJ133" si="20">+AI70*I70</f>
        <v>0</v>
      </c>
      <c r="AL70" s="162">
        <f t="shared" ref="AL70:AL133" si="21">+K70+N70+Q70+T70+Z70+AF70+AC70+W70+AI70</f>
        <v>0</v>
      </c>
      <c r="AM70" s="163">
        <f t="shared" si="18"/>
        <v>0</v>
      </c>
    </row>
    <row r="71" spans="2:39" ht="30.75" customHeight="1" x14ac:dyDescent="0.3">
      <c r="B71" s="440"/>
      <c r="C71" s="167" t="str">
        <f>+'[1]CAP.5 '!$C$675</f>
        <v>5.17</v>
      </c>
      <c r="D71" s="443"/>
      <c r="E71" s="167" t="str">
        <f>+'[1]CAP.5 '!$C$591</f>
        <v>5.15</v>
      </c>
      <c r="F71" s="174" t="s">
        <v>250</v>
      </c>
      <c r="G71" s="172" t="s">
        <v>21</v>
      </c>
      <c r="H71" s="170">
        <v>1</v>
      </c>
      <c r="I71" s="204">
        <v>349469.6969696969</v>
      </c>
      <c r="J71" s="310"/>
      <c r="K71" s="260"/>
      <c r="L71" s="163">
        <f t="shared" si="12"/>
        <v>0</v>
      </c>
      <c r="M71" s="261"/>
      <c r="N71" s="260"/>
      <c r="O71" s="163">
        <f t="shared" si="13"/>
        <v>0</v>
      </c>
      <c r="Q71" s="260"/>
      <c r="R71" s="163">
        <f t="shared" si="14"/>
        <v>0</v>
      </c>
      <c r="T71" s="260"/>
      <c r="U71" s="163">
        <f t="shared" si="15"/>
        <v>0</v>
      </c>
      <c r="W71" s="262">
        <v>0</v>
      </c>
      <c r="X71" s="163">
        <f t="shared" ref="X71:X134" si="22">+W71*I71</f>
        <v>0</v>
      </c>
      <c r="Z71" s="260"/>
      <c r="AA71" s="163">
        <f t="shared" si="16"/>
        <v>0</v>
      </c>
      <c r="AC71" s="260"/>
      <c r="AD71" s="163">
        <f t="shared" si="17"/>
        <v>0</v>
      </c>
      <c r="AF71" s="260"/>
      <c r="AG71" s="163">
        <f t="shared" si="19"/>
        <v>0</v>
      </c>
      <c r="AI71" s="260"/>
      <c r="AJ71" s="163">
        <f t="shared" si="20"/>
        <v>0</v>
      </c>
      <c r="AL71" s="162">
        <f t="shared" si="21"/>
        <v>0</v>
      </c>
      <c r="AM71" s="163">
        <f t="shared" si="18"/>
        <v>0</v>
      </c>
    </row>
    <row r="72" spans="2:39" ht="30.75" customHeight="1" x14ac:dyDescent="0.3">
      <c r="B72" s="440"/>
      <c r="C72" s="167" t="s">
        <v>255</v>
      </c>
      <c r="D72" s="443"/>
      <c r="E72" s="167" t="str">
        <f>+'[1]CAP.5 '!$C$633</f>
        <v>5.16</v>
      </c>
      <c r="F72" s="173" t="s">
        <v>252</v>
      </c>
      <c r="G72" s="172" t="s">
        <v>21</v>
      </c>
      <c r="H72" s="170">
        <v>1</v>
      </c>
      <c r="I72" s="204">
        <v>18922.073297073297</v>
      </c>
      <c r="J72" s="310"/>
      <c r="K72" s="260"/>
      <c r="L72" s="163">
        <f t="shared" si="12"/>
        <v>0</v>
      </c>
      <c r="M72" s="261"/>
      <c r="N72" s="260"/>
      <c r="O72" s="163">
        <f t="shared" si="13"/>
        <v>0</v>
      </c>
      <c r="Q72" s="268"/>
      <c r="R72" s="163">
        <f t="shared" si="14"/>
        <v>0</v>
      </c>
      <c r="T72" s="260"/>
      <c r="U72" s="163">
        <f t="shared" si="15"/>
        <v>0</v>
      </c>
      <c r="W72" s="262">
        <v>0</v>
      </c>
      <c r="X72" s="163">
        <f t="shared" si="22"/>
        <v>0</v>
      </c>
      <c r="Z72" s="260"/>
      <c r="AA72" s="163">
        <f t="shared" si="16"/>
        <v>0</v>
      </c>
      <c r="AC72" s="260"/>
      <c r="AD72" s="163">
        <f t="shared" si="17"/>
        <v>0</v>
      </c>
      <c r="AF72" s="260"/>
      <c r="AG72" s="163">
        <f t="shared" si="19"/>
        <v>0</v>
      </c>
      <c r="AI72" s="260"/>
      <c r="AJ72" s="163">
        <f t="shared" si="20"/>
        <v>0</v>
      </c>
      <c r="AL72" s="162">
        <f t="shared" si="21"/>
        <v>0</v>
      </c>
      <c r="AM72" s="163">
        <f t="shared" si="18"/>
        <v>0</v>
      </c>
    </row>
    <row r="73" spans="2:39" ht="30.75" customHeight="1" x14ac:dyDescent="0.3">
      <c r="B73" s="440"/>
      <c r="C73" s="167" t="s">
        <v>257</v>
      </c>
      <c r="D73" s="443"/>
      <c r="E73" s="167" t="str">
        <f>+'[1]CAP.5 '!$C$675</f>
        <v>5.17</v>
      </c>
      <c r="F73" s="174" t="s">
        <v>254</v>
      </c>
      <c r="G73" s="175" t="s">
        <v>230</v>
      </c>
      <c r="H73" s="170">
        <v>1</v>
      </c>
      <c r="I73" s="204">
        <v>17631.442631442627</v>
      </c>
      <c r="J73" s="310"/>
      <c r="K73" s="260"/>
      <c r="L73" s="163">
        <f t="shared" si="12"/>
        <v>0</v>
      </c>
      <c r="M73" s="261"/>
      <c r="N73" s="260"/>
      <c r="O73" s="163">
        <f t="shared" si="13"/>
        <v>0</v>
      </c>
      <c r="Q73" s="260"/>
      <c r="R73" s="163">
        <f t="shared" si="14"/>
        <v>0</v>
      </c>
      <c r="T73" s="260"/>
      <c r="U73" s="163">
        <f t="shared" si="15"/>
        <v>0</v>
      </c>
      <c r="W73" s="262">
        <v>0</v>
      </c>
      <c r="X73" s="163">
        <f t="shared" si="22"/>
        <v>0</v>
      </c>
      <c r="Z73" s="260"/>
      <c r="AA73" s="163">
        <f t="shared" si="16"/>
        <v>0</v>
      </c>
      <c r="AC73" s="260"/>
      <c r="AD73" s="163">
        <f t="shared" si="17"/>
        <v>0</v>
      </c>
      <c r="AF73" s="260"/>
      <c r="AG73" s="163">
        <f t="shared" si="19"/>
        <v>0</v>
      </c>
      <c r="AI73" s="260"/>
      <c r="AJ73" s="163">
        <f t="shared" si="20"/>
        <v>0</v>
      </c>
      <c r="AL73" s="162">
        <f t="shared" si="21"/>
        <v>0</v>
      </c>
      <c r="AM73" s="163">
        <f t="shared" si="18"/>
        <v>0</v>
      </c>
    </row>
    <row r="74" spans="2:39" ht="30.75" customHeight="1" x14ac:dyDescent="0.3">
      <c r="B74" s="440"/>
      <c r="C74" s="167" t="s">
        <v>259</v>
      </c>
      <c r="D74" s="443"/>
      <c r="E74" s="167" t="s">
        <v>255</v>
      </c>
      <c r="F74" s="174" t="s">
        <v>256</v>
      </c>
      <c r="G74" s="175" t="s">
        <v>21</v>
      </c>
      <c r="H74" s="170">
        <v>1</v>
      </c>
      <c r="I74" s="204">
        <v>307950.82232582232</v>
      </c>
      <c r="J74" s="310"/>
      <c r="K74" s="260"/>
      <c r="L74" s="163">
        <f t="shared" si="12"/>
        <v>0</v>
      </c>
      <c r="M74" s="261"/>
      <c r="N74" s="260"/>
      <c r="O74" s="163">
        <f t="shared" si="13"/>
        <v>0</v>
      </c>
      <c r="Q74" s="260"/>
      <c r="R74" s="163">
        <f t="shared" si="14"/>
        <v>0</v>
      </c>
      <c r="T74" s="260"/>
      <c r="U74" s="163">
        <f t="shared" si="15"/>
        <v>0</v>
      </c>
      <c r="W74" s="262">
        <v>0</v>
      </c>
      <c r="X74" s="163">
        <f t="shared" si="22"/>
        <v>0</v>
      </c>
      <c r="Z74" s="260"/>
      <c r="AA74" s="163">
        <f t="shared" si="16"/>
        <v>0</v>
      </c>
      <c r="AC74" s="260"/>
      <c r="AD74" s="163">
        <f t="shared" si="17"/>
        <v>0</v>
      </c>
      <c r="AF74" s="260"/>
      <c r="AG74" s="163">
        <f t="shared" si="19"/>
        <v>0</v>
      </c>
      <c r="AI74" s="260"/>
      <c r="AJ74" s="163">
        <f t="shared" si="20"/>
        <v>0</v>
      </c>
      <c r="AL74" s="162">
        <f t="shared" si="21"/>
        <v>0</v>
      </c>
      <c r="AM74" s="163">
        <f t="shared" si="18"/>
        <v>0</v>
      </c>
    </row>
    <row r="75" spans="2:39" ht="30.75" customHeight="1" x14ac:dyDescent="0.3">
      <c r="B75" s="440"/>
      <c r="C75" s="167" t="str">
        <f>+'[1]CAP.5 '!$C$859</f>
        <v>5.21</v>
      </c>
      <c r="D75" s="443"/>
      <c r="E75" s="167" t="s">
        <v>257</v>
      </c>
      <c r="F75" s="174" t="s">
        <v>258</v>
      </c>
      <c r="G75" s="175" t="s">
        <v>27</v>
      </c>
      <c r="H75" s="170">
        <v>1</v>
      </c>
      <c r="I75" s="204">
        <v>2538033.7024087021</v>
      </c>
      <c r="J75" s="310"/>
      <c r="K75" s="260"/>
      <c r="L75" s="163">
        <f t="shared" si="12"/>
        <v>0</v>
      </c>
      <c r="M75" s="261"/>
      <c r="N75" s="260"/>
      <c r="O75" s="163">
        <f t="shared" si="13"/>
        <v>0</v>
      </c>
      <c r="Q75" s="260"/>
      <c r="R75" s="163">
        <f t="shared" si="14"/>
        <v>0</v>
      </c>
      <c r="T75" s="274"/>
      <c r="U75" s="163">
        <f t="shared" si="15"/>
        <v>0</v>
      </c>
      <c r="W75" s="262">
        <v>0</v>
      </c>
      <c r="X75" s="163">
        <f t="shared" si="22"/>
        <v>0</v>
      </c>
      <c r="Z75" s="274"/>
      <c r="AA75" s="163">
        <f t="shared" si="16"/>
        <v>0</v>
      </c>
      <c r="AC75" s="260"/>
      <c r="AD75" s="163">
        <f t="shared" si="17"/>
        <v>0</v>
      </c>
      <c r="AF75" s="260"/>
      <c r="AG75" s="163">
        <f t="shared" si="19"/>
        <v>0</v>
      </c>
      <c r="AI75" s="260"/>
      <c r="AJ75" s="163">
        <f t="shared" si="20"/>
        <v>0</v>
      </c>
      <c r="AL75" s="162">
        <f t="shared" si="21"/>
        <v>0</v>
      </c>
      <c r="AM75" s="163">
        <f t="shared" si="18"/>
        <v>0</v>
      </c>
    </row>
    <row r="76" spans="2:39" ht="30.75" customHeight="1" x14ac:dyDescent="0.3">
      <c r="B76" s="440"/>
      <c r="C76" s="167" t="s">
        <v>264</v>
      </c>
      <c r="D76" s="443"/>
      <c r="E76" s="167" t="s">
        <v>259</v>
      </c>
      <c r="F76" s="174" t="s">
        <v>260</v>
      </c>
      <c r="G76" s="175" t="s">
        <v>27</v>
      </c>
      <c r="H76" s="170">
        <v>1</v>
      </c>
      <c r="I76" s="204">
        <v>702883.80600880587</v>
      </c>
      <c r="J76" s="310"/>
      <c r="K76" s="260"/>
      <c r="L76" s="163">
        <f t="shared" si="12"/>
        <v>0</v>
      </c>
      <c r="M76" s="261"/>
      <c r="N76" s="260"/>
      <c r="O76" s="163">
        <f t="shared" si="13"/>
        <v>0</v>
      </c>
      <c r="Q76" s="260"/>
      <c r="R76" s="163">
        <f t="shared" si="14"/>
        <v>0</v>
      </c>
      <c r="T76" s="260"/>
      <c r="U76" s="163">
        <f t="shared" si="15"/>
        <v>0</v>
      </c>
      <c r="W76" s="262">
        <v>0</v>
      </c>
      <c r="X76" s="163">
        <f t="shared" si="22"/>
        <v>0</v>
      </c>
      <c r="Z76" s="260"/>
      <c r="AA76" s="163">
        <f t="shared" si="16"/>
        <v>0</v>
      </c>
      <c r="AC76" s="260"/>
      <c r="AD76" s="163">
        <f t="shared" si="17"/>
        <v>0</v>
      </c>
      <c r="AF76" s="260"/>
      <c r="AG76" s="163">
        <f t="shared" si="19"/>
        <v>0</v>
      </c>
      <c r="AI76" s="260"/>
      <c r="AJ76" s="163">
        <f t="shared" si="20"/>
        <v>0</v>
      </c>
      <c r="AL76" s="162">
        <f t="shared" si="21"/>
        <v>0</v>
      </c>
      <c r="AM76" s="163">
        <f t="shared" si="18"/>
        <v>0</v>
      </c>
    </row>
    <row r="77" spans="2:39" ht="30.75" customHeight="1" x14ac:dyDescent="0.3">
      <c r="B77" s="440"/>
      <c r="C77" s="167" t="s">
        <v>266</v>
      </c>
      <c r="D77" s="443"/>
      <c r="E77" s="167" t="str">
        <f>+'[1]CAP.5 '!$C$859</f>
        <v>5.21</v>
      </c>
      <c r="F77" s="174" t="s">
        <v>262</v>
      </c>
      <c r="G77" s="175" t="s">
        <v>263</v>
      </c>
      <c r="H77" s="170">
        <v>1</v>
      </c>
      <c r="I77" s="204">
        <v>184403.81377881375</v>
      </c>
      <c r="J77" s="310"/>
      <c r="K77" s="260"/>
      <c r="L77" s="163">
        <f t="shared" si="12"/>
        <v>0</v>
      </c>
      <c r="M77" s="261"/>
      <c r="N77" s="260"/>
      <c r="O77" s="163">
        <f t="shared" si="13"/>
        <v>0</v>
      </c>
      <c r="Q77" s="260"/>
      <c r="R77" s="163">
        <f t="shared" si="14"/>
        <v>0</v>
      </c>
      <c r="T77" s="260"/>
      <c r="U77" s="163">
        <f t="shared" si="15"/>
        <v>0</v>
      </c>
      <c r="W77" s="262">
        <v>0</v>
      </c>
      <c r="X77" s="163">
        <f t="shared" si="22"/>
        <v>0</v>
      </c>
      <c r="Z77" s="260"/>
      <c r="AA77" s="163">
        <f t="shared" si="16"/>
        <v>0</v>
      </c>
      <c r="AC77" s="260"/>
      <c r="AD77" s="163">
        <f t="shared" si="17"/>
        <v>0</v>
      </c>
      <c r="AF77" s="260"/>
      <c r="AG77" s="163">
        <f t="shared" si="19"/>
        <v>0</v>
      </c>
      <c r="AI77" s="260"/>
      <c r="AJ77" s="163">
        <f t="shared" si="20"/>
        <v>0</v>
      </c>
      <c r="AL77" s="162">
        <f t="shared" si="21"/>
        <v>0</v>
      </c>
      <c r="AM77" s="163">
        <f t="shared" si="18"/>
        <v>0</v>
      </c>
    </row>
    <row r="78" spans="2:39" ht="30.75" customHeight="1" x14ac:dyDescent="0.3">
      <c r="B78" s="440"/>
      <c r="C78" s="167" t="str">
        <f>+'[1]CAP.5 '!$C$1001</f>
        <v>5.24</v>
      </c>
      <c r="D78" s="443"/>
      <c r="E78" s="167" t="s">
        <v>264</v>
      </c>
      <c r="F78" s="174" t="s">
        <v>265</v>
      </c>
      <c r="G78" s="175" t="s">
        <v>21</v>
      </c>
      <c r="H78" s="170">
        <v>1</v>
      </c>
      <c r="I78" s="204">
        <v>88530.011655011636</v>
      </c>
      <c r="J78" s="310"/>
      <c r="K78" s="260"/>
      <c r="L78" s="163">
        <f t="shared" si="12"/>
        <v>0</v>
      </c>
      <c r="M78" s="261"/>
      <c r="N78" s="260"/>
      <c r="O78" s="163">
        <f t="shared" si="13"/>
        <v>0</v>
      </c>
      <c r="Q78" s="260"/>
      <c r="R78" s="163">
        <f t="shared" si="14"/>
        <v>0</v>
      </c>
      <c r="T78" s="260"/>
      <c r="U78" s="163">
        <f t="shared" si="15"/>
        <v>0</v>
      </c>
      <c r="W78" s="262">
        <v>0</v>
      </c>
      <c r="X78" s="163">
        <f t="shared" si="22"/>
        <v>0</v>
      </c>
      <c r="Z78" s="260"/>
      <c r="AA78" s="163">
        <f t="shared" si="16"/>
        <v>0</v>
      </c>
      <c r="AC78" s="260"/>
      <c r="AD78" s="163">
        <f t="shared" si="17"/>
        <v>0</v>
      </c>
      <c r="AF78" s="260"/>
      <c r="AG78" s="163">
        <f t="shared" si="19"/>
        <v>0</v>
      </c>
      <c r="AI78" s="260"/>
      <c r="AJ78" s="163">
        <f t="shared" si="20"/>
        <v>0</v>
      </c>
      <c r="AL78" s="162">
        <f t="shared" si="21"/>
        <v>0</v>
      </c>
      <c r="AM78" s="163">
        <f t="shared" si="18"/>
        <v>0</v>
      </c>
    </row>
    <row r="79" spans="2:39" ht="30.75" customHeight="1" x14ac:dyDescent="0.3">
      <c r="B79" s="440"/>
      <c r="C79" s="167" t="str">
        <f>+'[1]CAP.5 '!$C$1044</f>
        <v>5.25</v>
      </c>
      <c r="D79" s="443"/>
      <c r="E79" s="167" t="s">
        <v>266</v>
      </c>
      <c r="F79" s="174" t="s">
        <v>267</v>
      </c>
      <c r="G79" s="175" t="s">
        <v>230</v>
      </c>
      <c r="H79" s="170">
        <v>1</v>
      </c>
      <c r="I79" s="204">
        <v>10005.503755503754</v>
      </c>
      <c r="J79" s="310"/>
      <c r="K79" s="260"/>
      <c r="L79" s="163">
        <f t="shared" si="12"/>
        <v>0</v>
      </c>
      <c r="M79" s="261"/>
      <c r="N79" s="260"/>
      <c r="O79" s="163">
        <f t="shared" si="13"/>
        <v>0</v>
      </c>
      <c r="Q79" s="260"/>
      <c r="R79" s="163">
        <f t="shared" si="14"/>
        <v>0</v>
      </c>
      <c r="T79" s="260"/>
      <c r="U79" s="163">
        <f t="shared" si="15"/>
        <v>0</v>
      </c>
      <c r="W79" s="262">
        <v>0</v>
      </c>
      <c r="X79" s="163">
        <f t="shared" si="22"/>
        <v>0</v>
      </c>
      <c r="Z79" s="260"/>
      <c r="AA79" s="163">
        <f t="shared" si="16"/>
        <v>0</v>
      </c>
      <c r="AC79" s="260"/>
      <c r="AD79" s="163">
        <f t="shared" si="17"/>
        <v>0</v>
      </c>
      <c r="AF79" s="260"/>
      <c r="AG79" s="163">
        <f t="shared" si="19"/>
        <v>0</v>
      </c>
      <c r="AI79" s="260"/>
      <c r="AJ79" s="163">
        <f t="shared" si="20"/>
        <v>0</v>
      </c>
      <c r="AL79" s="162">
        <f t="shared" si="21"/>
        <v>0</v>
      </c>
      <c r="AM79" s="163">
        <f t="shared" si="18"/>
        <v>0</v>
      </c>
    </row>
    <row r="80" spans="2:39" ht="30.75" customHeight="1" x14ac:dyDescent="0.3">
      <c r="B80" s="440"/>
      <c r="C80" s="167" t="str">
        <f>+'[1]CAP.5 '!$C$1096</f>
        <v>5.26</v>
      </c>
      <c r="D80" s="443"/>
      <c r="E80" s="167" t="str">
        <f>+'[1]CAP.5 '!$C$1001</f>
        <v>5.24</v>
      </c>
      <c r="F80" s="174" t="s">
        <v>269</v>
      </c>
      <c r="G80" s="175" t="s">
        <v>230</v>
      </c>
      <c r="H80" s="170">
        <v>1</v>
      </c>
      <c r="I80" s="204">
        <v>391614.05723905715</v>
      </c>
      <c r="J80" s="310"/>
      <c r="K80" s="260"/>
      <c r="L80" s="163">
        <f t="shared" si="12"/>
        <v>0</v>
      </c>
      <c r="M80" s="261"/>
      <c r="N80" s="260"/>
      <c r="O80" s="163">
        <f t="shared" si="13"/>
        <v>0</v>
      </c>
      <c r="Q80" s="260"/>
      <c r="R80" s="163">
        <f t="shared" si="14"/>
        <v>0</v>
      </c>
      <c r="T80" s="260"/>
      <c r="U80" s="163">
        <f t="shared" si="15"/>
        <v>0</v>
      </c>
      <c r="W80" s="262">
        <v>0</v>
      </c>
      <c r="X80" s="163">
        <f t="shared" si="22"/>
        <v>0</v>
      </c>
      <c r="Z80" s="260"/>
      <c r="AA80" s="163">
        <f t="shared" si="16"/>
        <v>0</v>
      </c>
      <c r="AC80" s="260"/>
      <c r="AD80" s="163">
        <f t="shared" si="17"/>
        <v>0</v>
      </c>
      <c r="AF80" s="260"/>
      <c r="AG80" s="163">
        <f t="shared" si="19"/>
        <v>0</v>
      </c>
      <c r="AI80" s="260"/>
      <c r="AJ80" s="163">
        <f t="shared" si="20"/>
        <v>0</v>
      </c>
      <c r="AL80" s="162">
        <f t="shared" si="21"/>
        <v>0</v>
      </c>
      <c r="AM80" s="163">
        <f t="shared" si="18"/>
        <v>0</v>
      </c>
    </row>
    <row r="81" spans="2:39" ht="30.75" customHeight="1" x14ac:dyDescent="0.3">
      <c r="B81" s="440"/>
      <c r="C81" s="167" t="str">
        <f>+'[1]CAP.5 '!$C$1140</f>
        <v>5.27</v>
      </c>
      <c r="D81" s="443"/>
      <c r="E81" s="167" t="str">
        <f>+'[1]CAP.5 '!$C$1044</f>
        <v>5.25</v>
      </c>
      <c r="F81" s="174" t="s">
        <v>271</v>
      </c>
      <c r="G81" s="175" t="s">
        <v>21</v>
      </c>
      <c r="H81" s="170">
        <v>1</v>
      </c>
      <c r="I81" s="204">
        <v>411192.21056721051</v>
      </c>
      <c r="J81" s="310"/>
      <c r="K81" s="260"/>
      <c r="L81" s="163">
        <f t="shared" si="12"/>
        <v>0</v>
      </c>
      <c r="M81" s="261"/>
      <c r="N81" s="260"/>
      <c r="O81" s="163">
        <f t="shared" si="13"/>
        <v>0</v>
      </c>
      <c r="Q81" s="260"/>
      <c r="R81" s="163">
        <f t="shared" si="14"/>
        <v>0</v>
      </c>
      <c r="T81" s="260"/>
      <c r="U81" s="163">
        <f t="shared" si="15"/>
        <v>0</v>
      </c>
      <c r="W81" s="262">
        <v>0</v>
      </c>
      <c r="X81" s="163">
        <f t="shared" si="22"/>
        <v>0</v>
      </c>
      <c r="Z81" s="260"/>
      <c r="AA81" s="163">
        <f t="shared" si="16"/>
        <v>0</v>
      </c>
      <c r="AC81" s="260"/>
      <c r="AD81" s="163">
        <f t="shared" si="17"/>
        <v>0</v>
      </c>
      <c r="AF81" s="260"/>
      <c r="AG81" s="163">
        <f t="shared" si="19"/>
        <v>0</v>
      </c>
      <c r="AI81" s="260"/>
      <c r="AJ81" s="163">
        <f t="shared" si="20"/>
        <v>0</v>
      </c>
      <c r="AL81" s="162">
        <f t="shared" si="21"/>
        <v>0</v>
      </c>
      <c r="AM81" s="163">
        <f t="shared" si="18"/>
        <v>0</v>
      </c>
    </row>
    <row r="82" spans="2:39" ht="30.75" customHeight="1" x14ac:dyDescent="0.3">
      <c r="B82" s="440"/>
      <c r="C82" s="167" t="str">
        <f>+'[1]CAP.5 '!$C$1187</f>
        <v>5.28</v>
      </c>
      <c r="D82" s="443"/>
      <c r="E82" s="167" t="str">
        <f>+'[1]CAP.5 '!$C$1096</f>
        <v>5.26</v>
      </c>
      <c r="F82" s="174" t="s">
        <v>273</v>
      </c>
      <c r="G82" s="175" t="s">
        <v>21</v>
      </c>
      <c r="H82" s="170">
        <v>1</v>
      </c>
      <c r="I82" s="204">
        <v>48718.758093758093</v>
      </c>
      <c r="J82" s="310"/>
      <c r="K82" s="274"/>
      <c r="L82" s="163">
        <f t="shared" si="12"/>
        <v>0</v>
      </c>
      <c r="M82" s="261"/>
      <c r="N82" s="260"/>
      <c r="O82" s="163">
        <f t="shared" si="13"/>
        <v>0</v>
      </c>
      <c r="Q82" s="260"/>
      <c r="R82" s="163">
        <f t="shared" si="14"/>
        <v>0</v>
      </c>
      <c r="T82" s="260"/>
      <c r="U82" s="163">
        <f t="shared" si="15"/>
        <v>0</v>
      </c>
      <c r="W82" s="262">
        <v>0</v>
      </c>
      <c r="X82" s="163">
        <f t="shared" si="22"/>
        <v>0</v>
      </c>
      <c r="Z82" s="260"/>
      <c r="AA82" s="163">
        <f t="shared" si="16"/>
        <v>0</v>
      </c>
      <c r="AC82" s="260"/>
      <c r="AD82" s="163">
        <f t="shared" si="17"/>
        <v>0</v>
      </c>
      <c r="AF82" s="260"/>
      <c r="AG82" s="163">
        <f t="shared" si="19"/>
        <v>0</v>
      </c>
      <c r="AI82" s="260"/>
      <c r="AJ82" s="163">
        <f t="shared" si="20"/>
        <v>0</v>
      </c>
      <c r="AL82" s="162">
        <f t="shared" si="21"/>
        <v>0</v>
      </c>
      <c r="AM82" s="163">
        <f t="shared" si="18"/>
        <v>0</v>
      </c>
    </row>
    <row r="83" spans="2:39" ht="30.75" customHeight="1" x14ac:dyDescent="0.3">
      <c r="B83" s="440"/>
      <c r="C83" s="167" t="str">
        <f>+'[1]CAP.5 '!$C$1233</f>
        <v>5.29</v>
      </c>
      <c r="D83" s="443"/>
      <c r="E83" s="167" t="str">
        <f>+'[1]CAP.5 '!$C$1140</f>
        <v>5.27</v>
      </c>
      <c r="F83" s="174" t="s">
        <v>275</v>
      </c>
      <c r="G83" s="175" t="s">
        <v>27</v>
      </c>
      <c r="H83" s="170">
        <v>1</v>
      </c>
      <c r="I83" s="204">
        <v>36971.639471639464</v>
      </c>
      <c r="J83" s="310"/>
      <c r="K83" s="260"/>
      <c r="L83" s="163">
        <f t="shared" si="12"/>
        <v>0</v>
      </c>
      <c r="M83" s="261"/>
      <c r="N83" s="260"/>
      <c r="O83" s="163">
        <f t="shared" si="13"/>
        <v>0</v>
      </c>
      <c r="Q83" s="260"/>
      <c r="R83" s="163">
        <f t="shared" si="14"/>
        <v>0</v>
      </c>
      <c r="T83" s="260"/>
      <c r="U83" s="163">
        <f t="shared" si="15"/>
        <v>0</v>
      </c>
      <c r="W83" s="262">
        <v>0</v>
      </c>
      <c r="X83" s="163">
        <f t="shared" si="22"/>
        <v>0</v>
      </c>
      <c r="Z83" s="260"/>
      <c r="AA83" s="163">
        <f t="shared" si="16"/>
        <v>0</v>
      </c>
      <c r="AC83" s="260"/>
      <c r="AD83" s="163">
        <f t="shared" si="17"/>
        <v>0</v>
      </c>
      <c r="AF83" s="260"/>
      <c r="AG83" s="163">
        <f t="shared" si="19"/>
        <v>0</v>
      </c>
      <c r="AI83" s="260"/>
      <c r="AJ83" s="163">
        <f t="shared" si="20"/>
        <v>0</v>
      </c>
      <c r="AL83" s="162">
        <f t="shared" si="21"/>
        <v>0</v>
      </c>
      <c r="AM83" s="163">
        <f t="shared" si="18"/>
        <v>0</v>
      </c>
    </row>
    <row r="84" spans="2:39" ht="30.75" customHeight="1" x14ac:dyDescent="0.3">
      <c r="B84" s="440"/>
      <c r="C84" s="176" t="str">
        <f>+'[1]CAP.5 '!$C$1284</f>
        <v>5.30</v>
      </c>
      <c r="D84" s="443"/>
      <c r="E84" s="167" t="str">
        <f>+'[1]CAP.5 '!$C$1187</f>
        <v>5.28</v>
      </c>
      <c r="F84" s="174" t="s">
        <v>277</v>
      </c>
      <c r="G84" s="175" t="s">
        <v>21</v>
      </c>
      <c r="H84" s="170">
        <v>1</v>
      </c>
      <c r="I84" s="204">
        <v>161783.51431837684</v>
      </c>
      <c r="J84" s="310"/>
      <c r="K84" s="268">
        <v>9</v>
      </c>
      <c r="L84" s="163">
        <f t="shared" si="12"/>
        <v>1456051.6288653915</v>
      </c>
      <c r="M84" s="261"/>
      <c r="N84" s="260"/>
      <c r="O84" s="163">
        <f t="shared" si="13"/>
        <v>0</v>
      </c>
      <c r="Q84" s="260"/>
      <c r="R84" s="163">
        <f t="shared" si="14"/>
        <v>0</v>
      </c>
      <c r="T84" s="260"/>
      <c r="U84" s="163">
        <f t="shared" si="15"/>
        <v>0</v>
      </c>
      <c r="W84" s="262">
        <v>0</v>
      </c>
      <c r="X84" s="163">
        <f t="shared" si="22"/>
        <v>0</v>
      </c>
      <c r="Z84" s="260"/>
      <c r="AA84" s="163">
        <f t="shared" si="16"/>
        <v>0</v>
      </c>
      <c r="AC84" s="260"/>
      <c r="AD84" s="163">
        <f t="shared" si="17"/>
        <v>0</v>
      </c>
      <c r="AF84" s="260"/>
      <c r="AG84" s="163">
        <f t="shared" si="19"/>
        <v>0</v>
      </c>
      <c r="AI84" s="260"/>
      <c r="AJ84" s="163">
        <f t="shared" si="20"/>
        <v>0</v>
      </c>
      <c r="AL84" s="162">
        <f t="shared" si="21"/>
        <v>9</v>
      </c>
      <c r="AM84" s="163">
        <f t="shared" si="18"/>
        <v>1456051.6288653915</v>
      </c>
    </row>
    <row r="85" spans="2:39" ht="30.75" customHeight="1" x14ac:dyDescent="0.3">
      <c r="B85" s="440"/>
      <c r="C85" s="176" t="str">
        <f>+'[1]CAP.5 '!$C$1330</f>
        <v>5.31</v>
      </c>
      <c r="D85" s="443"/>
      <c r="E85" s="167" t="str">
        <f>+'[1]CAP.5 '!$C$1233</f>
        <v>5.29</v>
      </c>
      <c r="F85" s="174" t="s">
        <v>279</v>
      </c>
      <c r="G85" s="175" t="s">
        <v>263</v>
      </c>
      <c r="H85" s="170">
        <v>1</v>
      </c>
      <c r="I85" s="204">
        <v>1430855.0246050244</v>
      </c>
      <c r="J85" s="310"/>
      <c r="K85" s="260"/>
      <c r="L85" s="163">
        <f t="shared" si="12"/>
        <v>0</v>
      </c>
      <c r="M85" s="261"/>
      <c r="N85" s="260"/>
      <c r="O85" s="163">
        <f t="shared" si="13"/>
        <v>0</v>
      </c>
      <c r="Q85" s="260"/>
      <c r="R85" s="163">
        <f t="shared" si="14"/>
        <v>0</v>
      </c>
      <c r="T85" s="260"/>
      <c r="U85" s="163">
        <f t="shared" si="15"/>
        <v>0</v>
      </c>
      <c r="W85" s="262">
        <v>0</v>
      </c>
      <c r="X85" s="163">
        <f t="shared" si="22"/>
        <v>0</v>
      </c>
      <c r="Z85" s="260"/>
      <c r="AA85" s="163">
        <f t="shared" si="16"/>
        <v>0</v>
      </c>
      <c r="AC85" s="260"/>
      <c r="AD85" s="163">
        <f t="shared" si="17"/>
        <v>0</v>
      </c>
      <c r="AF85" s="260"/>
      <c r="AG85" s="163">
        <f t="shared" si="19"/>
        <v>0</v>
      </c>
      <c r="AI85" s="260"/>
      <c r="AJ85" s="163">
        <f t="shared" si="20"/>
        <v>0</v>
      </c>
      <c r="AL85" s="162">
        <f t="shared" si="21"/>
        <v>0</v>
      </c>
      <c r="AM85" s="163">
        <f t="shared" si="18"/>
        <v>0</v>
      </c>
    </row>
    <row r="86" spans="2:39" ht="30.75" customHeight="1" x14ac:dyDescent="0.3">
      <c r="B86" s="440"/>
      <c r="C86" s="176" t="str">
        <f>+'[1]CAP.5 '!$C$1371</f>
        <v>5.32</v>
      </c>
      <c r="D86" s="443"/>
      <c r="E86" s="176" t="str">
        <f>+'[1]CAP.5 '!$C$1284</f>
        <v>5.30</v>
      </c>
      <c r="F86" s="171" t="s">
        <v>281</v>
      </c>
      <c r="G86" s="177" t="s">
        <v>263</v>
      </c>
      <c r="H86" s="170">
        <v>1</v>
      </c>
      <c r="I86" s="205">
        <v>1371276.3856513854</v>
      </c>
      <c r="J86" s="310"/>
      <c r="K86" s="268"/>
      <c r="L86" s="163">
        <f t="shared" si="12"/>
        <v>0</v>
      </c>
      <c r="M86" s="261"/>
      <c r="N86" s="260"/>
      <c r="O86" s="163">
        <f t="shared" si="13"/>
        <v>0</v>
      </c>
      <c r="Q86" s="260"/>
      <c r="R86" s="163">
        <f t="shared" si="14"/>
        <v>0</v>
      </c>
      <c r="T86" s="260"/>
      <c r="U86" s="163">
        <f t="shared" si="15"/>
        <v>0</v>
      </c>
      <c r="W86" s="262">
        <v>0</v>
      </c>
      <c r="X86" s="163">
        <f t="shared" si="22"/>
        <v>0</v>
      </c>
      <c r="Z86" s="260"/>
      <c r="AA86" s="163">
        <f t="shared" si="16"/>
        <v>0</v>
      </c>
      <c r="AC86" s="260"/>
      <c r="AD86" s="163">
        <f t="shared" si="17"/>
        <v>0</v>
      </c>
      <c r="AF86" s="260"/>
      <c r="AG86" s="163">
        <f t="shared" si="19"/>
        <v>0</v>
      </c>
      <c r="AI86" s="260"/>
      <c r="AJ86" s="163">
        <f t="shared" si="20"/>
        <v>0</v>
      </c>
      <c r="AL86" s="162">
        <f t="shared" si="21"/>
        <v>0</v>
      </c>
      <c r="AM86" s="163">
        <f t="shared" si="18"/>
        <v>0</v>
      </c>
    </row>
    <row r="87" spans="2:39" ht="30.75" customHeight="1" x14ac:dyDescent="0.3">
      <c r="B87" s="440"/>
      <c r="C87" s="176" t="str">
        <f>+'[1]CAP.5 '!$C$1411</f>
        <v>5.33</v>
      </c>
      <c r="D87" s="443"/>
      <c r="E87" s="176" t="str">
        <f>+'[1]CAP.5 '!$C$1330</f>
        <v>5.31</v>
      </c>
      <c r="F87" s="171" t="s">
        <v>283</v>
      </c>
      <c r="G87" s="177" t="s">
        <v>27</v>
      </c>
      <c r="H87" s="170">
        <v>1</v>
      </c>
      <c r="I87" s="205">
        <v>1210774.7345247343</v>
      </c>
      <c r="J87" s="310"/>
      <c r="K87" s="260"/>
      <c r="L87" s="163">
        <f t="shared" si="12"/>
        <v>0</v>
      </c>
      <c r="M87" s="261"/>
      <c r="N87" s="260"/>
      <c r="O87" s="163">
        <f t="shared" si="13"/>
        <v>0</v>
      </c>
      <c r="Q87" s="260"/>
      <c r="R87" s="163">
        <f t="shared" si="14"/>
        <v>0</v>
      </c>
      <c r="T87" s="260"/>
      <c r="U87" s="163">
        <f t="shared" si="15"/>
        <v>0</v>
      </c>
      <c r="W87" s="262">
        <v>0</v>
      </c>
      <c r="X87" s="163">
        <f t="shared" si="22"/>
        <v>0</v>
      </c>
      <c r="Z87" s="260"/>
      <c r="AA87" s="163">
        <f t="shared" si="16"/>
        <v>0</v>
      </c>
      <c r="AC87" s="260"/>
      <c r="AD87" s="163">
        <f t="shared" si="17"/>
        <v>0</v>
      </c>
      <c r="AF87" s="260"/>
      <c r="AG87" s="163">
        <f t="shared" si="19"/>
        <v>0</v>
      </c>
      <c r="AI87" s="260"/>
      <c r="AJ87" s="163">
        <f t="shared" si="20"/>
        <v>0</v>
      </c>
      <c r="AL87" s="162">
        <f t="shared" si="21"/>
        <v>0</v>
      </c>
      <c r="AM87" s="163">
        <f t="shared" si="18"/>
        <v>0</v>
      </c>
    </row>
    <row r="88" spans="2:39" ht="30.75" customHeight="1" thickBot="1" x14ac:dyDescent="0.35">
      <c r="B88" s="441"/>
      <c r="C88" s="176" t="str">
        <f>+'[1]CAP.5 '!$C$1446</f>
        <v>5.34</v>
      </c>
      <c r="D88" s="443"/>
      <c r="E88" s="176" t="str">
        <f>+'[1]CAP.5 '!$C$1371</f>
        <v>5.32</v>
      </c>
      <c r="F88" s="171" t="s">
        <v>285</v>
      </c>
      <c r="G88" s="177" t="s">
        <v>27</v>
      </c>
      <c r="H88" s="170">
        <v>1</v>
      </c>
      <c r="I88" s="205">
        <v>2916511.4283864279</v>
      </c>
      <c r="J88" s="310"/>
      <c r="K88" s="260"/>
      <c r="L88" s="163">
        <f t="shared" si="12"/>
        <v>0</v>
      </c>
      <c r="M88" s="261"/>
      <c r="N88" s="260"/>
      <c r="O88" s="163">
        <f t="shared" si="13"/>
        <v>0</v>
      </c>
      <c r="Q88" s="260"/>
      <c r="R88" s="163">
        <f t="shared" si="14"/>
        <v>0</v>
      </c>
      <c r="T88" s="260"/>
      <c r="U88" s="163">
        <f t="shared" si="15"/>
        <v>0</v>
      </c>
      <c r="W88" s="262">
        <v>0</v>
      </c>
      <c r="X88" s="163">
        <f t="shared" si="22"/>
        <v>0</v>
      </c>
      <c r="Z88" s="260"/>
      <c r="AA88" s="163">
        <f t="shared" si="16"/>
        <v>0</v>
      </c>
      <c r="AC88" s="260"/>
      <c r="AD88" s="163">
        <f t="shared" si="17"/>
        <v>0</v>
      </c>
      <c r="AF88" s="260"/>
      <c r="AG88" s="163">
        <f t="shared" si="19"/>
        <v>0</v>
      </c>
      <c r="AI88" s="260"/>
      <c r="AJ88" s="163">
        <f t="shared" si="20"/>
        <v>0</v>
      </c>
      <c r="AL88" s="162">
        <f t="shared" si="21"/>
        <v>0</v>
      </c>
      <c r="AM88" s="163">
        <f t="shared" si="18"/>
        <v>0</v>
      </c>
    </row>
    <row r="89" spans="2:39" ht="30.75" customHeight="1" x14ac:dyDescent="0.3">
      <c r="B89" s="207"/>
      <c r="C89" s="208"/>
      <c r="D89" s="443"/>
      <c r="E89" s="176" t="str">
        <f>+'[1]CAP.5 '!$C$1411</f>
        <v>5.33</v>
      </c>
      <c r="F89" s="171" t="s">
        <v>287</v>
      </c>
      <c r="G89" s="178" t="s">
        <v>21</v>
      </c>
      <c r="H89" s="170">
        <v>1</v>
      </c>
      <c r="I89" s="205">
        <v>338695.93369593367</v>
      </c>
      <c r="J89" s="310"/>
      <c r="K89" s="260"/>
      <c r="L89" s="163">
        <f t="shared" si="12"/>
        <v>0</v>
      </c>
      <c r="M89" s="261"/>
      <c r="N89" s="260"/>
      <c r="O89" s="163">
        <f t="shared" si="13"/>
        <v>0</v>
      </c>
      <c r="Q89" s="260"/>
      <c r="R89" s="163">
        <f t="shared" si="14"/>
        <v>0</v>
      </c>
      <c r="T89" s="260"/>
      <c r="U89" s="163">
        <f t="shared" si="15"/>
        <v>0</v>
      </c>
      <c r="W89" s="262">
        <v>0</v>
      </c>
      <c r="X89" s="163">
        <f t="shared" si="22"/>
        <v>0</v>
      </c>
      <c r="Z89" s="260"/>
      <c r="AA89" s="163">
        <f t="shared" si="16"/>
        <v>0</v>
      </c>
      <c r="AC89" s="260"/>
      <c r="AD89" s="163">
        <f t="shared" si="17"/>
        <v>0</v>
      </c>
      <c r="AF89" s="260"/>
      <c r="AG89" s="163">
        <f t="shared" si="19"/>
        <v>0</v>
      </c>
      <c r="AI89" s="260"/>
      <c r="AJ89" s="163">
        <f t="shared" si="20"/>
        <v>0</v>
      </c>
      <c r="AL89" s="162">
        <f t="shared" si="21"/>
        <v>0</v>
      </c>
      <c r="AM89" s="163">
        <f t="shared" si="18"/>
        <v>0</v>
      </c>
    </row>
    <row r="90" spans="2:39" ht="30.75" customHeight="1" x14ac:dyDescent="0.3">
      <c r="B90" s="207"/>
      <c r="C90" s="208"/>
      <c r="D90" s="443"/>
      <c r="E90" s="176" t="str">
        <f>+'[1]CAP.5 '!$C$1446</f>
        <v>5.34</v>
      </c>
      <c r="F90" s="171" t="s">
        <v>289</v>
      </c>
      <c r="G90" s="178" t="s">
        <v>21</v>
      </c>
      <c r="H90" s="170">
        <v>1</v>
      </c>
      <c r="I90" s="205">
        <v>483127.59000258992</v>
      </c>
      <c r="J90" s="310"/>
      <c r="K90" s="260"/>
      <c r="L90" s="163">
        <f t="shared" si="12"/>
        <v>0</v>
      </c>
      <c r="M90" s="261"/>
      <c r="N90" s="260"/>
      <c r="O90" s="163">
        <f t="shared" si="13"/>
        <v>0</v>
      </c>
      <c r="Q90" s="260"/>
      <c r="R90" s="163">
        <f t="shared" si="14"/>
        <v>0</v>
      </c>
      <c r="T90" s="260"/>
      <c r="U90" s="163">
        <f t="shared" si="15"/>
        <v>0</v>
      </c>
      <c r="W90" s="262">
        <v>0</v>
      </c>
      <c r="X90" s="163">
        <f t="shared" si="22"/>
        <v>0</v>
      </c>
      <c r="Z90" s="260"/>
      <c r="AA90" s="163">
        <f t="shared" si="16"/>
        <v>0</v>
      </c>
      <c r="AC90" s="260"/>
      <c r="AD90" s="163">
        <f t="shared" si="17"/>
        <v>0</v>
      </c>
      <c r="AF90" s="260"/>
      <c r="AG90" s="163">
        <f t="shared" si="19"/>
        <v>0</v>
      </c>
      <c r="AI90" s="260"/>
      <c r="AJ90" s="163">
        <f t="shared" si="20"/>
        <v>0</v>
      </c>
      <c r="AL90" s="162">
        <f t="shared" si="21"/>
        <v>0</v>
      </c>
      <c r="AM90" s="163">
        <f t="shared" si="18"/>
        <v>0</v>
      </c>
    </row>
    <row r="91" spans="2:39" ht="30.75" customHeight="1" x14ac:dyDescent="0.3">
      <c r="B91" s="207"/>
      <c r="C91" s="208"/>
      <c r="D91" s="443"/>
      <c r="E91" s="209">
        <v>5.35</v>
      </c>
      <c r="F91" s="171" t="s">
        <v>290</v>
      </c>
      <c r="G91" s="178" t="s">
        <v>27</v>
      </c>
      <c r="H91" s="210">
        <v>1</v>
      </c>
      <c r="I91" s="211">
        <v>90839.729354443392</v>
      </c>
      <c r="J91" s="310"/>
      <c r="K91" s="260"/>
      <c r="L91" s="163">
        <f t="shared" si="12"/>
        <v>0</v>
      </c>
      <c r="M91" s="261"/>
      <c r="N91" s="260"/>
      <c r="O91" s="163">
        <f t="shared" si="13"/>
        <v>0</v>
      </c>
      <c r="Q91" s="260"/>
      <c r="R91" s="163">
        <f t="shared" si="14"/>
        <v>0</v>
      </c>
      <c r="T91" s="260"/>
      <c r="U91" s="163">
        <f t="shared" si="15"/>
        <v>0</v>
      </c>
      <c r="W91" s="262">
        <v>0</v>
      </c>
      <c r="X91" s="163">
        <f t="shared" si="22"/>
        <v>0</v>
      </c>
      <c r="Z91" s="260"/>
      <c r="AA91" s="163">
        <f t="shared" si="16"/>
        <v>0</v>
      </c>
      <c r="AC91" s="260"/>
      <c r="AD91" s="163">
        <f t="shared" si="17"/>
        <v>0</v>
      </c>
      <c r="AF91" s="260"/>
      <c r="AG91" s="163">
        <f t="shared" si="19"/>
        <v>0</v>
      </c>
      <c r="AI91" s="260"/>
      <c r="AJ91" s="163">
        <f t="shared" si="20"/>
        <v>0</v>
      </c>
      <c r="AL91" s="162">
        <f t="shared" si="21"/>
        <v>0</v>
      </c>
      <c r="AM91" s="163">
        <f t="shared" si="18"/>
        <v>0</v>
      </c>
    </row>
    <row r="92" spans="2:39" ht="30.75" customHeight="1" x14ac:dyDescent="0.3">
      <c r="B92" s="207"/>
      <c r="C92" s="208"/>
      <c r="D92" s="443"/>
      <c r="E92" s="209">
        <v>5.36</v>
      </c>
      <c r="F92" s="171" t="s">
        <v>291</v>
      </c>
      <c r="G92" s="178" t="s">
        <v>27</v>
      </c>
      <c r="H92" s="210">
        <v>1</v>
      </c>
      <c r="I92" s="211">
        <v>114945.44544861565</v>
      </c>
      <c r="J92" s="310"/>
      <c r="K92" s="260"/>
      <c r="L92" s="163">
        <f t="shared" si="12"/>
        <v>0</v>
      </c>
      <c r="M92" s="261"/>
      <c r="N92" s="260"/>
      <c r="O92" s="163">
        <f t="shared" si="13"/>
        <v>0</v>
      </c>
      <c r="Q92" s="260"/>
      <c r="R92" s="163">
        <f t="shared" si="14"/>
        <v>0</v>
      </c>
      <c r="T92" s="260"/>
      <c r="U92" s="163">
        <f t="shared" si="15"/>
        <v>0</v>
      </c>
      <c r="W92" s="262">
        <v>0</v>
      </c>
      <c r="X92" s="163">
        <f t="shared" si="22"/>
        <v>0</v>
      </c>
      <c r="Z92" s="260"/>
      <c r="AA92" s="163">
        <f t="shared" si="16"/>
        <v>0</v>
      </c>
      <c r="AC92" s="260"/>
      <c r="AD92" s="163">
        <f t="shared" si="17"/>
        <v>0</v>
      </c>
      <c r="AF92" s="260"/>
      <c r="AG92" s="163">
        <f t="shared" si="19"/>
        <v>0</v>
      </c>
      <c r="AI92" s="260"/>
      <c r="AJ92" s="163">
        <f t="shared" si="20"/>
        <v>0</v>
      </c>
      <c r="AL92" s="162">
        <f t="shared" si="21"/>
        <v>0</v>
      </c>
      <c r="AM92" s="163">
        <f t="shared" si="18"/>
        <v>0</v>
      </c>
    </row>
    <row r="93" spans="2:39" ht="30.75" customHeight="1" x14ac:dyDescent="0.3">
      <c r="B93" s="207"/>
      <c r="C93" s="208"/>
      <c r="D93" s="443"/>
      <c r="E93" s="209">
        <v>5.37</v>
      </c>
      <c r="F93" s="171" t="s">
        <v>292</v>
      </c>
      <c r="G93" s="178" t="s">
        <v>27</v>
      </c>
      <c r="H93" s="210">
        <v>1</v>
      </c>
      <c r="I93" s="211">
        <v>55409.678611758514</v>
      </c>
      <c r="J93" s="310"/>
      <c r="K93" s="260"/>
      <c r="L93" s="163">
        <f t="shared" si="12"/>
        <v>0</v>
      </c>
      <c r="M93" s="261"/>
      <c r="N93" s="260"/>
      <c r="O93" s="163">
        <f t="shared" si="13"/>
        <v>0</v>
      </c>
      <c r="Q93" s="260"/>
      <c r="R93" s="163">
        <f t="shared" si="14"/>
        <v>0</v>
      </c>
      <c r="T93" s="260"/>
      <c r="U93" s="163">
        <f t="shared" si="15"/>
        <v>0</v>
      </c>
      <c r="W93" s="262">
        <v>0</v>
      </c>
      <c r="X93" s="163">
        <f t="shared" si="22"/>
        <v>0</v>
      </c>
      <c r="Z93" s="260"/>
      <c r="AA93" s="163">
        <f t="shared" si="16"/>
        <v>0</v>
      </c>
      <c r="AC93" s="260"/>
      <c r="AD93" s="163">
        <f t="shared" si="17"/>
        <v>0</v>
      </c>
      <c r="AF93" s="260"/>
      <c r="AG93" s="163">
        <f t="shared" si="19"/>
        <v>0</v>
      </c>
      <c r="AI93" s="260"/>
      <c r="AJ93" s="163">
        <f t="shared" si="20"/>
        <v>0</v>
      </c>
      <c r="AL93" s="162">
        <f t="shared" si="21"/>
        <v>0</v>
      </c>
      <c r="AM93" s="163">
        <f t="shared" si="18"/>
        <v>0</v>
      </c>
    </row>
    <row r="94" spans="2:39" ht="30.75" customHeight="1" x14ac:dyDescent="0.3">
      <c r="B94" s="207"/>
      <c r="C94" s="208"/>
      <c r="D94" s="443"/>
      <c r="E94" s="209">
        <v>5.38</v>
      </c>
      <c r="F94" s="171" t="s">
        <v>293</v>
      </c>
      <c r="G94" s="178" t="s">
        <v>27</v>
      </c>
      <c r="H94" s="210">
        <v>1</v>
      </c>
      <c r="I94" s="211">
        <v>73957.659428883751</v>
      </c>
      <c r="J94" s="310"/>
      <c r="K94" s="274"/>
      <c r="L94" s="163">
        <f t="shared" si="12"/>
        <v>0</v>
      </c>
      <c r="M94" s="261"/>
      <c r="N94" s="260"/>
      <c r="O94" s="163">
        <f t="shared" si="13"/>
        <v>0</v>
      </c>
      <c r="Q94" s="260"/>
      <c r="R94" s="163">
        <f t="shared" si="14"/>
        <v>0</v>
      </c>
      <c r="T94" s="260"/>
      <c r="U94" s="163">
        <f t="shared" si="15"/>
        <v>0</v>
      </c>
      <c r="W94" s="262">
        <v>0</v>
      </c>
      <c r="X94" s="163">
        <f t="shared" si="22"/>
        <v>0</v>
      </c>
      <c r="Z94" s="260"/>
      <c r="AA94" s="163">
        <f t="shared" si="16"/>
        <v>0</v>
      </c>
      <c r="AC94" s="260"/>
      <c r="AD94" s="163">
        <f t="shared" si="17"/>
        <v>0</v>
      </c>
      <c r="AF94" s="260"/>
      <c r="AG94" s="163">
        <f t="shared" si="19"/>
        <v>0</v>
      </c>
      <c r="AI94" s="260"/>
      <c r="AJ94" s="163">
        <f t="shared" si="20"/>
        <v>0</v>
      </c>
      <c r="AL94" s="162">
        <f t="shared" si="21"/>
        <v>0</v>
      </c>
      <c r="AM94" s="163">
        <f t="shared" si="18"/>
        <v>0</v>
      </c>
    </row>
    <row r="95" spans="2:39" ht="27.6" customHeight="1" x14ac:dyDescent="0.3">
      <c r="D95" s="443"/>
      <c r="E95" s="209">
        <v>5.39</v>
      </c>
      <c r="F95" s="171" t="s">
        <v>294</v>
      </c>
      <c r="G95" s="178" t="s">
        <v>27</v>
      </c>
      <c r="H95" s="210">
        <v>1</v>
      </c>
      <c r="I95" s="211">
        <v>316475.40890852304</v>
      </c>
      <c r="J95" s="310"/>
      <c r="K95" s="260"/>
      <c r="L95" s="273">
        <f t="shared" si="12"/>
        <v>0</v>
      </c>
      <c r="M95" s="261"/>
      <c r="N95" s="260"/>
      <c r="O95" s="163">
        <f t="shared" si="13"/>
        <v>0</v>
      </c>
      <c r="Q95" s="260"/>
      <c r="R95" s="163">
        <f t="shared" si="14"/>
        <v>0</v>
      </c>
      <c r="T95" s="260"/>
      <c r="U95" s="163">
        <f t="shared" si="15"/>
        <v>0</v>
      </c>
      <c r="W95" s="262">
        <v>0</v>
      </c>
      <c r="X95" s="163">
        <f t="shared" si="22"/>
        <v>0</v>
      </c>
      <c r="Z95" s="260"/>
      <c r="AA95" s="163">
        <f t="shared" si="16"/>
        <v>0</v>
      </c>
      <c r="AC95" s="260"/>
      <c r="AD95" s="163">
        <f t="shared" si="17"/>
        <v>0</v>
      </c>
      <c r="AF95" s="260"/>
      <c r="AG95" s="163">
        <f t="shared" si="19"/>
        <v>0</v>
      </c>
      <c r="AI95" s="260"/>
      <c r="AJ95" s="163">
        <f t="shared" si="20"/>
        <v>0</v>
      </c>
      <c r="AL95" s="162">
        <f t="shared" si="21"/>
        <v>0</v>
      </c>
      <c r="AM95" s="163">
        <f t="shared" si="18"/>
        <v>0</v>
      </c>
    </row>
    <row r="96" spans="2:39" ht="27.6" customHeight="1" x14ac:dyDescent="0.3">
      <c r="D96" s="443"/>
      <c r="E96" s="209">
        <v>5.4</v>
      </c>
      <c r="F96" s="171" t="s">
        <v>295</v>
      </c>
      <c r="G96" s="178" t="s">
        <v>27</v>
      </c>
      <c r="H96" s="210">
        <v>1</v>
      </c>
      <c r="I96" s="211">
        <v>146138.89045369491</v>
      </c>
      <c r="J96" s="310"/>
      <c r="K96" s="260"/>
      <c r="L96" s="163">
        <f t="shared" si="12"/>
        <v>0</v>
      </c>
      <c r="M96" s="261"/>
      <c r="N96" s="260"/>
      <c r="O96" s="163">
        <f t="shared" si="13"/>
        <v>0</v>
      </c>
      <c r="Q96" s="260"/>
      <c r="R96" s="163">
        <f t="shared" si="14"/>
        <v>0</v>
      </c>
      <c r="T96" s="260"/>
      <c r="U96" s="163">
        <f t="shared" si="15"/>
        <v>0</v>
      </c>
      <c r="W96" s="262">
        <v>0</v>
      </c>
      <c r="X96" s="163">
        <f t="shared" si="22"/>
        <v>0</v>
      </c>
      <c r="Z96" s="260"/>
      <c r="AA96" s="163">
        <f t="shared" si="16"/>
        <v>0</v>
      </c>
      <c r="AC96" s="260"/>
      <c r="AD96" s="163">
        <f t="shared" si="17"/>
        <v>0</v>
      </c>
      <c r="AF96" s="260"/>
      <c r="AG96" s="163">
        <f t="shared" si="19"/>
        <v>0</v>
      </c>
      <c r="AI96" s="260"/>
      <c r="AJ96" s="163">
        <f t="shared" si="20"/>
        <v>0</v>
      </c>
      <c r="AL96" s="162">
        <f t="shared" si="21"/>
        <v>0</v>
      </c>
      <c r="AM96" s="163">
        <f t="shared" si="18"/>
        <v>0</v>
      </c>
    </row>
    <row r="97" spans="4:39" ht="27.6" customHeight="1" x14ac:dyDescent="0.3">
      <c r="D97" s="443"/>
      <c r="E97" s="209">
        <v>5.41</v>
      </c>
      <c r="F97" s="171" t="s">
        <v>296</v>
      </c>
      <c r="G97" s="178" t="s">
        <v>27</v>
      </c>
      <c r="H97" s="210">
        <v>1</v>
      </c>
      <c r="I97" s="211">
        <v>68695.854927656546</v>
      </c>
      <c r="J97" s="310"/>
      <c r="K97" s="260"/>
      <c r="L97" s="163">
        <f t="shared" si="12"/>
        <v>0</v>
      </c>
      <c r="M97" s="261"/>
      <c r="N97" s="260"/>
      <c r="O97" s="163">
        <f t="shared" si="13"/>
        <v>0</v>
      </c>
      <c r="Q97" s="260"/>
      <c r="R97" s="163">
        <f t="shared" si="14"/>
        <v>0</v>
      </c>
      <c r="T97" s="260"/>
      <c r="U97" s="163">
        <f t="shared" si="15"/>
        <v>0</v>
      </c>
      <c r="W97" s="262">
        <v>0</v>
      </c>
      <c r="X97" s="163">
        <f t="shared" si="22"/>
        <v>0</v>
      </c>
      <c r="Z97" s="260"/>
      <c r="AA97" s="163">
        <f t="shared" si="16"/>
        <v>0</v>
      </c>
      <c r="AC97" s="260"/>
      <c r="AD97" s="163">
        <f t="shared" si="17"/>
        <v>0</v>
      </c>
      <c r="AF97" s="260"/>
      <c r="AG97" s="163">
        <f t="shared" si="19"/>
        <v>0</v>
      </c>
      <c r="AI97" s="260"/>
      <c r="AJ97" s="163">
        <f t="shared" si="20"/>
        <v>0</v>
      </c>
      <c r="AL97" s="162">
        <f t="shared" si="21"/>
        <v>0</v>
      </c>
      <c r="AM97" s="163">
        <f t="shared" si="18"/>
        <v>0</v>
      </c>
    </row>
    <row r="98" spans="4:39" ht="40.950000000000003" customHeight="1" x14ac:dyDescent="0.3">
      <c r="D98" s="443"/>
      <c r="E98" s="209">
        <v>5.42</v>
      </c>
      <c r="F98" s="171" t="s">
        <v>297</v>
      </c>
      <c r="G98" s="178" t="s">
        <v>21</v>
      </c>
      <c r="H98" s="210">
        <v>1</v>
      </c>
      <c r="I98" s="211">
        <v>79115.209369999997</v>
      </c>
      <c r="J98" s="310"/>
      <c r="K98" s="260"/>
      <c r="L98" s="163">
        <f t="shared" si="12"/>
        <v>0</v>
      </c>
      <c r="M98" s="261"/>
      <c r="N98" s="260"/>
      <c r="O98" s="163">
        <f t="shared" si="13"/>
        <v>0</v>
      </c>
      <c r="Q98" s="268"/>
      <c r="R98" s="163">
        <f t="shared" si="14"/>
        <v>0</v>
      </c>
      <c r="T98" s="260"/>
      <c r="U98" s="163">
        <f t="shared" si="15"/>
        <v>0</v>
      </c>
      <c r="W98" s="262">
        <v>0</v>
      </c>
      <c r="X98" s="163">
        <f t="shared" si="22"/>
        <v>0</v>
      </c>
      <c r="Z98" s="260"/>
      <c r="AA98" s="163">
        <f t="shared" si="16"/>
        <v>0</v>
      </c>
      <c r="AC98" s="260"/>
      <c r="AD98" s="163">
        <f t="shared" si="17"/>
        <v>0</v>
      </c>
      <c r="AF98" s="260"/>
      <c r="AG98" s="163">
        <f t="shared" si="19"/>
        <v>0</v>
      </c>
      <c r="AI98" s="260"/>
      <c r="AJ98" s="163">
        <f t="shared" si="20"/>
        <v>0</v>
      </c>
      <c r="AL98" s="162">
        <f t="shared" si="21"/>
        <v>0</v>
      </c>
      <c r="AM98" s="163">
        <f t="shared" si="18"/>
        <v>0</v>
      </c>
    </row>
    <row r="99" spans="4:39" ht="35.4" customHeight="1" x14ac:dyDescent="0.3">
      <c r="D99" s="443"/>
      <c r="E99" s="209">
        <v>5.43</v>
      </c>
      <c r="F99" s="171" t="s">
        <v>298</v>
      </c>
      <c r="G99" s="178" t="s">
        <v>21</v>
      </c>
      <c r="H99" s="210">
        <v>1</v>
      </c>
      <c r="I99" s="211">
        <v>91166.146907157701</v>
      </c>
      <c r="J99" s="310"/>
      <c r="K99" s="260"/>
      <c r="L99" s="163">
        <f t="shared" si="12"/>
        <v>0</v>
      </c>
      <c r="M99" s="261"/>
      <c r="N99" s="260"/>
      <c r="O99" s="163">
        <f t="shared" si="13"/>
        <v>0</v>
      </c>
      <c r="Q99" s="268"/>
      <c r="R99" s="163">
        <f t="shared" si="14"/>
        <v>0</v>
      </c>
      <c r="T99" s="260"/>
      <c r="U99" s="163">
        <f t="shared" si="15"/>
        <v>0</v>
      </c>
      <c r="W99" s="262">
        <v>0</v>
      </c>
      <c r="X99" s="163">
        <f t="shared" si="22"/>
        <v>0</v>
      </c>
      <c r="Z99" s="274"/>
      <c r="AA99" s="163">
        <f t="shared" si="16"/>
        <v>0</v>
      </c>
      <c r="AC99" s="260"/>
      <c r="AD99" s="163">
        <f t="shared" si="17"/>
        <v>0</v>
      </c>
      <c r="AF99" s="260"/>
      <c r="AG99" s="163">
        <f t="shared" si="19"/>
        <v>0</v>
      </c>
      <c r="AI99" s="260"/>
      <c r="AJ99" s="163">
        <f t="shared" si="20"/>
        <v>0</v>
      </c>
      <c r="AL99" s="162">
        <f t="shared" si="21"/>
        <v>0</v>
      </c>
      <c r="AM99" s="163">
        <f t="shared" si="18"/>
        <v>0</v>
      </c>
    </row>
    <row r="100" spans="4:39" ht="35.4" customHeight="1" x14ac:dyDescent="0.3">
      <c r="D100" s="443"/>
      <c r="E100" s="209" t="s">
        <v>107</v>
      </c>
      <c r="F100" s="171" t="s">
        <v>299</v>
      </c>
      <c r="G100" s="178" t="s">
        <v>230</v>
      </c>
      <c r="H100" s="210">
        <v>1</v>
      </c>
      <c r="I100" s="211">
        <v>21222.226602818693</v>
      </c>
      <c r="J100" s="310"/>
      <c r="K100" s="260"/>
      <c r="L100" s="163">
        <f t="shared" si="12"/>
        <v>0</v>
      </c>
      <c r="M100" s="261"/>
      <c r="N100" s="260"/>
      <c r="O100" s="163">
        <f t="shared" si="13"/>
        <v>0</v>
      </c>
      <c r="Q100" s="268"/>
      <c r="R100" s="163">
        <f t="shared" si="14"/>
        <v>0</v>
      </c>
      <c r="T100" s="260"/>
      <c r="U100" s="163">
        <f t="shared" si="15"/>
        <v>0</v>
      </c>
      <c r="W100" s="262">
        <v>0</v>
      </c>
      <c r="X100" s="163">
        <f t="shared" si="22"/>
        <v>0</v>
      </c>
      <c r="Z100" s="274">
        <v>135</v>
      </c>
      <c r="AA100" s="163">
        <f t="shared" si="16"/>
        <v>2865000.5913805235</v>
      </c>
      <c r="AC100" s="260"/>
      <c r="AD100" s="163">
        <f t="shared" si="17"/>
        <v>0</v>
      </c>
      <c r="AF100" s="260"/>
      <c r="AG100" s="163">
        <f t="shared" si="19"/>
        <v>0</v>
      </c>
      <c r="AI100" s="260"/>
      <c r="AJ100" s="163">
        <f t="shared" si="20"/>
        <v>0</v>
      </c>
      <c r="AL100" s="162">
        <f t="shared" si="21"/>
        <v>135</v>
      </c>
      <c r="AM100" s="163">
        <f t="shared" si="18"/>
        <v>2865000.5913805235</v>
      </c>
    </row>
    <row r="101" spans="4:39" ht="56.4" customHeight="1" thickBot="1" x14ac:dyDescent="0.35">
      <c r="D101" s="444"/>
      <c r="E101" s="209">
        <v>5.44</v>
      </c>
      <c r="F101" s="171" t="s">
        <v>301</v>
      </c>
      <c r="G101" s="178" t="s">
        <v>21</v>
      </c>
      <c r="H101" s="210">
        <v>1</v>
      </c>
      <c r="I101" s="211">
        <v>122673.94642433585</v>
      </c>
      <c r="J101" s="310"/>
      <c r="K101" s="260"/>
      <c r="L101" s="163">
        <f t="shared" si="12"/>
        <v>0</v>
      </c>
      <c r="M101" s="261"/>
      <c r="N101" s="260"/>
      <c r="O101" s="163">
        <f t="shared" si="13"/>
        <v>0</v>
      </c>
      <c r="Q101" s="268"/>
      <c r="R101" s="163">
        <f t="shared" si="14"/>
        <v>0</v>
      </c>
      <c r="T101" s="260"/>
      <c r="U101" s="163">
        <f t="shared" si="15"/>
        <v>0</v>
      </c>
      <c r="W101" s="262">
        <v>0</v>
      </c>
      <c r="X101" s="163">
        <f t="shared" si="22"/>
        <v>0</v>
      </c>
      <c r="Z101" s="260"/>
      <c r="AA101" s="163">
        <f t="shared" si="16"/>
        <v>0</v>
      </c>
      <c r="AC101" s="260"/>
      <c r="AD101" s="163">
        <f t="shared" si="17"/>
        <v>0</v>
      </c>
      <c r="AF101" s="260"/>
      <c r="AG101" s="163">
        <f t="shared" si="19"/>
        <v>0</v>
      </c>
      <c r="AI101" s="260"/>
      <c r="AJ101" s="163">
        <f t="shared" si="20"/>
        <v>0</v>
      </c>
      <c r="AL101" s="162">
        <f t="shared" si="21"/>
        <v>0</v>
      </c>
      <c r="AM101" s="163">
        <f t="shared" si="18"/>
        <v>0</v>
      </c>
    </row>
    <row r="102" spans="4:39" ht="56.4" customHeight="1" thickBot="1" x14ac:dyDescent="0.35">
      <c r="D102" s="314"/>
      <c r="E102" s="209" t="s">
        <v>107</v>
      </c>
      <c r="F102" s="171" t="s">
        <v>300</v>
      </c>
      <c r="G102" s="178" t="s">
        <v>27</v>
      </c>
      <c r="H102" s="210">
        <v>1</v>
      </c>
      <c r="I102" s="211">
        <v>111288.50665364502</v>
      </c>
      <c r="J102" s="310"/>
      <c r="K102" s="260">
        <v>52</v>
      </c>
      <c r="L102" s="163">
        <f t="shared" si="12"/>
        <v>5787002.3459895412</v>
      </c>
      <c r="M102" s="261"/>
      <c r="N102" s="260"/>
      <c r="O102" s="163">
        <f t="shared" si="13"/>
        <v>0</v>
      </c>
      <c r="Q102" s="268"/>
      <c r="R102" s="163">
        <f t="shared" si="14"/>
        <v>0</v>
      </c>
      <c r="T102" s="260"/>
      <c r="U102" s="163">
        <f t="shared" si="15"/>
        <v>0</v>
      </c>
      <c r="W102" s="262">
        <v>0</v>
      </c>
      <c r="X102" s="163">
        <f t="shared" si="22"/>
        <v>0</v>
      </c>
      <c r="Z102" s="260"/>
      <c r="AA102" s="163">
        <f t="shared" si="16"/>
        <v>0</v>
      </c>
      <c r="AC102" s="260"/>
      <c r="AD102" s="163">
        <f t="shared" si="17"/>
        <v>0</v>
      </c>
      <c r="AF102" s="260"/>
      <c r="AG102" s="163">
        <f t="shared" si="19"/>
        <v>0</v>
      </c>
      <c r="AI102" s="260"/>
      <c r="AJ102" s="163">
        <f t="shared" si="20"/>
        <v>0</v>
      </c>
      <c r="AL102" s="162">
        <f t="shared" si="21"/>
        <v>52</v>
      </c>
      <c r="AM102" s="163">
        <f t="shared" si="18"/>
        <v>5787002.3459895412</v>
      </c>
    </row>
    <row r="103" spans="4:39" ht="27.6" customHeight="1" x14ac:dyDescent="0.3">
      <c r="D103" s="445" t="s">
        <v>602</v>
      </c>
      <c r="E103" s="306" t="s">
        <v>302</v>
      </c>
      <c r="F103" s="214" t="s">
        <v>303</v>
      </c>
      <c r="G103" s="202" t="s">
        <v>304</v>
      </c>
      <c r="H103" s="203">
        <v>1</v>
      </c>
      <c r="I103" s="206">
        <v>89715.26159026158</v>
      </c>
      <c r="J103" s="310"/>
      <c r="K103" s="260"/>
      <c r="L103" s="163">
        <f t="shared" si="12"/>
        <v>0</v>
      </c>
      <c r="M103" s="261"/>
      <c r="N103" s="260"/>
      <c r="O103" s="163">
        <f t="shared" si="13"/>
        <v>0</v>
      </c>
      <c r="Q103" s="260"/>
      <c r="R103" s="163">
        <f t="shared" si="14"/>
        <v>0</v>
      </c>
      <c r="T103" s="260"/>
      <c r="U103" s="163">
        <f t="shared" si="15"/>
        <v>0</v>
      </c>
      <c r="W103" s="262">
        <v>0</v>
      </c>
      <c r="X103" s="163">
        <f t="shared" si="22"/>
        <v>0</v>
      </c>
      <c r="Z103" s="260"/>
      <c r="AA103" s="163">
        <f t="shared" si="16"/>
        <v>0</v>
      </c>
      <c r="AC103" s="260"/>
      <c r="AD103" s="163">
        <f t="shared" si="17"/>
        <v>0</v>
      </c>
      <c r="AF103" s="260"/>
      <c r="AG103" s="163">
        <f t="shared" si="19"/>
        <v>0</v>
      </c>
      <c r="AI103" s="260"/>
      <c r="AJ103" s="163">
        <f t="shared" si="20"/>
        <v>0</v>
      </c>
      <c r="AL103" s="162">
        <f t="shared" si="21"/>
        <v>0</v>
      </c>
      <c r="AM103" s="163">
        <f t="shared" si="18"/>
        <v>0</v>
      </c>
    </row>
    <row r="104" spans="4:39" ht="27.6" customHeight="1" x14ac:dyDescent="0.3">
      <c r="D104" s="446"/>
      <c r="E104" s="306" t="s">
        <v>305</v>
      </c>
      <c r="F104" s="214" t="s">
        <v>306</v>
      </c>
      <c r="G104" s="202" t="s">
        <v>304</v>
      </c>
      <c r="H104" s="203">
        <v>1</v>
      </c>
      <c r="I104" s="206">
        <v>89715.26159026158</v>
      </c>
      <c r="J104" s="310"/>
      <c r="K104" s="260"/>
      <c r="L104" s="163">
        <f t="shared" si="12"/>
        <v>0</v>
      </c>
      <c r="M104" s="261"/>
      <c r="N104" s="260"/>
      <c r="O104" s="163">
        <f t="shared" si="13"/>
        <v>0</v>
      </c>
      <c r="Q104" s="260"/>
      <c r="R104" s="163">
        <f t="shared" si="14"/>
        <v>0</v>
      </c>
      <c r="T104" s="260"/>
      <c r="U104" s="163">
        <f t="shared" si="15"/>
        <v>0</v>
      </c>
      <c r="W104" s="262">
        <v>0</v>
      </c>
      <c r="X104" s="163">
        <f t="shared" si="22"/>
        <v>0</v>
      </c>
      <c r="Z104" s="260"/>
      <c r="AA104" s="163">
        <f t="shared" si="16"/>
        <v>0</v>
      </c>
      <c r="AC104" s="260"/>
      <c r="AD104" s="163">
        <f t="shared" si="17"/>
        <v>0</v>
      </c>
      <c r="AF104" s="260"/>
      <c r="AG104" s="163">
        <f t="shared" si="19"/>
        <v>0</v>
      </c>
      <c r="AI104" s="260"/>
      <c r="AJ104" s="163">
        <f t="shared" si="20"/>
        <v>0</v>
      </c>
      <c r="AL104" s="162">
        <f t="shared" si="21"/>
        <v>0</v>
      </c>
      <c r="AM104" s="163">
        <f t="shared" si="18"/>
        <v>0</v>
      </c>
    </row>
    <row r="105" spans="4:39" ht="27.6" customHeight="1" x14ac:dyDescent="0.3">
      <c r="D105" s="446"/>
      <c r="E105" s="306" t="s">
        <v>307</v>
      </c>
      <c r="F105" s="214" t="s">
        <v>308</v>
      </c>
      <c r="G105" s="202" t="s">
        <v>304</v>
      </c>
      <c r="H105" s="203">
        <v>1</v>
      </c>
      <c r="I105" s="206">
        <v>96493.622118622094</v>
      </c>
      <c r="J105" s="310"/>
      <c r="K105" s="260"/>
      <c r="L105" s="163">
        <f t="shared" si="12"/>
        <v>0</v>
      </c>
      <c r="M105" s="261"/>
      <c r="N105" s="260"/>
      <c r="O105" s="163">
        <f t="shared" si="13"/>
        <v>0</v>
      </c>
      <c r="Q105" s="260"/>
      <c r="R105" s="163">
        <f t="shared" si="14"/>
        <v>0</v>
      </c>
      <c r="T105" s="260"/>
      <c r="U105" s="163">
        <f t="shared" si="15"/>
        <v>0</v>
      </c>
      <c r="W105" s="262">
        <v>0</v>
      </c>
      <c r="X105" s="163">
        <f t="shared" si="22"/>
        <v>0</v>
      </c>
      <c r="Z105" s="260"/>
      <c r="AA105" s="163">
        <f t="shared" si="16"/>
        <v>0</v>
      </c>
      <c r="AC105" s="260"/>
      <c r="AD105" s="163">
        <f t="shared" si="17"/>
        <v>0</v>
      </c>
      <c r="AF105" s="260"/>
      <c r="AG105" s="163">
        <f t="shared" si="19"/>
        <v>0</v>
      </c>
      <c r="AI105" s="260"/>
      <c r="AJ105" s="163">
        <f t="shared" si="20"/>
        <v>0</v>
      </c>
      <c r="AL105" s="162">
        <f t="shared" si="21"/>
        <v>0</v>
      </c>
      <c r="AM105" s="163">
        <f t="shared" si="18"/>
        <v>0</v>
      </c>
    </row>
    <row r="106" spans="4:39" ht="27.6" customHeight="1" x14ac:dyDescent="0.3">
      <c r="D106" s="446"/>
      <c r="E106" s="306" t="s">
        <v>309</v>
      </c>
      <c r="F106" s="214" t="s">
        <v>310</v>
      </c>
      <c r="G106" s="202" t="s">
        <v>304</v>
      </c>
      <c r="H106" s="203">
        <v>1</v>
      </c>
      <c r="I106" s="206">
        <v>151948.81507381503</v>
      </c>
      <c r="J106" s="310"/>
      <c r="K106" s="260"/>
      <c r="L106" s="163">
        <f t="shared" si="12"/>
        <v>0</v>
      </c>
      <c r="M106" s="261"/>
      <c r="N106" s="260"/>
      <c r="O106" s="163">
        <f t="shared" si="13"/>
        <v>0</v>
      </c>
      <c r="Q106" s="260"/>
      <c r="R106" s="163">
        <f t="shared" si="14"/>
        <v>0</v>
      </c>
      <c r="T106" s="260"/>
      <c r="U106" s="163">
        <f t="shared" si="15"/>
        <v>0</v>
      </c>
      <c r="W106" s="262">
        <v>0</v>
      </c>
      <c r="X106" s="163">
        <f t="shared" si="22"/>
        <v>0</v>
      </c>
      <c r="Z106" s="260"/>
      <c r="AA106" s="163">
        <f t="shared" si="16"/>
        <v>0</v>
      </c>
      <c r="AC106" s="260"/>
      <c r="AD106" s="163">
        <f t="shared" si="17"/>
        <v>0</v>
      </c>
      <c r="AF106" s="260"/>
      <c r="AG106" s="163">
        <f t="shared" si="19"/>
        <v>0</v>
      </c>
      <c r="AI106" s="260"/>
      <c r="AJ106" s="163">
        <f t="shared" si="20"/>
        <v>0</v>
      </c>
      <c r="AL106" s="162">
        <f t="shared" si="21"/>
        <v>0</v>
      </c>
      <c r="AM106" s="163">
        <f t="shared" si="18"/>
        <v>0</v>
      </c>
    </row>
    <row r="107" spans="4:39" ht="27.6" customHeight="1" x14ac:dyDescent="0.3">
      <c r="D107" s="446"/>
      <c r="E107" s="306" t="s">
        <v>311</v>
      </c>
      <c r="F107" s="214" t="s">
        <v>312</v>
      </c>
      <c r="G107" s="202" t="s">
        <v>304</v>
      </c>
      <c r="H107" s="203">
        <v>1</v>
      </c>
      <c r="I107" s="206">
        <v>89715.26159026158</v>
      </c>
      <c r="J107" s="310"/>
      <c r="K107" s="260"/>
      <c r="L107" s="163">
        <f t="shared" si="12"/>
        <v>0</v>
      </c>
      <c r="M107" s="261"/>
      <c r="N107" s="260"/>
      <c r="O107" s="163">
        <f t="shared" si="13"/>
        <v>0</v>
      </c>
      <c r="Q107" s="260"/>
      <c r="R107" s="163">
        <f t="shared" si="14"/>
        <v>0</v>
      </c>
      <c r="T107" s="260"/>
      <c r="U107" s="163">
        <f t="shared" si="15"/>
        <v>0</v>
      </c>
      <c r="W107" s="262">
        <v>0</v>
      </c>
      <c r="X107" s="163">
        <f t="shared" si="22"/>
        <v>0</v>
      </c>
      <c r="Z107" s="260"/>
      <c r="AA107" s="163">
        <f t="shared" si="16"/>
        <v>0</v>
      </c>
      <c r="AC107" s="260"/>
      <c r="AD107" s="163">
        <f t="shared" si="17"/>
        <v>0</v>
      </c>
      <c r="AF107" s="260"/>
      <c r="AG107" s="163">
        <f t="shared" si="19"/>
        <v>0</v>
      </c>
      <c r="AI107" s="260"/>
      <c r="AJ107" s="163">
        <f t="shared" si="20"/>
        <v>0</v>
      </c>
      <c r="AL107" s="162">
        <f t="shared" si="21"/>
        <v>0</v>
      </c>
      <c r="AM107" s="163">
        <f t="shared" si="18"/>
        <v>0</v>
      </c>
    </row>
    <row r="108" spans="4:39" ht="27.6" customHeight="1" x14ac:dyDescent="0.3">
      <c r="D108" s="446"/>
      <c r="E108" s="306" t="s">
        <v>313</v>
      </c>
      <c r="F108" s="214" t="s">
        <v>314</v>
      </c>
      <c r="G108" s="202" t="s">
        <v>304</v>
      </c>
      <c r="H108" s="203">
        <v>1</v>
      </c>
      <c r="I108" s="206">
        <v>96493.622118622094</v>
      </c>
      <c r="J108" s="310"/>
      <c r="K108" s="260"/>
      <c r="L108" s="163">
        <f t="shared" si="12"/>
        <v>0</v>
      </c>
      <c r="M108" s="261"/>
      <c r="N108" s="260"/>
      <c r="O108" s="163">
        <f t="shared" si="13"/>
        <v>0</v>
      </c>
      <c r="Q108" s="260"/>
      <c r="R108" s="163">
        <f t="shared" si="14"/>
        <v>0</v>
      </c>
      <c r="T108" s="260"/>
      <c r="U108" s="163">
        <f t="shared" si="15"/>
        <v>0</v>
      </c>
      <c r="W108" s="262">
        <v>0</v>
      </c>
      <c r="X108" s="163">
        <f t="shared" si="22"/>
        <v>0</v>
      </c>
      <c r="Z108" s="260"/>
      <c r="AA108" s="163">
        <f t="shared" si="16"/>
        <v>0</v>
      </c>
      <c r="AC108" s="260"/>
      <c r="AD108" s="163">
        <f t="shared" si="17"/>
        <v>0</v>
      </c>
      <c r="AF108" s="260"/>
      <c r="AG108" s="163">
        <f t="shared" si="19"/>
        <v>0</v>
      </c>
      <c r="AI108" s="260"/>
      <c r="AJ108" s="163">
        <f t="shared" si="20"/>
        <v>0</v>
      </c>
      <c r="AL108" s="162">
        <f t="shared" si="21"/>
        <v>0</v>
      </c>
      <c r="AM108" s="163">
        <f t="shared" si="18"/>
        <v>0</v>
      </c>
    </row>
    <row r="109" spans="4:39" ht="27.6" customHeight="1" x14ac:dyDescent="0.3">
      <c r="D109" s="446"/>
      <c r="E109" s="306" t="s">
        <v>315</v>
      </c>
      <c r="F109" s="214" t="s">
        <v>316</v>
      </c>
      <c r="G109" s="202" t="s">
        <v>304</v>
      </c>
      <c r="H109" s="203">
        <v>1</v>
      </c>
      <c r="I109" s="206">
        <v>116913.68816368814</v>
      </c>
      <c r="J109" s="310"/>
      <c r="K109" s="260"/>
      <c r="L109" s="163">
        <f t="shared" si="12"/>
        <v>0</v>
      </c>
      <c r="M109" s="261"/>
      <c r="N109" s="260"/>
      <c r="O109" s="163">
        <f t="shared" si="13"/>
        <v>0</v>
      </c>
      <c r="Q109" s="260"/>
      <c r="R109" s="163">
        <f t="shared" si="14"/>
        <v>0</v>
      </c>
      <c r="T109" s="260"/>
      <c r="U109" s="163">
        <f t="shared" si="15"/>
        <v>0</v>
      </c>
      <c r="W109" s="262">
        <v>0</v>
      </c>
      <c r="X109" s="163">
        <f t="shared" si="22"/>
        <v>0</v>
      </c>
      <c r="Z109" s="260"/>
      <c r="AA109" s="163">
        <f t="shared" si="16"/>
        <v>0</v>
      </c>
      <c r="AC109" s="260"/>
      <c r="AD109" s="163">
        <f t="shared" si="17"/>
        <v>0</v>
      </c>
      <c r="AF109" s="260"/>
      <c r="AG109" s="163">
        <f t="shared" si="19"/>
        <v>0</v>
      </c>
      <c r="AI109" s="260"/>
      <c r="AJ109" s="163">
        <f t="shared" si="20"/>
        <v>0</v>
      </c>
      <c r="AL109" s="162">
        <f t="shared" si="21"/>
        <v>0</v>
      </c>
      <c r="AM109" s="163">
        <f t="shared" si="18"/>
        <v>0</v>
      </c>
    </row>
    <row r="110" spans="4:39" ht="27.6" customHeight="1" x14ac:dyDescent="0.3">
      <c r="D110" s="446"/>
      <c r="E110" s="306" t="s">
        <v>317</v>
      </c>
      <c r="F110" s="214" t="s">
        <v>318</v>
      </c>
      <c r="G110" s="202" t="s">
        <v>230</v>
      </c>
      <c r="H110" s="203">
        <v>1</v>
      </c>
      <c r="I110" s="206">
        <v>12666.083916083915</v>
      </c>
      <c r="J110" s="310"/>
      <c r="K110" s="260"/>
      <c r="L110" s="163">
        <f t="shared" si="12"/>
        <v>0</v>
      </c>
      <c r="M110" s="261"/>
      <c r="N110" s="260"/>
      <c r="O110" s="163">
        <f t="shared" si="13"/>
        <v>0</v>
      </c>
      <c r="Q110" s="260"/>
      <c r="R110" s="163">
        <f t="shared" si="14"/>
        <v>0</v>
      </c>
      <c r="T110" s="260"/>
      <c r="U110" s="163">
        <f t="shared" si="15"/>
        <v>0</v>
      </c>
      <c r="W110" s="262">
        <v>0</v>
      </c>
      <c r="X110" s="163">
        <f t="shared" si="22"/>
        <v>0</v>
      </c>
      <c r="Z110" s="260"/>
      <c r="AA110" s="163">
        <f t="shared" si="16"/>
        <v>0</v>
      </c>
      <c r="AC110" s="260"/>
      <c r="AD110" s="163">
        <f t="shared" si="17"/>
        <v>0</v>
      </c>
      <c r="AF110" s="260"/>
      <c r="AG110" s="163">
        <f t="shared" si="19"/>
        <v>0</v>
      </c>
      <c r="AI110" s="260"/>
      <c r="AJ110" s="163">
        <f t="shared" si="20"/>
        <v>0</v>
      </c>
      <c r="AL110" s="162">
        <f t="shared" si="21"/>
        <v>0</v>
      </c>
      <c r="AM110" s="163">
        <f t="shared" si="18"/>
        <v>0</v>
      </c>
    </row>
    <row r="111" spans="4:39" ht="27.6" customHeight="1" x14ac:dyDescent="0.3">
      <c r="D111" s="446"/>
      <c r="E111" s="306" t="s">
        <v>319</v>
      </c>
      <c r="F111" s="214" t="s">
        <v>320</v>
      </c>
      <c r="G111" s="202" t="s">
        <v>304</v>
      </c>
      <c r="H111" s="203">
        <v>1</v>
      </c>
      <c r="I111" s="206">
        <v>2431.6886816886813</v>
      </c>
      <c r="J111" s="310"/>
      <c r="K111" s="260"/>
      <c r="L111" s="163">
        <f t="shared" si="12"/>
        <v>0</v>
      </c>
      <c r="M111" s="261"/>
      <c r="N111" s="260"/>
      <c r="O111" s="163">
        <f t="shared" si="13"/>
        <v>0</v>
      </c>
      <c r="Q111" s="260"/>
      <c r="R111" s="163">
        <f t="shared" si="14"/>
        <v>0</v>
      </c>
      <c r="T111" s="260"/>
      <c r="U111" s="163">
        <f t="shared" si="15"/>
        <v>0</v>
      </c>
      <c r="W111" s="262">
        <v>0</v>
      </c>
      <c r="X111" s="163">
        <f t="shared" si="22"/>
        <v>0</v>
      </c>
      <c r="Z111" s="260"/>
      <c r="AA111" s="163">
        <f t="shared" si="16"/>
        <v>0</v>
      </c>
      <c r="AC111" s="260"/>
      <c r="AD111" s="163">
        <f t="shared" si="17"/>
        <v>0</v>
      </c>
      <c r="AF111" s="260"/>
      <c r="AG111" s="163">
        <f t="shared" si="19"/>
        <v>0</v>
      </c>
      <c r="AI111" s="260"/>
      <c r="AJ111" s="163">
        <f t="shared" si="20"/>
        <v>0</v>
      </c>
      <c r="AL111" s="162">
        <f t="shared" si="21"/>
        <v>0</v>
      </c>
      <c r="AM111" s="163">
        <f t="shared" si="18"/>
        <v>0</v>
      </c>
    </row>
    <row r="112" spans="4:39" ht="27.6" customHeight="1" x14ac:dyDescent="0.3">
      <c r="D112" s="446"/>
      <c r="E112" s="306" t="s">
        <v>321</v>
      </c>
      <c r="F112" s="214" t="s">
        <v>322</v>
      </c>
      <c r="G112" s="202" t="s">
        <v>230</v>
      </c>
      <c r="H112" s="203">
        <v>1</v>
      </c>
      <c r="I112" s="206">
        <f>16642.2235172235*1.04312381</f>
        <v>17359.89960215778</v>
      </c>
      <c r="J112" s="310"/>
      <c r="K112" s="260">
        <v>18</v>
      </c>
      <c r="L112" s="163">
        <f t="shared" si="12"/>
        <v>312478.19283884007</v>
      </c>
      <c r="M112" s="261"/>
      <c r="N112" s="260"/>
      <c r="O112" s="163">
        <f t="shared" si="13"/>
        <v>0</v>
      </c>
      <c r="Q112" s="260"/>
      <c r="R112" s="163">
        <f t="shared" si="14"/>
        <v>0</v>
      </c>
      <c r="T112" s="260"/>
      <c r="U112" s="163">
        <f t="shared" si="15"/>
        <v>0</v>
      </c>
      <c r="W112" s="262">
        <v>0</v>
      </c>
      <c r="X112" s="163">
        <f t="shared" si="22"/>
        <v>0</v>
      </c>
      <c r="Z112" s="260"/>
      <c r="AA112" s="163">
        <f t="shared" si="16"/>
        <v>0</v>
      </c>
      <c r="AC112" s="260"/>
      <c r="AD112" s="163">
        <f t="shared" si="17"/>
        <v>0</v>
      </c>
      <c r="AF112" s="260"/>
      <c r="AG112" s="163">
        <f t="shared" si="19"/>
        <v>0</v>
      </c>
      <c r="AI112" s="260"/>
      <c r="AJ112" s="163">
        <f t="shared" si="20"/>
        <v>0</v>
      </c>
      <c r="AL112" s="162">
        <f t="shared" si="21"/>
        <v>18</v>
      </c>
      <c r="AM112" s="163">
        <f t="shared" si="18"/>
        <v>312478.19283884007</v>
      </c>
    </row>
    <row r="113" spans="4:39" ht="27.6" customHeight="1" x14ac:dyDescent="0.3">
      <c r="D113" s="446"/>
      <c r="E113" s="306" t="s">
        <v>323</v>
      </c>
      <c r="F113" s="214" t="s">
        <v>324</v>
      </c>
      <c r="G113" s="202" t="s">
        <v>304</v>
      </c>
      <c r="H113" s="203">
        <v>1</v>
      </c>
      <c r="I113" s="206">
        <f>17834.2722092722*1.04312381</f>
        <v>18603.353975513135</v>
      </c>
      <c r="J113" s="310"/>
      <c r="K113" s="260">
        <v>15</v>
      </c>
      <c r="L113" s="163">
        <f t="shared" si="12"/>
        <v>279050.30963269703</v>
      </c>
      <c r="M113" s="261"/>
      <c r="N113" s="260"/>
      <c r="O113" s="163">
        <f t="shared" si="13"/>
        <v>0</v>
      </c>
      <c r="Q113" s="260"/>
      <c r="R113" s="163">
        <f t="shared" si="14"/>
        <v>0</v>
      </c>
      <c r="T113" s="260"/>
      <c r="U113" s="163">
        <f t="shared" si="15"/>
        <v>0</v>
      </c>
      <c r="W113" s="262">
        <v>0</v>
      </c>
      <c r="X113" s="163">
        <f t="shared" si="22"/>
        <v>0</v>
      </c>
      <c r="Z113" s="260"/>
      <c r="AA113" s="163">
        <f t="shared" si="16"/>
        <v>0</v>
      </c>
      <c r="AC113" s="260"/>
      <c r="AD113" s="163">
        <f t="shared" si="17"/>
        <v>0</v>
      </c>
      <c r="AF113" s="260"/>
      <c r="AG113" s="163">
        <f t="shared" si="19"/>
        <v>0</v>
      </c>
      <c r="AI113" s="260"/>
      <c r="AJ113" s="163">
        <f t="shared" si="20"/>
        <v>0</v>
      </c>
      <c r="AL113" s="162">
        <f t="shared" si="21"/>
        <v>15</v>
      </c>
      <c r="AM113" s="163">
        <f t="shared" si="18"/>
        <v>279050.30963269703</v>
      </c>
    </row>
    <row r="114" spans="4:39" ht="27.6" customHeight="1" x14ac:dyDescent="0.3">
      <c r="D114" s="446"/>
      <c r="E114" s="306" t="s">
        <v>325</v>
      </c>
      <c r="F114" s="214" t="s">
        <v>326</v>
      </c>
      <c r="G114" s="202" t="s">
        <v>230</v>
      </c>
      <c r="H114" s="203">
        <v>1</v>
      </c>
      <c r="I114" s="206">
        <f>15554.4224294224*1.04312381</f>
        <v>16225.18838692855</v>
      </c>
      <c r="J114" s="310"/>
      <c r="K114" s="260">
        <v>9</v>
      </c>
      <c r="L114" s="163">
        <f t="shared" si="12"/>
        <v>146026.69548235694</v>
      </c>
      <c r="M114" s="261"/>
      <c r="N114" s="260"/>
      <c r="O114" s="163">
        <f t="shared" si="13"/>
        <v>0</v>
      </c>
      <c r="Q114" s="260"/>
      <c r="R114" s="163">
        <f t="shared" si="14"/>
        <v>0</v>
      </c>
      <c r="T114" s="260"/>
      <c r="U114" s="163">
        <f t="shared" si="15"/>
        <v>0</v>
      </c>
      <c r="W114" s="262">
        <v>0</v>
      </c>
      <c r="X114" s="163">
        <f t="shared" si="22"/>
        <v>0</v>
      </c>
      <c r="Z114" s="260"/>
      <c r="AA114" s="163">
        <f t="shared" si="16"/>
        <v>0</v>
      </c>
      <c r="AC114" s="260"/>
      <c r="AD114" s="163">
        <f t="shared" si="17"/>
        <v>0</v>
      </c>
      <c r="AF114" s="260"/>
      <c r="AG114" s="163">
        <f t="shared" si="19"/>
        <v>0</v>
      </c>
      <c r="AI114" s="260"/>
      <c r="AJ114" s="163">
        <f t="shared" si="20"/>
        <v>0</v>
      </c>
      <c r="AL114" s="162">
        <f t="shared" si="21"/>
        <v>9</v>
      </c>
      <c r="AM114" s="163">
        <f t="shared" si="18"/>
        <v>146026.69548235694</v>
      </c>
    </row>
    <row r="115" spans="4:39" ht="27.6" customHeight="1" x14ac:dyDescent="0.3">
      <c r="D115" s="446"/>
      <c r="E115" s="306" t="s">
        <v>327</v>
      </c>
      <c r="F115" s="214" t="s">
        <v>328</v>
      </c>
      <c r="G115" s="202" t="s">
        <v>304</v>
      </c>
      <c r="H115" s="203">
        <v>1</v>
      </c>
      <c r="I115" s="206">
        <v>5232.7764827764822</v>
      </c>
      <c r="J115" s="310"/>
      <c r="K115" s="260">
        <v>12</v>
      </c>
      <c r="L115" s="163">
        <f t="shared" si="12"/>
        <v>62793.317793317787</v>
      </c>
      <c r="M115" s="261"/>
      <c r="N115" s="260"/>
      <c r="O115" s="163">
        <f t="shared" si="13"/>
        <v>0</v>
      </c>
      <c r="Q115" s="260"/>
      <c r="R115" s="163">
        <f t="shared" si="14"/>
        <v>0</v>
      </c>
      <c r="T115" s="260"/>
      <c r="U115" s="163">
        <f t="shared" si="15"/>
        <v>0</v>
      </c>
      <c r="W115" s="262">
        <v>0</v>
      </c>
      <c r="X115" s="163">
        <f t="shared" si="22"/>
        <v>0</v>
      </c>
      <c r="Z115" s="260"/>
      <c r="AA115" s="163">
        <f t="shared" si="16"/>
        <v>0</v>
      </c>
      <c r="AC115" s="260"/>
      <c r="AD115" s="163">
        <f t="shared" si="17"/>
        <v>0</v>
      </c>
      <c r="AF115" s="260"/>
      <c r="AG115" s="163">
        <f t="shared" si="19"/>
        <v>0</v>
      </c>
      <c r="AI115" s="260"/>
      <c r="AJ115" s="163">
        <f t="shared" si="20"/>
        <v>0</v>
      </c>
      <c r="AL115" s="162">
        <f t="shared" si="21"/>
        <v>12</v>
      </c>
      <c r="AM115" s="163">
        <f t="shared" si="18"/>
        <v>62793.317793317787</v>
      </c>
    </row>
    <row r="116" spans="4:39" ht="27.6" customHeight="1" x14ac:dyDescent="0.3">
      <c r="D116" s="446"/>
      <c r="E116" s="306" t="s">
        <v>329</v>
      </c>
      <c r="F116" s="214" t="s">
        <v>330</v>
      </c>
      <c r="G116" s="202" t="s">
        <v>230</v>
      </c>
      <c r="H116" s="203">
        <v>1</v>
      </c>
      <c r="I116" s="206">
        <v>27478.308728308722</v>
      </c>
      <c r="J116" s="310"/>
      <c r="K116" s="260"/>
      <c r="L116" s="163">
        <f t="shared" si="12"/>
        <v>0</v>
      </c>
      <c r="M116" s="261"/>
      <c r="N116" s="260"/>
      <c r="O116" s="163">
        <f t="shared" si="13"/>
        <v>0</v>
      </c>
      <c r="Q116" s="260"/>
      <c r="R116" s="163">
        <f t="shared" si="14"/>
        <v>0</v>
      </c>
      <c r="T116" s="260"/>
      <c r="U116" s="163">
        <f t="shared" si="15"/>
        <v>0</v>
      </c>
      <c r="W116" s="262">
        <v>0</v>
      </c>
      <c r="X116" s="163">
        <f t="shared" si="22"/>
        <v>0</v>
      </c>
      <c r="Z116" s="260"/>
      <c r="AA116" s="163">
        <f t="shared" si="16"/>
        <v>0</v>
      </c>
      <c r="AC116" s="260"/>
      <c r="AD116" s="163">
        <f t="shared" si="17"/>
        <v>0</v>
      </c>
      <c r="AF116" s="260"/>
      <c r="AG116" s="163">
        <f t="shared" si="19"/>
        <v>0</v>
      </c>
      <c r="AI116" s="260"/>
      <c r="AJ116" s="163">
        <f t="shared" si="20"/>
        <v>0</v>
      </c>
      <c r="AL116" s="162">
        <f t="shared" si="21"/>
        <v>0</v>
      </c>
      <c r="AM116" s="163">
        <f t="shared" si="18"/>
        <v>0</v>
      </c>
    </row>
    <row r="117" spans="4:39" ht="27.6" customHeight="1" x14ac:dyDescent="0.3">
      <c r="D117" s="446"/>
      <c r="E117" s="306" t="s">
        <v>331</v>
      </c>
      <c r="F117" s="214" t="s">
        <v>332</v>
      </c>
      <c r="G117" s="202" t="s">
        <v>304</v>
      </c>
      <c r="H117" s="203">
        <v>1</v>
      </c>
      <c r="I117" s="206">
        <v>11043.447293447292</v>
      </c>
      <c r="J117" s="310"/>
      <c r="K117" s="260"/>
      <c r="L117" s="163">
        <f t="shared" si="12"/>
        <v>0</v>
      </c>
      <c r="M117" s="261"/>
      <c r="N117" s="260"/>
      <c r="O117" s="163">
        <f t="shared" si="13"/>
        <v>0</v>
      </c>
      <c r="Q117" s="260"/>
      <c r="R117" s="163">
        <f t="shared" si="14"/>
        <v>0</v>
      </c>
      <c r="T117" s="260"/>
      <c r="U117" s="163">
        <f t="shared" si="15"/>
        <v>0</v>
      </c>
      <c r="W117" s="262">
        <v>0</v>
      </c>
      <c r="X117" s="163">
        <f t="shared" si="22"/>
        <v>0</v>
      </c>
      <c r="Z117" s="260"/>
      <c r="AA117" s="163">
        <f t="shared" si="16"/>
        <v>0</v>
      </c>
      <c r="AC117" s="260"/>
      <c r="AD117" s="163">
        <f t="shared" si="17"/>
        <v>0</v>
      </c>
      <c r="AF117" s="260"/>
      <c r="AG117" s="163">
        <f t="shared" si="19"/>
        <v>0</v>
      </c>
      <c r="AI117" s="260"/>
      <c r="AJ117" s="163">
        <f t="shared" si="20"/>
        <v>0</v>
      </c>
      <c r="AL117" s="162">
        <f t="shared" si="21"/>
        <v>0</v>
      </c>
      <c r="AM117" s="163">
        <f t="shared" si="18"/>
        <v>0</v>
      </c>
    </row>
    <row r="118" spans="4:39" ht="27.6" customHeight="1" x14ac:dyDescent="0.3">
      <c r="D118" s="446"/>
      <c r="E118" s="306" t="s">
        <v>333</v>
      </c>
      <c r="F118" s="214" t="s">
        <v>334</v>
      </c>
      <c r="G118" s="202" t="s">
        <v>230</v>
      </c>
      <c r="H118" s="203">
        <v>1</v>
      </c>
      <c r="I118" s="206">
        <v>35673.076923076915</v>
      </c>
      <c r="J118" s="310"/>
      <c r="K118" s="260"/>
      <c r="L118" s="163">
        <f t="shared" si="12"/>
        <v>0</v>
      </c>
      <c r="M118" s="261"/>
      <c r="N118" s="260"/>
      <c r="O118" s="163">
        <f t="shared" si="13"/>
        <v>0</v>
      </c>
      <c r="Q118" s="260"/>
      <c r="R118" s="163">
        <f t="shared" si="14"/>
        <v>0</v>
      </c>
      <c r="T118" s="260"/>
      <c r="U118" s="163">
        <f t="shared" si="15"/>
        <v>0</v>
      </c>
      <c r="W118" s="262">
        <v>0</v>
      </c>
      <c r="X118" s="163">
        <f t="shared" si="22"/>
        <v>0</v>
      </c>
      <c r="Z118" s="260"/>
      <c r="AA118" s="163">
        <f t="shared" si="16"/>
        <v>0</v>
      </c>
      <c r="AC118" s="260"/>
      <c r="AD118" s="163">
        <f t="shared" si="17"/>
        <v>0</v>
      </c>
      <c r="AF118" s="260"/>
      <c r="AG118" s="163">
        <f t="shared" si="19"/>
        <v>0</v>
      </c>
      <c r="AI118" s="260"/>
      <c r="AJ118" s="163">
        <f t="shared" si="20"/>
        <v>0</v>
      </c>
      <c r="AL118" s="162">
        <f t="shared" si="21"/>
        <v>0</v>
      </c>
      <c r="AM118" s="163">
        <f t="shared" si="18"/>
        <v>0</v>
      </c>
    </row>
    <row r="119" spans="4:39" ht="27.6" customHeight="1" x14ac:dyDescent="0.3">
      <c r="D119" s="446"/>
      <c r="E119" s="306" t="s">
        <v>335</v>
      </c>
      <c r="F119" s="214" t="s">
        <v>336</v>
      </c>
      <c r="G119" s="202" t="s">
        <v>304</v>
      </c>
      <c r="H119" s="203">
        <v>1</v>
      </c>
      <c r="I119" s="206">
        <v>15625.809375809375</v>
      </c>
      <c r="J119" s="310"/>
      <c r="K119" s="260"/>
      <c r="L119" s="163">
        <f t="shared" si="12"/>
        <v>0</v>
      </c>
      <c r="M119" s="261"/>
      <c r="N119" s="260"/>
      <c r="O119" s="163">
        <f t="shared" si="13"/>
        <v>0</v>
      </c>
      <c r="Q119" s="260"/>
      <c r="R119" s="163">
        <f t="shared" si="14"/>
        <v>0</v>
      </c>
      <c r="T119" s="260"/>
      <c r="U119" s="163">
        <f t="shared" si="15"/>
        <v>0</v>
      </c>
      <c r="W119" s="262">
        <v>0</v>
      </c>
      <c r="X119" s="163">
        <f t="shared" si="22"/>
        <v>0</v>
      </c>
      <c r="Z119" s="260"/>
      <c r="AA119" s="163">
        <f t="shared" si="16"/>
        <v>0</v>
      </c>
      <c r="AC119" s="260"/>
      <c r="AD119" s="163">
        <f t="shared" si="17"/>
        <v>0</v>
      </c>
      <c r="AF119" s="260"/>
      <c r="AG119" s="163">
        <f t="shared" si="19"/>
        <v>0</v>
      </c>
      <c r="AI119" s="260"/>
      <c r="AJ119" s="163">
        <f t="shared" si="20"/>
        <v>0</v>
      </c>
      <c r="AL119" s="162">
        <f t="shared" si="21"/>
        <v>0</v>
      </c>
      <c r="AM119" s="163">
        <f t="shared" si="18"/>
        <v>0</v>
      </c>
    </row>
    <row r="120" spans="4:39" ht="27.6" customHeight="1" x14ac:dyDescent="0.3">
      <c r="D120" s="446"/>
      <c r="E120" s="306" t="s">
        <v>337</v>
      </c>
      <c r="F120" s="214" t="s">
        <v>338</v>
      </c>
      <c r="G120" s="202" t="s">
        <v>230</v>
      </c>
      <c r="H120" s="203">
        <v>1</v>
      </c>
      <c r="I120" s="206">
        <v>54345.862470862463</v>
      </c>
      <c r="J120" s="310"/>
      <c r="K120" s="260"/>
      <c r="L120" s="163">
        <f t="shared" si="12"/>
        <v>0</v>
      </c>
      <c r="M120" s="261"/>
      <c r="N120" s="260"/>
      <c r="O120" s="163">
        <f t="shared" si="13"/>
        <v>0</v>
      </c>
      <c r="Q120" s="260"/>
      <c r="R120" s="163">
        <f t="shared" si="14"/>
        <v>0</v>
      </c>
      <c r="T120" s="260"/>
      <c r="U120" s="163">
        <f t="shared" si="15"/>
        <v>0</v>
      </c>
      <c r="W120" s="262">
        <v>0</v>
      </c>
      <c r="X120" s="163">
        <f t="shared" si="22"/>
        <v>0</v>
      </c>
      <c r="Z120" s="260"/>
      <c r="AA120" s="163">
        <f t="shared" si="16"/>
        <v>0</v>
      </c>
      <c r="AC120" s="260"/>
      <c r="AD120" s="163">
        <f t="shared" si="17"/>
        <v>0</v>
      </c>
      <c r="AF120" s="260"/>
      <c r="AG120" s="163">
        <f t="shared" si="19"/>
        <v>0</v>
      </c>
      <c r="AI120" s="260"/>
      <c r="AJ120" s="163">
        <f t="shared" si="20"/>
        <v>0</v>
      </c>
      <c r="AL120" s="162">
        <f t="shared" si="21"/>
        <v>0</v>
      </c>
      <c r="AM120" s="163">
        <f t="shared" si="18"/>
        <v>0</v>
      </c>
    </row>
    <row r="121" spans="4:39" ht="27.6" customHeight="1" x14ac:dyDescent="0.3">
      <c r="D121" s="446"/>
      <c r="E121" s="306" t="s">
        <v>339</v>
      </c>
      <c r="F121" s="214" t="s">
        <v>340</v>
      </c>
      <c r="G121" s="202" t="s">
        <v>304</v>
      </c>
      <c r="H121" s="203">
        <v>1</v>
      </c>
      <c r="I121" s="206">
        <v>24128.787878787876</v>
      </c>
      <c r="J121" s="310"/>
      <c r="K121" s="260"/>
      <c r="L121" s="163">
        <f t="shared" si="12"/>
        <v>0</v>
      </c>
      <c r="M121" s="261"/>
      <c r="N121" s="260"/>
      <c r="O121" s="163">
        <f t="shared" si="13"/>
        <v>0</v>
      </c>
      <c r="Q121" s="260"/>
      <c r="R121" s="163">
        <f t="shared" si="14"/>
        <v>0</v>
      </c>
      <c r="T121" s="260"/>
      <c r="U121" s="163">
        <f t="shared" si="15"/>
        <v>0</v>
      </c>
      <c r="W121" s="262">
        <v>0</v>
      </c>
      <c r="X121" s="163">
        <f t="shared" si="22"/>
        <v>0</v>
      </c>
      <c r="Z121" s="260"/>
      <c r="AA121" s="163">
        <f t="shared" si="16"/>
        <v>0</v>
      </c>
      <c r="AC121" s="260"/>
      <c r="AD121" s="163">
        <f t="shared" si="17"/>
        <v>0</v>
      </c>
      <c r="AF121" s="260"/>
      <c r="AG121" s="163">
        <f t="shared" si="19"/>
        <v>0</v>
      </c>
      <c r="AI121" s="260"/>
      <c r="AJ121" s="163">
        <f t="shared" si="20"/>
        <v>0</v>
      </c>
      <c r="AL121" s="162">
        <f t="shared" si="21"/>
        <v>0</v>
      </c>
      <c r="AM121" s="163">
        <f t="shared" si="18"/>
        <v>0</v>
      </c>
    </row>
    <row r="122" spans="4:39" ht="27.6" customHeight="1" x14ac:dyDescent="0.3">
      <c r="D122" s="446"/>
      <c r="E122" s="306" t="s">
        <v>341</v>
      </c>
      <c r="F122" s="214" t="s">
        <v>342</v>
      </c>
      <c r="G122" s="202" t="s">
        <v>230</v>
      </c>
      <c r="H122" s="203">
        <v>1</v>
      </c>
      <c r="I122" s="206">
        <v>87660.9039109039</v>
      </c>
      <c r="J122" s="310"/>
      <c r="K122" s="260"/>
      <c r="L122" s="163">
        <f t="shared" si="12"/>
        <v>0</v>
      </c>
      <c r="M122" s="261"/>
      <c r="N122" s="260"/>
      <c r="O122" s="163">
        <f t="shared" si="13"/>
        <v>0</v>
      </c>
      <c r="Q122" s="260"/>
      <c r="R122" s="163">
        <f t="shared" si="14"/>
        <v>0</v>
      </c>
      <c r="T122" s="260"/>
      <c r="U122" s="163">
        <f t="shared" si="15"/>
        <v>0</v>
      </c>
      <c r="W122" s="262">
        <v>0</v>
      </c>
      <c r="X122" s="163">
        <f t="shared" si="22"/>
        <v>0</v>
      </c>
      <c r="Z122" s="260"/>
      <c r="AA122" s="163">
        <f t="shared" si="16"/>
        <v>0</v>
      </c>
      <c r="AC122" s="260"/>
      <c r="AD122" s="163">
        <f t="shared" si="17"/>
        <v>0</v>
      </c>
      <c r="AF122" s="260"/>
      <c r="AG122" s="163">
        <f t="shared" si="19"/>
        <v>0</v>
      </c>
      <c r="AI122" s="260"/>
      <c r="AJ122" s="163">
        <f t="shared" si="20"/>
        <v>0</v>
      </c>
      <c r="AL122" s="162">
        <f t="shared" si="21"/>
        <v>0</v>
      </c>
      <c r="AM122" s="163">
        <f t="shared" si="18"/>
        <v>0</v>
      </c>
    </row>
    <row r="123" spans="4:39" ht="27.6" customHeight="1" x14ac:dyDescent="0.3">
      <c r="D123" s="446"/>
      <c r="E123" s="306" t="s">
        <v>343</v>
      </c>
      <c r="F123" s="214" t="s">
        <v>344</v>
      </c>
      <c r="G123" s="202" t="s">
        <v>304</v>
      </c>
      <c r="H123" s="203">
        <v>1</v>
      </c>
      <c r="I123" s="206">
        <v>62623.348873348863</v>
      </c>
      <c r="J123" s="310"/>
      <c r="K123" s="260"/>
      <c r="L123" s="163">
        <f t="shared" si="12"/>
        <v>0</v>
      </c>
      <c r="M123" s="261"/>
      <c r="N123" s="260"/>
      <c r="O123" s="163">
        <f t="shared" si="13"/>
        <v>0</v>
      </c>
      <c r="Q123" s="260"/>
      <c r="R123" s="163">
        <f t="shared" si="14"/>
        <v>0</v>
      </c>
      <c r="T123" s="260"/>
      <c r="U123" s="163">
        <f t="shared" si="15"/>
        <v>0</v>
      </c>
      <c r="W123" s="262">
        <v>0</v>
      </c>
      <c r="X123" s="163">
        <f t="shared" si="22"/>
        <v>0</v>
      </c>
      <c r="Z123" s="260"/>
      <c r="AA123" s="163">
        <f t="shared" si="16"/>
        <v>0</v>
      </c>
      <c r="AC123" s="260"/>
      <c r="AD123" s="163">
        <f t="shared" si="17"/>
        <v>0</v>
      </c>
      <c r="AF123" s="260"/>
      <c r="AG123" s="163">
        <f t="shared" si="19"/>
        <v>0</v>
      </c>
      <c r="AI123" s="260"/>
      <c r="AJ123" s="163">
        <f t="shared" si="20"/>
        <v>0</v>
      </c>
      <c r="AL123" s="162">
        <f t="shared" si="21"/>
        <v>0</v>
      </c>
      <c r="AM123" s="163">
        <f t="shared" si="18"/>
        <v>0</v>
      </c>
    </row>
    <row r="124" spans="4:39" ht="27.6" customHeight="1" x14ac:dyDescent="0.3">
      <c r="D124" s="446"/>
      <c r="E124" s="306" t="s">
        <v>345</v>
      </c>
      <c r="F124" s="214" t="s">
        <v>346</v>
      </c>
      <c r="G124" s="202" t="s">
        <v>230</v>
      </c>
      <c r="H124" s="203">
        <v>1</v>
      </c>
      <c r="I124" s="206">
        <v>116812.83993783992</v>
      </c>
      <c r="J124" s="310"/>
      <c r="K124" s="260"/>
      <c r="L124" s="163">
        <f t="shared" si="12"/>
        <v>0</v>
      </c>
      <c r="M124" s="261"/>
      <c r="N124" s="260"/>
      <c r="O124" s="163">
        <f t="shared" si="13"/>
        <v>0</v>
      </c>
      <c r="Q124" s="260"/>
      <c r="R124" s="163">
        <f t="shared" si="14"/>
        <v>0</v>
      </c>
      <c r="T124" s="260"/>
      <c r="U124" s="163">
        <f t="shared" si="15"/>
        <v>0</v>
      </c>
      <c r="W124" s="262">
        <v>0</v>
      </c>
      <c r="X124" s="163">
        <f t="shared" si="22"/>
        <v>0</v>
      </c>
      <c r="Z124" s="260"/>
      <c r="AA124" s="163">
        <f t="shared" si="16"/>
        <v>0</v>
      </c>
      <c r="AC124" s="260"/>
      <c r="AD124" s="163">
        <f t="shared" si="17"/>
        <v>0</v>
      </c>
      <c r="AF124" s="260"/>
      <c r="AG124" s="163">
        <f t="shared" si="19"/>
        <v>0</v>
      </c>
      <c r="AI124" s="260"/>
      <c r="AJ124" s="163">
        <f t="shared" si="20"/>
        <v>0</v>
      </c>
      <c r="AL124" s="162">
        <f t="shared" si="21"/>
        <v>0</v>
      </c>
      <c r="AM124" s="163">
        <f t="shared" si="18"/>
        <v>0</v>
      </c>
    </row>
    <row r="125" spans="4:39" ht="27.6" customHeight="1" x14ac:dyDescent="0.3">
      <c r="D125" s="446"/>
      <c r="E125" s="306" t="s">
        <v>347</v>
      </c>
      <c r="F125" s="214" t="s">
        <v>348</v>
      </c>
      <c r="G125" s="202" t="s">
        <v>304</v>
      </c>
      <c r="H125" s="203">
        <v>1</v>
      </c>
      <c r="I125" s="206">
        <v>88151.547526547511</v>
      </c>
      <c r="J125" s="310"/>
      <c r="K125" s="260"/>
      <c r="L125" s="163">
        <f t="shared" si="12"/>
        <v>0</v>
      </c>
      <c r="M125" s="261"/>
      <c r="N125" s="260"/>
      <c r="O125" s="163">
        <f t="shared" si="13"/>
        <v>0</v>
      </c>
      <c r="Q125" s="260"/>
      <c r="R125" s="163">
        <f t="shared" si="14"/>
        <v>0</v>
      </c>
      <c r="T125" s="260"/>
      <c r="U125" s="163">
        <f t="shared" si="15"/>
        <v>0</v>
      </c>
      <c r="W125" s="262">
        <v>0</v>
      </c>
      <c r="X125" s="163">
        <f t="shared" si="22"/>
        <v>0</v>
      </c>
      <c r="Z125" s="260"/>
      <c r="AA125" s="163">
        <f t="shared" si="16"/>
        <v>0</v>
      </c>
      <c r="AC125" s="260"/>
      <c r="AD125" s="163">
        <f t="shared" si="17"/>
        <v>0</v>
      </c>
      <c r="AF125" s="260"/>
      <c r="AG125" s="163">
        <f t="shared" si="19"/>
        <v>0</v>
      </c>
      <c r="AI125" s="260"/>
      <c r="AJ125" s="163">
        <f t="shared" si="20"/>
        <v>0</v>
      </c>
      <c r="AL125" s="162">
        <f t="shared" si="21"/>
        <v>0</v>
      </c>
      <c r="AM125" s="163">
        <f t="shared" si="18"/>
        <v>0</v>
      </c>
    </row>
    <row r="126" spans="4:39" ht="27.6" customHeight="1" x14ac:dyDescent="0.3">
      <c r="D126" s="446"/>
      <c r="E126" s="306" t="s">
        <v>349</v>
      </c>
      <c r="F126" s="214" t="s">
        <v>350</v>
      </c>
      <c r="G126" s="202" t="s">
        <v>304</v>
      </c>
      <c r="H126" s="203">
        <v>1</v>
      </c>
      <c r="I126" s="206">
        <v>69634.000259000255</v>
      </c>
      <c r="J126" s="310"/>
      <c r="K126" s="260"/>
      <c r="L126" s="163">
        <f t="shared" si="12"/>
        <v>0</v>
      </c>
      <c r="M126" s="261"/>
      <c r="N126" s="260"/>
      <c r="O126" s="163">
        <f t="shared" si="13"/>
        <v>0</v>
      </c>
      <c r="Q126" s="260"/>
      <c r="R126" s="163">
        <f t="shared" si="14"/>
        <v>0</v>
      </c>
      <c r="T126" s="260"/>
      <c r="U126" s="163">
        <f t="shared" si="15"/>
        <v>0</v>
      </c>
      <c r="W126" s="262">
        <v>0</v>
      </c>
      <c r="X126" s="163">
        <f t="shared" si="22"/>
        <v>0</v>
      </c>
      <c r="Z126" s="260"/>
      <c r="AA126" s="163">
        <f t="shared" si="16"/>
        <v>0</v>
      </c>
      <c r="AC126" s="260"/>
      <c r="AD126" s="163">
        <f t="shared" si="17"/>
        <v>0</v>
      </c>
      <c r="AF126" s="260"/>
      <c r="AG126" s="163">
        <f t="shared" si="19"/>
        <v>0</v>
      </c>
      <c r="AI126" s="260"/>
      <c r="AJ126" s="163">
        <f t="shared" si="20"/>
        <v>0</v>
      </c>
      <c r="AL126" s="162">
        <f t="shared" si="21"/>
        <v>0</v>
      </c>
      <c r="AM126" s="163">
        <f t="shared" si="18"/>
        <v>0</v>
      </c>
    </row>
    <row r="127" spans="4:39" ht="27.6" customHeight="1" x14ac:dyDescent="0.3">
      <c r="D127" s="446"/>
      <c r="E127" s="306" t="s">
        <v>351</v>
      </c>
      <c r="F127" s="214" t="s">
        <v>352</v>
      </c>
      <c r="G127" s="202" t="s">
        <v>304</v>
      </c>
      <c r="H127" s="203">
        <v>1</v>
      </c>
      <c r="I127" s="206">
        <v>69634.000259000255</v>
      </c>
      <c r="J127" s="310"/>
      <c r="K127" s="260"/>
      <c r="L127" s="163">
        <f t="shared" si="12"/>
        <v>0</v>
      </c>
      <c r="M127" s="261"/>
      <c r="N127" s="260"/>
      <c r="O127" s="163">
        <f t="shared" si="13"/>
        <v>0</v>
      </c>
      <c r="Q127" s="260"/>
      <c r="R127" s="163">
        <f t="shared" si="14"/>
        <v>0</v>
      </c>
      <c r="T127" s="260"/>
      <c r="U127" s="163">
        <f t="shared" si="15"/>
        <v>0</v>
      </c>
      <c r="W127" s="262">
        <v>0</v>
      </c>
      <c r="X127" s="163">
        <f t="shared" si="22"/>
        <v>0</v>
      </c>
      <c r="Z127" s="260"/>
      <c r="AA127" s="163">
        <f t="shared" si="16"/>
        <v>0</v>
      </c>
      <c r="AC127" s="260"/>
      <c r="AD127" s="163">
        <f t="shared" si="17"/>
        <v>0</v>
      </c>
      <c r="AF127" s="260"/>
      <c r="AG127" s="163">
        <f t="shared" si="19"/>
        <v>0</v>
      </c>
      <c r="AI127" s="260"/>
      <c r="AJ127" s="163">
        <f t="shared" si="20"/>
        <v>0</v>
      </c>
      <c r="AL127" s="162">
        <f t="shared" si="21"/>
        <v>0</v>
      </c>
      <c r="AM127" s="163">
        <f t="shared" si="18"/>
        <v>0</v>
      </c>
    </row>
    <row r="128" spans="4:39" ht="27.6" customHeight="1" x14ac:dyDescent="0.3">
      <c r="D128" s="446"/>
      <c r="E128" s="306" t="s">
        <v>353</v>
      </c>
      <c r="F128" s="214" t="s">
        <v>354</v>
      </c>
      <c r="G128" s="202" t="s">
        <v>304</v>
      </c>
      <c r="H128" s="203">
        <v>1</v>
      </c>
      <c r="I128" s="206">
        <v>171224.42372442372</v>
      </c>
      <c r="J128" s="310"/>
      <c r="K128" s="260"/>
      <c r="L128" s="163">
        <f t="shared" si="12"/>
        <v>0</v>
      </c>
      <c r="M128" s="261"/>
      <c r="N128" s="260"/>
      <c r="O128" s="163">
        <f t="shared" si="13"/>
        <v>0</v>
      </c>
      <c r="Q128" s="260"/>
      <c r="R128" s="163">
        <f t="shared" si="14"/>
        <v>0</v>
      </c>
      <c r="T128" s="260"/>
      <c r="U128" s="163">
        <f t="shared" si="15"/>
        <v>0</v>
      </c>
      <c r="W128" s="262">
        <v>0</v>
      </c>
      <c r="X128" s="163">
        <f t="shared" si="22"/>
        <v>0</v>
      </c>
      <c r="Z128" s="260"/>
      <c r="AA128" s="163">
        <f t="shared" si="16"/>
        <v>0</v>
      </c>
      <c r="AC128" s="260"/>
      <c r="AD128" s="163">
        <f t="shared" si="17"/>
        <v>0</v>
      </c>
      <c r="AF128" s="260"/>
      <c r="AG128" s="163">
        <f t="shared" si="19"/>
        <v>0</v>
      </c>
      <c r="AI128" s="260"/>
      <c r="AJ128" s="163">
        <f t="shared" si="20"/>
        <v>0</v>
      </c>
      <c r="AL128" s="162">
        <f t="shared" si="21"/>
        <v>0</v>
      </c>
      <c r="AM128" s="163">
        <f t="shared" si="18"/>
        <v>0</v>
      </c>
    </row>
    <row r="129" spans="4:39" ht="27.6" customHeight="1" x14ac:dyDescent="0.3">
      <c r="D129" s="446"/>
      <c r="E129" s="306" t="s">
        <v>355</v>
      </c>
      <c r="F129" s="214" t="s">
        <v>356</v>
      </c>
      <c r="G129" s="202" t="s">
        <v>304</v>
      </c>
      <c r="H129" s="203">
        <v>1</v>
      </c>
      <c r="I129" s="206">
        <v>121162.91116291114</v>
      </c>
      <c r="J129" s="310"/>
      <c r="K129" s="260"/>
      <c r="L129" s="163">
        <f t="shared" si="12"/>
        <v>0</v>
      </c>
      <c r="M129" s="261"/>
      <c r="N129" s="260"/>
      <c r="O129" s="163">
        <f t="shared" si="13"/>
        <v>0</v>
      </c>
      <c r="Q129" s="260"/>
      <c r="R129" s="163">
        <f t="shared" si="14"/>
        <v>0</v>
      </c>
      <c r="T129" s="260"/>
      <c r="U129" s="163">
        <f t="shared" si="15"/>
        <v>0</v>
      </c>
      <c r="W129" s="262">
        <v>0</v>
      </c>
      <c r="X129" s="163">
        <f t="shared" si="22"/>
        <v>0</v>
      </c>
      <c r="Z129" s="260"/>
      <c r="AA129" s="163">
        <f t="shared" si="16"/>
        <v>0</v>
      </c>
      <c r="AC129" s="260"/>
      <c r="AD129" s="163">
        <f t="shared" si="17"/>
        <v>0</v>
      </c>
      <c r="AF129" s="260"/>
      <c r="AG129" s="163">
        <f t="shared" si="19"/>
        <v>0</v>
      </c>
      <c r="AI129" s="260"/>
      <c r="AJ129" s="163">
        <f t="shared" si="20"/>
        <v>0</v>
      </c>
      <c r="AL129" s="162">
        <f t="shared" si="21"/>
        <v>0</v>
      </c>
      <c r="AM129" s="163">
        <f t="shared" si="18"/>
        <v>0</v>
      </c>
    </row>
    <row r="130" spans="4:39" ht="27.6" customHeight="1" x14ac:dyDescent="0.3">
      <c r="D130" s="446"/>
      <c r="E130" s="306" t="s">
        <v>357</v>
      </c>
      <c r="F130" s="214" t="s">
        <v>358</v>
      </c>
      <c r="G130" s="202" t="s">
        <v>304</v>
      </c>
      <c r="H130" s="203">
        <v>1</v>
      </c>
      <c r="I130" s="206">
        <v>121162.91116291114</v>
      </c>
      <c r="J130" s="310"/>
      <c r="K130" s="260"/>
      <c r="L130" s="163">
        <f t="shared" si="12"/>
        <v>0</v>
      </c>
      <c r="M130" s="261"/>
      <c r="N130" s="260"/>
      <c r="O130" s="163">
        <f t="shared" si="13"/>
        <v>0</v>
      </c>
      <c r="Q130" s="260"/>
      <c r="R130" s="163">
        <f t="shared" si="14"/>
        <v>0</v>
      </c>
      <c r="T130" s="260"/>
      <c r="U130" s="163">
        <f t="shared" si="15"/>
        <v>0</v>
      </c>
      <c r="W130" s="262">
        <v>0</v>
      </c>
      <c r="X130" s="163">
        <f t="shared" si="22"/>
        <v>0</v>
      </c>
      <c r="Z130" s="260"/>
      <c r="AA130" s="163">
        <f t="shared" si="16"/>
        <v>0</v>
      </c>
      <c r="AC130" s="260"/>
      <c r="AD130" s="163">
        <f t="shared" si="17"/>
        <v>0</v>
      </c>
      <c r="AF130" s="260"/>
      <c r="AG130" s="163">
        <f t="shared" si="19"/>
        <v>0</v>
      </c>
      <c r="AI130" s="260"/>
      <c r="AJ130" s="163">
        <f t="shared" si="20"/>
        <v>0</v>
      </c>
      <c r="AL130" s="162">
        <f t="shared" si="21"/>
        <v>0</v>
      </c>
      <c r="AM130" s="163">
        <f t="shared" si="18"/>
        <v>0</v>
      </c>
    </row>
    <row r="131" spans="4:39" ht="27.6" customHeight="1" x14ac:dyDescent="0.3">
      <c r="D131" s="446"/>
      <c r="E131" s="306" t="s">
        <v>359</v>
      </c>
      <c r="F131" s="214" t="s">
        <v>360</v>
      </c>
      <c r="G131" s="202" t="s">
        <v>304</v>
      </c>
      <c r="H131" s="203">
        <v>1</v>
      </c>
      <c r="I131" s="206">
        <v>121162.91116291114</v>
      </c>
      <c r="J131" s="310"/>
      <c r="K131" s="260"/>
      <c r="L131" s="163">
        <f t="shared" si="12"/>
        <v>0</v>
      </c>
      <c r="M131" s="261"/>
      <c r="N131" s="260"/>
      <c r="O131" s="163">
        <f t="shared" si="13"/>
        <v>0</v>
      </c>
      <c r="Q131" s="260"/>
      <c r="R131" s="163">
        <f t="shared" si="14"/>
        <v>0</v>
      </c>
      <c r="T131" s="260"/>
      <c r="U131" s="163">
        <f t="shared" si="15"/>
        <v>0</v>
      </c>
      <c r="W131" s="262">
        <v>0</v>
      </c>
      <c r="X131" s="163">
        <f t="shared" si="22"/>
        <v>0</v>
      </c>
      <c r="Z131" s="260"/>
      <c r="AA131" s="163">
        <f t="shared" si="16"/>
        <v>0</v>
      </c>
      <c r="AC131" s="260"/>
      <c r="AD131" s="163">
        <f t="shared" si="17"/>
        <v>0</v>
      </c>
      <c r="AF131" s="260"/>
      <c r="AG131" s="163">
        <f t="shared" si="19"/>
        <v>0</v>
      </c>
      <c r="AI131" s="260"/>
      <c r="AJ131" s="163">
        <f t="shared" si="20"/>
        <v>0</v>
      </c>
      <c r="AL131" s="162">
        <f t="shared" si="21"/>
        <v>0</v>
      </c>
      <c r="AM131" s="163">
        <f t="shared" si="18"/>
        <v>0</v>
      </c>
    </row>
    <row r="132" spans="4:39" ht="27.6" customHeight="1" x14ac:dyDescent="0.3">
      <c r="D132" s="446"/>
      <c r="E132" s="306" t="s">
        <v>361</v>
      </c>
      <c r="F132" s="214" t="s">
        <v>362</v>
      </c>
      <c r="G132" s="202" t="s">
        <v>304</v>
      </c>
      <c r="H132" s="203">
        <v>1</v>
      </c>
      <c r="I132" s="206">
        <v>121162.91116291114</v>
      </c>
      <c r="J132" s="310"/>
      <c r="K132" s="260"/>
      <c r="L132" s="163">
        <f t="shared" si="12"/>
        <v>0</v>
      </c>
      <c r="M132" s="261"/>
      <c r="N132" s="260"/>
      <c r="O132" s="163">
        <f t="shared" si="13"/>
        <v>0</v>
      </c>
      <c r="Q132" s="260"/>
      <c r="R132" s="163">
        <f t="shared" si="14"/>
        <v>0</v>
      </c>
      <c r="T132" s="260"/>
      <c r="U132" s="163">
        <f t="shared" si="15"/>
        <v>0</v>
      </c>
      <c r="W132" s="262">
        <v>0</v>
      </c>
      <c r="X132" s="163">
        <f t="shared" si="22"/>
        <v>0</v>
      </c>
      <c r="Z132" s="260"/>
      <c r="AA132" s="163">
        <f t="shared" si="16"/>
        <v>0</v>
      </c>
      <c r="AC132" s="260"/>
      <c r="AD132" s="163">
        <f t="shared" si="17"/>
        <v>0</v>
      </c>
      <c r="AF132" s="260"/>
      <c r="AG132" s="163">
        <f t="shared" si="19"/>
        <v>0</v>
      </c>
      <c r="AI132" s="260"/>
      <c r="AJ132" s="163">
        <f t="shared" si="20"/>
        <v>0</v>
      </c>
      <c r="AL132" s="162">
        <f t="shared" si="21"/>
        <v>0</v>
      </c>
      <c r="AM132" s="163">
        <f t="shared" si="18"/>
        <v>0</v>
      </c>
    </row>
    <row r="133" spans="4:39" ht="27.6" customHeight="1" x14ac:dyDescent="0.3">
      <c r="D133" s="446"/>
      <c r="E133" s="306" t="s">
        <v>363</v>
      </c>
      <c r="F133" s="214" t="s">
        <v>364</v>
      </c>
      <c r="G133" s="202" t="s">
        <v>304</v>
      </c>
      <c r="H133" s="203">
        <v>1</v>
      </c>
      <c r="I133" s="206">
        <v>145113.79823879819</v>
      </c>
      <c r="J133" s="310"/>
      <c r="K133" s="260"/>
      <c r="L133" s="163">
        <f t="shared" ref="L133:L196" si="23">+K133*I133</f>
        <v>0</v>
      </c>
      <c r="M133" s="261"/>
      <c r="N133" s="260"/>
      <c r="O133" s="163">
        <f t="shared" ref="O133:O196" si="24">+N133*I133</f>
        <v>0</v>
      </c>
      <c r="Q133" s="260"/>
      <c r="R133" s="163">
        <f t="shared" ref="R133:R196" si="25">+Q133*I133</f>
        <v>0</v>
      </c>
      <c r="T133" s="260"/>
      <c r="U133" s="163">
        <f t="shared" ref="U133:U196" si="26">+T133*I133</f>
        <v>0</v>
      </c>
      <c r="W133" s="262">
        <v>0</v>
      </c>
      <c r="X133" s="163">
        <f t="shared" si="22"/>
        <v>0</v>
      </c>
      <c r="Z133" s="260"/>
      <c r="AA133" s="163">
        <f t="shared" ref="AA133:AA196" si="27">+Z133*I133</f>
        <v>0</v>
      </c>
      <c r="AC133" s="260"/>
      <c r="AD133" s="163">
        <f t="shared" ref="AD133:AD196" si="28">+AC133*I133</f>
        <v>0</v>
      </c>
      <c r="AF133" s="260"/>
      <c r="AG133" s="163">
        <f t="shared" si="19"/>
        <v>0</v>
      </c>
      <c r="AI133" s="260"/>
      <c r="AJ133" s="163">
        <f t="shared" si="20"/>
        <v>0</v>
      </c>
      <c r="AL133" s="162">
        <f t="shared" si="21"/>
        <v>0</v>
      </c>
      <c r="AM133" s="163">
        <f t="shared" ref="AM133:AM196" si="29">+AL133*I133</f>
        <v>0</v>
      </c>
    </row>
    <row r="134" spans="4:39" ht="27.6" customHeight="1" x14ac:dyDescent="0.3">
      <c r="D134" s="446"/>
      <c r="E134" s="306" t="s">
        <v>365</v>
      </c>
      <c r="F134" s="214" t="s">
        <v>366</v>
      </c>
      <c r="G134" s="202" t="s">
        <v>304</v>
      </c>
      <c r="H134" s="203">
        <v>1</v>
      </c>
      <c r="I134" s="206">
        <v>171224.42372442372</v>
      </c>
      <c r="J134" s="310"/>
      <c r="K134" s="260"/>
      <c r="L134" s="163">
        <f t="shared" si="23"/>
        <v>0</v>
      </c>
      <c r="M134" s="261"/>
      <c r="N134" s="260"/>
      <c r="O134" s="163">
        <f t="shared" si="24"/>
        <v>0</v>
      </c>
      <c r="Q134" s="260"/>
      <c r="R134" s="163">
        <f t="shared" si="25"/>
        <v>0</v>
      </c>
      <c r="T134" s="260"/>
      <c r="U134" s="163">
        <f t="shared" si="26"/>
        <v>0</v>
      </c>
      <c r="W134" s="262">
        <v>0</v>
      </c>
      <c r="X134" s="163">
        <f t="shared" si="22"/>
        <v>0</v>
      </c>
      <c r="Z134" s="260"/>
      <c r="AA134" s="163">
        <f t="shared" si="27"/>
        <v>0</v>
      </c>
      <c r="AC134" s="260"/>
      <c r="AD134" s="163">
        <f t="shared" si="28"/>
        <v>0</v>
      </c>
      <c r="AF134" s="260"/>
      <c r="AG134" s="163">
        <f t="shared" ref="AG134:AG197" si="30">+AF134*I134</f>
        <v>0</v>
      </c>
      <c r="AI134" s="260"/>
      <c r="AJ134" s="163">
        <f t="shared" ref="AJ134:AJ197" si="31">+AI134*I134</f>
        <v>0</v>
      </c>
      <c r="AL134" s="162">
        <f t="shared" ref="AL134:AL197" si="32">+K134+N134+Q134+T134+Z134+AF134+AC134+W134+AI134</f>
        <v>0</v>
      </c>
      <c r="AM134" s="163">
        <f t="shared" si="29"/>
        <v>0</v>
      </c>
    </row>
    <row r="135" spans="4:39" ht="27.6" customHeight="1" x14ac:dyDescent="0.3">
      <c r="D135" s="446"/>
      <c r="E135" s="306" t="s">
        <v>367</v>
      </c>
      <c r="F135" s="214" t="s">
        <v>368</v>
      </c>
      <c r="G135" s="202" t="s">
        <v>304</v>
      </c>
      <c r="H135" s="203">
        <v>1</v>
      </c>
      <c r="I135" s="206">
        <v>136026.12665112663</v>
      </c>
      <c r="J135" s="310"/>
      <c r="K135" s="260"/>
      <c r="L135" s="163">
        <f t="shared" si="23"/>
        <v>0</v>
      </c>
      <c r="M135" s="261"/>
      <c r="N135" s="260"/>
      <c r="O135" s="163">
        <f t="shared" si="24"/>
        <v>0</v>
      </c>
      <c r="Q135" s="260"/>
      <c r="R135" s="163">
        <f t="shared" si="25"/>
        <v>0</v>
      </c>
      <c r="T135" s="260"/>
      <c r="U135" s="163">
        <f t="shared" si="26"/>
        <v>0</v>
      </c>
      <c r="W135" s="262">
        <v>0</v>
      </c>
      <c r="X135" s="163">
        <f t="shared" ref="X135:X198" si="33">+W135*I135</f>
        <v>0</v>
      </c>
      <c r="Z135" s="260"/>
      <c r="AA135" s="163">
        <f t="shared" si="27"/>
        <v>0</v>
      </c>
      <c r="AC135" s="260"/>
      <c r="AD135" s="163">
        <f t="shared" si="28"/>
        <v>0</v>
      </c>
      <c r="AF135" s="260"/>
      <c r="AG135" s="163">
        <f t="shared" si="30"/>
        <v>0</v>
      </c>
      <c r="AI135" s="260"/>
      <c r="AJ135" s="163">
        <f t="shared" si="31"/>
        <v>0</v>
      </c>
      <c r="AL135" s="162">
        <f t="shared" si="32"/>
        <v>0</v>
      </c>
      <c r="AM135" s="163">
        <f t="shared" si="29"/>
        <v>0</v>
      </c>
    </row>
    <row r="136" spans="4:39" ht="27.6" customHeight="1" x14ac:dyDescent="0.3">
      <c r="D136" s="446"/>
      <c r="E136" s="306" t="s">
        <v>369</v>
      </c>
      <c r="F136" s="214" t="s">
        <v>370</v>
      </c>
      <c r="G136" s="202" t="s">
        <v>304</v>
      </c>
      <c r="H136" s="203">
        <v>1</v>
      </c>
      <c r="I136" s="206">
        <v>136026.12665112663</v>
      </c>
      <c r="J136" s="310"/>
      <c r="K136" s="260"/>
      <c r="L136" s="163">
        <f t="shared" si="23"/>
        <v>0</v>
      </c>
      <c r="M136" s="261"/>
      <c r="N136" s="260"/>
      <c r="O136" s="163">
        <f t="shared" si="24"/>
        <v>0</v>
      </c>
      <c r="Q136" s="260"/>
      <c r="R136" s="163">
        <f t="shared" si="25"/>
        <v>0</v>
      </c>
      <c r="T136" s="260"/>
      <c r="U136" s="163">
        <f t="shared" si="26"/>
        <v>0</v>
      </c>
      <c r="W136" s="262">
        <v>0</v>
      </c>
      <c r="X136" s="163">
        <f t="shared" si="33"/>
        <v>0</v>
      </c>
      <c r="Z136" s="260"/>
      <c r="AA136" s="163">
        <f t="shared" si="27"/>
        <v>0</v>
      </c>
      <c r="AC136" s="260"/>
      <c r="AD136" s="163">
        <f t="shared" si="28"/>
        <v>0</v>
      </c>
      <c r="AF136" s="260"/>
      <c r="AG136" s="163">
        <f t="shared" si="30"/>
        <v>0</v>
      </c>
      <c r="AI136" s="260"/>
      <c r="AJ136" s="163">
        <f t="shared" si="31"/>
        <v>0</v>
      </c>
      <c r="AL136" s="162">
        <f t="shared" si="32"/>
        <v>0</v>
      </c>
      <c r="AM136" s="163">
        <f t="shared" si="29"/>
        <v>0</v>
      </c>
    </row>
    <row r="137" spans="4:39" ht="27.6" customHeight="1" x14ac:dyDescent="0.3">
      <c r="D137" s="446"/>
      <c r="E137" s="306" t="s">
        <v>371</v>
      </c>
      <c r="F137" s="214" t="s">
        <v>372</v>
      </c>
      <c r="G137" s="202" t="s">
        <v>304</v>
      </c>
      <c r="H137" s="203">
        <v>1</v>
      </c>
      <c r="I137" s="206">
        <v>72599.391349391342</v>
      </c>
      <c r="J137" s="310"/>
      <c r="K137" s="260"/>
      <c r="L137" s="163">
        <f t="shared" si="23"/>
        <v>0</v>
      </c>
      <c r="M137" s="261"/>
      <c r="N137" s="260"/>
      <c r="O137" s="163">
        <f t="shared" si="24"/>
        <v>0</v>
      </c>
      <c r="Q137" s="260"/>
      <c r="R137" s="163">
        <f t="shared" si="25"/>
        <v>0</v>
      </c>
      <c r="T137" s="260"/>
      <c r="U137" s="163">
        <f t="shared" si="26"/>
        <v>0</v>
      </c>
      <c r="W137" s="262">
        <v>0</v>
      </c>
      <c r="X137" s="163">
        <f t="shared" si="33"/>
        <v>0</v>
      </c>
      <c r="Z137" s="260"/>
      <c r="AA137" s="163">
        <f t="shared" si="27"/>
        <v>0</v>
      </c>
      <c r="AC137" s="260"/>
      <c r="AD137" s="163">
        <f t="shared" si="28"/>
        <v>0</v>
      </c>
      <c r="AF137" s="260"/>
      <c r="AG137" s="163">
        <f t="shared" si="30"/>
        <v>0</v>
      </c>
      <c r="AI137" s="260"/>
      <c r="AJ137" s="163">
        <f t="shared" si="31"/>
        <v>0</v>
      </c>
      <c r="AL137" s="162">
        <f t="shared" si="32"/>
        <v>0</v>
      </c>
      <c r="AM137" s="163">
        <f t="shared" si="29"/>
        <v>0</v>
      </c>
    </row>
    <row r="138" spans="4:39" ht="27.6" customHeight="1" x14ac:dyDescent="0.3">
      <c r="D138" s="446"/>
      <c r="E138" s="306" t="s">
        <v>373</v>
      </c>
      <c r="F138" s="214" t="s">
        <v>374</v>
      </c>
      <c r="G138" s="202" t="s">
        <v>304</v>
      </c>
      <c r="H138" s="203">
        <v>1</v>
      </c>
      <c r="I138" s="206">
        <v>117788.46153846152</v>
      </c>
      <c r="J138" s="310"/>
      <c r="K138" s="260"/>
      <c r="L138" s="163">
        <f t="shared" si="23"/>
        <v>0</v>
      </c>
      <c r="M138" s="261"/>
      <c r="N138" s="260"/>
      <c r="O138" s="163">
        <f t="shared" si="24"/>
        <v>0</v>
      </c>
      <c r="Q138" s="260"/>
      <c r="R138" s="163">
        <f t="shared" si="25"/>
        <v>0</v>
      </c>
      <c r="T138" s="260"/>
      <c r="U138" s="163">
        <f t="shared" si="26"/>
        <v>0</v>
      </c>
      <c r="W138" s="262">
        <v>0</v>
      </c>
      <c r="X138" s="163">
        <f t="shared" si="33"/>
        <v>0</v>
      </c>
      <c r="Z138" s="260"/>
      <c r="AA138" s="163">
        <f t="shared" si="27"/>
        <v>0</v>
      </c>
      <c r="AC138" s="260"/>
      <c r="AD138" s="163">
        <f t="shared" si="28"/>
        <v>0</v>
      </c>
      <c r="AF138" s="260"/>
      <c r="AG138" s="163">
        <f t="shared" si="30"/>
        <v>0</v>
      </c>
      <c r="AI138" s="260"/>
      <c r="AJ138" s="163">
        <f t="shared" si="31"/>
        <v>0</v>
      </c>
      <c r="AL138" s="162">
        <f t="shared" si="32"/>
        <v>0</v>
      </c>
      <c r="AM138" s="163">
        <f t="shared" si="29"/>
        <v>0</v>
      </c>
    </row>
    <row r="139" spans="4:39" ht="27.6" customHeight="1" x14ac:dyDescent="0.3">
      <c r="D139" s="446"/>
      <c r="E139" s="306" t="s">
        <v>375</v>
      </c>
      <c r="F139" s="214" t="s">
        <v>376</v>
      </c>
      <c r="G139" s="202" t="s">
        <v>304</v>
      </c>
      <c r="H139" s="203">
        <v>1</v>
      </c>
      <c r="I139" s="206">
        <v>55653.490028490021</v>
      </c>
      <c r="J139" s="310"/>
      <c r="K139" s="260"/>
      <c r="L139" s="163">
        <f t="shared" si="23"/>
        <v>0</v>
      </c>
      <c r="M139" s="261"/>
      <c r="N139" s="260"/>
      <c r="O139" s="163">
        <f t="shared" si="24"/>
        <v>0</v>
      </c>
      <c r="Q139" s="260"/>
      <c r="R139" s="163">
        <f t="shared" si="25"/>
        <v>0</v>
      </c>
      <c r="T139" s="260"/>
      <c r="U139" s="163">
        <f t="shared" si="26"/>
        <v>0</v>
      </c>
      <c r="W139" s="262">
        <v>0</v>
      </c>
      <c r="X139" s="163">
        <f t="shared" si="33"/>
        <v>0</v>
      </c>
      <c r="Z139" s="260"/>
      <c r="AA139" s="163">
        <f t="shared" si="27"/>
        <v>0</v>
      </c>
      <c r="AC139" s="260"/>
      <c r="AD139" s="163">
        <f t="shared" si="28"/>
        <v>0</v>
      </c>
      <c r="AF139" s="260"/>
      <c r="AG139" s="163">
        <f t="shared" si="30"/>
        <v>0</v>
      </c>
      <c r="AI139" s="260"/>
      <c r="AJ139" s="163">
        <f t="shared" si="31"/>
        <v>0</v>
      </c>
      <c r="AL139" s="162">
        <f t="shared" si="32"/>
        <v>0</v>
      </c>
      <c r="AM139" s="163">
        <f t="shared" si="29"/>
        <v>0</v>
      </c>
    </row>
    <row r="140" spans="4:39" ht="27.6" customHeight="1" x14ac:dyDescent="0.3">
      <c r="D140" s="446"/>
      <c r="E140" s="306" t="s">
        <v>377</v>
      </c>
      <c r="F140" s="214" t="s">
        <v>378</v>
      </c>
      <c r="G140" s="202" t="s">
        <v>230</v>
      </c>
      <c r="H140" s="203">
        <v>1</v>
      </c>
      <c r="I140" s="206">
        <v>39005.600880600876</v>
      </c>
      <c r="J140" s="310"/>
      <c r="K140" s="260"/>
      <c r="L140" s="163">
        <f t="shared" si="23"/>
        <v>0</v>
      </c>
      <c r="M140" s="261"/>
      <c r="N140" s="260"/>
      <c r="O140" s="163">
        <f t="shared" si="24"/>
        <v>0</v>
      </c>
      <c r="Q140" s="260"/>
      <c r="R140" s="163">
        <f t="shared" si="25"/>
        <v>0</v>
      </c>
      <c r="T140" s="260"/>
      <c r="U140" s="163">
        <f t="shared" si="26"/>
        <v>0</v>
      </c>
      <c r="W140" s="262">
        <v>0</v>
      </c>
      <c r="X140" s="163">
        <f t="shared" si="33"/>
        <v>0</v>
      </c>
      <c r="Z140" s="260"/>
      <c r="AA140" s="163">
        <f t="shared" si="27"/>
        <v>0</v>
      </c>
      <c r="AC140" s="260"/>
      <c r="AD140" s="163">
        <f t="shared" si="28"/>
        <v>0</v>
      </c>
      <c r="AF140" s="260"/>
      <c r="AG140" s="163">
        <f t="shared" si="30"/>
        <v>0</v>
      </c>
      <c r="AI140" s="260"/>
      <c r="AJ140" s="163">
        <f t="shared" si="31"/>
        <v>0</v>
      </c>
      <c r="AL140" s="162">
        <f t="shared" si="32"/>
        <v>0</v>
      </c>
      <c r="AM140" s="163">
        <f t="shared" si="29"/>
        <v>0</v>
      </c>
    </row>
    <row r="141" spans="4:39" ht="27.6" customHeight="1" x14ac:dyDescent="0.3">
      <c r="D141" s="446"/>
      <c r="E141" s="306" t="s">
        <v>379</v>
      </c>
      <c r="F141" s="214" t="s">
        <v>380</v>
      </c>
      <c r="G141" s="202" t="s">
        <v>230</v>
      </c>
      <c r="H141" s="203">
        <v>1</v>
      </c>
      <c r="I141" s="206">
        <v>39005.600880600876</v>
      </c>
      <c r="J141" s="310"/>
      <c r="K141" s="260"/>
      <c r="L141" s="163">
        <f t="shared" si="23"/>
        <v>0</v>
      </c>
      <c r="M141" s="261"/>
      <c r="N141" s="260"/>
      <c r="O141" s="163">
        <f t="shared" si="24"/>
        <v>0</v>
      </c>
      <c r="Q141" s="260"/>
      <c r="R141" s="163">
        <f t="shared" si="25"/>
        <v>0</v>
      </c>
      <c r="T141" s="260"/>
      <c r="U141" s="163">
        <f t="shared" si="26"/>
        <v>0</v>
      </c>
      <c r="W141" s="262">
        <v>0</v>
      </c>
      <c r="X141" s="163">
        <f t="shared" si="33"/>
        <v>0</v>
      </c>
      <c r="Z141" s="260"/>
      <c r="AA141" s="163">
        <f t="shared" si="27"/>
        <v>0</v>
      </c>
      <c r="AC141" s="260"/>
      <c r="AD141" s="163">
        <f t="shared" si="28"/>
        <v>0</v>
      </c>
      <c r="AF141" s="260"/>
      <c r="AG141" s="163">
        <f t="shared" si="30"/>
        <v>0</v>
      </c>
      <c r="AI141" s="260"/>
      <c r="AJ141" s="163">
        <f t="shared" si="31"/>
        <v>0</v>
      </c>
      <c r="AL141" s="162">
        <f t="shared" si="32"/>
        <v>0</v>
      </c>
      <c r="AM141" s="163">
        <f t="shared" si="29"/>
        <v>0</v>
      </c>
    </row>
    <row r="142" spans="4:39" ht="27.6" customHeight="1" x14ac:dyDescent="0.3">
      <c r="D142" s="446"/>
      <c r="E142" s="306" t="s">
        <v>381</v>
      </c>
      <c r="F142" s="214" t="s">
        <v>382</v>
      </c>
      <c r="G142" s="202" t="s">
        <v>304</v>
      </c>
      <c r="H142" s="203">
        <v>1</v>
      </c>
      <c r="I142" s="206">
        <v>24128.787878787876</v>
      </c>
      <c r="J142" s="310"/>
      <c r="K142" s="260"/>
      <c r="L142" s="163">
        <f t="shared" si="23"/>
        <v>0</v>
      </c>
      <c r="M142" s="261"/>
      <c r="N142" s="260"/>
      <c r="O142" s="163">
        <f t="shared" si="24"/>
        <v>0</v>
      </c>
      <c r="Q142" s="260"/>
      <c r="R142" s="163">
        <f t="shared" si="25"/>
        <v>0</v>
      </c>
      <c r="T142" s="260"/>
      <c r="U142" s="163">
        <f t="shared" si="26"/>
        <v>0</v>
      </c>
      <c r="W142" s="262">
        <v>0</v>
      </c>
      <c r="X142" s="163">
        <f t="shared" si="33"/>
        <v>0</v>
      </c>
      <c r="Z142" s="260"/>
      <c r="AA142" s="163">
        <f t="shared" si="27"/>
        <v>0</v>
      </c>
      <c r="AC142" s="260"/>
      <c r="AD142" s="163">
        <f t="shared" si="28"/>
        <v>0</v>
      </c>
      <c r="AF142" s="260"/>
      <c r="AG142" s="163">
        <f t="shared" si="30"/>
        <v>0</v>
      </c>
      <c r="AI142" s="260"/>
      <c r="AJ142" s="163">
        <f t="shared" si="31"/>
        <v>0</v>
      </c>
      <c r="AL142" s="162">
        <f t="shared" si="32"/>
        <v>0</v>
      </c>
      <c r="AM142" s="163">
        <f t="shared" si="29"/>
        <v>0</v>
      </c>
    </row>
    <row r="143" spans="4:39" ht="27.6" customHeight="1" x14ac:dyDescent="0.3">
      <c r="D143" s="446"/>
      <c r="E143" s="306" t="s">
        <v>383</v>
      </c>
      <c r="F143" s="214" t="s">
        <v>384</v>
      </c>
      <c r="G143" s="202" t="s">
        <v>230</v>
      </c>
      <c r="H143" s="203">
        <v>1</v>
      </c>
      <c r="I143" s="206">
        <v>57928.807303807291</v>
      </c>
      <c r="J143" s="310"/>
      <c r="K143" s="260"/>
      <c r="L143" s="163">
        <f t="shared" si="23"/>
        <v>0</v>
      </c>
      <c r="M143" s="261"/>
      <c r="N143" s="260"/>
      <c r="O143" s="163">
        <f t="shared" si="24"/>
        <v>0</v>
      </c>
      <c r="Q143" s="260"/>
      <c r="R143" s="163">
        <f t="shared" si="25"/>
        <v>0</v>
      </c>
      <c r="T143" s="260"/>
      <c r="U143" s="163">
        <f t="shared" si="26"/>
        <v>0</v>
      </c>
      <c r="W143" s="262">
        <v>0</v>
      </c>
      <c r="X143" s="163">
        <f t="shared" si="33"/>
        <v>0</v>
      </c>
      <c r="Z143" s="260"/>
      <c r="AA143" s="163">
        <f t="shared" si="27"/>
        <v>0</v>
      </c>
      <c r="AC143" s="260"/>
      <c r="AD143" s="163">
        <f t="shared" si="28"/>
        <v>0</v>
      </c>
      <c r="AF143" s="260"/>
      <c r="AG143" s="163">
        <f t="shared" si="30"/>
        <v>0</v>
      </c>
      <c r="AI143" s="260"/>
      <c r="AJ143" s="163">
        <f t="shared" si="31"/>
        <v>0</v>
      </c>
      <c r="AL143" s="162">
        <f t="shared" si="32"/>
        <v>0</v>
      </c>
      <c r="AM143" s="163">
        <f t="shared" si="29"/>
        <v>0</v>
      </c>
    </row>
    <row r="144" spans="4:39" ht="27.6" customHeight="1" x14ac:dyDescent="0.3">
      <c r="D144" s="446"/>
      <c r="E144" s="306" t="s">
        <v>385</v>
      </c>
      <c r="F144" s="214" t="s">
        <v>386</v>
      </c>
      <c r="G144" s="202" t="s">
        <v>230</v>
      </c>
      <c r="H144" s="203">
        <v>1</v>
      </c>
      <c r="I144" s="206">
        <v>34186.415436415431</v>
      </c>
      <c r="J144" s="310"/>
      <c r="K144" s="260"/>
      <c r="L144" s="163">
        <f t="shared" si="23"/>
        <v>0</v>
      </c>
      <c r="M144" s="261"/>
      <c r="N144" s="260"/>
      <c r="O144" s="163">
        <f t="shared" si="24"/>
        <v>0</v>
      </c>
      <c r="Q144" s="260"/>
      <c r="R144" s="163">
        <f t="shared" si="25"/>
        <v>0</v>
      </c>
      <c r="T144" s="260"/>
      <c r="U144" s="163">
        <f t="shared" si="26"/>
        <v>0</v>
      </c>
      <c r="W144" s="262">
        <v>0</v>
      </c>
      <c r="X144" s="163">
        <f t="shared" si="33"/>
        <v>0</v>
      </c>
      <c r="Z144" s="260"/>
      <c r="AA144" s="163">
        <f t="shared" si="27"/>
        <v>0</v>
      </c>
      <c r="AC144" s="260"/>
      <c r="AD144" s="163">
        <f t="shared" si="28"/>
        <v>0</v>
      </c>
      <c r="AF144" s="260"/>
      <c r="AG144" s="163">
        <f t="shared" si="30"/>
        <v>0</v>
      </c>
      <c r="AI144" s="260"/>
      <c r="AJ144" s="163">
        <f t="shared" si="31"/>
        <v>0</v>
      </c>
      <c r="AL144" s="162">
        <f t="shared" si="32"/>
        <v>0</v>
      </c>
      <c r="AM144" s="163">
        <f t="shared" si="29"/>
        <v>0</v>
      </c>
    </row>
    <row r="145" spans="4:39" ht="27.6" customHeight="1" x14ac:dyDescent="0.3">
      <c r="D145" s="446"/>
      <c r="E145" s="306" t="s">
        <v>387</v>
      </c>
      <c r="F145" s="214" t="s">
        <v>388</v>
      </c>
      <c r="G145" s="202" t="s">
        <v>304</v>
      </c>
      <c r="H145" s="203">
        <v>1</v>
      </c>
      <c r="I145" s="206">
        <v>15149.896399896397</v>
      </c>
      <c r="J145" s="310"/>
      <c r="K145" s="260"/>
      <c r="L145" s="163">
        <f t="shared" si="23"/>
        <v>0</v>
      </c>
      <c r="M145" s="261"/>
      <c r="N145" s="260"/>
      <c r="O145" s="163">
        <f t="shared" si="24"/>
        <v>0</v>
      </c>
      <c r="Q145" s="260"/>
      <c r="R145" s="163">
        <f t="shared" si="25"/>
        <v>0</v>
      </c>
      <c r="T145" s="260"/>
      <c r="U145" s="163">
        <f t="shared" si="26"/>
        <v>0</v>
      </c>
      <c r="W145" s="262">
        <v>0</v>
      </c>
      <c r="X145" s="163">
        <f t="shared" si="33"/>
        <v>0</v>
      </c>
      <c r="Z145" s="260"/>
      <c r="AA145" s="163">
        <f t="shared" si="27"/>
        <v>0</v>
      </c>
      <c r="AC145" s="260"/>
      <c r="AD145" s="163">
        <f t="shared" si="28"/>
        <v>0</v>
      </c>
      <c r="AF145" s="260"/>
      <c r="AG145" s="163">
        <f t="shared" si="30"/>
        <v>0</v>
      </c>
      <c r="AI145" s="260"/>
      <c r="AJ145" s="163">
        <f t="shared" si="31"/>
        <v>0</v>
      </c>
      <c r="AL145" s="162">
        <f t="shared" si="32"/>
        <v>0</v>
      </c>
      <c r="AM145" s="163">
        <f t="shared" si="29"/>
        <v>0</v>
      </c>
    </row>
    <row r="146" spans="4:39" ht="27.6" customHeight="1" x14ac:dyDescent="0.3">
      <c r="D146" s="446"/>
      <c r="E146" s="306" t="s">
        <v>389</v>
      </c>
      <c r="F146" s="214" t="s">
        <v>390</v>
      </c>
      <c r="G146" s="202" t="s">
        <v>230</v>
      </c>
      <c r="H146" s="203">
        <v>1</v>
      </c>
      <c r="I146" s="206">
        <v>81198.685573685565</v>
      </c>
      <c r="J146" s="310"/>
      <c r="K146" s="260"/>
      <c r="L146" s="163">
        <f t="shared" si="23"/>
        <v>0</v>
      </c>
      <c r="M146" s="261"/>
      <c r="N146" s="260"/>
      <c r="O146" s="163">
        <f t="shared" si="24"/>
        <v>0</v>
      </c>
      <c r="Q146" s="260"/>
      <c r="R146" s="163">
        <f t="shared" si="25"/>
        <v>0</v>
      </c>
      <c r="T146" s="260"/>
      <c r="U146" s="163">
        <f t="shared" si="26"/>
        <v>0</v>
      </c>
      <c r="W146" s="262">
        <v>0</v>
      </c>
      <c r="X146" s="163">
        <f t="shared" si="33"/>
        <v>0</v>
      </c>
      <c r="Z146" s="260"/>
      <c r="AA146" s="163">
        <f t="shared" si="27"/>
        <v>0</v>
      </c>
      <c r="AC146" s="260"/>
      <c r="AD146" s="163">
        <f t="shared" si="28"/>
        <v>0</v>
      </c>
      <c r="AF146" s="260"/>
      <c r="AG146" s="163">
        <f t="shared" si="30"/>
        <v>0</v>
      </c>
      <c r="AI146" s="260"/>
      <c r="AJ146" s="163">
        <f t="shared" si="31"/>
        <v>0</v>
      </c>
      <c r="AL146" s="162">
        <f t="shared" si="32"/>
        <v>0</v>
      </c>
      <c r="AM146" s="163">
        <f t="shared" si="29"/>
        <v>0</v>
      </c>
    </row>
    <row r="147" spans="4:39" ht="27.6" customHeight="1" x14ac:dyDescent="0.3">
      <c r="D147" s="446"/>
      <c r="E147" s="306" t="s">
        <v>391</v>
      </c>
      <c r="F147" s="214" t="s">
        <v>392</v>
      </c>
      <c r="G147" s="202" t="s">
        <v>230</v>
      </c>
      <c r="H147" s="203">
        <v>1</v>
      </c>
      <c r="I147" s="206">
        <v>81198.685573685565</v>
      </c>
      <c r="J147" s="310"/>
      <c r="K147" s="260"/>
      <c r="L147" s="163">
        <f t="shared" si="23"/>
        <v>0</v>
      </c>
      <c r="M147" s="261"/>
      <c r="N147" s="260"/>
      <c r="O147" s="163">
        <f t="shared" si="24"/>
        <v>0</v>
      </c>
      <c r="Q147" s="260"/>
      <c r="R147" s="163">
        <f t="shared" si="25"/>
        <v>0</v>
      </c>
      <c r="T147" s="260"/>
      <c r="U147" s="163">
        <f t="shared" si="26"/>
        <v>0</v>
      </c>
      <c r="W147" s="262">
        <v>0</v>
      </c>
      <c r="X147" s="163">
        <f t="shared" si="33"/>
        <v>0</v>
      </c>
      <c r="Z147" s="260"/>
      <c r="AA147" s="163">
        <f t="shared" si="27"/>
        <v>0</v>
      </c>
      <c r="AC147" s="260"/>
      <c r="AD147" s="163">
        <f t="shared" si="28"/>
        <v>0</v>
      </c>
      <c r="AF147" s="260"/>
      <c r="AG147" s="163">
        <f t="shared" si="30"/>
        <v>0</v>
      </c>
      <c r="AI147" s="260"/>
      <c r="AJ147" s="163">
        <f t="shared" si="31"/>
        <v>0</v>
      </c>
      <c r="AL147" s="162">
        <f t="shared" si="32"/>
        <v>0</v>
      </c>
      <c r="AM147" s="163">
        <f t="shared" si="29"/>
        <v>0</v>
      </c>
    </row>
    <row r="148" spans="4:39" ht="27.6" customHeight="1" x14ac:dyDescent="0.3">
      <c r="D148" s="446"/>
      <c r="E148" s="306" t="s">
        <v>393</v>
      </c>
      <c r="F148" s="214" t="s">
        <v>394</v>
      </c>
      <c r="G148" s="202" t="s">
        <v>304</v>
      </c>
      <c r="H148" s="203">
        <v>1</v>
      </c>
      <c r="I148" s="206">
        <v>28279.4289044289</v>
      </c>
      <c r="J148" s="310"/>
      <c r="K148" s="260"/>
      <c r="L148" s="163">
        <f t="shared" si="23"/>
        <v>0</v>
      </c>
      <c r="M148" s="261"/>
      <c r="N148" s="260"/>
      <c r="O148" s="163">
        <f t="shared" si="24"/>
        <v>0</v>
      </c>
      <c r="Q148" s="260"/>
      <c r="R148" s="163">
        <f t="shared" si="25"/>
        <v>0</v>
      </c>
      <c r="T148" s="260"/>
      <c r="U148" s="163">
        <f t="shared" si="26"/>
        <v>0</v>
      </c>
      <c r="W148" s="262">
        <v>0</v>
      </c>
      <c r="X148" s="163">
        <f t="shared" si="33"/>
        <v>0</v>
      </c>
      <c r="Z148" s="260"/>
      <c r="AA148" s="163">
        <f t="shared" si="27"/>
        <v>0</v>
      </c>
      <c r="AC148" s="260"/>
      <c r="AD148" s="163">
        <f t="shared" si="28"/>
        <v>0</v>
      </c>
      <c r="AF148" s="260"/>
      <c r="AG148" s="163">
        <f t="shared" si="30"/>
        <v>0</v>
      </c>
      <c r="AI148" s="260"/>
      <c r="AJ148" s="163">
        <f t="shared" si="31"/>
        <v>0</v>
      </c>
      <c r="AL148" s="162">
        <f t="shared" si="32"/>
        <v>0</v>
      </c>
      <c r="AM148" s="163">
        <f t="shared" si="29"/>
        <v>0</v>
      </c>
    </row>
    <row r="149" spans="4:39" ht="27.6" customHeight="1" x14ac:dyDescent="0.3">
      <c r="D149" s="446"/>
      <c r="E149" s="306" t="s">
        <v>395</v>
      </c>
      <c r="F149" s="214" t="s">
        <v>396</v>
      </c>
      <c r="G149" s="202" t="s">
        <v>230</v>
      </c>
      <c r="H149" s="203">
        <v>1</v>
      </c>
      <c r="I149" s="206">
        <v>169648.24527324527</v>
      </c>
      <c r="J149" s="310"/>
      <c r="K149" s="260"/>
      <c r="L149" s="163">
        <f t="shared" si="23"/>
        <v>0</v>
      </c>
      <c r="M149" s="261"/>
      <c r="N149" s="260"/>
      <c r="O149" s="163">
        <f t="shared" si="24"/>
        <v>0</v>
      </c>
      <c r="Q149" s="260"/>
      <c r="R149" s="163">
        <f t="shared" si="25"/>
        <v>0</v>
      </c>
      <c r="T149" s="260"/>
      <c r="U149" s="163">
        <f t="shared" si="26"/>
        <v>0</v>
      </c>
      <c r="W149" s="262">
        <v>0</v>
      </c>
      <c r="X149" s="163">
        <f t="shared" si="33"/>
        <v>0</v>
      </c>
      <c r="Z149" s="260"/>
      <c r="AA149" s="163">
        <f t="shared" si="27"/>
        <v>0</v>
      </c>
      <c r="AC149" s="260"/>
      <c r="AD149" s="163">
        <f t="shared" si="28"/>
        <v>0</v>
      </c>
      <c r="AF149" s="260"/>
      <c r="AG149" s="163">
        <f t="shared" si="30"/>
        <v>0</v>
      </c>
      <c r="AI149" s="260"/>
      <c r="AJ149" s="163">
        <f t="shared" si="31"/>
        <v>0</v>
      </c>
      <c r="AL149" s="162">
        <f t="shared" si="32"/>
        <v>0</v>
      </c>
      <c r="AM149" s="163">
        <f t="shared" si="29"/>
        <v>0</v>
      </c>
    </row>
    <row r="150" spans="4:39" ht="27.6" customHeight="1" x14ac:dyDescent="0.3">
      <c r="D150" s="446"/>
      <c r="E150" s="306" t="s">
        <v>397</v>
      </c>
      <c r="F150" s="214" t="s">
        <v>398</v>
      </c>
      <c r="G150" s="202" t="s">
        <v>304</v>
      </c>
      <c r="H150" s="203">
        <v>1</v>
      </c>
      <c r="I150" s="206">
        <v>225348.19347319342</v>
      </c>
      <c r="J150" s="310"/>
      <c r="K150" s="260"/>
      <c r="L150" s="163">
        <f t="shared" si="23"/>
        <v>0</v>
      </c>
      <c r="M150" s="261"/>
      <c r="N150" s="260"/>
      <c r="O150" s="163">
        <f t="shared" si="24"/>
        <v>0</v>
      </c>
      <c r="Q150" s="260"/>
      <c r="R150" s="163">
        <f t="shared" si="25"/>
        <v>0</v>
      </c>
      <c r="T150" s="260"/>
      <c r="U150" s="163">
        <f t="shared" si="26"/>
        <v>0</v>
      </c>
      <c r="W150" s="262">
        <v>0</v>
      </c>
      <c r="X150" s="163">
        <f t="shared" si="33"/>
        <v>0</v>
      </c>
      <c r="Z150" s="260"/>
      <c r="AA150" s="163">
        <f t="shared" si="27"/>
        <v>0</v>
      </c>
      <c r="AC150" s="260"/>
      <c r="AD150" s="163">
        <f t="shared" si="28"/>
        <v>0</v>
      </c>
      <c r="AF150" s="260"/>
      <c r="AG150" s="163">
        <f t="shared" si="30"/>
        <v>0</v>
      </c>
      <c r="AI150" s="260"/>
      <c r="AJ150" s="163">
        <f t="shared" si="31"/>
        <v>0</v>
      </c>
      <c r="AL150" s="162">
        <f t="shared" si="32"/>
        <v>0</v>
      </c>
      <c r="AM150" s="163">
        <f t="shared" si="29"/>
        <v>0</v>
      </c>
    </row>
    <row r="151" spans="4:39" ht="27.6" customHeight="1" x14ac:dyDescent="0.3">
      <c r="D151" s="446"/>
      <c r="E151" s="306" t="s">
        <v>399</v>
      </c>
      <c r="F151" s="214" t="s">
        <v>400</v>
      </c>
      <c r="G151" s="202" t="s">
        <v>304</v>
      </c>
      <c r="H151" s="203">
        <v>1</v>
      </c>
      <c r="I151" s="206">
        <v>83896.65889665889</v>
      </c>
      <c r="J151" s="310"/>
      <c r="K151" s="260"/>
      <c r="L151" s="163">
        <f t="shared" si="23"/>
        <v>0</v>
      </c>
      <c r="M151" s="261"/>
      <c r="N151" s="260"/>
      <c r="O151" s="163">
        <f t="shared" si="24"/>
        <v>0</v>
      </c>
      <c r="Q151" s="260"/>
      <c r="R151" s="163">
        <f t="shared" si="25"/>
        <v>0</v>
      </c>
      <c r="T151" s="260"/>
      <c r="U151" s="163">
        <f t="shared" si="26"/>
        <v>0</v>
      </c>
      <c r="W151" s="262">
        <v>0</v>
      </c>
      <c r="X151" s="163">
        <f t="shared" si="33"/>
        <v>0</v>
      </c>
      <c r="Z151" s="260"/>
      <c r="AA151" s="163">
        <f t="shared" si="27"/>
        <v>0</v>
      </c>
      <c r="AC151" s="260"/>
      <c r="AD151" s="163">
        <f t="shared" si="28"/>
        <v>0</v>
      </c>
      <c r="AF151" s="260"/>
      <c r="AG151" s="163">
        <f t="shared" si="30"/>
        <v>0</v>
      </c>
      <c r="AI151" s="260"/>
      <c r="AJ151" s="163">
        <f t="shared" si="31"/>
        <v>0</v>
      </c>
      <c r="AL151" s="162">
        <f t="shared" si="32"/>
        <v>0</v>
      </c>
      <c r="AM151" s="163">
        <f t="shared" si="29"/>
        <v>0</v>
      </c>
    </row>
    <row r="152" spans="4:39" ht="27.6" customHeight="1" x14ac:dyDescent="0.3">
      <c r="D152" s="446"/>
      <c r="E152" s="306" t="s">
        <v>401</v>
      </c>
      <c r="F152" s="214" t="s">
        <v>402</v>
      </c>
      <c r="G152" s="202" t="s">
        <v>230</v>
      </c>
      <c r="H152" s="203">
        <v>1</v>
      </c>
      <c r="I152" s="206">
        <v>22220.603470603466</v>
      </c>
      <c r="J152" s="310"/>
      <c r="K152" s="260"/>
      <c r="L152" s="163">
        <f t="shared" si="23"/>
        <v>0</v>
      </c>
      <c r="M152" s="261"/>
      <c r="N152" s="260"/>
      <c r="O152" s="163">
        <f t="shared" si="24"/>
        <v>0</v>
      </c>
      <c r="Q152" s="260"/>
      <c r="R152" s="163">
        <f t="shared" si="25"/>
        <v>0</v>
      </c>
      <c r="T152" s="260"/>
      <c r="U152" s="163">
        <f t="shared" si="26"/>
        <v>0</v>
      </c>
      <c r="W152" s="262">
        <v>0</v>
      </c>
      <c r="X152" s="163">
        <f t="shared" si="33"/>
        <v>0</v>
      </c>
      <c r="Z152" s="260"/>
      <c r="AA152" s="163">
        <f t="shared" si="27"/>
        <v>0</v>
      </c>
      <c r="AC152" s="260"/>
      <c r="AD152" s="163">
        <f t="shared" si="28"/>
        <v>0</v>
      </c>
      <c r="AF152" s="260"/>
      <c r="AG152" s="163">
        <f t="shared" si="30"/>
        <v>0</v>
      </c>
      <c r="AI152" s="260"/>
      <c r="AJ152" s="163">
        <f t="shared" si="31"/>
        <v>0</v>
      </c>
      <c r="AL152" s="162">
        <f t="shared" si="32"/>
        <v>0</v>
      </c>
      <c r="AM152" s="163">
        <f t="shared" si="29"/>
        <v>0</v>
      </c>
    </row>
    <row r="153" spans="4:39" ht="27.6" customHeight="1" x14ac:dyDescent="0.3">
      <c r="D153" s="446"/>
      <c r="E153" s="306" t="s">
        <v>403</v>
      </c>
      <c r="F153" s="214" t="s">
        <v>328</v>
      </c>
      <c r="G153" s="202" t="s">
        <v>304</v>
      </c>
      <c r="H153" s="203">
        <v>1</v>
      </c>
      <c r="I153" s="206">
        <v>5232.7764827764822</v>
      </c>
      <c r="J153" s="310"/>
      <c r="K153" s="260"/>
      <c r="L153" s="163">
        <f t="shared" si="23"/>
        <v>0</v>
      </c>
      <c r="M153" s="261"/>
      <c r="N153" s="260"/>
      <c r="O153" s="163">
        <f t="shared" si="24"/>
        <v>0</v>
      </c>
      <c r="Q153" s="260"/>
      <c r="R153" s="163">
        <f t="shared" si="25"/>
        <v>0</v>
      </c>
      <c r="T153" s="260"/>
      <c r="U153" s="163">
        <f t="shared" si="26"/>
        <v>0</v>
      </c>
      <c r="W153" s="262">
        <v>0</v>
      </c>
      <c r="X153" s="163">
        <f t="shared" si="33"/>
        <v>0</v>
      </c>
      <c r="Z153" s="260"/>
      <c r="AA153" s="163">
        <f t="shared" si="27"/>
        <v>0</v>
      </c>
      <c r="AC153" s="260"/>
      <c r="AD153" s="163">
        <f t="shared" si="28"/>
        <v>0</v>
      </c>
      <c r="AF153" s="260"/>
      <c r="AG153" s="163">
        <f t="shared" si="30"/>
        <v>0</v>
      </c>
      <c r="AI153" s="260"/>
      <c r="AJ153" s="163">
        <f t="shared" si="31"/>
        <v>0</v>
      </c>
      <c r="AL153" s="162">
        <f t="shared" si="32"/>
        <v>0</v>
      </c>
      <c r="AM153" s="163">
        <f t="shared" si="29"/>
        <v>0</v>
      </c>
    </row>
    <row r="154" spans="4:39" ht="27.6" customHeight="1" x14ac:dyDescent="0.3">
      <c r="D154" s="446"/>
      <c r="E154" s="306" t="s">
        <v>404</v>
      </c>
      <c r="F154" s="214" t="s">
        <v>405</v>
      </c>
      <c r="G154" s="202" t="s">
        <v>230</v>
      </c>
      <c r="H154" s="203">
        <v>1</v>
      </c>
      <c r="I154" s="206">
        <v>54345.862470862463</v>
      </c>
      <c r="J154" s="310"/>
      <c r="K154" s="260"/>
      <c r="L154" s="163">
        <f t="shared" si="23"/>
        <v>0</v>
      </c>
      <c r="M154" s="261"/>
      <c r="N154" s="260"/>
      <c r="O154" s="163">
        <f t="shared" si="24"/>
        <v>0</v>
      </c>
      <c r="Q154" s="260"/>
      <c r="R154" s="163">
        <f t="shared" si="25"/>
        <v>0</v>
      </c>
      <c r="T154" s="260"/>
      <c r="U154" s="163">
        <f t="shared" si="26"/>
        <v>0</v>
      </c>
      <c r="W154" s="262">
        <v>0</v>
      </c>
      <c r="X154" s="163">
        <f t="shared" si="33"/>
        <v>0</v>
      </c>
      <c r="Z154" s="260"/>
      <c r="AA154" s="163">
        <f t="shared" si="27"/>
        <v>0</v>
      </c>
      <c r="AC154" s="260"/>
      <c r="AD154" s="163">
        <f t="shared" si="28"/>
        <v>0</v>
      </c>
      <c r="AF154" s="260"/>
      <c r="AG154" s="163">
        <f t="shared" si="30"/>
        <v>0</v>
      </c>
      <c r="AI154" s="260"/>
      <c r="AJ154" s="163">
        <f t="shared" si="31"/>
        <v>0</v>
      </c>
      <c r="AL154" s="162">
        <f t="shared" si="32"/>
        <v>0</v>
      </c>
      <c r="AM154" s="163">
        <f t="shared" si="29"/>
        <v>0</v>
      </c>
    </row>
    <row r="155" spans="4:39" ht="27.6" customHeight="1" x14ac:dyDescent="0.3">
      <c r="D155" s="446"/>
      <c r="E155" s="306" t="s">
        <v>406</v>
      </c>
      <c r="F155" s="214" t="s">
        <v>407</v>
      </c>
      <c r="G155" s="202" t="s">
        <v>304</v>
      </c>
      <c r="H155" s="203">
        <v>1</v>
      </c>
      <c r="I155" s="206">
        <v>24128.787878787876</v>
      </c>
      <c r="J155" s="310"/>
      <c r="K155" s="260"/>
      <c r="L155" s="163">
        <f t="shared" si="23"/>
        <v>0</v>
      </c>
      <c r="M155" s="261"/>
      <c r="N155" s="260"/>
      <c r="O155" s="163">
        <f t="shared" si="24"/>
        <v>0</v>
      </c>
      <c r="Q155" s="260"/>
      <c r="R155" s="163">
        <f t="shared" si="25"/>
        <v>0</v>
      </c>
      <c r="T155" s="260"/>
      <c r="U155" s="163">
        <f t="shared" si="26"/>
        <v>0</v>
      </c>
      <c r="W155" s="262">
        <v>0</v>
      </c>
      <c r="X155" s="163">
        <f t="shared" si="33"/>
        <v>0</v>
      </c>
      <c r="Z155" s="260"/>
      <c r="AA155" s="163">
        <f t="shared" si="27"/>
        <v>0</v>
      </c>
      <c r="AC155" s="260"/>
      <c r="AD155" s="163">
        <f t="shared" si="28"/>
        <v>0</v>
      </c>
      <c r="AF155" s="260"/>
      <c r="AG155" s="163">
        <f t="shared" si="30"/>
        <v>0</v>
      </c>
      <c r="AI155" s="260"/>
      <c r="AJ155" s="163">
        <f t="shared" si="31"/>
        <v>0</v>
      </c>
      <c r="AL155" s="162">
        <f t="shared" si="32"/>
        <v>0</v>
      </c>
      <c r="AM155" s="163">
        <f t="shared" si="29"/>
        <v>0</v>
      </c>
    </row>
    <row r="156" spans="4:39" ht="27.6" customHeight="1" x14ac:dyDescent="0.3">
      <c r="D156" s="446"/>
      <c r="E156" s="306" t="s">
        <v>408</v>
      </c>
      <c r="F156" s="214" t="s">
        <v>409</v>
      </c>
      <c r="G156" s="202" t="s">
        <v>230</v>
      </c>
      <c r="H156" s="203">
        <v>1</v>
      </c>
      <c r="I156" s="206">
        <v>57928.807303807291</v>
      </c>
      <c r="J156" s="310"/>
      <c r="K156" s="260"/>
      <c r="L156" s="163">
        <f t="shared" si="23"/>
        <v>0</v>
      </c>
      <c r="M156" s="261"/>
      <c r="N156" s="260"/>
      <c r="O156" s="163">
        <f t="shared" si="24"/>
        <v>0</v>
      </c>
      <c r="Q156" s="260"/>
      <c r="R156" s="163">
        <f t="shared" si="25"/>
        <v>0</v>
      </c>
      <c r="T156" s="260"/>
      <c r="U156" s="163">
        <f t="shared" si="26"/>
        <v>0</v>
      </c>
      <c r="W156" s="262">
        <v>0</v>
      </c>
      <c r="X156" s="163">
        <f t="shared" si="33"/>
        <v>0</v>
      </c>
      <c r="Z156" s="260"/>
      <c r="AA156" s="163">
        <f t="shared" si="27"/>
        <v>0</v>
      </c>
      <c r="AC156" s="260"/>
      <c r="AD156" s="163">
        <f t="shared" si="28"/>
        <v>0</v>
      </c>
      <c r="AF156" s="260"/>
      <c r="AG156" s="163">
        <f t="shared" si="30"/>
        <v>0</v>
      </c>
      <c r="AI156" s="260"/>
      <c r="AJ156" s="163">
        <f t="shared" si="31"/>
        <v>0</v>
      </c>
      <c r="AL156" s="162">
        <f t="shared" si="32"/>
        <v>0</v>
      </c>
      <c r="AM156" s="163">
        <f t="shared" si="29"/>
        <v>0</v>
      </c>
    </row>
    <row r="157" spans="4:39" ht="27.6" customHeight="1" x14ac:dyDescent="0.3">
      <c r="D157" s="446"/>
      <c r="E157" s="306" t="s">
        <v>410</v>
      </c>
      <c r="F157" s="214" t="s">
        <v>411</v>
      </c>
      <c r="G157" s="202" t="s">
        <v>304</v>
      </c>
      <c r="H157" s="203">
        <v>1</v>
      </c>
      <c r="I157" s="206">
        <v>15149.896399896397</v>
      </c>
      <c r="J157" s="310"/>
      <c r="K157" s="260"/>
      <c r="L157" s="163">
        <f t="shared" si="23"/>
        <v>0</v>
      </c>
      <c r="M157" s="261"/>
      <c r="N157" s="260"/>
      <c r="O157" s="163">
        <f t="shared" si="24"/>
        <v>0</v>
      </c>
      <c r="Q157" s="260"/>
      <c r="R157" s="163">
        <f t="shared" si="25"/>
        <v>0</v>
      </c>
      <c r="T157" s="260"/>
      <c r="U157" s="163">
        <f t="shared" si="26"/>
        <v>0</v>
      </c>
      <c r="W157" s="262">
        <v>0</v>
      </c>
      <c r="X157" s="163">
        <f t="shared" si="33"/>
        <v>0</v>
      </c>
      <c r="Z157" s="260"/>
      <c r="AA157" s="163">
        <f t="shared" si="27"/>
        <v>0</v>
      </c>
      <c r="AC157" s="260"/>
      <c r="AD157" s="163">
        <f t="shared" si="28"/>
        <v>0</v>
      </c>
      <c r="AF157" s="260"/>
      <c r="AG157" s="163">
        <f t="shared" si="30"/>
        <v>0</v>
      </c>
      <c r="AI157" s="260"/>
      <c r="AJ157" s="163">
        <f t="shared" si="31"/>
        <v>0</v>
      </c>
      <c r="AL157" s="162">
        <f t="shared" si="32"/>
        <v>0</v>
      </c>
      <c r="AM157" s="163">
        <f t="shared" si="29"/>
        <v>0</v>
      </c>
    </row>
    <row r="158" spans="4:39" ht="27.6" customHeight="1" x14ac:dyDescent="0.3">
      <c r="D158" s="446"/>
      <c r="E158" s="306" t="s">
        <v>412</v>
      </c>
      <c r="F158" s="214" t="s">
        <v>390</v>
      </c>
      <c r="G158" s="202" t="s">
        <v>230</v>
      </c>
      <c r="H158" s="203">
        <v>1</v>
      </c>
      <c r="I158" s="206">
        <v>81198.685573685565</v>
      </c>
      <c r="J158" s="310"/>
      <c r="K158" s="260"/>
      <c r="L158" s="163">
        <f t="shared" si="23"/>
        <v>0</v>
      </c>
      <c r="M158" s="261"/>
      <c r="N158" s="260"/>
      <c r="O158" s="163">
        <f t="shared" si="24"/>
        <v>0</v>
      </c>
      <c r="Q158" s="260"/>
      <c r="R158" s="163">
        <f t="shared" si="25"/>
        <v>0</v>
      </c>
      <c r="T158" s="260"/>
      <c r="U158" s="163">
        <f t="shared" si="26"/>
        <v>0</v>
      </c>
      <c r="W158" s="262">
        <v>0</v>
      </c>
      <c r="X158" s="163">
        <f t="shared" si="33"/>
        <v>0</v>
      </c>
      <c r="Z158" s="260"/>
      <c r="AA158" s="163">
        <f t="shared" si="27"/>
        <v>0</v>
      </c>
      <c r="AC158" s="260"/>
      <c r="AD158" s="163">
        <f t="shared" si="28"/>
        <v>0</v>
      </c>
      <c r="AF158" s="260"/>
      <c r="AG158" s="163">
        <f t="shared" si="30"/>
        <v>0</v>
      </c>
      <c r="AI158" s="260"/>
      <c r="AJ158" s="163">
        <f t="shared" si="31"/>
        <v>0</v>
      </c>
      <c r="AL158" s="162">
        <f t="shared" si="32"/>
        <v>0</v>
      </c>
      <c r="AM158" s="163">
        <f t="shared" si="29"/>
        <v>0</v>
      </c>
    </row>
    <row r="159" spans="4:39" ht="27.6" customHeight="1" x14ac:dyDescent="0.3">
      <c r="D159" s="446"/>
      <c r="E159" s="306" t="s">
        <v>413</v>
      </c>
      <c r="F159" s="214" t="s">
        <v>414</v>
      </c>
      <c r="G159" s="202" t="s">
        <v>304</v>
      </c>
      <c r="H159" s="203">
        <v>1</v>
      </c>
      <c r="I159" s="206">
        <v>28279.4289044289</v>
      </c>
      <c r="J159" s="310"/>
      <c r="K159" s="260"/>
      <c r="L159" s="163">
        <f t="shared" si="23"/>
        <v>0</v>
      </c>
      <c r="M159" s="261"/>
      <c r="N159" s="260"/>
      <c r="O159" s="163">
        <f t="shared" si="24"/>
        <v>0</v>
      </c>
      <c r="Q159" s="260"/>
      <c r="R159" s="163">
        <f t="shared" si="25"/>
        <v>0</v>
      </c>
      <c r="T159" s="260"/>
      <c r="U159" s="163">
        <f t="shared" si="26"/>
        <v>0</v>
      </c>
      <c r="W159" s="262">
        <v>0</v>
      </c>
      <c r="X159" s="163">
        <f t="shared" si="33"/>
        <v>0</v>
      </c>
      <c r="Z159" s="260"/>
      <c r="AA159" s="163">
        <f t="shared" si="27"/>
        <v>0</v>
      </c>
      <c r="AC159" s="260"/>
      <c r="AD159" s="163">
        <f t="shared" si="28"/>
        <v>0</v>
      </c>
      <c r="AF159" s="260"/>
      <c r="AG159" s="163">
        <f t="shared" si="30"/>
        <v>0</v>
      </c>
      <c r="AI159" s="260"/>
      <c r="AJ159" s="163">
        <f t="shared" si="31"/>
        <v>0</v>
      </c>
      <c r="AL159" s="162">
        <f t="shared" si="32"/>
        <v>0</v>
      </c>
      <c r="AM159" s="163">
        <f t="shared" si="29"/>
        <v>0</v>
      </c>
    </row>
    <row r="160" spans="4:39" ht="27.6" customHeight="1" x14ac:dyDescent="0.3">
      <c r="D160" s="446"/>
      <c r="E160" s="306" t="s">
        <v>415</v>
      </c>
      <c r="F160" s="214" t="s">
        <v>396</v>
      </c>
      <c r="G160" s="202" t="s">
        <v>230</v>
      </c>
      <c r="H160" s="203">
        <v>1</v>
      </c>
      <c r="I160" s="206">
        <v>169648.24527324527</v>
      </c>
      <c r="J160" s="310"/>
      <c r="K160" s="260"/>
      <c r="L160" s="163">
        <f t="shared" si="23"/>
        <v>0</v>
      </c>
      <c r="M160" s="261"/>
      <c r="N160" s="260"/>
      <c r="O160" s="163">
        <f t="shared" si="24"/>
        <v>0</v>
      </c>
      <c r="Q160" s="260"/>
      <c r="R160" s="163">
        <f t="shared" si="25"/>
        <v>0</v>
      </c>
      <c r="T160" s="260"/>
      <c r="U160" s="163">
        <f t="shared" si="26"/>
        <v>0</v>
      </c>
      <c r="W160" s="262">
        <v>0</v>
      </c>
      <c r="X160" s="163">
        <f t="shared" si="33"/>
        <v>0</v>
      </c>
      <c r="Z160" s="260"/>
      <c r="AA160" s="163">
        <f t="shared" si="27"/>
        <v>0</v>
      </c>
      <c r="AC160" s="260"/>
      <c r="AD160" s="163">
        <f t="shared" si="28"/>
        <v>0</v>
      </c>
      <c r="AF160" s="260"/>
      <c r="AG160" s="163">
        <f t="shared" si="30"/>
        <v>0</v>
      </c>
      <c r="AI160" s="260"/>
      <c r="AJ160" s="163">
        <f t="shared" si="31"/>
        <v>0</v>
      </c>
      <c r="AL160" s="162">
        <f t="shared" si="32"/>
        <v>0</v>
      </c>
      <c r="AM160" s="163">
        <f t="shared" si="29"/>
        <v>0</v>
      </c>
    </row>
    <row r="161" spans="4:39" ht="27.6" customHeight="1" x14ac:dyDescent="0.3">
      <c r="D161" s="446"/>
      <c r="E161" s="306" t="s">
        <v>416</v>
      </c>
      <c r="F161" s="214" t="s">
        <v>398</v>
      </c>
      <c r="G161" s="202" t="s">
        <v>304</v>
      </c>
      <c r="H161" s="203">
        <v>1</v>
      </c>
      <c r="I161" s="206">
        <v>225348.19347319342</v>
      </c>
      <c r="J161" s="310"/>
      <c r="K161" s="260"/>
      <c r="L161" s="163">
        <f t="shared" si="23"/>
        <v>0</v>
      </c>
      <c r="M161" s="261"/>
      <c r="N161" s="260"/>
      <c r="O161" s="163">
        <f t="shared" si="24"/>
        <v>0</v>
      </c>
      <c r="Q161" s="260"/>
      <c r="R161" s="163">
        <f t="shared" si="25"/>
        <v>0</v>
      </c>
      <c r="T161" s="260"/>
      <c r="U161" s="163">
        <f t="shared" si="26"/>
        <v>0</v>
      </c>
      <c r="W161" s="262">
        <v>0</v>
      </c>
      <c r="X161" s="163">
        <f t="shared" si="33"/>
        <v>0</v>
      </c>
      <c r="Z161" s="260"/>
      <c r="AA161" s="163">
        <f t="shared" si="27"/>
        <v>0</v>
      </c>
      <c r="AC161" s="260"/>
      <c r="AD161" s="163">
        <f t="shared" si="28"/>
        <v>0</v>
      </c>
      <c r="AF161" s="260"/>
      <c r="AG161" s="163">
        <f t="shared" si="30"/>
        <v>0</v>
      </c>
      <c r="AI161" s="260"/>
      <c r="AJ161" s="163">
        <f t="shared" si="31"/>
        <v>0</v>
      </c>
      <c r="AL161" s="162">
        <f t="shared" si="32"/>
        <v>0</v>
      </c>
      <c r="AM161" s="163">
        <f t="shared" si="29"/>
        <v>0</v>
      </c>
    </row>
    <row r="162" spans="4:39" ht="27.6" customHeight="1" x14ac:dyDescent="0.3">
      <c r="D162" s="446"/>
      <c r="E162" s="306" t="s">
        <v>417</v>
      </c>
      <c r="F162" s="214" t="s">
        <v>418</v>
      </c>
      <c r="G162" s="202" t="s">
        <v>304</v>
      </c>
      <c r="H162" s="203">
        <v>1</v>
      </c>
      <c r="I162" s="206">
        <v>106491.19399119397</v>
      </c>
      <c r="J162" s="310"/>
      <c r="K162" s="260"/>
      <c r="L162" s="163">
        <f t="shared" si="23"/>
        <v>0</v>
      </c>
      <c r="M162" s="261"/>
      <c r="N162" s="260"/>
      <c r="O162" s="163">
        <f t="shared" si="24"/>
        <v>0</v>
      </c>
      <c r="Q162" s="260"/>
      <c r="R162" s="163">
        <f t="shared" si="25"/>
        <v>0</v>
      </c>
      <c r="T162" s="260"/>
      <c r="U162" s="163">
        <f t="shared" si="26"/>
        <v>0</v>
      </c>
      <c r="W162" s="262">
        <v>0</v>
      </c>
      <c r="X162" s="163">
        <f t="shared" si="33"/>
        <v>0</v>
      </c>
      <c r="Z162" s="260"/>
      <c r="AA162" s="163">
        <f t="shared" si="27"/>
        <v>0</v>
      </c>
      <c r="AC162" s="260"/>
      <c r="AD162" s="163">
        <f t="shared" si="28"/>
        <v>0</v>
      </c>
      <c r="AF162" s="260"/>
      <c r="AG162" s="163">
        <f t="shared" si="30"/>
        <v>0</v>
      </c>
      <c r="AI162" s="260"/>
      <c r="AJ162" s="163">
        <f t="shared" si="31"/>
        <v>0</v>
      </c>
      <c r="AL162" s="162">
        <f t="shared" si="32"/>
        <v>0</v>
      </c>
      <c r="AM162" s="163">
        <f t="shared" si="29"/>
        <v>0</v>
      </c>
    </row>
    <row r="163" spans="4:39" ht="27.6" customHeight="1" x14ac:dyDescent="0.3">
      <c r="D163" s="446"/>
      <c r="E163" s="306" t="s">
        <v>419</v>
      </c>
      <c r="F163" s="214" t="s">
        <v>420</v>
      </c>
      <c r="G163" s="202" t="s">
        <v>304</v>
      </c>
      <c r="H163" s="203">
        <v>1</v>
      </c>
      <c r="I163" s="206">
        <v>142078.1533281533</v>
      </c>
      <c r="J163" s="310"/>
      <c r="K163" s="260"/>
      <c r="L163" s="163">
        <f t="shared" si="23"/>
        <v>0</v>
      </c>
      <c r="M163" s="261"/>
      <c r="N163" s="260"/>
      <c r="O163" s="163">
        <f t="shared" si="24"/>
        <v>0</v>
      </c>
      <c r="Q163" s="260"/>
      <c r="R163" s="163">
        <f t="shared" si="25"/>
        <v>0</v>
      </c>
      <c r="T163" s="260"/>
      <c r="U163" s="163">
        <f t="shared" si="26"/>
        <v>0</v>
      </c>
      <c r="W163" s="262">
        <v>0</v>
      </c>
      <c r="X163" s="163">
        <f t="shared" si="33"/>
        <v>0</v>
      </c>
      <c r="Z163" s="260"/>
      <c r="AA163" s="163">
        <f t="shared" si="27"/>
        <v>0</v>
      </c>
      <c r="AC163" s="260"/>
      <c r="AD163" s="163">
        <f t="shared" si="28"/>
        <v>0</v>
      </c>
      <c r="AF163" s="260"/>
      <c r="AG163" s="163">
        <f t="shared" si="30"/>
        <v>0</v>
      </c>
      <c r="AI163" s="260"/>
      <c r="AJ163" s="163">
        <f t="shared" si="31"/>
        <v>0</v>
      </c>
      <c r="AL163" s="162">
        <f t="shared" si="32"/>
        <v>0</v>
      </c>
      <c r="AM163" s="163">
        <f t="shared" si="29"/>
        <v>0</v>
      </c>
    </row>
    <row r="164" spans="4:39" ht="27.6" customHeight="1" x14ac:dyDescent="0.3">
      <c r="D164" s="446"/>
      <c r="E164" s="306" t="s">
        <v>421</v>
      </c>
      <c r="F164" s="214" t="s">
        <v>422</v>
      </c>
      <c r="G164" s="202" t="s">
        <v>304</v>
      </c>
      <c r="H164" s="203">
        <v>1</v>
      </c>
      <c r="I164" s="206">
        <v>170094.69696969696</v>
      </c>
      <c r="J164" s="310"/>
      <c r="K164" s="260"/>
      <c r="L164" s="163">
        <f t="shared" si="23"/>
        <v>0</v>
      </c>
      <c r="M164" s="261"/>
      <c r="N164" s="260"/>
      <c r="O164" s="163">
        <f t="shared" si="24"/>
        <v>0</v>
      </c>
      <c r="Q164" s="260"/>
      <c r="R164" s="163">
        <f t="shared" si="25"/>
        <v>0</v>
      </c>
      <c r="T164" s="260"/>
      <c r="U164" s="163">
        <f t="shared" si="26"/>
        <v>0</v>
      </c>
      <c r="W164" s="262">
        <v>0</v>
      </c>
      <c r="X164" s="163">
        <f t="shared" si="33"/>
        <v>0</v>
      </c>
      <c r="Z164" s="260"/>
      <c r="AA164" s="163">
        <f t="shared" si="27"/>
        <v>0</v>
      </c>
      <c r="AC164" s="260"/>
      <c r="AD164" s="163">
        <f t="shared" si="28"/>
        <v>0</v>
      </c>
      <c r="AF164" s="260"/>
      <c r="AG164" s="163">
        <f t="shared" si="30"/>
        <v>0</v>
      </c>
      <c r="AI164" s="260"/>
      <c r="AJ164" s="163">
        <f t="shared" si="31"/>
        <v>0</v>
      </c>
      <c r="AL164" s="162">
        <f t="shared" si="32"/>
        <v>0</v>
      </c>
      <c r="AM164" s="163">
        <f t="shared" si="29"/>
        <v>0</v>
      </c>
    </row>
    <row r="165" spans="4:39" ht="27.6" customHeight="1" x14ac:dyDescent="0.3">
      <c r="D165" s="446"/>
      <c r="E165" s="306" t="s">
        <v>423</v>
      </c>
      <c r="F165" s="214" t="s">
        <v>366</v>
      </c>
      <c r="G165" s="202" t="s">
        <v>304</v>
      </c>
      <c r="H165" s="203">
        <v>1</v>
      </c>
      <c r="I165" s="206">
        <v>171224.42372442372</v>
      </c>
      <c r="J165" s="310"/>
      <c r="K165" s="260"/>
      <c r="L165" s="163">
        <f t="shared" si="23"/>
        <v>0</v>
      </c>
      <c r="M165" s="261"/>
      <c r="N165" s="260"/>
      <c r="O165" s="163">
        <f t="shared" si="24"/>
        <v>0</v>
      </c>
      <c r="Q165" s="260"/>
      <c r="R165" s="163">
        <f t="shared" si="25"/>
        <v>0</v>
      </c>
      <c r="T165" s="260"/>
      <c r="U165" s="163">
        <f t="shared" si="26"/>
        <v>0</v>
      </c>
      <c r="W165" s="262">
        <v>0</v>
      </c>
      <c r="X165" s="163">
        <f t="shared" si="33"/>
        <v>0</v>
      </c>
      <c r="Z165" s="260"/>
      <c r="AA165" s="163">
        <f t="shared" si="27"/>
        <v>0</v>
      </c>
      <c r="AC165" s="260"/>
      <c r="AD165" s="163">
        <f t="shared" si="28"/>
        <v>0</v>
      </c>
      <c r="AF165" s="260"/>
      <c r="AG165" s="163">
        <f t="shared" si="30"/>
        <v>0</v>
      </c>
      <c r="AI165" s="260"/>
      <c r="AJ165" s="163">
        <f t="shared" si="31"/>
        <v>0</v>
      </c>
      <c r="AL165" s="162">
        <f t="shared" si="32"/>
        <v>0</v>
      </c>
      <c r="AM165" s="163">
        <f t="shared" si="29"/>
        <v>0</v>
      </c>
    </row>
    <row r="166" spans="4:39" ht="27.6" customHeight="1" x14ac:dyDescent="0.3">
      <c r="D166" s="446"/>
      <c r="E166" s="306" t="s">
        <v>424</v>
      </c>
      <c r="F166" s="214" t="s">
        <v>425</v>
      </c>
      <c r="G166" s="202" t="s">
        <v>304</v>
      </c>
      <c r="H166" s="203">
        <v>1</v>
      </c>
      <c r="I166" s="206">
        <v>8817.9875679875677</v>
      </c>
      <c r="J166" s="310"/>
      <c r="K166" s="260"/>
      <c r="L166" s="163">
        <f t="shared" si="23"/>
        <v>0</v>
      </c>
      <c r="M166" s="261"/>
      <c r="N166" s="260"/>
      <c r="O166" s="163">
        <f t="shared" si="24"/>
        <v>0</v>
      </c>
      <c r="Q166" s="260"/>
      <c r="R166" s="163">
        <f t="shared" si="25"/>
        <v>0</v>
      </c>
      <c r="T166" s="260"/>
      <c r="U166" s="163">
        <f t="shared" si="26"/>
        <v>0</v>
      </c>
      <c r="W166" s="262">
        <v>0</v>
      </c>
      <c r="X166" s="163">
        <f t="shared" si="33"/>
        <v>0</v>
      </c>
      <c r="Z166" s="260"/>
      <c r="AA166" s="163">
        <f t="shared" si="27"/>
        <v>0</v>
      </c>
      <c r="AC166" s="260"/>
      <c r="AD166" s="163">
        <f t="shared" si="28"/>
        <v>0</v>
      </c>
      <c r="AF166" s="260"/>
      <c r="AG166" s="163">
        <f t="shared" si="30"/>
        <v>0</v>
      </c>
      <c r="AI166" s="260"/>
      <c r="AJ166" s="163">
        <f t="shared" si="31"/>
        <v>0</v>
      </c>
      <c r="AL166" s="162">
        <f t="shared" si="32"/>
        <v>0</v>
      </c>
      <c r="AM166" s="163">
        <f t="shared" si="29"/>
        <v>0</v>
      </c>
    </row>
    <row r="167" spans="4:39" ht="27.6" customHeight="1" x14ac:dyDescent="0.3">
      <c r="D167" s="446"/>
      <c r="E167" s="306" t="s">
        <v>426</v>
      </c>
      <c r="F167" s="214" t="s">
        <v>427</v>
      </c>
      <c r="G167" s="202" t="s">
        <v>304</v>
      </c>
      <c r="H167" s="203">
        <v>1</v>
      </c>
      <c r="I167" s="206">
        <v>9382.2843822843824</v>
      </c>
      <c r="J167" s="310"/>
      <c r="K167" s="260"/>
      <c r="L167" s="163">
        <f t="shared" si="23"/>
        <v>0</v>
      </c>
      <c r="M167" s="261"/>
      <c r="N167" s="260"/>
      <c r="O167" s="163">
        <f t="shared" si="24"/>
        <v>0</v>
      </c>
      <c r="Q167" s="260"/>
      <c r="R167" s="163">
        <f t="shared" si="25"/>
        <v>0</v>
      </c>
      <c r="T167" s="260"/>
      <c r="U167" s="163">
        <f t="shared" si="26"/>
        <v>0</v>
      </c>
      <c r="W167" s="262">
        <v>0</v>
      </c>
      <c r="X167" s="163">
        <f t="shared" si="33"/>
        <v>0</v>
      </c>
      <c r="Z167" s="260"/>
      <c r="AA167" s="163">
        <f t="shared" si="27"/>
        <v>0</v>
      </c>
      <c r="AC167" s="260"/>
      <c r="AD167" s="163">
        <f t="shared" si="28"/>
        <v>0</v>
      </c>
      <c r="AF167" s="260"/>
      <c r="AG167" s="163">
        <f t="shared" si="30"/>
        <v>0</v>
      </c>
      <c r="AI167" s="260"/>
      <c r="AJ167" s="163">
        <f t="shared" si="31"/>
        <v>0</v>
      </c>
      <c r="AL167" s="162">
        <f t="shared" si="32"/>
        <v>0</v>
      </c>
      <c r="AM167" s="163">
        <f t="shared" si="29"/>
        <v>0</v>
      </c>
    </row>
    <row r="168" spans="4:39" ht="27.6" customHeight="1" x14ac:dyDescent="0.3">
      <c r="D168" s="446"/>
      <c r="E168" s="306" t="s">
        <v>428</v>
      </c>
      <c r="F168" s="214" t="s">
        <v>429</v>
      </c>
      <c r="G168" s="202" t="s">
        <v>304</v>
      </c>
      <c r="H168" s="203">
        <v>1</v>
      </c>
      <c r="I168" s="206">
        <v>10512.011137011135</v>
      </c>
      <c r="J168" s="310"/>
      <c r="K168" s="260"/>
      <c r="L168" s="163">
        <f t="shared" si="23"/>
        <v>0</v>
      </c>
      <c r="M168" s="261"/>
      <c r="N168" s="260"/>
      <c r="O168" s="163">
        <f t="shared" si="24"/>
        <v>0</v>
      </c>
      <c r="Q168" s="260"/>
      <c r="R168" s="163">
        <f t="shared" si="25"/>
        <v>0</v>
      </c>
      <c r="T168" s="260"/>
      <c r="U168" s="163">
        <f t="shared" si="26"/>
        <v>0</v>
      </c>
      <c r="W168" s="262">
        <v>0</v>
      </c>
      <c r="X168" s="163">
        <f t="shared" si="33"/>
        <v>0</v>
      </c>
      <c r="Z168" s="260"/>
      <c r="AA168" s="163">
        <f t="shared" si="27"/>
        <v>0</v>
      </c>
      <c r="AC168" s="260"/>
      <c r="AD168" s="163">
        <f t="shared" si="28"/>
        <v>0</v>
      </c>
      <c r="AF168" s="260"/>
      <c r="AG168" s="163">
        <f t="shared" si="30"/>
        <v>0</v>
      </c>
      <c r="AI168" s="260"/>
      <c r="AJ168" s="163">
        <f t="shared" si="31"/>
        <v>0</v>
      </c>
      <c r="AL168" s="162">
        <f t="shared" si="32"/>
        <v>0</v>
      </c>
      <c r="AM168" s="163">
        <f t="shared" si="29"/>
        <v>0</v>
      </c>
    </row>
    <row r="169" spans="4:39" ht="27.6" customHeight="1" x14ac:dyDescent="0.3">
      <c r="D169" s="446"/>
      <c r="E169" s="306" t="s">
        <v>430</v>
      </c>
      <c r="F169" s="214" t="s">
        <v>431</v>
      </c>
      <c r="G169" s="202" t="s">
        <v>304</v>
      </c>
      <c r="H169" s="203">
        <v>1</v>
      </c>
      <c r="I169" s="206">
        <v>11416.24579124579</v>
      </c>
      <c r="J169" s="310"/>
      <c r="K169" s="260"/>
      <c r="L169" s="163">
        <f t="shared" si="23"/>
        <v>0</v>
      </c>
      <c r="M169" s="261"/>
      <c r="N169" s="260"/>
      <c r="O169" s="163">
        <f t="shared" si="24"/>
        <v>0</v>
      </c>
      <c r="Q169" s="260"/>
      <c r="R169" s="163">
        <f t="shared" si="25"/>
        <v>0</v>
      </c>
      <c r="T169" s="260"/>
      <c r="U169" s="163">
        <f t="shared" si="26"/>
        <v>0</v>
      </c>
      <c r="W169" s="262">
        <v>0</v>
      </c>
      <c r="X169" s="163">
        <f t="shared" si="33"/>
        <v>0</v>
      </c>
      <c r="Z169" s="260"/>
      <c r="AA169" s="163">
        <f t="shared" si="27"/>
        <v>0</v>
      </c>
      <c r="AC169" s="260"/>
      <c r="AD169" s="163">
        <f t="shared" si="28"/>
        <v>0</v>
      </c>
      <c r="AF169" s="260"/>
      <c r="AG169" s="163">
        <f t="shared" si="30"/>
        <v>0</v>
      </c>
      <c r="AI169" s="260"/>
      <c r="AJ169" s="163">
        <f t="shared" si="31"/>
        <v>0</v>
      </c>
      <c r="AL169" s="162">
        <f t="shared" si="32"/>
        <v>0</v>
      </c>
      <c r="AM169" s="163">
        <f t="shared" si="29"/>
        <v>0</v>
      </c>
    </row>
    <row r="170" spans="4:39" ht="27.6" customHeight="1" x14ac:dyDescent="0.3">
      <c r="D170" s="446"/>
      <c r="E170" s="306" t="s">
        <v>432</v>
      </c>
      <c r="F170" s="214" t="s">
        <v>433</v>
      </c>
      <c r="G170" s="202" t="s">
        <v>304</v>
      </c>
      <c r="H170" s="203">
        <v>1</v>
      </c>
      <c r="I170" s="206">
        <v>12432.659932659932</v>
      </c>
      <c r="J170" s="310"/>
      <c r="K170" s="260"/>
      <c r="L170" s="163">
        <f t="shared" si="23"/>
        <v>0</v>
      </c>
      <c r="M170" s="261"/>
      <c r="N170" s="260"/>
      <c r="O170" s="163">
        <f t="shared" si="24"/>
        <v>0</v>
      </c>
      <c r="Q170" s="260"/>
      <c r="R170" s="163">
        <f t="shared" si="25"/>
        <v>0</v>
      </c>
      <c r="T170" s="260"/>
      <c r="U170" s="163">
        <f t="shared" si="26"/>
        <v>0</v>
      </c>
      <c r="W170" s="262">
        <v>0</v>
      </c>
      <c r="X170" s="163">
        <f t="shared" si="33"/>
        <v>0</v>
      </c>
      <c r="Z170" s="260"/>
      <c r="AA170" s="163">
        <f t="shared" si="27"/>
        <v>0</v>
      </c>
      <c r="AC170" s="260"/>
      <c r="AD170" s="163">
        <f t="shared" si="28"/>
        <v>0</v>
      </c>
      <c r="AF170" s="260"/>
      <c r="AG170" s="163">
        <f t="shared" si="30"/>
        <v>0</v>
      </c>
      <c r="AI170" s="260"/>
      <c r="AJ170" s="163">
        <f t="shared" si="31"/>
        <v>0</v>
      </c>
      <c r="AL170" s="162">
        <f t="shared" si="32"/>
        <v>0</v>
      </c>
      <c r="AM170" s="163">
        <f t="shared" si="29"/>
        <v>0</v>
      </c>
    </row>
    <row r="171" spans="4:39" ht="27.6" customHeight="1" x14ac:dyDescent="0.3">
      <c r="D171" s="446"/>
      <c r="E171" s="306" t="s">
        <v>434</v>
      </c>
      <c r="F171" s="214" t="s">
        <v>435</v>
      </c>
      <c r="G171" s="202" t="s">
        <v>304</v>
      </c>
      <c r="H171" s="203">
        <v>1</v>
      </c>
      <c r="I171" s="206">
        <v>16023.536648536645</v>
      </c>
      <c r="J171" s="310"/>
      <c r="K171" s="260"/>
      <c r="L171" s="163">
        <f t="shared" si="23"/>
        <v>0</v>
      </c>
      <c r="M171" s="261"/>
      <c r="N171" s="260"/>
      <c r="O171" s="163">
        <f t="shared" si="24"/>
        <v>0</v>
      </c>
      <c r="Q171" s="260"/>
      <c r="R171" s="163">
        <f t="shared" si="25"/>
        <v>0</v>
      </c>
      <c r="T171" s="260"/>
      <c r="U171" s="163">
        <f t="shared" si="26"/>
        <v>0</v>
      </c>
      <c r="W171" s="262">
        <v>0</v>
      </c>
      <c r="X171" s="163">
        <f t="shared" si="33"/>
        <v>0</v>
      </c>
      <c r="Z171" s="260"/>
      <c r="AA171" s="163">
        <f t="shared" si="27"/>
        <v>0</v>
      </c>
      <c r="AC171" s="260"/>
      <c r="AD171" s="163">
        <f t="shared" si="28"/>
        <v>0</v>
      </c>
      <c r="AF171" s="260"/>
      <c r="AG171" s="163">
        <f t="shared" si="30"/>
        <v>0</v>
      </c>
      <c r="AI171" s="260"/>
      <c r="AJ171" s="163">
        <f t="shared" si="31"/>
        <v>0</v>
      </c>
      <c r="AL171" s="162">
        <f t="shared" si="32"/>
        <v>0</v>
      </c>
      <c r="AM171" s="163">
        <f t="shared" si="29"/>
        <v>0</v>
      </c>
    </row>
    <row r="172" spans="4:39" ht="27.6" customHeight="1" x14ac:dyDescent="0.3">
      <c r="D172" s="446"/>
      <c r="E172" s="306" t="s">
        <v>436</v>
      </c>
      <c r="F172" s="214" t="s">
        <v>437</v>
      </c>
      <c r="G172" s="202" t="s">
        <v>304</v>
      </c>
      <c r="H172" s="203">
        <v>1</v>
      </c>
      <c r="I172" s="206">
        <v>17041.083916083913</v>
      </c>
      <c r="J172" s="310"/>
      <c r="K172" s="260"/>
      <c r="L172" s="163">
        <f t="shared" si="23"/>
        <v>0</v>
      </c>
      <c r="M172" s="261"/>
      <c r="N172" s="260"/>
      <c r="O172" s="163">
        <f t="shared" si="24"/>
        <v>0</v>
      </c>
      <c r="Q172" s="260"/>
      <c r="R172" s="163">
        <f t="shared" si="25"/>
        <v>0</v>
      </c>
      <c r="T172" s="260"/>
      <c r="U172" s="163">
        <f t="shared" si="26"/>
        <v>0</v>
      </c>
      <c r="W172" s="262">
        <v>0</v>
      </c>
      <c r="X172" s="163">
        <f t="shared" si="33"/>
        <v>0</v>
      </c>
      <c r="Z172" s="260"/>
      <c r="AA172" s="163">
        <f t="shared" si="27"/>
        <v>0</v>
      </c>
      <c r="AC172" s="260"/>
      <c r="AD172" s="163">
        <f t="shared" si="28"/>
        <v>0</v>
      </c>
      <c r="AF172" s="260"/>
      <c r="AG172" s="163">
        <f t="shared" si="30"/>
        <v>0</v>
      </c>
      <c r="AI172" s="260"/>
      <c r="AJ172" s="163">
        <f t="shared" si="31"/>
        <v>0</v>
      </c>
      <c r="AL172" s="162">
        <f t="shared" si="32"/>
        <v>0</v>
      </c>
      <c r="AM172" s="163">
        <f t="shared" si="29"/>
        <v>0</v>
      </c>
    </row>
    <row r="173" spans="4:39" ht="27.6" customHeight="1" x14ac:dyDescent="0.3">
      <c r="D173" s="446"/>
      <c r="E173" s="306" t="s">
        <v>438</v>
      </c>
      <c r="F173" s="214" t="s">
        <v>439</v>
      </c>
      <c r="G173" s="202" t="s">
        <v>304</v>
      </c>
      <c r="H173" s="203">
        <v>1</v>
      </c>
      <c r="I173" s="206">
        <f>20655.7562807563*1.04312381</f>
        <v>21546.511190013942</v>
      </c>
      <c r="J173" s="310"/>
      <c r="K173" s="260">
        <v>14</v>
      </c>
      <c r="L173" s="163">
        <f t="shared" si="23"/>
        <v>301651.15666019521</v>
      </c>
      <c r="M173" s="261"/>
      <c r="N173" s="260"/>
      <c r="O173" s="163">
        <f t="shared" si="24"/>
        <v>0</v>
      </c>
      <c r="Q173" s="260"/>
      <c r="R173" s="163">
        <f t="shared" si="25"/>
        <v>0</v>
      </c>
      <c r="T173" s="260"/>
      <c r="U173" s="163">
        <f t="shared" si="26"/>
        <v>0</v>
      </c>
      <c r="W173" s="262">
        <v>0</v>
      </c>
      <c r="X173" s="163">
        <f t="shared" si="33"/>
        <v>0</v>
      </c>
      <c r="Z173" s="260"/>
      <c r="AA173" s="163">
        <f t="shared" si="27"/>
        <v>0</v>
      </c>
      <c r="AC173" s="260"/>
      <c r="AD173" s="163">
        <f t="shared" si="28"/>
        <v>0</v>
      </c>
      <c r="AF173" s="260"/>
      <c r="AG173" s="163">
        <f t="shared" si="30"/>
        <v>0</v>
      </c>
      <c r="AI173" s="260"/>
      <c r="AJ173" s="163">
        <f t="shared" si="31"/>
        <v>0</v>
      </c>
      <c r="AL173" s="162">
        <f t="shared" si="32"/>
        <v>14</v>
      </c>
      <c r="AM173" s="163">
        <f t="shared" si="29"/>
        <v>301651.15666019521</v>
      </c>
    </row>
    <row r="174" spans="4:39" ht="27.6" customHeight="1" x14ac:dyDescent="0.3">
      <c r="D174" s="446"/>
      <c r="E174" s="306" t="s">
        <v>440</v>
      </c>
      <c r="F174" s="214" t="s">
        <v>441</v>
      </c>
      <c r="G174" s="202" t="s">
        <v>304</v>
      </c>
      <c r="H174" s="203">
        <v>1</v>
      </c>
      <c r="I174" s="206">
        <v>23138.435638435636</v>
      </c>
      <c r="J174" s="310"/>
      <c r="K174" s="260"/>
      <c r="L174" s="163">
        <f t="shared" si="23"/>
        <v>0</v>
      </c>
      <c r="M174" s="261"/>
      <c r="N174" s="260"/>
      <c r="O174" s="163">
        <f t="shared" si="24"/>
        <v>0</v>
      </c>
      <c r="Q174" s="260"/>
      <c r="R174" s="163">
        <f t="shared" si="25"/>
        <v>0</v>
      </c>
      <c r="T174" s="260"/>
      <c r="U174" s="163">
        <f t="shared" si="26"/>
        <v>0</v>
      </c>
      <c r="W174" s="262">
        <v>0</v>
      </c>
      <c r="X174" s="163">
        <f t="shared" si="33"/>
        <v>0</v>
      </c>
      <c r="Z174" s="260"/>
      <c r="AA174" s="163">
        <f t="shared" si="27"/>
        <v>0</v>
      </c>
      <c r="AC174" s="260"/>
      <c r="AD174" s="163">
        <f t="shared" si="28"/>
        <v>0</v>
      </c>
      <c r="AF174" s="260"/>
      <c r="AG174" s="163">
        <f t="shared" si="30"/>
        <v>0</v>
      </c>
      <c r="AI174" s="260"/>
      <c r="AJ174" s="163">
        <f t="shared" si="31"/>
        <v>0</v>
      </c>
      <c r="AL174" s="162">
        <f t="shared" si="32"/>
        <v>0</v>
      </c>
      <c r="AM174" s="163">
        <f t="shared" si="29"/>
        <v>0</v>
      </c>
    </row>
    <row r="175" spans="4:39" ht="27.6" customHeight="1" x14ac:dyDescent="0.3">
      <c r="D175" s="446"/>
      <c r="E175" s="306" t="s">
        <v>442</v>
      </c>
      <c r="F175" s="214" t="s">
        <v>443</v>
      </c>
      <c r="G175" s="202" t="s">
        <v>304</v>
      </c>
      <c r="H175" s="203">
        <v>1</v>
      </c>
      <c r="I175" s="206">
        <v>29543.997668997665</v>
      </c>
      <c r="J175" s="310"/>
      <c r="K175" s="260"/>
      <c r="L175" s="163">
        <f t="shared" si="23"/>
        <v>0</v>
      </c>
      <c r="M175" s="261"/>
      <c r="N175" s="260"/>
      <c r="O175" s="163">
        <f t="shared" si="24"/>
        <v>0</v>
      </c>
      <c r="Q175" s="260"/>
      <c r="R175" s="163">
        <f t="shared" si="25"/>
        <v>0</v>
      </c>
      <c r="T175" s="260"/>
      <c r="U175" s="163">
        <f t="shared" si="26"/>
        <v>0</v>
      </c>
      <c r="W175" s="262">
        <v>0</v>
      </c>
      <c r="X175" s="163">
        <f t="shared" si="33"/>
        <v>0</v>
      </c>
      <c r="Z175" s="260"/>
      <c r="AA175" s="163">
        <f t="shared" si="27"/>
        <v>0</v>
      </c>
      <c r="AC175" s="260"/>
      <c r="AD175" s="163">
        <f t="shared" si="28"/>
        <v>0</v>
      </c>
      <c r="AF175" s="260"/>
      <c r="AG175" s="163">
        <f t="shared" si="30"/>
        <v>0</v>
      </c>
      <c r="AI175" s="260"/>
      <c r="AJ175" s="163">
        <f t="shared" si="31"/>
        <v>0</v>
      </c>
      <c r="AL175" s="162">
        <f t="shared" si="32"/>
        <v>0</v>
      </c>
      <c r="AM175" s="163">
        <f t="shared" si="29"/>
        <v>0</v>
      </c>
    </row>
    <row r="176" spans="4:39" ht="27.6" customHeight="1" x14ac:dyDescent="0.3">
      <c r="D176" s="446"/>
      <c r="E176" s="306" t="s">
        <v>444</v>
      </c>
      <c r="F176" s="214" t="s">
        <v>445</v>
      </c>
      <c r="G176" s="202" t="s">
        <v>304</v>
      </c>
      <c r="H176" s="203">
        <v>1</v>
      </c>
      <c r="I176" s="206">
        <v>37321.775446775442</v>
      </c>
      <c r="J176" s="310"/>
      <c r="K176" s="260"/>
      <c r="L176" s="163">
        <f t="shared" si="23"/>
        <v>0</v>
      </c>
      <c r="M176" s="261"/>
      <c r="N176" s="260"/>
      <c r="O176" s="163">
        <f t="shared" si="24"/>
        <v>0</v>
      </c>
      <c r="Q176" s="260"/>
      <c r="R176" s="163">
        <f t="shared" si="25"/>
        <v>0</v>
      </c>
      <c r="T176" s="260"/>
      <c r="U176" s="163">
        <f t="shared" si="26"/>
        <v>0</v>
      </c>
      <c r="W176" s="262">
        <v>0</v>
      </c>
      <c r="X176" s="163">
        <f t="shared" si="33"/>
        <v>0</v>
      </c>
      <c r="Z176" s="260"/>
      <c r="AA176" s="163">
        <f t="shared" si="27"/>
        <v>0</v>
      </c>
      <c r="AC176" s="260"/>
      <c r="AD176" s="163">
        <f t="shared" si="28"/>
        <v>0</v>
      </c>
      <c r="AF176" s="260"/>
      <c r="AG176" s="163">
        <f t="shared" si="30"/>
        <v>0</v>
      </c>
      <c r="AI176" s="260"/>
      <c r="AJ176" s="163">
        <f t="shared" si="31"/>
        <v>0</v>
      </c>
      <c r="AL176" s="162">
        <f t="shared" si="32"/>
        <v>0</v>
      </c>
      <c r="AM176" s="163">
        <f t="shared" si="29"/>
        <v>0</v>
      </c>
    </row>
    <row r="177" spans="4:39" ht="27.6" customHeight="1" x14ac:dyDescent="0.3">
      <c r="D177" s="446"/>
      <c r="E177" s="306" t="s">
        <v>446</v>
      </c>
      <c r="F177" s="214" t="s">
        <v>447</v>
      </c>
      <c r="G177" s="202" t="s">
        <v>304</v>
      </c>
      <c r="H177" s="203">
        <v>1</v>
      </c>
      <c r="I177" s="206">
        <v>49632.057757057752</v>
      </c>
      <c r="J177" s="310"/>
      <c r="K177" s="260"/>
      <c r="L177" s="163">
        <f t="shared" si="23"/>
        <v>0</v>
      </c>
      <c r="M177" s="261"/>
      <c r="N177" s="260"/>
      <c r="O177" s="163">
        <f t="shared" si="24"/>
        <v>0</v>
      </c>
      <c r="Q177" s="260"/>
      <c r="R177" s="163">
        <f t="shared" si="25"/>
        <v>0</v>
      </c>
      <c r="T177" s="260"/>
      <c r="U177" s="163">
        <f t="shared" si="26"/>
        <v>0</v>
      </c>
      <c r="W177" s="262">
        <v>0</v>
      </c>
      <c r="X177" s="163">
        <f t="shared" si="33"/>
        <v>0</v>
      </c>
      <c r="Z177" s="260"/>
      <c r="AA177" s="163">
        <f t="shared" si="27"/>
        <v>0</v>
      </c>
      <c r="AC177" s="260"/>
      <c r="AD177" s="163">
        <f t="shared" si="28"/>
        <v>0</v>
      </c>
      <c r="AF177" s="260"/>
      <c r="AG177" s="163">
        <f t="shared" si="30"/>
        <v>0</v>
      </c>
      <c r="AI177" s="260"/>
      <c r="AJ177" s="163">
        <f t="shared" si="31"/>
        <v>0</v>
      </c>
      <c r="AL177" s="162">
        <f t="shared" si="32"/>
        <v>0</v>
      </c>
      <c r="AM177" s="163">
        <f t="shared" si="29"/>
        <v>0</v>
      </c>
    </row>
    <row r="178" spans="4:39" ht="27.6" customHeight="1" x14ac:dyDescent="0.3">
      <c r="D178" s="446"/>
      <c r="E178" s="306" t="s">
        <v>448</v>
      </c>
      <c r="F178" s="214" t="s">
        <v>449</v>
      </c>
      <c r="G178" s="202" t="s">
        <v>304</v>
      </c>
      <c r="H178" s="203">
        <v>1</v>
      </c>
      <c r="I178" s="206">
        <v>204303.77492877489</v>
      </c>
      <c r="J178" s="310"/>
      <c r="K178" s="260"/>
      <c r="L178" s="163">
        <f t="shared" si="23"/>
        <v>0</v>
      </c>
      <c r="M178" s="261"/>
      <c r="N178" s="260"/>
      <c r="O178" s="163">
        <f t="shared" si="24"/>
        <v>0</v>
      </c>
      <c r="Q178" s="260"/>
      <c r="R178" s="163">
        <f t="shared" si="25"/>
        <v>0</v>
      </c>
      <c r="T178" s="260"/>
      <c r="U178" s="163">
        <f t="shared" si="26"/>
        <v>0</v>
      </c>
      <c r="W178" s="262">
        <v>0</v>
      </c>
      <c r="X178" s="163">
        <f t="shared" si="33"/>
        <v>0</v>
      </c>
      <c r="Z178" s="260"/>
      <c r="AA178" s="163">
        <f t="shared" si="27"/>
        <v>0</v>
      </c>
      <c r="AC178" s="260"/>
      <c r="AD178" s="163">
        <f t="shared" si="28"/>
        <v>0</v>
      </c>
      <c r="AF178" s="260"/>
      <c r="AG178" s="163">
        <f t="shared" si="30"/>
        <v>0</v>
      </c>
      <c r="AI178" s="260"/>
      <c r="AJ178" s="163">
        <f t="shared" si="31"/>
        <v>0</v>
      </c>
      <c r="AL178" s="162">
        <f t="shared" si="32"/>
        <v>0</v>
      </c>
      <c r="AM178" s="163">
        <f t="shared" si="29"/>
        <v>0</v>
      </c>
    </row>
    <row r="179" spans="4:39" ht="27.6" customHeight="1" x14ac:dyDescent="0.3">
      <c r="D179" s="446"/>
      <c r="E179" s="306" t="s">
        <v>450</v>
      </c>
      <c r="F179" s="214" t="s">
        <v>451</v>
      </c>
      <c r="G179" s="202" t="s">
        <v>304</v>
      </c>
      <c r="H179" s="203">
        <v>1</v>
      </c>
      <c r="I179" s="206">
        <v>78441.789691789672</v>
      </c>
      <c r="J179" s="310"/>
      <c r="K179" s="260"/>
      <c r="L179" s="163">
        <f t="shared" si="23"/>
        <v>0</v>
      </c>
      <c r="M179" s="261"/>
      <c r="N179" s="260"/>
      <c r="O179" s="163">
        <f t="shared" si="24"/>
        <v>0</v>
      </c>
      <c r="Q179" s="260"/>
      <c r="R179" s="163">
        <f t="shared" si="25"/>
        <v>0</v>
      </c>
      <c r="T179" s="260"/>
      <c r="U179" s="163">
        <f t="shared" si="26"/>
        <v>0</v>
      </c>
      <c r="W179" s="262">
        <v>0</v>
      </c>
      <c r="X179" s="163">
        <f t="shared" si="33"/>
        <v>0</v>
      </c>
      <c r="Z179" s="260"/>
      <c r="AA179" s="163">
        <f t="shared" si="27"/>
        <v>0</v>
      </c>
      <c r="AC179" s="260"/>
      <c r="AD179" s="163">
        <f t="shared" si="28"/>
        <v>0</v>
      </c>
      <c r="AF179" s="260"/>
      <c r="AG179" s="163">
        <f t="shared" si="30"/>
        <v>0</v>
      </c>
      <c r="AI179" s="260"/>
      <c r="AJ179" s="163">
        <f t="shared" si="31"/>
        <v>0</v>
      </c>
      <c r="AL179" s="162">
        <f t="shared" si="32"/>
        <v>0</v>
      </c>
      <c r="AM179" s="163">
        <f t="shared" si="29"/>
        <v>0</v>
      </c>
    </row>
    <row r="180" spans="4:39" ht="27.6" customHeight="1" x14ac:dyDescent="0.3">
      <c r="D180" s="446"/>
      <c r="E180" s="306" t="s">
        <v>452</v>
      </c>
      <c r="F180" s="214" t="s">
        <v>453</v>
      </c>
      <c r="G180" s="202" t="s">
        <v>304</v>
      </c>
      <c r="H180" s="203">
        <v>1</v>
      </c>
      <c r="I180" s="206">
        <v>92027.97202797202</v>
      </c>
      <c r="J180" s="310"/>
      <c r="K180" s="260"/>
      <c r="L180" s="163">
        <f t="shared" si="23"/>
        <v>0</v>
      </c>
      <c r="M180" s="261"/>
      <c r="N180" s="260"/>
      <c r="O180" s="163">
        <f t="shared" si="24"/>
        <v>0</v>
      </c>
      <c r="Q180" s="260"/>
      <c r="R180" s="163">
        <f t="shared" si="25"/>
        <v>0</v>
      </c>
      <c r="T180" s="260"/>
      <c r="U180" s="163">
        <f t="shared" si="26"/>
        <v>0</v>
      </c>
      <c r="W180" s="262">
        <v>0</v>
      </c>
      <c r="X180" s="163">
        <f t="shared" si="33"/>
        <v>0</v>
      </c>
      <c r="Z180" s="260"/>
      <c r="AA180" s="163">
        <f t="shared" si="27"/>
        <v>0</v>
      </c>
      <c r="AC180" s="260"/>
      <c r="AD180" s="163">
        <f t="shared" si="28"/>
        <v>0</v>
      </c>
      <c r="AF180" s="260"/>
      <c r="AG180" s="163">
        <f t="shared" si="30"/>
        <v>0</v>
      </c>
      <c r="AI180" s="260"/>
      <c r="AJ180" s="163">
        <f t="shared" si="31"/>
        <v>0</v>
      </c>
      <c r="AL180" s="162">
        <f t="shared" si="32"/>
        <v>0</v>
      </c>
      <c r="AM180" s="163">
        <f t="shared" si="29"/>
        <v>0</v>
      </c>
    </row>
    <row r="181" spans="4:39" ht="27.6" customHeight="1" x14ac:dyDescent="0.3">
      <c r="D181" s="446"/>
      <c r="E181" s="306" t="s">
        <v>454</v>
      </c>
      <c r="F181" s="214" t="s">
        <v>455</v>
      </c>
      <c r="G181" s="202" t="s">
        <v>304</v>
      </c>
      <c r="H181" s="203">
        <v>1</v>
      </c>
      <c r="I181" s="206">
        <v>254943.18181818179</v>
      </c>
      <c r="J181" s="310"/>
      <c r="K181" s="260"/>
      <c r="L181" s="163">
        <f t="shared" si="23"/>
        <v>0</v>
      </c>
      <c r="M181" s="261"/>
      <c r="N181" s="260"/>
      <c r="O181" s="163">
        <f t="shared" si="24"/>
        <v>0</v>
      </c>
      <c r="Q181" s="260"/>
      <c r="R181" s="163">
        <f t="shared" si="25"/>
        <v>0</v>
      </c>
      <c r="T181" s="260"/>
      <c r="U181" s="163">
        <f t="shared" si="26"/>
        <v>0</v>
      </c>
      <c r="W181" s="262">
        <v>0</v>
      </c>
      <c r="X181" s="163">
        <f t="shared" si="33"/>
        <v>0</v>
      </c>
      <c r="Z181" s="260"/>
      <c r="AA181" s="163">
        <f t="shared" si="27"/>
        <v>0</v>
      </c>
      <c r="AC181" s="260"/>
      <c r="AD181" s="163">
        <f t="shared" si="28"/>
        <v>0</v>
      </c>
      <c r="AF181" s="260"/>
      <c r="AG181" s="163">
        <f t="shared" si="30"/>
        <v>0</v>
      </c>
      <c r="AI181" s="260"/>
      <c r="AJ181" s="163">
        <f t="shared" si="31"/>
        <v>0</v>
      </c>
      <c r="AL181" s="162">
        <f t="shared" si="32"/>
        <v>0</v>
      </c>
      <c r="AM181" s="163">
        <f t="shared" si="29"/>
        <v>0</v>
      </c>
    </row>
    <row r="182" spans="4:39" ht="27.6" customHeight="1" x14ac:dyDescent="0.3">
      <c r="D182" s="446"/>
      <c r="E182" s="306" t="s">
        <v>456</v>
      </c>
      <c r="F182" s="214" t="s">
        <v>457</v>
      </c>
      <c r="G182" s="202" t="s">
        <v>304</v>
      </c>
      <c r="H182" s="203">
        <v>1</v>
      </c>
      <c r="I182" s="206">
        <v>170019.91064491062</v>
      </c>
      <c r="J182" s="310"/>
      <c r="K182" s="260"/>
      <c r="L182" s="163">
        <f t="shared" si="23"/>
        <v>0</v>
      </c>
      <c r="M182" s="261"/>
      <c r="N182" s="260"/>
      <c r="O182" s="163">
        <f t="shared" si="24"/>
        <v>0</v>
      </c>
      <c r="Q182" s="260"/>
      <c r="R182" s="163">
        <f t="shared" si="25"/>
        <v>0</v>
      </c>
      <c r="T182" s="260"/>
      <c r="U182" s="163">
        <f t="shared" si="26"/>
        <v>0</v>
      </c>
      <c r="W182" s="262">
        <v>0</v>
      </c>
      <c r="X182" s="163">
        <f t="shared" si="33"/>
        <v>0</v>
      </c>
      <c r="Z182" s="260"/>
      <c r="AA182" s="163">
        <f t="shared" si="27"/>
        <v>0</v>
      </c>
      <c r="AC182" s="260"/>
      <c r="AD182" s="163">
        <f t="shared" si="28"/>
        <v>0</v>
      </c>
      <c r="AF182" s="260"/>
      <c r="AG182" s="163">
        <f t="shared" si="30"/>
        <v>0</v>
      </c>
      <c r="AI182" s="260"/>
      <c r="AJ182" s="163">
        <f t="shared" si="31"/>
        <v>0</v>
      </c>
      <c r="AL182" s="162">
        <f t="shared" si="32"/>
        <v>0</v>
      </c>
      <c r="AM182" s="163">
        <f t="shared" si="29"/>
        <v>0</v>
      </c>
    </row>
    <row r="183" spans="4:39" ht="27.6" customHeight="1" x14ac:dyDescent="0.3">
      <c r="D183" s="446"/>
      <c r="E183" s="306" t="s">
        <v>458</v>
      </c>
      <c r="F183" s="214" t="s">
        <v>459</v>
      </c>
      <c r="G183" s="202" t="s">
        <v>304</v>
      </c>
      <c r="H183" s="203">
        <v>1</v>
      </c>
      <c r="I183" s="206">
        <v>334977.01372701366</v>
      </c>
      <c r="J183" s="310"/>
      <c r="K183" s="260"/>
      <c r="L183" s="163">
        <f t="shared" si="23"/>
        <v>0</v>
      </c>
      <c r="M183" s="261"/>
      <c r="N183" s="260"/>
      <c r="O183" s="163">
        <f t="shared" si="24"/>
        <v>0</v>
      </c>
      <c r="Q183" s="260"/>
      <c r="R183" s="163">
        <f t="shared" si="25"/>
        <v>0</v>
      </c>
      <c r="T183" s="260"/>
      <c r="U183" s="163">
        <f t="shared" si="26"/>
        <v>0</v>
      </c>
      <c r="W183" s="262">
        <v>0</v>
      </c>
      <c r="X183" s="163">
        <f t="shared" si="33"/>
        <v>0</v>
      </c>
      <c r="Z183" s="260"/>
      <c r="AA183" s="163">
        <f t="shared" si="27"/>
        <v>0</v>
      </c>
      <c r="AC183" s="260"/>
      <c r="AD183" s="163">
        <f t="shared" si="28"/>
        <v>0</v>
      </c>
      <c r="AF183" s="260"/>
      <c r="AG183" s="163">
        <f t="shared" si="30"/>
        <v>0</v>
      </c>
      <c r="AI183" s="260"/>
      <c r="AJ183" s="163">
        <f t="shared" si="31"/>
        <v>0</v>
      </c>
      <c r="AL183" s="162">
        <f t="shared" si="32"/>
        <v>0</v>
      </c>
      <c r="AM183" s="163">
        <f t="shared" si="29"/>
        <v>0</v>
      </c>
    </row>
    <row r="184" spans="4:39" ht="27.6" customHeight="1" x14ac:dyDescent="0.3">
      <c r="D184" s="446"/>
      <c r="E184" s="306" t="s">
        <v>460</v>
      </c>
      <c r="F184" s="214" t="s">
        <v>461</v>
      </c>
      <c r="G184" s="202" t="s">
        <v>304</v>
      </c>
      <c r="H184" s="203">
        <v>1</v>
      </c>
      <c r="I184" s="206">
        <v>790435.92981092969</v>
      </c>
      <c r="J184" s="310"/>
      <c r="K184" s="260"/>
      <c r="L184" s="163">
        <f t="shared" si="23"/>
        <v>0</v>
      </c>
      <c r="M184" s="261"/>
      <c r="N184" s="260"/>
      <c r="O184" s="163">
        <f t="shared" si="24"/>
        <v>0</v>
      </c>
      <c r="Q184" s="260"/>
      <c r="R184" s="163">
        <f t="shared" si="25"/>
        <v>0</v>
      </c>
      <c r="T184" s="260"/>
      <c r="U184" s="163">
        <f t="shared" si="26"/>
        <v>0</v>
      </c>
      <c r="W184" s="262">
        <v>0</v>
      </c>
      <c r="X184" s="163">
        <f t="shared" si="33"/>
        <v>0</v>
      </c>
      <c r="Z184" s="260"/>
      <c r="AA184" s="163">
        <f t="shared" si="27"/>
        <v>0</v>
      </c>
      <c r="AC184" s="260"/>
      <c r="AD184" s="163">
        <f t="shared" si="28"/>
        <v>0</v>
      </c>
      <c r="AF184" s="260"/>
      <c r="AG184" s="163">
        <f t="shared" si="30"/>
        <v>0</v>
      </c>
      <c r="AI184" s="260"/>
      <c r="AJ184" s="163">
        <f t="shared" si="31"/>
        <v>0</v>
      </c>
      <c r="AL184" s="162">
        <f t="shared" si="32"/>
        <v>0</v>
      </c>
      <c r="AM184" s="163">
        <f t="shared" si="29"/>
        <v>0</v>
      </c>
    </row>
    <row r="185" spans="4:39" ht="27.6" customHeight="1" x14ac:dyDescent="0.3">
      <c r="D185" s="446"/>
      <c r="E185" s="306" t="s">
        <v>462</v>
      </c>
      <c r="F185" s="214" t="s">
        <v>463</v>
      </c>
      <c r="G185" s="202" t="s">
        <v>304</v>
      </c>
      <c r="H185" s="203">
        <v>1</v>
      </c>
      <c r="I185" s="206">
        <v>76424.825174825164</v>
      </c>
      <c r="J185" s="310"/>
      <c r="K185" s="260"/>
      <c r="L185" s="163">
        <f t="shared" si="23"/>
        <v>0</v>
      </c>
      <c r="M185" s="261"/>
      <c r="N185" s="260"/>
      <c r="O185" s="163">
        <f t="shared" si="24"/>
        <v>0</v>
      </c>
      <c r="Q185" s="260"/>
      <c r="R185" s="163">
        <f t="shared" si="25"/>
        <v>0</v>
      </c>
      <c r="T185" s="260"/>
      <c r="U185" s="163">
        <f t="shared" si="26"/>
        <v>0</v>
      </c>
      <c r="W185" s="262">
        <v>0</v>
      </c>
      <c r="X185" s="163">
        <f t="shared" si="33"/>
        <v>0</v>
      </c>
      <c r="Z185" s="260"/>
      <c r="AA185" s="163">
        <f t="shared" si="27"/>
        <v>0</v>
      </c>
      <c r="AC185" s="260"/>
      <c r="AD185" s="163">
        <f t="shared" si="28"/>
        <v>0</v>
      </c>
      <c r="AF185" s="260"/>
      <c r="AG185" s="163">
        <f t="shared" si="30"/>
        <v>0</v>
      </c>
      <c r="AI185" s="260"/>
      <c r="AJ185" s="163">
        <f t="shared" si="31"/>
        <v>0</v>
      </c>
      <c r="AL185" s="162">
        <f t="shared" si="32"/>
        <v>0</v>
      </c>
      <c r="AM185" s="163">
        <f t="shared" si="29"/>
        <v>0</v>
      </c>
    </row>
    <row r="186" spans="4:39" ht="27.6" customHeight="1" x14ac:dyDescent="0.3">
      <c r="D186" s="446"/>
      <c r="E186" s="306" t="s">
        <v>464</v>
      </c>
      <c r="F186" s="214" t="s">
        <v>535</v>
      </c>
      <c r="G186" s="202" t="s">
        <v>304</v>
      </c>
      <c r="H186" s="203">
        <v>1</v>
      </c>
      <c r="I186" s="206">
        <v>155958.94845894843</v>
      </c>
      <c r="J186" s="310"/>
      <c r="K186" s="260"/>
      <c r="L186" s="163">
        <f t="shared" si="23"/>
        <v>0</v>
      </c>
      <c r="M186" s="261"/>
      <c r="N186" s="260"/>
      <c r="O186" s="163">
        <f t="shared" si="24"/>
        <v>0</v>
      </c>
      <c r="Q186" s="260"/>
      <c r="R186" s="163">
        <f t="shared" si="25"/>
        <v>0</v>
      </c>
      <c r="T186" s="260"/>
      <c r="U186" s="163">
        <f t="shared" si="26"/>
        <v>0</v>
      </c>
      <c r="W186" s="262">
        <v>0</v>
      </c>
      <c r="X186" s="163">
        <f t="shared" si="33"/>
        <v>0</v>
      </c>
      <c r="Z186" s="260"/>
      <c r="AA186" s="163">
        <f t="shared" si="27"/>
        <v>0</v>
      </c>
      <c r="AC186" s="260"/>
      <c r="AD186" s="163">
        <f t="shared" si="28"/>
        <v>0</v>
      </c>
      <c r="AF186" s="260"/>
      <c r="AG186" s="163">
        <f t="shared" si="30"/>
        <v>0</v>
      </c>
      <c r="AI186" s="260"/>
      <c r="AJ186" s="163">
        <f t="shared" si="31"/>
        <v>0</v>
      </c>
      <c r="AL186" s="162">
        <f t="shared" si="32"/>
        <v>0</v>
      </c>
      <c r="AM186" s="163">
        <f t="shared" si="29"/>
        <v>0</v>
      </c>
    </row>
    <row r="187" spans="4:39" ht="27.6" customHeight="1" x14ac:dyDescent="0.3">
      <c r="D187" s="446"/>
      <c r="E187" s="306" t="s">
        <v>466</v>
      </c>
      <c r="F187" s="214" t="s">
        <v>467</v>
      </c>
      <c r="G187" s="202" t="s">
        <v>304</v>
      </c>
      <c r="H187" s="203">
        <v>1</v>
      </c>
      <c r="I187" s="206">
        <v>52079.610204610195</v>
      </c>
      <c r="J187" s="310"/>
      <c r="K187" s="260"/>
      <c r="L187" s="163">
        <f t="shared" si="23"/>
        <v>0</v>
      </c>
      <c r="M187" s="261"/>
      <c r="N187" s="260"/>
      <c r="O187" s="163">
        <f t="shared" si="24"/>
        <v>0</v>
      </c>
      <c r="Q187" s="260"/>
      <c r="R187" s="163">
        <f t="shared" si="25"/>
        <v>0</v>
      </c>
      <c r="T187" s="260"/>
      <c r="U187" s="163">
        <f t="shared" si="26"/>
        <v>0</v>
      </c>
      <c r="W187" s="262">
        <v>0</v>
      </c>
      <c r="X187" s="163">
        <f t="shared" si="33"/>
        <v>0</v>
      </c>
      <c r="Z187" s="260"/>
      <c r="AA187" s="163">
        <f t="shared" si="27"/>
        <v>0</v>
      </c>
      <c r="AC187" s="260"/>
      <c r="AD187" s="163">
        <f t="shared" si="28"/>
        <v>0</v>
      </c>
      <c r="AF187" s="260"/>
      <c r="AG187" s="163">
        <f t="shared" si="30"/>
        <v>0</v>
      </c>
      <c r="AI187" s="260"/>
      <c r="AJ187" s="163">
        <f t="shared" si="31"/>
        <v>0</v>
      </c>
      <c r="AL187" s="162">
        <f t="shared" si="32"/>
        <v>0</v>
      </c>
      <c r="AM187" s="163">
        <f t="shared" si="29"/>
        <v>0</v>
      </c>
    </row>
    <row r="188" spans="4:39" ht="27.6" customHeight="1" x14ac:dyDescent="0.3">
      <c r="D188" s="446"/>
      <c r="E188" s="306" t="s">
        <v>468</v>
      </c>
      <c r="F188" s="214" t="s">
        <v>469</v>
      </c>
      <c r="G188" s="202" t="s">
        <v>304</v>
      </c>
      <c r="H188" s="203">
        <v>1</v>
      </c>
      <c r="I188" s="206">
        <v>82992.424242424226</v>
      </c>
      <c r="J188" s="310"/>
      <c r="K188" s="260"/>
      <c r="L188" s="163">
        <f t="shared" si="23"/>
        <v>0</v>
      </c>
      <c r="M188" s="261"/>
      <c r="N188" s="260"/>
      <c r="O188" s="163">
        <f t="shared" si="24"/>
        <v>0</v>
      </c>
      <c r="Q188" s="260"/>
      <c r="R188" s="163">
        <f t="shared" si="25"/>
        <v>0</v>
      </c>
      <c r="T188" s="260"/>
      <c r="U188" s="163">
        <f t="shared" si="26"/>
        <v>0</v>
      </c>
      <c r="W188" s="262">
        <v>0</v>
      </c>
      <c r="X188" s="163">
        <f t="shared" si="33"/>
        <v>0</v>
      </c>
      <c r="Z188" s="260"/>
      <c r="AA188" s="163">
        <f t="shared" si="27"/>
        <v>0</v>
      </c>
      <c r="AC188" s="260"/>
      <c r="AD188" s="163">
        <f t="shared" si="28"/>
        <v>0</v>
      </c>
      <c r="AF188" s="260"/>
      <c r="AG188" s="163">
        <f t="shared" si="30"/>
        <v>0</v>
      </c>
      <c r="AI188" s="260"/>
      <c r="AJ188" s="163">
        <f t="shared" si="31"/>
        <v>0</v>
      </c>
      <c r="AL188" s="162">
        <f t="shared" si="32"/>
        <v>0</v>
      </c>
      <c r="AM188" s="163">
        <f t="shared" si="29"/>
        <v>0</v>
      </c>
    </row>
    <row r="189" spans="4:39" ht="27.6" customHeight="1" x14ac:dyDescent="0.3">
      <c r="D189" s="446"/>
      <c r="E189" s="306" t="s">
        <v>470</v>
      </c>
      <c r="F189" s="214" t="s">
        <v>471</v>
      </c>
      <c r="G189" s="202" t="s">
        <v>304</v>
      </c>
      <c r="H189" s="203">
        <v>1</v>
      </c>
      <c r="I189" s="206">
        <v>324241.77674177673</v>
      </c>
      <c r="J189" s="310"/>
      <c r="K189" s="260"/>
      <c r="L189" s="163">
        <f t="shared" si="23"/>
        <v>0</v>
      </c>
      <c r="M189" s="261"/>
      <c r="N189" s="260"/>
      <c r="O189" s="163">
        <f t="shared" si="24"/>
        <v>0</v>
      </c>
      <c r="Q189" s="260"/>
      <c r="R189" s="163">
        <f t="shared" si="25"/>
        <v>0</v>
      </c>
      <c r="T189" s="260"/>
      <c r="U189" s="163">
        <f t="shared" si="26"/>
        <v>0</v>
      </c>
      <c r="W189" s="262">
        <v>0</v>
      </c>
      <c r="X189" s="163">
        <f t="shared" si="33"/>
        <v>0</v>
      </c>
      <c r="Z189" s="260"/>
      <c r="AA189" s="163">
        <f t="shared" si="27"/>
        <v>0</v>
      </c>
      <c r="AC189" s="260"/>
      <c r="AD189" s="163">
        <f t="shared" si="28"/>
        <v>0</v>
      </c>
      <c r="AF189" s="260"/>
      <c r="AG189" s="163">
        <f t="shared" si="30"/>
        <v>0</v>
      </c>
      <c r="AI189" s="260"/>
      <c r="AJ189" s="163">
        <f t="shared" si="31"/>
        <v>0</v>
      </c>
      <c r="AL189" s="162">
        <f t="shared" si="32"/>
        <v>0</v>
      </c>
      <c r="AM189" s="163">
        <f t="shared" si="29"/>
        <v>0</v>
      </c>
    </row>
    <row r="190" spans="4:39" ht="27.6" customHeight="1" x14ac:dyDescent="0.3">
      <c r="D190" s="446"/>
      <c r="E190" s="306" t="s">
        <v>472</v>
      </c>
      <c r="F190" s="214" t="s">
        <v>473</v>
      </c>
      <c r="G190" s="202" t="s">
        <v>304</v>
      </c>
      <c r="H190" s="203">
        <v>1</v>
      </c>
      <c r="I190" s="206">
        <v>274409.15565915563</v>
      </c>
      <c r="J190" s="310"/>
      <c r="K190" s="260"/>
      <c r="L190" s="163">
        <f t="shared" si="23"/>
        <v>0</v>
      </c>
      <c r="M190" s="261"/>
      <c r="N190" s="260"/>
      <c r="O190" s="163">
        <f t="shared" si="24"/>
        <v>0</v>
      </c>
      <c r="Q190" s="260"/>
      <c r="R190" s="163">
        <f t="shared" si="25"/>
        <v>0</v>
      </c>
      <c r="T190" s="260"/>
      <c r="U190" s="163">
        <f t="shared" si="26"/>
        <v>0</v>
      </c>
      <c r="W190" s="262">
        <v>0</v>
      </c>
      <c r="X190" s="163">
        <f t="shared" si="33"/>
        <v>0</v>
      </c>
      <c r="Z190" s="260"/>
      <c r="AA190" s="163">
        <f t="shared" si="27"/>
        <v>0</v>
      </c>
      <c r="AC190" s="260"/>
      <c r="AD190" s="163">
        <f t="shared" si="28"/>
        <v>0</v>
      </c>
      <c r="AF190" s="260"/>
      <c r="AG190" s="163">
        <f t="shared" si="30"/>
        <v>0</v>
      </c>
      <c r="AI190" s="260"/>
      <c r="AJ190" s="163">
        <f t="shared" si="31"/>
        <v>0</v>
      </c>
      <c r="AL190" s="162">
        <f t="shared" si="32"/>
        <v>0</v>
      </c>
      <c r="AM190" s="163">
        <f t="shared" si="29"/>
        <v>0</v>
      </c>
    </row>
    <row r="191" spans="4:39" ht="27.6" customHeight="1" x14ac:dyDescent="0.3">
      <c r="D191" s="446"/>
      <c r="E191" s="306" t="s">
        <v>474</v>
      </c>
      <c r="F191" s="214" t="s">
        <v>475</v>
      </c>
      <c r="G191" s="202" t="s">
        <v>304</v>
      </c>
      <c r="H191" s="203">
        <v>1</v>
      </c>
      <c r="I191" s="206">
        <v>279963.73996373988</v>
      </c>
      <c r="J191" s="310"/>
      <c r="K191" s="260"/>
      <c r="L191" s="163">
        <f t="shared" si="23"/>
        <v>0</v>
      </c>
      <c r="M191" s="261"/>
      <c r="N191" s="260"/>
      <c r="O191" s="163">
        <f t="shared" si="24"/>
        <v>0</v>
      </c>
      <c r="Q191" s="260"/>
      <c r="R191" s="163">
        <f t="shared" si="25"/>
        <v>0</v>
      </c>
      <c r="T191" s="260"/>
      <c r="U191" s="163">
        <f t="shared" si="26"/>
        <v>0</v>
      </c>
      <c r="W191" s="262">
        <v>0</v>
      </c>
      <c r="X191" s="163">
        <f t="shared" si="33"/>
        <v>0</v>
      </c>
      <c r="Z191" s="260"/>
      <c r="AA191" s="163">
        <f t="shared" si="27"/>
        <v>0</v>
      </c>
      <c r="AC191" s="260"/>
      <c r="AD191" s="163">
        <f t="shared" si="28"/>
        <v>0</v>
      </c>
      <c r="AF191" s="260"/>
      <c r="AG191" s="163">
        <f t="shared" si="30"/>
        <v>0</v>
      </c>
      <c r="AI191" s="260"/>
      <c r="AJ191" s="163">
        <f t="shared" si="31"/>
        <v>0</v>
      </c>
      <c r="AL191" s="162">
        <f t="shared" si="32"/>
        <v>0</v>
      </c>
      <c r="AM191" s="163">
        <f t="shared" si="29"/>
        <v>0</v>
      </c>
    </row>
    <row r="192" spans="4:39" ht="27.6" customHeight="1" x14ac:dyDescent="0.3">
      <c r="D192" s="446"/>
      <c r="E192" s="306" t="s">
        <v>476</v>
      </c>
      <c r="F192" s="214" t="s">
        <v>477</v>
      </c>
      <c r="G192" s="202" t="s">
        <v>304</v>
      </c>
      <c r="H192" s="203">
        <v>1</v>
      </c>
      <c r="I192" s="206">
        <v>863646.07614607608</v>
      </c>
      <c r="J192" s="310"/>
      <c r="K192" s="260"/>
      <c r="L192" s="163">
        <f t="shared" si="23"/>
        <v>0</v>
      </c>
      <c r="M192" s="261"/>
      <c r="N192" s="260"/>
      <c r="O192" s="163">
        <f t="shared" si="24"/>
        <v>0</v>
      </c>
      <c r="Q192" s="260"/>
      <c r="R192" s="163">
        <f t="shared" si="25"/>
        <v>0</v>
      </c>
      <c r="T192" s="260"/>
      <c r="U192" s="163">
        <f t="shared" si="26"/>
        <v>0</v>
      </c>
      <c r="W192" s="262">
        <v>0</v>
      </c>
      <c r="X192" s="163">
        <f t="shared" si="33"/>
        <v>0</v>
      </c>
      <c r="Z192" s="260"/>
      <c r="AA192" s="163">
        <f t="shared" si="27"/>
        <v>0</v>
      </c>
      <c r="AC192" s="260"/>
      <c r="AD192" s="163">
        <f t="shared" si="28"/>
        <v>0</v>
      </c>
      <c r="AF192" s="260"/>
      <c r="AG192" s="163">
        <f t="shared" si="30"/>
        <v>0</v>
      </c>
      <c r="AI192" s="260"/>
      <c r="AJ192" s="163">
        <f t="shared" si="31"/>
        <v>0</v>
      </c>
      <c r="AL192" s="162">
        <f t="shared" si="32"/>
        <v>0</v>
      </c>
      <c r="AM192" s="163">
        <f t="shared" si="29"/>
        <v>0</v>
      </c>
    </row>
    <row r="193" spans="4:39" ht="27.6" customHeight="1" x14ac:dyDescent="0.3">
      <c r="D193" s="446"/>
      <c r="E193" s="306" t="s">
        <v>478</v>
      </c>
      <c r="F193" s="214" t="s">
        <v>479</v>
      </c>
      <c r="G193" s="202" t="s">
        <v>304</v>
      </c>
      <c r="H193" s="203">
        <v>1</v>
      </c>
      <c r="I193" s="206">
        <v>949669.61279461265</v>
      </c>
      <c r="J193" s="310"/>
      <c r="K193" s="260"/>
      <c r="L193" s="163">
        <f t="shared" si="23"/>
        <v>0</v>
      </c>
      <c r="M193" s="261"/>
      <c r="N193" s="260"/>
      <c r="O193" s="163">
        <f t="shared" si="24"/>
        <v>0</v>
      </c>
      <c r="Q193" s="260"/>
      <c r="R193" s="163">
        <f t="shared" si="25"/>
        <v>0</v>
      </c>
      <c r="T193" s="260"/>
      <c r="U193" s="163">
        <f t="shared" si="26"/>
        <v>0</v>
      </c>
      <c r="W193" s="262">
        <v>0</v>
      </c>
      <c r="X193" s="163">
        <f t="shared" si="33"/>
        <v>0</v>
      </c>
      <c r="Z193" s="260"/>
      <c r="AA193" s="163">
        <f t="shared" si="27"/>
        <v>0</v>
      </c>
      <c r="AC193" s="260"/>
      <c r="AD193" s="163">
        <f t="shared" si="28"/>
        <v>0</v>
      </c>
      <c r="AF193" s="260"/>
      <c r="AG193" s="163">
        <f t="shared" si="30"/>
        <v>0</v>
      </c>
      <c r="AI193" s="260"/>
      <c r="AJ193" s="163">
        <f t="shared" si="31"/>
        <v>0</v>
      </c>
      <c r="AL193" s="162">
        <f t="shared" si="32"/>
        <v>0</v>
      </c>
      <c r="AM193" s="163">
        <f t="shared" si="29"/>
        <v>0</v>
      </c>
    </row>
    <row r="194" spans="4:39" ht="27.6" customHeight="1" x14ac:dyDescent="0.3">
      <c r="D194" s="446"/>
      <c r="E194" s="306" t="s">
        <v>480</v>
      </c>
      <c r="F194" s="214" t="s">
        <v>481</v>
      </c>
      <c r="G194" s="202" t="s">
        <v>304</v>
      </c>
      <c r="H194" s="203">
        <v>1</v>
      </c>
      <c r="I194" s="206">
        <v>96375.777000776987</v>
      </c>
      <c r="J194" s="310"/>
      <c r="K194" s="260"/>
      <c r="L194" s="163">
        <f t="shared" si="23"/>
        <v>0</v>
      </c>
      <c r="M194" s="261"/>
      <c r="N194" s="260"/>
      <c r="O194" s="163">
        <f t="shared" si="24"/>
        <v>0</v>
      </c>
      <c r="Q194" s="260"/>
      <c r="R194" s="163">
        <f t="shared" si="25"/>
        <v>0</v>
      </c>
      <c r="T194" s="260"/>
      <c r="U194" s="163">
        <f t="shared" si="26"/>
        <v>0</v>
      </c>
      <c r="W194" s="262">
        <v>0</v>
      </c>
      <c r="X194" s="163">
        <f t="shared" si="33"/>
        <v>0</v>
      </c>
      <c r="Z194" s="260"/>
      <c r="AA194" s="163">
        <f t="shared" si="27"/>
        <v>0</v>
      </c>
      <c r="AC194" s="260"/>
      <c r="AD194" s="163">
        <f t="shared" si="28"/>
        <v>0</v>
      </c>
      <c r="AF194" s="260"/>
      <c r="AG194" s="163">
        <f t="shared" si="30"/>
        <v>0</v>
      </c>
      <c r="AI194" s="260"/>
      <c r="AJ194" s="163">
        <f t="shared" si="31"/>
        <v>0</v>
      </c>
      <c r="AL194" s="162">
        <f t="shared" si="32"/>
        <v>0</v>
      </c>
      <c r="AM194" s="163">
        <f t="shared" si="29"/>
        <v>0</v>
      </c>
    </row>
    <row r="195" spans="4:39" ht="27.6" customHeight="1" x14ac:dyDescent="0.3">
      <c r="D195" s="446"/>
      <c r="E195" s="306" t="s">
        <v>482</v>
      </c>
      <c r="F195" s="214" t="s">
        <v>483</v>
      </c>
      <c r="G195" s="202" t="s">
        <v>304</v>
      </c>
      <c r="H195" s="203">
        <v>1</v>
      </c>
      <c r="I195" s="206">
        <v>96375.777000776987</v>
      </c>
      <c r="J195" s="310"/>
      <c r="K195" s="260"/>
      <c r="L195" s="163">
        <f t="shared" si="23"/>
        <v>0</v>
      </c>
      <c r="M195" s="261"/>
      <c r="N195" s="260"/>
      <c r="O195" s="163">
        <f t="shared" si="24"/>
        <v>0</v>
      </c>
      <c r="Q195" s="260"/>
      <c r="R195" s="163">
        <f t="shared" si="25"/>
        <v>0</v>
      </c>
      <c r="T195" s="260"/>
      <c r="U195" s="163">
        <f t="shared" si="26"/>
        <v>0</v>
      </c>
      <c r="W195" s="262">
        <v>0</v>
      </c>
      <c r="X195" s="163">
        <f t="shared" si="33"/>
        <v>0</v>
      </c>
      <c r="Z195" s="260"/>
      <c r="AA195" s="163">
        <f t="shared" si="27"/>
        <v>0</v>
      </c>
      <c r="AC195" s="260"/>
      <c r="AD195" s="163">
        <f t="shared" si="28"/>
        <v>0</v>
      </c>
      <c r="AF195" s="260"/>
      <c r="AG195" s="163">
        <f t="shared" si="30"/>
        <v>0</v>
      </c>
      <c r="AI195" s="260"/>
      <c r="AJ195" s="163">
        <f t="shared" si="31"/>
        <v>0</v>
      </c>
      <c r="AL195" s="162">
        <f t="shared" si="32"/>
        <v>0</v>
      </c>
      <c r="AM195" s="163">
        <f t="shared" si="29"/>
        <v>0</v>
      </c>
    </row>
    <row r="196" spans="4:39" ht="27.6" customHeight="1" x14ac:dyDescent="0.3">
      <c r="D196" s="446"/>
      <c r="E196" s="306" t="s">
        <v>484</v>
      </c>
      <c r="F196" s="214" t="s">
        <v>485</v>
      </c>
      <c r="G196" s="202" t="s">
        <v>304</v>
      </c>
      <c r="H196" s="203">
        <v>1</v>
      </c>
      <c r="I196" s="206">
        <v>543482.42035742023</v>
      </c>
      <c r="J196" s="310"/>
      <c r="K196" s="260"/>
      <c r="L196" s="163">
        <f t="shared" si="23"/>
        <v>0</v>
      </c>
      <c r="M196" s="261"/>
      <c r="N196" s="260"/>
      <c r="O196" s="163">
        <f t="shared" si="24"/>
        <v>0</v>
      </c>
      <c r="Q196" s="260"/>
      <c r="R196" s="163">
        <f t="shared" si="25"/>
        <v>0</v>
      </c>
      <c r="T196" s="260"/>
      <c r="U196" s="163">
        <f t="shared" si="26"/>
        <v>0</v>
      </c>
      <c r="W196" s="262">
        <v>0</v>
      </c>
      <c r="X196" s="163">
        <f t="shared" si="33"/>
        <v>0</v>
      </c>
      <c r="Z196" s="260"/>
      <c r="AA196" s="163">
        <f t="shared" si="27"/>
        <v>0</v>
      </c>
      <c r="AC196" s="260"/>
      <c r="AD196" s="163">
        <f t="shared" si="28"/>
        <v>0</v>
      </c>
      <c r="AF196" s="260"/>
      <c r="AG196" s="163">
        <f t="shared" si="30"/>
        <v>0</v>
      </c>
      <c r="AI196" s="260"/>
      <c r="AJ196" s="163">
        <f t="shared" si="31"/>
        <v>0</v>
      </c>
      <c r="AL196" s="162">
        <f t="shared" si="32"/>
        <v>0</v>
      </c>
      <c r="AM196" s="163">
        <f t="shared" si="29"/>
        <v>0</v>
      </c>
    </row>
    <row r="197" spans="4:39" ht="27.6" customHeight="1" x14ac:dyDescent="0.3">
      <c r="D197" s="446"/>
      <c r="E197" s="306" t="s">
        <v>486</v>
      </c>
      <c r="F197" s="214" t="s">
        <v>487</v>
      </c>
      <c r="G197" s="202" t="s">
        <v>304</v>
      </c>
      <c r="H197" s="203">
        <v>1</v>
      </c>
      <c r="I197" s="206">
        <v>747360.13986013981</v>
      </c>
      <c r="J197" s="310"/>
      <c r="K197" s="260"/>
      <c r="L197" s="163">
        <f t="shared" ref="L197:L248" si="34">+K197*I197</f>
        <v>0</v>
      </c>
      <c r="M197" s="261"/>
      <c r="N197" s="260"/>
      <c r="O197" s="163">
        <f t="shared" ref="O197:O248" si="35">+N197*I197</f>
        <v>0</v>
      </c>
      <c r="Q197" s="260"/>
      <c r="R197" s="163">
        <f t="shared" ref="R197:R248" si="36">+Q197*I197</f>
        <v>0</v>
      </c>
      <c r="T197" s="260"/>
      <c r="U197" s="163">
        <f t="shared" ref="U197:U248" si="37">+T197*I197</f>
        <v>0</v>
      </c>
      <c r="W197" s="262">
        <v>0</v>
      </c>
      <c r="X197" s="163">
        <f t="shared" si="33"/>
        <v>0</v>
      </c>
      <c r="Z197" s="260"/>
      <c r="AA197" s="163">
        <f t="shared" ref="AA197:AA248" si="38">+Z197*I197</f>
        <v>0</v>
      </c>
      <c r="AC197" s="260"/>
      <c r="AD197" s="163">
        <f t="shared" ref="AD197:AD248" si="39">+AC197*I197</f>
        <v>0</v>
      </c>
      <c r="AF197" s="260"/>
      <c r="AG197" s="163">
        <f t="shared" si="30"/>
        <v>0</v>
      </c>
      <c r="AI197" s="260"/>
      <c r="AJ197" s="163">
        <f t="shared" si="31"/>
        <v>0</v>
      </c>
      <c r="AL197" s="162">
        <f t="shared" si="32"/>
        <v>0</v>
      </c>
      <c r="AM197" s="163">
        <f t="shared" ref="AM197:AM248" si="40">+AL197*I197</f>
        <v>0</v>
      </c>
    </row>
    <row r="198" spans="4:39" ht="27.6" customHeight="1" x14ac:dyDescent="0.3">
      <c r="D198" s="446"/>
      <c r="E198" s="306" t="s">
        <v>488</v>
      </c>
      <c r="F198" s="214" t="s">
        <v>489</v>
      </c>
      <c r="G198" s="202" t="s">
        <v>304</v>
      </c>
      <c r="H198" s="203">
        <v>1</v>
      </c>
      <c r="I198" s="206">
        <v>709207.78295778285</v>
      </c>
      <c r="J198" s="310"/>
      <c r="K198" s="260"/>
      <c r="L198" s="163">
        <f t="shared" si="34"/>
        <v>0</v>
      </c>
      <c r="M198" s="261"/>
      <c r="N198" s="260"/>
      <c r="O198" s="163">
        <f t="shared" si="35"/>
        <v>0</v>
      </c>
      <c r="Q198" s="260"/>
      <c r="R198" s="163">
        <f t="shared" si="36"/>
        <v>0</v>
      </c>
      <c r="T198" s="260"/>
      <c r="U198" s="163">
        <f t="shared" si="37"/>
        <v>0</v>
      </c>
      <c r="W198" s="262">
        <v>0</v>
      </c>
      <c r="X198" s="163">
        <f t="shared" si="33"/>
        <v>0</v>
      </c>
      <c r="Z198" s="260"/>
      <c r="AA198" s="163">
        <f t="shared" si="38"/>
        <v>0</v>
      </c>
      <c r="AC198" s="260"/>
      <c r="AD198" s="163">
        <f t="shared" si="39"/>
        <v>0</v>
      </c>
      <c r="AF198" s="260"/>
      <c r="AG198" s="163">
        <f t="shared" ref="AG198:AG248" si="41">+AF198*I198</f>
        <v>0</v>
      </c>
      <c r="AI198" s="260"/>
      <c r="AJ198" s="163">
        <f t="shared" ref="AJ198:AJ248" si="42">+AI198*I198</f>
        <v>0</v>
      </c>
      <c r="AL198" s="162">
        <f t="shared" ref="AL198:AL248" si="43">+K198+N198+Q198+T198+Z198+AF198+AC198+W198+AI198</f>
        <v>0</v>
      </c>
      <c r="AM198" s="163">
        <f t="shared" si="40"/>
        <v>0</v>
      </c>
    </row>
    <row r="199" spans="4:39" ht="27.6" customHeight="1" x14ac:dyDescent="0.3">
      <c r="D199" s="446"/>
      <c r="E199" s="306" t="s">
        <v>490</v>
      </c>
      <c r="F199" s="214" t="s">
        <v>491</v>
      </c>
      <c r="G199" s="202" t="s">
        <v>304</v>
      </c>
      <c r="H199" s="203">
        <v>1</v>
      </c>
      <c r="I199" s="206">
        <v>739602.75835275825</v>
      </c>
      <c r="J199" s="310"/>
      <c r="K199" s="260"/>
      <c r="L199" s="163">
        <f t="shared" si="34"/>
        <v>0</v>
      </c>
      <c r="M199" s="261"/>
      <c r="N199" s="260"/>
      <c r="O199" s="163">
        <f t="shared" si="35"/>
        <v>0</v>
      </c>
      <c r="Q199" s="260"/>
      <c r="R199" s="163">
        <f t="shared" si="36"/>
        <v>0</v>
      </c>
      <c r="T199" s="260"/>
      <c r="U199" s="163">
        <f t="shared" si="37"/>
        <v>0</v>
      </c>
      <c r="W199" s="262">
        <v>0</v>
      </c>
      <c r="X199" s="163">
        <f t="shared" ref="X199:X248" si="44">+W199*I199</f>
        <v>0</v>
      </c>
      <c r="Z199" s="260"/>
      <c r="AA199" s="163">
        <f t="shared" si="38"/>
        <v>0</v>
      </c>
      <c r="AC199" s="260"/>
      <c r="AD199" s="163">
        <f t="shared" si="39"/>
        <v>0</v>
      </c>
      <c r="AF199" s="260"/>
      <c r="AG199" s="163">
        <f t="shared" si="41"/>
        <v>0</v>
      </c>
      <c r="AI199" s="260"/>
      <c r="AJ199" s="163">
        <f t="shared" si="42"/>
        <v>0</v>
      </c>
      <c r="AL199" s="162">
        <f t="shared" si="43"/>
        <v>0</v>
      </c>
      <c r="AM199" s="163">
        <f t="shared" si="40"/>
        <v>0</v>
      </c>
    </row>
    <row r="200" spans="4:39" ht="27.6" customHeight="1" x14ac:dyDescent="0.3">
      <c r="D200" s="446"/>
      <c r="E200" s="306" t="s">
        <v>492</v>
      </c>
      <c r="F200" s="214" t="s">
        <v>493</v>
      </c>
      <c r="G200" s="202" t="s">
        <v>304</v>
      </c>
      <c r="H200" s="203">
        <v>1</v>
      </c>
      <c r="I200" s="206">
        <v>1868573.7179487178</v>
      </c>
      <c r="J200" s="310"/>
      <c r="K200" s="260"/>
      <c r="L200" s="163">
        <f t="shared" si="34"/>
        <v>0</v>
      </c>
      <c r="M200" s="261"/>
      <c r="N200" s="260"/>
      <c r="O200" s="163">
        <f t="shared" si="35"/>
        <v>0</v>
      </c>
      <c r="Q200" s="260"/>
      <c r="R200" s="163">
        <f t="shared" si="36"/>
        <v>0</v>
      </c>
      <c r="T200" s="260"/>
      <c r="U200" s="163">
        <f t="shared" si="37"/>
        <v>0</v>
      </c>
      <c r="W200" s="262">
        <v>0</v>
      </c>
      <c r="X200" s="163">
        <f t="shared" si="44"/>
        <v>0</v>
      </c>
      <c r="Z200" s="260"/>
      <c r="AA200" s="163">
        <f t="shared" si="38"/>
        <v>0</v>
      </c>
      <c r="AC200" s="260"/>
      <c r="AD200" s="163">
        <f t="shared" si="39"/>
        <v>0</v>
      </c>
      <c r="AF200" s="260"/>
      <c r="AG200" s="163">
        <f t="shared" si="41"/>
        <v>0</v>
      </c>
      <c r="AI200" s="260"/>
      <c r="AJ200" s="163">
        <f t="shared" si="42"/>
        <v>0</v>
      </c>
      <c r="AL200" s="162">
        <f t="shared" si="43"/>
        <v>0</v>
      </c>
      <c r="AM200" s="163">
        <f t="shared" si="40"/>
        <v>0</v>
      </c>
    </row>
    <row r="201" spans="4:39" ht="27.6" customHeight="1" x14ac:dyDescent="0.3">
      <c r="D201" s="446"/>
      <c r="E201" s="306" t="s">
        <v>494</v>
      </c>
      <c r="F201" s="214" t="s">
        <v>495</v>
      </c>
      <c r="G201" s="202" t="s">
        <v>304</v>
      </c>
      <c r="H201" s="203">
        <v>1</v>
      </c>
      <c r="I201" s="206">
        <v>187332.94483294481</v>
      </c>
      <c r="J201" s="310"/>
      <c r="K201" s="260"/>
      <c r="L201" s="163">
        <f t="shared" si="34"/>
        <v>0</v>
      </c>
      <c r="M201" s="261"/>
      <c r="N201" s="260"/>
      <c r="O201" s="163">
        <f t="shared" si="35"/>
        <v>0</v>
      </c>
      <c r="Q201" s="260"/>
      <c r="R201" s="163">
        <f t="shared" si="36"/>
        <v>0</v>
      </c>
      <c r="T201" s="260"/>
      <c r="U201" s="163">
        <f t="shared" si="37"/>
        <v>0</v>
      </c>
      <c r="W201" s="262">
        <v>0</v>
      </c>
      <c r="X201" s="163">
        <f t="shared" si="44"/>
        <v>0</v>
      </c>
      <c r="Z201" s="260"/>
      <c r="AA201" s="163">
        <f t="shared" si="38"/>
        <v>0</v>
      </c>
      <c r="AC201" s="260"/>
      <c r="AD201" s="163">
        <f t="shared" si="39"/>
        <v>0</v>
      </c>
      <c r="AF201" s="260"/>
      <c r="AG201" s="163">
        <f t="shared" si="41"/>
        <v>0</v>
      </c>
      <c r="AI201" s="260"/>
      <c r="AJ201" s="163">
        <f t="shared" si="42"/>
        <v>0</v>
      </c>
      <c r="AL201" s="162">
        <f t="shared" si="43"/>
        <v>0</v>
      </c>
      <c r="AM201" s="163">
        <f t="shared" si="40"/>
        <v>0</v>
      </c>
    </row>
    <row r="202" spans="4:39" ht="27.6" customHeight="1" x14ac:dyDescent="0.3">
      <c r="D202" s="446"/>
      <c r="E202" s="306" t="s">
        <v>496</v>
      </c>
      <c r="F202" s="214" t="s">
        <v>497</v>
      </c>
      <c r="G202" s="202" t="s">
        <v>304</v>
      </c>
      <c r="H202" s="203">
        <v>1</v>
      </c>
      <c r="I202" s="206">
        <v>682949.851074851</v>
      </c>
      <c r="J202" s="310"/>
      <c r="K202" s="260"/>
      <c r="L202" s="163">
        <f t="shared" si="34"/>
        <v>0</v>
      </c>
      <c r="M202" s="261"/>
      <c r="N202" s="260"/>
      <c r="O202" s="163">
        <f t="shared" si="35"/>
        <v>0</v>
      </c>
      <c r="Q202" s="260"/>
      <c r="R202" s="163">
        <f t="shared" si="36"/>
        <v>0</v>
      </c>
      <c r="T202" s="260"/>
      <c r="U202" s="163">
        <f t="shared" si="37"/>
        <v>0</v>
      </c>
      <c r="W202" s="262">
        <v>0</v>
      </c>
      <c r="X202" s="163">
        <f t="shared" si="44"/>
        <v>0</v>
      </c>
      <c r="Z202" s="260"/>
      <c r="AA202" s="163">
        <f t="shared" si="38"/>
        <v>0</v>
      </c>
      <c r="AC202" s="260"/>
      <c r="AD202" s="163">
        <f t="shared" si="39"/>
        <v>0</v>
      </c>
      <c r="AF202" s="260"/>
      <c r="AG202" s="163">
        <f t="shared" si="41"/>
        <v>0</v>
      </c>
      <c r="AI202" s="260"/>
      <c r="AJ202" s="163">
        <f t="shared" si="42"/>
        <v>0</v>
      </c>
      <c r="AL202" s="162">
        <f t="shared" si="43"/>
        <v>0</v>
      </c>
      <c r="AM202" s="163">
        <f t="shared" si="40"/>
        <v>0</v>
      </c>
    </row>
    <row r="203" spans="4:39" ht="27.6" customHeight="1" x14ac:dyDescent="0.3">
      <c r="D203" s="446"/>
      <c r="E203" s="306" t="s">
        <v>498</v>
      </c>
      <c r="F203" s="214" t="s">
        <v>499</v>
      </c>
      <c r="G203" s="202" t="s">
        <v>304</v>
      </c>
      <c r="H203" s="203">
        <v>1</v>
      </c>
      <c r="I203" s="206">
        <v>1612084.9520849518</v>
      </c>
      <c r="J203" s="310"/>
      <c r="K203" s="260"/>
      <c r="L203" s="163">
        <f t="shared" si="34"/>
        <v>0</v>
      </c>
      <c r="M203" s="261"/>
      <c r="N203" s="260"/>
      <c r="O203" s="163">
        <f t="shared" si="35"/>
        <v>0</v>
      </c>
      <c r="Q203" s="260"/>
      <c r="R203" s="163">
        <f t="shared" si="36"/>
        <v>0</v>
      </c>
      <c r="T203" s="260"/>
      <c r="U203" s="163">
        <f t="shared" si="37"/>
        <v>0</v>
      </c>
      <c r="W203" s="262">
        <v>0</v>
      </c>
      <c r="X203" s="163">
        <f t="shared" si="44"/>
        <v>0</v>
      </c>
      <c r="Z203" s="260"/>
      <c r="AA203" s="163">
        <f t="shared" si="38"/>
        <v>0</v>
      </c>
      <c r="AC203" s="260"/>
      <c r="AD203" s="163">
        <f t="shared" si="39"/>
        <v>0</v>
      </c>
      <c r="AF203" s="260"/>
      <c r="AG203" s="163">
        <f t="shared" si="41"/>
        <v>0</v>
      </c>
      <c r="AI203" s="260"/>
      <c r="AJ203" s="163">
        <f t="shared" si="42"/>
        <v>0</v>
      </c>
      <c r="AL203" s="162">
        <f t="shared" si="43"/>
        <v>0</v>
      </c>
      <c r="AM203" s="163">
        <f t="shared" si="40"/>
        <v>0</v>
      </c>
    </row>
    <row r="204" spans="4:39" ht="27.6" customHeight="1" x14ac:dyDescent="0.3">
      <c r="D204" s="446"/>
      <c r="E204" s="306" t="s">
        <v>500</v>
      </c>
      <c r="F204" s="214" t="s">
        <v>501</v>
      </c>
      <c r="G204" s="202" t="s">
        <v>304</v>
      </c>
      <c r="H204" s="203">
        <v>1</v>
      </c>
      <c r="I204" s="206">
        <v>3572990.3198653194</v>
      </c>
      <c r="J204" s="310"/>
      <c r="K204" s="260"/>
      <c r="L204" s="163">
        <f t="shared" si="34"/>
        <v>0</v>
      </c>
      <c r="M204" s="261"/>
      <c r="N204" s="260"/>
      <c r="O204" s="163">
        <f t="shared" si="35"/>
        <v>0</v>
      </c>
      <c r="Q204" s="260"/>
      <c r="R204" s="163">
        <f t="shared" si="36"/>
        <v>0</v>
      </c>
      <c r="T204" s="260"/>
      <c r="U204" s="163">
        <f t="shared" si="37"/>
        <v>0</v>
      </c>
      <c r="W204" s="262">
        <v>0</v>
      </c>
      <c r="X204" s="163">
        <f t="shared" si="44"/>
        <v>0</v>
      </c>
      <c r="Z204" s="260"/>
      <c r="AA204" s="163">
        <f t="shared" si="38"/>
        <v>0</v>
      </c>
      <c r="AC204" s="260"/>
      <c r="AD204" s="163">
        <f t="shared" si="39"/>
        <v>0</v>
      </c>
      <c r="AF204" s="260"/>
      <c r="AG204" s="163">
        <f t="shared" si="41"/>
        <v>0</v>
      </c>
      <c r="AI204" s="260"/>
      <c r="AJ204" s="163">
        <f t="shared" si="42"/>
        <v>0</v>
      </c>
      <c r="AL204" s="162">
        <f t="shared" si="43"/>
        <v>0</v>
      </c>
      <c r="AM204" s="163">
        <f t="shared" si="40"/>
        <v>0</v>
      </c>
    </row>
    <row r="205" spans="4:39" ht="27.6" customHeight="1" x14ac:dyDescent="0.3">
      <c r="D205" s="446"/>
      <c r="E205" s="306" t="s">
        <v>502</v>
      </c>
      <c r="F205" s="214" t="s">
        <v>503</v>
      </c>
      <c r="G205" s="202" t="s">
        <v>304</v>
      </c>
      <c r="H205" s="203">
        <v>1</v>
      </c>
      <c r="I205" s="206">
        <v>1768304.5195545193</v>
      </c>
      <c r="J205" s="310"/>
      <c r="K205" s="260"/>
      <c r="L205" s="163">
        <f t="shared" si="34"/>
        <v>0</v>
      </c>
      <c r="M205" s="261"/>
      <c r="N205" s="260"/>
      <c r="O205" s="163">
        <f t="shared" si="35"/>
        <v>0</v>
      </c>
      <c r="Q205" s="260"/>
      <c r="R205" s="163">
        <f t="shared" si="36"/>
        <v>0</v>
      </c>
      <c r="T205" s="260"/>
      <c r="U205" s="163">
        <f t="shared" si="37"/>
        <v>0</v>
      </c>
      <c r="W205" s="262">
        <v>0</v>
      </c>
      <c r="X205" s="163">
        <f t="shared" si="44"/>
        <v>0</v>
      </c>
      <c r="Z205" s="260"/>
      <c r="AA205" s="163">
        <f t="shared" si="38"/>
        <v>0</v>
      </c>
      <c r="AC205" s="260"/>
      <c r="AD205" s="163">
        <f t="shared" si="39"/>
        <v>0</v>
      </c>
      <c r="AF205" s="260"/>
      <c r="AG205" s="163">
        <f t="shared" si="41"/>
        <v>0</v>
      </c>
      <c r="AI205" s="260"/>
      <c r="AJ205" s="163">
        <f t="shared" si="42"/>
        <v>0</v>
      </c>
      <c r="AL205" s="162">
        <f t="shared" si="43"/>
        <v>0</v>
      </c>
      <c r="AM205" s="163">
        <f t="shared" si="40"/>
        <v>0</v>
      </c>
    </row>
    <row r="206" spans="4:39" ht="27.6" customHeight="1" x14ac:dyDescent="0.3">
      <c r="D206" s="446"/>
      <c r="E206" s="306" t="s">
        <v>504</v>
      </c>
      <c r="F206" s="214" t="s">
        <v>505</v>
      </c>
      <c r="G206" s="202" t="s">
        <v>304</v>
      </c>
      <c r="H206" s="203">
        <v>1</v>
      </c>
      <c r="I206" s="206">
        <v>2926952.0525770518</v>
      </c>
      <c r="J206" s="310"/>
      <c r="K206" s="260"/>
      <c r="L206" s="163">
        <f t="shared" si="34"/>
        <v>0</v>
      </c>
      <c r="M206" s="261"/>
      <c r="N206" s="260"/>
      <c r="O206" s="163">
        <f t="shared" si="35"/>
        <v>0</v>
      </c>
      <c r="Q206" s="260"/>
      <c r="R206" s="163">
        <f t="shared" si="36"/>
        <v>0</v>
      </c>
      <c r="T206" s="260"/>
      <c r="U206" s="163">
        <f t="shared" si="37"/>
        <v>0</v>
      </c>
      <c r="W206" s="262">
        <v>0</v>
      </c>
      <c r="X206" s="163">
        <f t="shared" si="44"/>
        <v>0</v>
      </c>
      <c r="Z206" s="260"/>
      <c r="AA206" s="163">
        <f t="shared" si="38"/>
        <v>0</v>
      </c>
      <c r="AC206" s="260"/>
      <c r="AD206" s="163">
        <f t="shared" si="39"/>
        <v>0</v>
      </c>
      <c r="AF206" s="260"/>
      <c r="AG206" s="163">
        <f t="shared" si="41"/>
        <v>0</v>
      </c>
      <c r="AI206" s="260"/>
      <c r="AJ206" s="163">
        <f t="shared" si="42"/>
        <v>0</v>
      </c>
      <c r="AL206" s="162">
        <f t="shared" si="43"/>
        <v>0</v>
      </c>
      <c r="AM206" s="163">
        <f t="shared" si="40"/>
        <v>0</v>
      </c>
    </row>
    <row r="207" spans="4:39" ht="27.6" customHeight="1" x14ac:dyDescent="0.3">
      <c r="D207" s="446"/>
      <c r="E207" s="306" t="s">
        <v>506</v>
      </c>
      <c r="F207" s="214" t="s">
        <v>507</v>
      </c>
      <c r="G207" s="202" t="s">
        <v>304</v>
      </c>
      <c r="H207" s="203">
        <v>1</v>
      </c>
      <c r="I207" s="206">
        <v>377117.97461797454</v>
      </c>
      <c r="J207" s="310"/>
      <c r="K207" s="260"/>
      <c r="L207" s="163">
        <f t="shared" si="34"/>
        <v>0</v>
      </c>
      <c r="M207" s="261"/>
      <c r="N207" s="260"/>
      <c r="O207" s="163">
        <f t="shared" si="35"/>
        <v>0</v>
      </c>
      <c r="Q207" s="260"/>
      <c r="R207" s="163">
        <f t="shared" si="36"/>
        <v>0</v>
      </c>
      <c r="T207" s="260"/>
      <c r="U207" s="163">
        <f t="shared" si="37"/>
        <v>0</v>
      </c>
      <c r="W207" s="262">
        <v>0</v>
      </c>
      <c r="X207" s="163">
        <f t="shared" si="44"/>
        <v>0</v>
      </c>
      <c r="Z207" s="260"/>
      <c r="AA207" s="163">
        <f t="shared" si="38"/>
        <v>0</v>
      </c>
      <c r="AC207" s="260"/>
      <c r="AD207" s="163">
        <f t="shared" si="39"/>
        <v>0</v>
      </c>
      <c r="AF207" s="260"/>
      <c r="AG207" s="163">
        <f t="shared" si="41"/>
        <v>0</v>
      </c>
      <c r="AI207" s="260"/>
      <c r="AJ207" s="163">
        <f t="shared" si="42"/>
        <v>0</v>
      </c>
      <c r="AL207" s="162">
        <f t="shared" si="43"/>
        <v>0</v>
      </c>
      <c r="AM207" s="163">
        <f t="shared" si="40"/>
        <v>0</v>
      </c>
    </row>
    <row r="208" spans="4:39" ht="27.6" customHeight="1" x14ac:dyDescent="0.3">
      <c r="D208" s="446"/>
      <c r="E208" s="306" t="s">
        <v>508</v>
      </c>
      <c r="F208" s="214" t="s">
        <v>509</v>
      </c>
      <c r="G208" s="202" t="s">
        <v>304</v>
      </c>
      <c r="H208" s="203">
        <v>1</v>
      </c>
      <c r="I208" s="206">
        <v>284410.12691012683</v>
      </c>
      <c r="J208" s="310"/>
      <c r="K208" s="260"/>
      <c r="L208" s="163">
        <f t="shared" si="34"/>
        <v>0</v>
      </c>
      <c r="M208" s="261"/>
      <c r="N208" s="260"/>
      <c r="O208" s="163">
        <f t="shared" si="35"/>
        <v>0</v>
      </c>
      <c r="Q208" s="260"/>
      <c r="R208" s="163">
        <f t="shared" si="36"/>
        <v>0</v>
      </c>
      <c r="T208" s="260"/>
      <c r="U208" s="163">
        <f t="shared" si="37"/>
        <v>0</v>
      </c>
      <c r="W208" s="262">
        <v>0</v>
      </c>
      <c r="X208" s="163">
        <f t="shared" si="44"/>
        <v>0</v>
      </c>
      <c r="Z208" s="260"/>
      <c r="AA208" s="163">
        <f t="shared" si="38"/>
        <v>0</v>
      </c>
      <c r="AC208" s="260"/>
      <c r="AD208" s="163">
        <f t="shared" si="39"/>
        <v>0</v>
      </c>
      <c r="AF208" s="260"/>
      <c r="AG208" s="163">
        <f t="shared" si="41"/>
        <v>0</v>
      </c>
      <c r="AI208" s="260"/>
      <c r="AJ208" s="163">
        <f t="shared" si="42"/>
        <v>0</v>
      </c>
      <c r="AL208" s="162">
        <f t="shared" si="43"/>
        <v>0</v>
      </c>
      <c r="AM208" s="163">
        <f t="shared" si="40"/>
        <v>0</v>
      </c>
    </row>
    <row r="209" spans="4:39" ht="27.6" customHeight="1" x14ac:dyDescent="0.3">
      <c r="D209" s="446"/>
      <c r="E209" s="306" t="s">
        <v>510</v>
      </c>
      <c r="F209" s="214" t="s">
        <v>511</v>
      </c>
      <c r="G209" s="202" t="s">
        <v>304</v>
      </c>
      <c r="H209" s="203">
        <v>1</v>
      </c>
      <c r="I209" s="206">
        <v>340896.46464646462</v>
      </c>
      <c r="J209" s="310"/>
      <c r="K209" s="260"/>
      <c r="L209" s="163">
        <f t="shared" si="34"/>
        <v>0</v>
      </c>
      <c r="M209" s="261"/>
      <c r="N209" s="260"/>
      <c r="O209" s="163">
        <f t="shared" si="35"/>
        <v>0</v>
      </c>
      <c r="Q209" s="260"/>
      <c r="R209" s="163">
        <f t="shared" si="36"/>
        <v>0</v>
      </c>
      <c r="T209" s="260"/>
      <c r="U209" s="163">
        <f t="shared" si="37"/>
        <v>0</v>
      </c>
      <c r="W209" s="262">
        <v>0</v>
      </c>
      <c r="X209" s="163">
        <f t="shared" si="44"/>
        <v>0</v>
      </c>
      <c r="Z209" s="260"/>
      <c r="AA209" s="163">
        <f t="shared" si="38"/>
        <v>0</v>
      </c>
      <c r="AC209" s="260"/>
      <c r="AD209" s="163">
        <f t="shared" si="39"/>
        <v>0</v>
      </c>
      <c r="AF209" s="260"/>
      <c r="AG209" s="163">
        <f t="shared" si="41"/>
        <v>0</v>
      </c>
      <c r="AI209" s="260"/>
      <c r="AJ209" s="163">
        <f t="shared" si="42"/>
        <v>0</v>
      </c>
      <c r="AL209" s="162">
        <f t="shared" si="43"/>
        <v>0</v>
      </c>
      <c r="AM209" s="163">
        <f t="shared" si="40"/>
        <v>0</v>
      </c>
    </row>
    <row r="210" spans="4:39" ht="27.6" customHeight="1" x14ac:dyDescent="0.3">
      <c r="D210" s="446"/>
      <c r="E210" s="306" t="s">
        <v>512</v>
      </c>
      <c r="F210" s="214" t="s">
        <v>513</v>
      </c>
      <c r="G210" s="202" t="s">
        <v>304</v>
      </c>
      <c r="H210" s="203">
        <v>1</v>
      </c>
      <c r="I210" s="206">
        <v>489764.30976430967</v>
      </c>
      <c r="J210" s="310"/>
      <c r="K210" s="260"/>
      <c r="L210" s="163">
        <f t="shared" si="34"/>
        <v>0</v>
      </c>
      <c r="M210" s="261"/>
      <c r="N210" s="260"/>
      <c r="O210" s="163">
        <f t="shared" si="35"/>
        <v>0</v>
      </c>
      <c r="Q210" s="260"/>
      <c r="R210" s="163">
        <f t="shared" si="36"/>
        <v>0</v>
      </c>
      <c r="T210" s="260"/>
      <c r="U210" s="163">
        <f t="shared" si="37"/>
        <v>0</v>
      </c>
      <c r="W210" s="262">
        <v>0</v>
      </c>
      <c r="X210" s="163">
        <f t="shared" si="44"/>
        <v>0</v>
      </c>
      <c r="Z210" s="260"/>
      <c r="AA210" s="163">
        <f t="shared" si="38"/>
        <v>0</v>
      </c>
      <c r="AC210" s="260"/>
      <c r="AD210" s="163">
        <f t="shared" si="39"/>
        <v>0</v>
      </c>
      <c r="AF210" s="260"/>
      <c r="AG210" s="163">
        <f t="shared" si="41"/>
        <v>0</v>
      </c>
      <c r="AI210" s="260"/>
      <c r="AJ210" s="163">
        <f t="shared" si="42"/>
        <v>0</v>
      </c>
      <c r="AL210" s="162">
        <f t="shared" si="43"/>
        <v>0</v>
      </c>
      <c r="AM210" s="163">
        <f t="shared" si="40"/>
        <v>0</v>
      </c>
    </row>
    <row r="211" spans="4:39" ht="27.6" customHeight="1" x14ac:dyDescent="0.3">
      <c r="D211" s="446"/>
      <c r="E211" s="306" t="s">
        <v>514</v>
      </c>
      <c r="F211" s="214" t="s">
        <v>515</v>
      </c>
      <c r="G211" s="202" t="s">
        <v>304</v>
      </c>
      <c r="H211" s="203">
        <v>1</v>
      </c>
      <c r="I211" s="206">
        <v>716981.02823102812</v>
      </c>
      <c r="J211" s="310"/>
      <c r="K211" s="260"/>
      <c r="L211" s="163">
        <f t="shared" si="34"/>
        <v>0</v>
      </c>
      <c r="M211" s="261"/>
      <c r="N211" s="260"/>
      <c r="O211" s="163">
        <f t="shared" si="35"/>
        <v>0</v>
      </c>
      <c r="Q211" s="260"/>
      <c r="R211" s="163">
        <f t="shared" si="36"/>
        <v>0</v>
      </c>
      <c r="T211" s="260"/>
      <c r="U211" s="163">
        <f t="shared" si="37"/>
        <v>0</v>
      </c>
      <c r="W211" s="262">
        <v>0</v>
      </c>
      <c r="X211" s="163">
        <f t="shared" si="44"/>
        <v>0</v>
      </c>
      <c r="Z211" s="260"/>
      <c r="AA211" s="163">
        <f t="shared" si="38"/>
        <v>0</v>
      </c>
      <c r="AC211" s="260"/>
      <c r="AD211" s="163">
        <f t="shared" si="39"/>
        <v>0</v>
      </c>
      <c r="AF211" s="260"/>
      <c r="AG211" s="163">
        <f t="shared" si="41"/>
        <v>0</v>
      </c>
      <c r="AI211" s="260"/>
      <c r="AJ211" s="163">
        <f t="shared" si="42"/>
        <v>0</v>
      </c>
      <c r="AL211" s="162">
        <f t="shared" si="43"/>
        <v>0</v>
      </c>
      <c r="AM211" s="163">
        <f t="shared" si="40"/>
        <v>0</v>
      </c>
    </row>
    <row r="212" spans="4:39" ht="27.6" customHeight="1" x14ac:dyDescent="0.3">
      <c r="D212" s="446"/>
      <c r="E212" s="306" t="s">
        <v>516</v>
      </c>
      <c r="F212" s="214" t="s">
        <v>517</v>
      </c>
      <c r="G212" s="202" t="s">
        <v>304</v>
      </c>
      <c r="H212" s="203">
        <v>1</v>
      </c>
      <c r="I212" s="206">
        <v>884746.0178710178</v>
      </c>
      <c r="J212" s="310"/>
      <c r="K212" s="260"/>
      <c r="L212" s="163">
        <f t="shared" si="34"/>
        <v>0</v>
      </c>
      <c r="M212" s="261"/>
      <c r="N212" s="260"/>
      <c r="O212" s="163">
        <f t="shared" si="35"/>
        <v>0</v>
      </c>
      <c r="Q212" s="260"/>
      <c r="R212" s="163">
        <f t="shared" si="36"/>
        <v>0</v>
      </c>
      <c r="T212" s="260"/>
      <c r="U212" s="163">
        <f t="shared" si="37"/>
        <v>0</v>
      </c>
      <c r="W212" s="262">
        <v>0</v>
      </c>
      <c r="X212" s="163">
        <f t="shared" si="44"/>
        <v>0</v>
      </c>
      <c r="Z212" s="260"/>
      <c r="AA212" s="163">
        <f t="shared" si="38"/>
        <v>0</v>
      </c>
      <c r="AC212" s="260"/>
      <c r="AD212" s="163">
        <f t="shared" si="39"/>
        <v>0</v>
      </c>
      <c r="AF212" s="260"/>
      <c r="AG212" s="163">
        <f t="shared" si="41"/>
        <v>0</v>
      </c>
      <c r="AI212" s="260"/>
      <c r="AJ212" s="163">
        <f t="shared" si="42"/>
        <v>0</v>
      </c>
      <c r="AL212" s="162">
        <f t="shared" si="43"/>
        <v>0</v>
      </c>
      <c r="AM212" s="163">
        <f t="shared" si="40"/>
        <v>0</v>
      </c>
    </row>
    <row r="213" spans="4:39" ht="27.6" customHeight="1" x14ac:dyDescent="0.3">
      <c r="D213" s="446"/>
      <c r="E213" s="306" t="s">
        <v>518</v>
      </c>
      <c r="F213" s="214" t="s">
        <v>519</v>
      </c>
      <c r="G213" s="202" t="s">
        <v>230</v>
      </c>
      <c r="H213" s="203">
        <v>1</v>
      </c>
      <c r="I213" s="206">
        <v>148436.12406112405</v>
      </c>
      <c r="J213" s="310"/>
      <c r="K213" s="260"/>
      <c r="L213" s="163">
        <f t="shared" si="34"/>
        <v>0</v>
      </c>
      <c r="M213" s="261"/>
      <c r="N213" s="260"/>
      <c r="O213" s="163">
        <f t="shared" si="35"/>
        <v>0</v>
      </c>
      <c r="Q213" s="260"/>
      <c r="R213" s="163">
        <f t="shared" si="36"/>
        <v>0</v>
      </c>
      <c r="T213" s="260"/>
      <c r="U213" s="163">
        <f t="shared" si="37"/>
        <v>0</v>
      </c>
      <c r="W213" s="262">
        <v>0</v>
      </c>
      <c r="X213" s="163">
        <f t="shared" si="44"/>
        <v>0</v>
      </c>
      <c r="Z213" s="260"/>
      <c r="AA213" s="163">
        <f t="shared" si="38"/>
        <v>0</v>
      </c>
      <c r="AC213" s="260"/>
      <c r="AD213" s="163">
        <f t="shared" si="39"/>
        <v>0</v>
      </c>
      <c r="AF213" s="260"/>
      <c r="AG213" s="163">
        <f t="shared" si="41"/>
        <v>0</v>
      </c>
      <c r="AI213" s="260"/>
      <c r="AJ213" s="163">
        <f t="shared" si="42"/>
        <v>0</v>
      </c>
      <c r="AL213" s="162">
        <f t="shared" si="43"/>
        <v>0</v>
      </c>
      <c r="AM213" s="163">
        <f t="shared" si="40"/>
        <v>0</v>
      </c>
    </row>
    <row r="214" spans="4:39" ht="27.6" customHeight="1" x14ac:dyDescent="0.3">
      <c r="D214" s="446"/>
      <c r="E214" s="306" t="s">
        <v>520</v>
      </c>
      <c r="F214" s="214" t="s">
        <v>521</v>
      </c>
      <c r="G214" s="202" t="s">
        <v>230</v>
      </c>
      <c r="H214" s="203">
        <v>1</v>
      </c>
      <c r="I214" s="206">
        <v>239121.34162134159</v>
      </c>
      <c r="J214" s="310"/>
      <c r="K214" s="260"/>
      <c r="L214" s="163">
        <f t="shared" si="34"/>
        <v>0</v>
      </c>
      <c r="M214" s="261"/>
      <c r="N214" s="260"/>
      <c r="O214" s="163">
        <f t="shared" si="35"/>
        <v>0</v>
      </c>
      <c r="Q214" s="260"/>
      <c r="R214" s="163">
        <f t="shared" si="36"/>
        <v>0</v>
      </c>
      <c r="T214" s="260"/>
      <c r="U214" s="163">
        <f t="shared" si="37"/>
        <v>0</v>
      </c>
      <c r="W214" s="262">
        <v>0</v>
      </c>
      <c r="X214" s="163">
        <f t="shared" si="44"/>
        <v>0</v>
      </c>
      <c r="Z214" s="260"/>
      <c r="AA214" s="163">
        <f t="shared" si="38"/>
        <v>0</v>
      </c>
      <c r="AC214" s="260"/>
      <c r="AD214" s="163">
        <f t="shared" si="39"/>
        <v>0</v>
      </c>
      <c r="AF214" s="260"/>
      <c r="AG214" s="163">
        <f t="shared" si="41"/>
        <v>0</v>
      </c>
      <c r="AI214" s="260"/>
      <c r="AJ214" s="163">
        <f t="shared" si="42"/>
        <v>0</v>
      </c>
      <c r="AL214" s="162">
        <f t="shared" si="43"/>
        <v>0</v>
      </c>
      <c r="AM214" s="163">
        <f t="shared" si="40"/>
        <v>0</v>
      </c>
    </row>
    <row r="215" spans="4:39" ht="27.6" customHeight="1" x14ac:dyDescent="0.3">
      <c r="D215" s="446"/>
      <c r="E215" s="306" t="s">
        <v>522</v>
      </c>
      <c r="F215" s="214" t="s">
        <v>523</v>
      </c>
      <c r="G215" s="202" t="s">
        <v>230</v>
      </c>
      <c r="H215" s="203">
        <v>1</v>
      </c>
      <c r="I215" s="206">
        <v>460517.19114219106</v>
      </c>
      <c r="J215" s="310"/>
      <c r="K215" s="260"/>
      <c r="L215" s="163">
        <f t="shared" si="34"/>
        <v>0</v>
      </c>
      <c r="M215" s="261"/>
      <c r="N215" s="260"/>
      <c r="O215" s="163">
        <f t="shared" si="35"/>
        <v>0</v>
      </c>
      <c r="Q215" s="260"/>
      <c r="R215" s="163">
        <f t="shared" si="36"/>
        <v>0</v>
      </c>
      <c r="T215" s="260"/>
      <c r="U215" s="163">
        <f t="shared" si="37"/>
        <v>0</v>
      </c>
      <c r="W215" s="262">
        <v>0</v>
      </c>
      <c r="X215" s="163">
        <f t="shared" si="44"/>
        <v>0</v>
      </c>
      <c r="Z215" s="260"/>
      <c r="AA215" s="163">
        <f t="shared" si="38"/>
        <v>0</v>
      </c>
      <c r="AC215" s="260"/>
      <c r="AD215" s="163">
        <f t="shared" si="39"/>
        <v>0</v>
      </c>
      <c r="AF215" s="260"/>
      <c r="AG215" s="163">
        <f t="shared" si="41"/>
        <v>0</v>
      </c>
      <c r="AI215" s="260"/>
      <c r="AJ215" s="163">
        <f t="shared" si="42"/>
        <v>0</v>
      </c>
      <c r="AL215" s="162">
        <f t="shared" si="43"/>
        <v>0</v>
      </c>
      <c r="AM215" s="163">
        <f t="shared" si="40"/>
        <v>0</v>
      </c>
    </row>
    <row r="216" spans="4:39" ht="27.6" customHeight="1" x14ac:dyDescent="0.3">
      <c r="D216" s="446"/>
      <c r="E216" s="306" t="s">
        <v>524</v>
      </c>
      <c r="F216" s="214" t="s">
        <v>525</v>
      </c>
      <c r="G216" s="202" t="s">
        <v>230</v>
      </c>
      <c r="H216" s="203">
        <v>1</v>
      </c>
      <c r="I216" s="206">
        <v>630176.76767676766</v>
      </c>
      <c r="J216" s="310"/>
      <c r="K216" s="260"/>
      <c r="L216" s="163">
        <f t="shared" si="34"/>
        <v>0</v>
      </c>
      <c r="M216" s="261"/>
      <c r="N216" s="260"/>
      <c r="O216" s="163">
        <f t="shared" si="35"/>
        <v>0</v>
      </c>
      <c r="Q216" s="260"/>
      <c r="R216" s="163">
        <f t="shared" si="36"/>
        <v>0</v>
      </c>
      <c r="T216" s="260"/>
      <c r="U216" s="163">
        <f t="shared" si="37"/>
        <v>0</v>
      </c>
      <c r="W216" s="262">
        <v>0</v>
      </c>
      <c r="X216" s="163">
        <f t="shared" si="44"/>
        <v>0</v>
      </c>
      <c r="Z216" s="260"/>
      <c r="AA216" s="163">
        <f t="shared" si="38"/>
        <v>0</v>
      </c>
      <c r="AC216" s="260"/>
      <c r="AD216" s="163">
        <f t="shared" si="39"/>
        <v>0</v>
      </c>
      <c r="AF216" s="260"/>
      <c r="AG216" s="163">
        <f t="shared" si="41"/>
        <v>0</v>
      </c>
      <c r="AI216" s="260"/>
      <c r="AJ216" s="163">
        <f t="shared" si="42"/>
        <v>0</v>
      </c>
      <c r="AL216" s="162">
        <f t="shared" si="43"/>
        <v>0</v>
      </c>
      <c r="AM216" s="163">
        <f t="shared" si="40"/>
        <v>0</v>
      </c>
    </row>
    <row r="217" spans="4:39" ht="27.6" customHeight="1" x14ac:dyDescent="0.3">
      <c r="D217" s="446"/>
      <c r="E217" s="306" t="s">
        <v>526</v>
      </c>
      <c r="F217" s="214" t="s">
        <v>527</v>
      </c>
      <c r="G217" s="202" t="s">
        <v>304</v>
      </c>
      <c r="H217" s="203">
        <v>1</v>
      </c>
      <c r="I217" s="206">
        <v>16160.644910644909</v>
      </c>
      <c r="J217" s="310"/>
      <c r="K217" s="260"/>
      <c r="L217" s="163">
        <f t="shared" si="34"/>
        <v>0</v>
      </c>
      <c r="M217" s="261"/>
      <c r="N217" s="260"/>
      <c r="O217" s="163">
        <f t="shared" si="35"/>
        <v>0</v>
      </c>
      <c r="Q217" s="260"/>
      <c r="R217" s="163">
        <f t="shared" si="36"/>
        <v>0</v>
      </c>
      <c r="T217" s="260"/>
      <c r="U217" s="163">
        <f t="shared" si="37"/>
        <v>0</v>
      </c>
      <c r="W217" s="262">
        <v>0</v>
      </c>
      <c r="X217" s="163">
        <f t="shared" si="44"/>
        <v>0</v>
      </c>
      <c r="Z217" s="260"/>
      <c r="AA217" s="163">
        <f t="shared" si="38"/>
        <v>0</v>
      </c>
      <c r="AC217" s="260"/>
      <c r="AD217" s="163">
        <f t="shared" si="39"/>
        <v>0</v>
      </c>
      <c r="AF217" s="260"/>
      <c r="AG217" s="163">
        <f t="shared" si="41"/>
        <v>0</v>
      </c>
      <c r="AI217" s="260"/>
      <c r="AJ217" s="163">
        <f t="shared" si="42"/>
        <v>0</v>
      </c>
      <c r="AL217" s="162">
        <f t="shared" si="43"/>
        <v>0</v>
      </c>
      <c r="AM217" s="163">
        <f t="shared" si="40"/>
        <v>0</v>
      </c>
    </row>
    <row r="218" spans="4:39" ht="27.6" customHeight="1" x14ac:dyDescent="0.3">
      <c r="D218" s="446"/>
      <c r="E218" s="306" t="s">
        <v>528</v>
      </c>
      <c r="F218" s="214" t="s">
        <v>529</v>
      </c>
      <c r="G218" s="202" t="s">
        <v>304</v>
      </c>
      <c r="H218" s="203">
        <v>1</v>
      </c>
      <c r="I218" s="206">
        <v>53979.862729862725</v>
      </c>
      <c r="J218" s="310"/>
      <c r="K218" s="260"/>
      <c r="L218" s="163">
        <f t="shared" si="34"/>
        <v>0</v>
      </c>
      <c r="M218" s="261"/>
      <c r="N218" s="260"/>
      <c r="O218" s="163">
        <f t="shared" si="35"/>
        <v>0</v>
      </c>
      <c r="Q218" s="260"/>
      <c r="R218" s="163">
        <f t="shared" si="36"/>
        <v>0</v>
      </c>
      <c r="T218" s="260"/>
      <c r="U218" s="163">
        <f t="shared" si="37"/>
        <v>0</v>
      </c>
      <c r="W218" s="262">
        <v>0</v>
      </c>
      <c r="X218" s="163">
        <f t="shared" si="44"/>
        <v>0</v>
      </c>
      <c r="Z218" s="260"/>
      <c r="AA218" s="163">
        <f t="shared" si="38"/>
        <v>0</v>
      </c>
      <c r="AC218" s="260"/>
      <c r="AD218" s="163">
        <f t="shared" si="39"/>
        <v>0</v>
      </c>
      <c r="AF218" s="260"/>
      <c r="AG218" s="163">
        <f t="shared" si="41"/>
        <v>0</v>
      </c>
      <c r="AI218" s="260"/>
      <c r="AJ218" s="163">
        <f t="shared" si="42"/>
        <v>0</v>
      </c>
      <c r="AL218" s="162">
        <f t="shared" si="43"/>
        <v>0</v>
      </c>
      <c r="AM218" s="163">
        <f t="shared" si="40"/>
        <v>0</v>
      </c>
    </row>
    <row r="219" spans="4:39" ht="27.6" customHeight="1" x14ac:dyDescent="0.3">
      <c r="D219" s="446"/>
      <c r="E219" s="306" t="s">
        <v>530</v>
      </c>
      <c r="F219" s="214" t="s">
        <v>531</v>
      </c>
      <c r="G219" s="202" t="s">
        <v>304</v>
      </c>
      <c r="H219" s="203">
        <v>1</v>
      </c>
      <c r="I219" s="206">
        <v>164008.67650867649</v>
      </c>
      <c r="J219" s="310"/>
      <c r="K219" s="260"/>
      <c r="L219" s="163">
        <f t="shared" si="34"/>
        <v>0</v>
      </c>
      <c r="M219" s="261"/>
      <c r="N219" s="260"/>
      <c r="O219" s="163">
        <f t="shared" si="35"/>
        <v>0</v>
      </c>
      <c r="Q219" s="260"/>
      <c r="R219" s="163">
        <f t="shared" si="36"/>
        <v>0</v>
      </c>
      <c r="T219" s="260"/>
      <c r="U219" s="163">
        <f t="shared" si="37"/>
        <v>0</v>
      </c>
      <c r="W219" s="262">
        <v>0</v>
      </c>
      <c r="X219" s="163">
        <f t="shared" si="44"/>
        <v>0</v>
      </c>
      <c r="Z219" s="260"/>
      <c r="AA219" s="163">
        <f t="shared" si="38"/>
        <v>0</v>
      </c>
      <c r="AC219" s="260"/>
      <c r="AD219" s="163">
        <f t="shared" si="39"/>
        <v>0</v>
      </c>
      <c r="AF219" s="260"/>
      <c r="AG219" s="163">
        <f t="shared" si="41"/>
        <v>0</v>
      </c>
      <c r="AI219" s="260"/>
      <c r="AJ219" s="163">
        <f t="shared" si="42"/>
        <v>0</v>
      </c>
      <c r="AL219" s="162">
        <f t="shared" si="43"/>
        <v>0</v>
      </c>
      <c r="AM219" s="163">
        <f t="shared" si="40"/>
        <v>0</v>
      </c>
    </row>
    <row r="220" spans="4:39" ht="27.6" customHeight="1" x14ac:dyDescent="0.3">
      <c r="D220" s="446"/>
      <c r="E220" s="306" t="s">
        <v>532</v>
      </c>
      <c r="F220" s="214" t="s">
        <v>533</v>
      </c>
      <c r="G220" s="202" t="s">
        <v>304</v>
      </c>
      <c r="H220" s="203">
        <v>1</v>
      </c>
      <c r="I220" s="206">
        <v>306748.57549857546</v>
      </c>
      <c r="J220" s="310"/>
      <c r="K220" s="260"/>
      <c r="L220" s="163">
        <f t="shared" si="34"/>
        <v>0</v>
      </c>
      <c r="M220" s="261"/>
      <c r="N220" s="260"/>
      <c r="O220" s="163">
        <f t="shared" si="35"/>
        <v>0</v>
      </c>
      <c r="Q220" s="260"/>
      <c r="R220" s="163">
        <f t="shared" si="36"/>
        <v>0</v>
      </c>
      <c r="T220" s="260"/>
      <c r="U220" s="163">
        <f t="shared" si="37"/>
        <v>0</v>
      </c>
      <c r="W220" s="262">
        <v>0</v>
      </c>
      <c r="X220" s="163">
        <f t="shared" si="44"/>
        <v>0</v>
      </c>
      <c r="Z220" s="260"/>
      <c r="AA220" s="163">
        <f t="shared" si="38"/>
        <v>0</v>
      </c>
      <c r="AC220" s="260"/>
      <c r="AD220" s="163">
        <f t="shared" si="39"/>
        <v>0</v>
      </c>
      <c r="AF220" s="260"/>
      <c r="AG220" s="163">
        <f t="shared" si="41"/>
        <v>0</v>
      </c>
      <c r="AI220" s="260"/>
      <c r="AJ220" s="163">
        <f t="shared" si="42"/>
        <v>0</v>
      </c>
      <c r="AL220" s="162">
        <f t="shared" si="43"/>
        <v>0</v>
      </c>
      <c r="AM220" s="163">
        <f t="shared" si="40"/>
        <v>0</v>
      </c>
    </row>
    <row r="221" spans="4:39" ht="27.6" customHeight="1" x14ac:dyDescent="0.3">
      <c r="D221" s="446"/>
      <c r="E221" s="306" t="s">
        <v>534</v>
      </c>
      <c r="F221" s="214" t="s">
        <v>535</v>
      </c>
      <c r="G221" s="202" t="s">
        <v>304</v>
      </c>
      <c r="H221" s="203">
        <v>1</v>
      </c>
      <c r="I221" s="206">
        <v>155958.94845894843</v>
      </c>
      <c r="J221" s="310"/>
      <c r="K221" s="260"/>
      <c r="L221" s="163">
        <f t="shared" si="34"/>
        <v>0</v>
      </c>
      <c r="M221" s="261"/>
      <c r="N221" s="260"/>
      <c r="O221" s="163">
        <f t="shared" si="35"/>
        <v>0</v>
      </c>
      <c r="Q221" s="260"/>
      <c r="R221" s="163">
        <f t="shared" si="36"/>
        <v>0</v>
      </c>
      <c r="T221" s="260"/>
      <c r="U221" s="163">
        <f t="shared" si="37"/>
        <v>0</v>
      </c>
      <c r="W221" s="262">
        <v>0</v>
      </c>
      <c r="X221" s="163">
        <f t="shared" si="44"/>
        <v>0</v>
      </c>
      <c r="Z221" s="260"/>
      <c r="AA221" s="163">
        <f t="shared" si="38"/>
        <v>0</v>
      </c>
      <c r="AC221" s="260"/>
      <c r="AD221" s="163">
        <f t="shared" si="39"/>
        <v>0</v>
      </c>
      <c r="AF221" s="260"/>
      <c r="AG221" s="163">
        <f t="shared" si="41"/>
        <v>0</v>
      </c>
      <c r="AI221" s="260"/>
      <c r="AJ221" s="163">
        <f t="shared" si="42"/>
        <v>0</v>
      </c>
      <c r="AL221" s="162">
        <f t="shared" si="43"/>
        <v>0</v>
      </c>
      <c r="AM221" s="163">
        <f t="shared" si="40"/>
        <v>0</v>
      </c>
    </row>
    <row r="222" spans="4:39" ht="27.6" customHeight="1" x14ac:dyDescent="0.3">
      <c r="D222" s="446"/>
      <c r="E222" s="306" t="s">
        <v>536</v>
      </c>
      <c r="F222" s="214" t="s">
        <v>537</v>
      </c>
      <c r="G222" s="202" t="s">
        <v>304</v>
      </c>
      <c r="H222" s="203">
        <v>1</v>
      </c>
      <c r="I222" s="206">
        <v>686450.07770007767</v>
      </c>
      <c r="J222" s="310"/>
      <c r="K222" s="260"/>
      <c r="L222" s="163">
        <f t="shared" si="34"/>
        <v>0</v>
      </c>
      <c r="M222" s="261"/>
      <c r="N222" s="260"/>
      <c r="O222" s="163">
        <f t="shared" si="35"/>
        <v>0</v>
      </c>
      <c r="Q222" s="260"/>
      <c r="R222" s="163">
        <f t="shared" si="36"/>
        <v>0</v>
      </c>
      <c r="T222" s="260"/>
      <c r="U222" s="163">
        <f t="shared" si="37"/>
        <v>0</v>
      </c>
      <c r="W222" s="262">
        <v>0</v>
      </c>
      <c r="X222" s="163">
        <f t="shared" si="44"/>
        <v>0</v>
      </c>
      <c r="Z222" s="260"/>
      <c r="AA222" s="163">
        <f t="shared" si="38"/>
        <v>0</v>
      </c>
      <c r="AC222" s="260"/>
      <c r="AD222" s="163">
        <f t="shared" si="39"/>
        <v>0</v>
      </c>
      <c r="AF222" s="260"/>
      <c r="AG222" s="163">
        <f t="shared" si="41"/>
        <v>0</v>
      </c>
      <c r="AI222" s="260"/>
      <c r="AJ222" s="163">
        <f t="shared" si="42"/>
        <v>0</v>
      </c>
      <c r="AL222" s="162">
        <f t="shared" si="43"/>
        <v>0</v>
      </c>
      <c r="AM222" s="163">
        <f t="shared" si="40"/>
        <v>0</v>
      </c>
    </row>
    <row r="223" spans="4:39" ht="27.6" customHeight="1" x14ac:dyDescent="0.3">
      <c r="D223" s="446"/>
      <c r="E223" s="306" t="s">
        <v>538</v>
      </c>
      <c r="F223" s="214" t="s">
        <v>539</v>
      </c>
      <c r="G223" s="202" t="s">
        <v>304</v>
      </c>
      <c r="H223" s="203">
        <v>1</v>
      </c>
      <c r="I223" s="206">
        <v>808036.77803677798</v>
      </c>
      <c r="J223" s="310"/>
      <c r="K223" s="260"/>
      <c r="L223" s="163">
        <f t="shared" si="34"/>
        <v>0</v>
      </c>
      <c r="M223" s="261"/>
      <c r="N223" s="260"/>
      <c r="O223" s="163">
        <f t="shared" si="35"/>
        <v>0</v>
      </c>
      <c r="Q223" s="260"/>
      <c r="R223" s="163">
        <f t="shared" si="36"/>
        <v>0</v>
      </c>
      <c r="T223" s="260"/>
      <c r="U223" s="163">
        <f t="shared" si="37"/>
        <v>0</v>
      </c>
      <c r="W223" s="262">
        <v>0</v>
      </c>
      <c r="X223" s="163">
        <f t="shared" si="44"/>
        <v>0</v>
      </c>
      <c r="Z223" s="260"/>
      <c r="AA223" s="163">
        <f t="shared" si="38"/>
        <v>0</v>
      </c>
      <c r="AC223" s="260"/>
      <c r="AD223" s="163">
        <f t="shared" si="39"/>
        <v>0</v>
      </c>
      <c r="AF223" s="260"/>
      <c r="AG223" s="163">
        <f t="shared" si="41"/>
        <v>0</v>
      </c>
      <c r="AI223" s="260"/>
      <c r="AJ223" s="163">
        <f t="shared" si="42"/>
        <v>0</v>
      </c>
      <c r="AL223" s="162">
        <f t="shared" si="43"/>
        <v>0</v>
      </c>
      <c r="AM223" s="163">
        <f t="shared" si="40"/>
        <v>0</v>
      </c>
    </row>
    <row r="224" spans="4:39" ht="27.6" customHeight="1" x14ac:dyDescent="0.3">
      <c r="D224" s="446"/>
      <c r="E224" s="306" t="s">
        <v>540</v>
      </c>
      <c r="F224" s="214" t="s">
        <v>541</v>
      </c>
      <c r="G224" s="202" t="s">
        <v>304</v>
      </c>
      <c r="H224" s="203">
        <v>1</v>
      </c>
      <c r="I224" s="206">
        <v>135453.89795389792</v>
      </c>
      <c r="J224" s="310"/>
      <c r="K224" s="260"/>
      <c r="L224" s="163">
        <f t="shared" si="34"/>
        <v>0</v>
      </c>
      <c r="M224" s="261"/>
      <c r="N224" s="260"/>
      <c r="O224" s="163">
        <f t="shared" si="35"/>
        <v>0</v>
      </c>
      <c r="Q224" s="260"/>
      <c r="R224" s="163">
        <f t="shared" si="36"/>
        <v>0</v>
      </c>
      <c r="T224" s="260"/>
      <c r="U224" s="163">
        <f t="shared" si="37"/>
        <v>0</v>
      </c>
      <c r="W224" s="262">
        <v>0</v>
      </c>
      <c r="X224" s="163">
        <f t="shared" si="44"/>
        <v>0</v>
      </c>
      <c r="Z224" s="260"/>
      <c r="AA224" s="163">
        <f t="shared" si="38"/>
        <v>0</v>
      </c>
      <c r="AC224" s="260"/>
      <c r="AD224" s="163">
        <f t="shared" si="39"/>
        <v>0</v>
      </c>
      <c r="AF224" s="260"/>
      <c r="AG224" s="163">
        <f t="shared" si="41"/>
        <v>0</v>
      </c>
      <c r="AI224" s="260"/>
      <c r="AJ224" s="163">
        <f t="shared" si="42"/>
        <v>0</v>
      </c>
      <c r="AL224" s="162">
        <f t="shared" si="43"/>
        <v>0</v>
      </c>
      <c r="AM224" s="163">
        <f t="shared" si="40"/>
        <v>0</v>
      </c>
    </row>
    <row r="225" spans="4:39" ht="27.6" customHeight="1" x14ac:dyDescent="0.3">
      <c r="D225" s="446"/>
      <c r="E225" s="306" t="s">
        <v>542</v>
      </c>
      <c r="F225" s="214" t="s">
        <v>543</v>
      </c>
      <c r="G225" s="202" t="s">
        <v>304</v>
      </c>
      <c r="H225" s="203">
        <v>1</v>
      </c>
      <c r="I225" s="206">
        <v>10907.472157472157</v>
      </c>
      <c r="J225" s="310"/>
      <c r="K225" s="260"/>
      <c r="L225" s="163">
        <f t="shared" si="34"/>
        <v>0</v>
      </c>
      <c r="M225" s="261"/>
      <c r="N225" s="260"/>
      <c r="O225" s="163">
        <f t="shared" si="35"/>
        <v>0</v>
      </c>
      <c r="Q225" s="260"/>
      <c r="R225" s="163">
        <f t="shared" si="36"/>
        <v>0</v>
      </c>
      <c r="T225" s="260"/>
      <c r="U225" s="163">
        <f t="shared" si="37"/>
        <v>0</v>
      </c>
      <c r="W225" s="262">
        <v>0</v>
      </c>
      <c r="X225" s="163">
        <f t="shared" si="44"/>
        <v>0</v>
      </c>
      <c r="Z225" s="260"/>
      <c r="AA225" s="163">
        <f t="shared" si="38"/>
        <v>0</v>
      </c>
      <c r="AC225" s="260"/>
      <c r="AD225" s="163">
        <f t="shared" si="39"/>
        <v>0</v>
      </c>
      <c r="AF225" s="260"/>
      <c r="AG225" s="163">
        <f t="shared" si="41"/>
        <v>0</v>
      </c>
      <c r="AI225" s="260"/>
      <c r="AJ225" s="163">
        <f t="shared" si="42"/>
        <v>0</v>
      </c>
      <c r="AL225" s="162">
        <f t="shared" si="43"/>
        <v>0</v>
      </c>
      <c r="AM225" s="163">
        <f t="shared" si="40"/>
        <v>0</v>
      </c>
    </row>
    <row r="226" spans="4:39" ht="27.6" customHeight="1" x14ac:dyDescent="0.3">
      <c r="D226" s="446"/>
      <c r="E226" s="306" t="s">
        <v>544</v>
      </c>
      <c r="F226" s="214" t="s">
        <v>545</v>
      </c>
      <c r="G226" s="202" t="s">
        <v>304</v>
      </c>
      <c r="H226" s="203">
        <v>1</v>
      </c>
      <c r="I226" s="206">
        <v>1372900.1554001553</v>
      </c>
      <c r="J226" s="310"/>
      <c r="K226" s="260"/>
      <c r="L226" s="163">
        <f t="shared" si="34"/>
        <v>0</v>
      </c>
      <c r="M226" s="261"/>
      <c r="N226" s="260"/>
      <c r="O226" s="163">
        <f t="shared" si="35"/>
        <v>0</v>
      </c>
      <c r="Q226" s="260"/>
      <c r="R226" s="163">
        <f t="shared" si="36"/>
        <v>0</v>
      </c>
      <c r="T226" s="260"/>
      <c r="U226" s="163">
        <f t="shared" si="37"/>
        <v>0</v>
      </c>
      <c r="W226" s="262">
        <v>0</v>
      </c>
      <c r="X226" s="163">
        <f t="shared" si="44"/>
        <v>0</v>
      </c>
      <c r="Z226" s="260"/>
      <c r="AA226" s="163">
        <f t="shared" si="38"/>
        <v>0</v>
      </c>
      <c r="AC226" s="260"/>
      <c r="AD226" s="163">
        <f t="shared" si="39"/>
        <v>0</v>
      </c>
      <c r="AF226" s="260"/>
      <c r="AG226" s="163">
        <f t="shared" si="41"/>
        <v>0</v>
      </c>
      <c r="AI226" s="260"/>
      <c r="AJ226" s="163">
        <f t="shared" si="42"/>
        <v>0</v>
      </c>
      <c r="AL226" s="162">
        <f t="shared" si="43"/>
        <v>0</v>
      </c>
      <c r="AM226" s="163">
        <f t="shared" si="40"/>
        <v>0</v>
      </c>
    </row>
    <row r="227" spans="4:39" ht="27.6" customHeight="1" x14ac:dyDescent="0.3">
      <c r="D227" s="446"/>
      <c r="E227" s="306" t="s">
        <v>546</v>
      </c>
      <c r="F227" s="214" t="s">
        <v>547</v>
      </c>
      <c r="G227" s="202" t="s">
        <v>304</v>
      </c>
      <c r="H227" s="203">
        <v>1</v>
      </c>
      <c r="I227" s="206">
        <v>423901.35327635321</v>
      </c>
      <c r="J227" s="310"/>
      <c r="K227" s="260"/>
      <c r="L227" s="163">
        <f t="shared" si="34"/>
        <v>0</v>
      </c>
      <c r="M227" s="261"/>
      <c r="N227" s="260"/>
      <c r="O227" s="163">
        <f t="shared" si="35"/>
        <v>0</v>
      </c>
      <c r="Q227" s="260"/>
      <c r="R227" s="163">
        <f t="shared" si="36"/>
        <v>0</v>
      </c>
      <c r="T227" s="260"/>
      <c r="U227" s="163">
        <f t="shared" si="37"/>
        <v>0</v>
      </c>
      <c r="W227" s="262">
        <v>0</v>
      </c>
      <c r="X227" s="163">
        <f t="shared" si="44"/>
        <v>0</v>
      </c>
      <c r="Z227" s="260"/>
      <c r="AA227" s="163">
        <f t="shared" si="38"/>
        <v>0</v>
      </c>
      <c r="AC227" s="260"/>
      <c r="AD227" s="163">
        <f t="shared" si="39"/>
        <v>0</v>
      </c>
      <c r="AF227" s="260"/>
      <c r="AG227" s="163">
        <f t="shared" si="41"/>
        <v>0</v>
      </c>
      <c r="AI227" s="260"/>
      <c r="AJ227" s="163">
        <f t="shared" si="42"/>
        <v>0</v>
      </c>
      <c r="AL227" s="162">
        <f t="shared" si="43"/>
        <v>0</v>
      </c>
      <c r="AM227" s="163">
        <f t="shared" si="40"/>
        <v>0</v>
      </c>
    </row>
    <row r="228" spans="4:39" ht="27.6" customHeight="1" x14ac:dyDescent="0.3">
      <c r="D228" s="446"/>
      <c r="E228" s="306" t="s">
        <v>548</v>
      </c>
      <c r="F228" s="214" t="s">
        <v>549</v>
      </c>
      <c r="G228" s="202" t="s">
        <v>304</v>
      </c>
      <c r="H228" s="203">
        <v>1</v>
      </c>
      <c r="I228" s="206">
        <v>35197.163947163943</v>
      </c>
      <c r="J228" s="310"/>
      <c r="K228" s="260"/>
      <c r="L228" s="163">
        <f t="shared" si="34"/>
        <v>0</v>
      </c>
      <c r="M228" s="261"/>
      <c r="N228" s="260"/>
      <c r="O228" s="163">
        <f t="shared" si="35"/>
        <v>0</v>
      </c>
      <c r="Q228" s="260"/>
      <c r="R228" s="163">
        <f t="shared" si="36"/>
        <v>0</v>
      </c>
      <c r="T228" s="260"/>
      <c r="U228" s="163">
        <f t="shared" si="37"/>
        <v>0</v>
      </c>
      <c r="W228" s="262">
        <v>0</v>
      </c>
      <c r="X228" s="163">
        <f t="shared" si="44"/>
        <v>0</v>
      </c>
      <c r="Z228" s="260"/>
      <c r="AA228" s="163">
        <f t="shared" si="38"/>
        <v>0</v>
      </c>
      <c r="AC228" s="260"/>
      <c r="AD228" s="163">
        <f t="shared" si="39"/>
        <v>0</v>
      </c>
      <c r="AF228" s="260"/>
      <c r="AG228" s="163">
        <f t="shared" si="41"/>
        <v>0</v>
      </c>
      <c r="AI228" s="260"/>
      <c r="AJ228" s="163">
        <f t="shared" si="42"/>
        <v>0</v>
      </c>
      <c r="AL228" s="162">
        <f t="shared" si="43"/>
        <v>0</v>
      </c>
      <c r="AM228" s="163">
        <f t="shared" si="40"/>
        <v>0</v>
      </c>
    </row>
    <row r="229" spans="4:39" ht="27.6" customHeight="1" x14ac:dyDescent="0.3">
      <c r="D229" s="446"/>
      <c r="E229" s="306" t="s">
        <v>550</v>
      </c>
      <c r="F229" s="214" t="s">
        <v>613</v>
      </c>
      <c r="G229" s="202" t="s">
        <v>304</v>
      </c>
      <c r="H229" s="203">
        <v>1</v>
      </c>
      <c r="I229" s="206">
        <v>103397.75964775964</v>
      </c>
      <c r="J229" s="310"/>
      <c r="K229" s="260"/>
      <c r="L229" s="163">
        <f t="shared" si="34"/>
        <v>0</v>
      </c>
      <c r="M229" s="261"/>
      <c r="N229" s="260"/>
      <c r="O229" s="163">
        <f t="shared" si="35"/>
        <v>0</v>
      </c>
      <c r="Q229" s="260"/>
      <c r="R229" s="163">
        <f t="shared" si="36"/>
        <v>0</v>
      </c>
      <c r="T229" s="260"/>
      <c r="U229" s="163">
        <f t="shared" si="37"/>
        <v>0</v>
      </c>
      <c r="W229" s="262">
        <v>0</v>
      </c>
      <c r="X229" s="163">
        <f t="shared" si="44"/>
        <v>0</v>
      </c>
      <c r="Z229" s="260"/>
      <c r="AA229" s="163">
        <f t="shared" si="38"/>
        <v>0</v>
      </c>
      <c r="AC229" s="260"/>
      <c r="AD229" s="163">
        <f t="shared" si="39"/>
        <v>0</v>
      </c>
      <c r="AF229" s="260"/>
      <c r="AG229" s="163">
        <f t="shared" si="41"/>
        <v>0</v>
      </c>
      <c r="AI229" s="260"/>
      <c r="AJ229" s="163">
        <f t="shared" si="42"/>
        <v>0</v>
      </c>
      <c r="AL229" s="162">
        <f t="shared" si="43"/>
        <v>0</v>
      </c>
      <c r="AM229" s="163">
        <f t="shared" si="40"/>
        <v>0</v>
      </c>
    </row>
    <row r="230" spans="4:39" ht="27.6" customHeight="1" x14ac:dyDescent="0.3">
      <c r="D230" s="446"/>
      <c r="E230" s="306" t="s">
        <v>552</v>
      </c>
      <c r="F230" s="214" t="s">
        <v>553</v>
      </c>
      <c r="G230" s="202" t="s">
        <v>230</v>
      </c>
      <c r="H230" s="203">
        <v>1</v>
      </c>
      <c r="I230" s="206">
        <v>33079.351204351202</v>
      </c>
      <c r="J230" s="310"/>
      <c r="K230" s="260"/>
      <c r="L230" s="163">
        <f t="shared" si="34"/>
        <v>0</v>
      </c>
      <c r="M230" s="261"/>
      <c r="N230" s="260"/>
      <c r="O230" s="163">
        <f t="shared" si="35"/>
        <v>0</v>
      </c>
      <c r="Q230" s="260"/>
      <c r="R230" s="163">
        <f t="shared" si="36"/>
        <v>0</v>
      </c>
      <c r="T230" s="260"/>
      <c r="U230" s="163">
        <f t="shared" si="37"/>
        <v>0</v>
      </c>
      <c r="W230" s="262">
        <v>0</v>
      </c>
      <c r="X230" s="163">
        <f t="shared" si="44"/>
        <v>0</v>
      </c>
      <c r="Z230" s="260"/>
      <c r="AA230" s="163">
        <f t="shared" si="38"/>
        <v>0</v>
      </c>
      <c r="AC230" s="260"/>
      <c r="AD230" s="163">
        <f t="shared" si="39"/>
        <v>0</v>
      </c>
      <c r="AF230" s="260"/>
      <c r="AG230" s="163">
        <f t="shared" si="41"/>
        <v>0</v>
      </c>
      <c r="AI230" s="260"/>
      <c r="AJ230" s="163">
        <f t="shared" si="42"/>
        <v>0</v>
      </c>
      <c r="AL230" s="162">
        <f t="shared" si="43"/>
        <v>0</v>
      </c>
      <c r="AM230" s="163">
        <f t="shared" si="40"/>
        <v>0</v>
      </c>
    </row>
    <row r="231" spans="4:39" ht="27.6" customHeight="1" x14ac:dyDescent="0.3">
      <c r="D231" s="446"/>
      <c r="E231" s="306" t="s">
        <v>554</v>
      </c>
      <c r="F231" s="214" t="s">
        <v>340</v>
      </c>
      <c r="G231" s="202" t="s">
        <v>304</v>
      </c>
      <c r="H231" s="203">
        <v>1</v>
      </c>
      <c r="I231" s="206">
        <v>24128.787878787876</v>
      </c>
      <c r="J231" s="310"/>
      <c r="K231" s="260"/>
      <c r="L231" s="163">
        <f t="shared" si="34"/>
        <v>0</v>
      </c>
      <c r="M231" s="261"/>
      <c r="N231" s="260"/>
      <c r="O231" s="163">
        <f t="shared" si="35"/>
        <v>0</v>
      </c>
      <c r="Q231" s="260"/>
      <c r="R231" s="163">
        <f t="shared" si="36"/>
        <v>0</v>
      </c>
      <c r="T231" s="260"/>
      <c r="U231" s="163">
        <f t="shared" si="37"/>
        <v>0</v>
      </c>
      <c r="W231" s="262">
        <v>0</v>
      </c>
      <c r="X231" s="163">
        <f t="shared" si="44"/>
        <v>0</v>
      </c>
      <c r="Z231" s="260"/>
      <c r="AA231" s="163">
        <f t="shared" si="38"/>
        <v>0</v>
      </c>
      <c r="AC231" s="260"/>
      <c r="AD231" s="163">
        <f t="shared" si="39"/>
        <v>0</v>
      </c>
      <c r="AF231" s="260"/>
      <c r="AG231" s="163">
        <f t="shared" si="41"/>
        <v>0</v>
      </c>
      <c r="AI231" s="260"/>
      <c r="AJ231" s="163">
        <f t="shared" si="42"/>
        <v>0</v>
      </c>
      <c r="AL231" s="162">
        <f t="shared" si="43"/>
        <v>0</v>
      </c>
      <c r="AM231" s="163">
        <f t="shared" si="40"/>
        <v>0</v>
      </c>
    </row>
    <row r="232" spans="4:39" ht="27.6" customHeight="1" x14ac:dyDescent="0.3">
      <c r="D232" s="446"/>
      <c r="E232" s="306" t="s">
        <v>555</v>
      </c>
      <c r="F232" s="214" t="s">
        <v>556</v>
      </c>
      <c r="G232" s="202" t="s">
        <v>230</v>
      </c>
      <c r="H232" s="203">
        <v>1</v>
      </c>
      <c r="I232" s="206">
        <v>61549.14529914529</v>
      </c>
      <c r="J232" s="310"/>
      <c r="K232" s="260"/>
      <c r="L232" s="163">
        <f t="shared" si="34"/>
        <v>0</v>
      </c>
      <c r="M232" s="261"/>
      <c r="N232" s="260"/>
      <c r="O232" s="163">
        <f t="shared" si="35"/>
        <v>0</v>
      </c>
      <c r="Q232" s="260"/>
      <c r="R232" s="163">
        <f t="shared" si="36"/>
        <v>0</v>
      </c>
      <c r="T232" s="260"/>
      <c r="U232" s="163">
        <f t="shared" si="37"/>
        <v>0</v>
      </c>
      <c r="W232" s="262">
        <v>0</v>
      </c>
      <c r="X232" s="163">
        <f t="shared" si="44"/>
        <v>0</v>
      </c>
      <c r="Z232" s="260"/>
      <c r="AA232" s="163">
        <f t="shared" si="38"/>
        <v>0</v>
      </c>
      <c r="AC232" s="260"/>
      <c r="AD232" s="163">
        <f t="shared" si="39"/>
        <v>0</v>
      </c>
      <c r="AF232" s="260"/>
      <c r="AG232" s="163">
        <f t="shared" si="41"/>
        <v>0</v>
      </c>
      <c r="AI232" s="260"/>
      <c r="AJ232" s="163">
        <f t="shared" si="42"/>
        <v>0</v>
      </c>
      <c r="AL232" s="162">
        <f t="shared" si="43"/>
        <v>0</v>
      </c>
      <c r="AM232" s="163">
        <f t="shared" si="40"/>
        <v>0</v>
      </c>
    </row>
    <row r="233" spans="4:39" ht="27.6" customHeight="1" x14ac:dyDescent="0.3">
      <c r="D233" s="446"/>
      <c r="E233" s="306" t="s">
        <v>557</v>
      </c>
      <c r="F233" s="214" t="s">
        <v>348</v>
      </c>
      <c r="G233" s="202" t="s">
        <v>304</v>
      </c>
      <c r="H233" s="203">
        <v>1</v>
      </c>
      <c r="I233" s="206">
        <v>88151.547526547511</v>
      </c>
      <c r="J233" s="310"/>
      <c r="K233" s="260"/>
      <c r="L233" s="163">
        <f t="shared" si="34"/>
        <v>0</v>
      </c>
      <c r="M233" s="261"/>
      <c r="N233" s="260"/>
      <c r="O233" s="163">
        <f t="shared" si="35"/>
        <v>0</v>
      </c>
      <c r="Q233" s="260"/>
      <c r="R233" s="163">
        <f t="shared" si="36"/>
        <v>0</v>
      </c>
      <c r="T233" s="260"/>
      <c r="U233" s="163">
        <f t="shared" si="37"/>
        <v>0</v>
      </c>
      <c r="W233" s="262">
        <v>0</v>
      </c>
      <c r="X233" s="163">
        <f t="shared" si="44"/>
        <v>0</v>
      </c>
      <c r="Z233" s="260"/>
      <c r="AA233" s="163">
        <f t="shared" si="38"/>
        <v>0</v>
      </c>
      <c r="AC233" s="260"/>
      <c r="AD233" s="163">
        <f t="shared" si="39"/>
        <v>0</v>
      </c>
      <c r="AF233" s="260"/>
      <c r="AG233" s="163">
        <f t="shared" si="41"/>
        <v>0</v>
      </c>
      <c r="AI233" s="260"/>
      <c r="AJ233" s="163">
        <f t="shared" si="42"/>
        <v>0</v>
      </c>
      <c r="AL233" s="162">
        <f t="shared" si="43"/>
        <v>0</v>
      </c>
      <c r="AM233" s="163">
        <f t="shared" si="40"/>
        <v>0</v>
      </c>
    </row>
    <row r="234" spans="4:39" ht="27.6" customHeight="1" x14ac:dyDescent="0.3">
      <c r="D234" s="446"/>
      <c r="E234" s="306" t="s">
        <v>558</v>
      </c>
      <c r="F234" s="214" t="s">
        <v>559</v>
      </c>
      <c r="G234" s="202" t="s">
        <v>230</v>
      </c>
      <c r="H234" s="203">
        <v>1</v>
      </c>
      <c r="I234" s="206">
        <v>124002.52525252523</v>
      </c>
      <c r="J234" s="310"/>
      <c r="K234" s="260"/>
      <c r="L234" s="163">
        <f t="shared" si="34"/>
        <v>0</v>
      </c>
      <c r="M234" s="261"/>
      <c r="N234" s="260"/>
      <c r="O234" s="163">
        <f t="shared" si="35"/>
        <v>0</v>
      </c>
      <c r="Q234" s="260"/>
      <c r="R234" s="163">
        <f t="shared" si="36"/>
        <v>0</v>
      </c>
      <c r="T234" s="260"/>
      <c r="U234" s="163">
        <f t="shared" si="37"/>
        <v>0</v>
      </c>
      <c r="W234" s="262">
        <v>0</v>
      </c>
      <c r="X234" s="163">
        <f t="shared" si="44"/>
        <v>0</v>
      </c>
      <c r="Z234" s="260"/>
      <c r="AA234" s="163">
        <f t="shared" si="38"/>
        <v>0</v>
      </c>
      <c r="AC234" s="260"/>
      <c r="AD234" s="163">
        <f t="shared" si="39"/>
        <v>0</v>
      </c>
      <c r="AF234" s="260"/>
      <c r="AG234" s="163">
        <f t="shared" si="41"/>
        <v>0</v>
      </c>
      <c r="AI234" s="260"/>
      <c r="AJ234" s="163">
        <f t="shared" si="42"/>
        <v>0</v>
      </c>
      <c r="AL234" s="162">
        <f t="shared" si="43"/>
        <v>0</v>
      </c>
      <c r="AM234" s="163">
        <f t="shared" si="40"/>
        <v>0</v>
      </c>
    </row>
    <row r="235" spans="4:39" ht="27.6" customHeight="1" x14ac:dyDescent="0.3">
      <c r="D235" s="446"/>
      <c r="E235" s="306" t="s">
        <v>560</v>
      </c>
      <c r="F235" s="214" t="s">
        <v>561</v>
      </c>
      <c r="G235" s="202" t="s">
        <v>230</v>
      </c>
      <c r="H235" s="203">
        <v>1</v>
      </c>
      <c r="I235" s="206">
        <v>49573.135198135191</v>
      </c>
      <c r="J235" s="310"/>
      <c r="K235" s="260"/>
      <c r="L235" s="163">
        <f t="shared" si="34"/>
        <v>0</v>
      </c>
      <c r="M235" s="261"/>
      <c r="N235" s="260"/>
      <c r="O235" s="163">
        <f t="shared" si="35"/>
        <v>0</v>
      </c>
      <c r="Q235" s="260"/>
      <c r="R235" s="163">
        <f t="shared" si="36"/>
        <v>0</v>
      </c>
      <c r="T235" s="260"/>
      <c r="U235" s="163">
        <f t="shared" si="37"/>
        <v>0</v>
      </c>
      <c r="W235" s="262">
        <v>0</v>
      </c>
      <c r="X235" s="163">
        <f t="shared" si="44"/>
        <v>0</v>
      </c>
      <c r="Z235" s="260"/>
      <c r="AA235" s="163">
        <f t="shared" si="38"/>
        <v>0</v>
      </c>
      <c r="AC235" s="260"/>
      <c r="AD235" s="163">
        <f t="shared" si="39"/>
        <v>0</v>
      </c>
      <c r="AF235" s="260"/>
      <c r="AG235" s="163">
        <f t="shared" si="41"/>
        <v>0</v>
      </c>
      <c r="AI235" s="260"/>
      <c r="AJ235" s="163">
        <f t="shared" si="42"/>
        <v>0</v>
      </c>
      <c r="AL235" s="162">
        <f t="shared" si="43"/>
        <v>0</v>
      </c>
      <c r="AM235" s="163">
        <f t="shared" si="40"/>
        <v>0</v>
      </c>
    </row>
    <row r="236" spans="4:39" ht="27.6" customHeight="1" x14ac:dyDescent="0.3">
      <c r="D236" s="446"/>
      <c r="E236" s="306" t="s">
        <v>562</v>
      </c>
      <c r="F236" s="214" t="s">
        <v>563</v>
      </c>
      <c r="G236" s="202" t="s">
        <v>564</v>
      </c>
      <c r="H236" s="203">
        <v>1</v>
      </c>
      <c r="I236" s="206">
        <v>23025.123025123023</v>
      </c>
      <c r="J236" s="310"/>
      <c r="K236" s="260"/>
      <c r="L236" s="163">
        <f t="shared" si="34"/>
        <v>0</v>
      </c>
      <c r="M236" s="261"/>
      <c r="N236" s="260"/>
      <c r="O236" s="163">
        <f t="shared" si="35"/>
        <v>0</v>
      </c>
      <c r="Q236" s="260"/>
      <c r="R236" s="163">
        <f t="shared" si="36"/>
        <v>0</v>
      </c>
      <c r="T236" s="260"/>
      <c r="U236" s="163">
        <f t="shared" si="37"/>
        <v>0</v>
      </c>
      <c r="W236" s="262">
        <v>0</v>
      </c>
      <c r="X236" s="163">
        <f t="shared" si="44"/>
        <v>0</v>
      </c>
      <c r="Z236" s="260"/>
      <c r="AA236" s="163">
        <f t="shared" si="38"/>
        <v>0</v>
      </c>
      <c r="AC236" s="260"/>
      <c r="AD236" s="163">
        <f t="shared" si="39"/>
        <v>0</v>
      </c>
      <c r="AF236" s="260"/>
      <c r="AG236" s="163">
        <f t="shared" si="41"/>
        <v>0</v>
      </c>
      <c r="AI236" s="260"/>
      <c r="AJ236" s="163">
        <f t="shared" si="42"/>
        <v>0</v>
      </c>
      <c r="AL236" s="162">
        <f t="shared" si="43"/>
        <v>0</v>
      </c>
      <c r="AM236" s="163">
        <f t="shared" si="40"/>
        <v>0</v>
      </c>
    </row>
    <row r="237" spans="4:39" x14ac:dyDescent="0.3">
      <c r="D237" s="446"/>
      <c r="E237" s="306" t="s">
        <v>565</v>
      </c>
      <c r="F237" s="214" t="s">
        <v>566</v>
      </c>
      <c r="G237" s="202" t="s">
        <v>30</v>
      </c>
      <c r="H237" s="203">
        <v>1</v>
      </c>
      <c r="I237" s="206">
        <v>328186.18881118874</v>
      </c>
      <c r="J237" s="310"/>
      <c r="K237" s="260"/>
      <c r="L237" s="163">
        <f t="shared" si="34"/>
        <v>0</v>
      </c>
      <c r="M237" s="261"/>
      <c r="N237" s="260"/>
      <c r="O237" s="163">
        <f t="shared" si="35"/>
        <v>0</v>
      </c>
      <c r="Q237" s="260"/>
      <c r="R237" s="163">
        <f t="shared" si="36"/>
        <v>0</v>
      </c>
      <c r="T237" s="260"/>
      <c r="U237" s="163">
        <f t="shared" si="37"/>
        <v>0</v>
      </c>
      <c r="W237" s="262">
        <v>0</v>
      </c>
      <c r="X237" s="163">
        <f t="shared" si="44"/>
        <v>0</v>
      </c>
      <c r="Z237" s="260"/>
      <c r="AA237" s="163">
        <f t="shared" si="38"/>
        <v>0</v>
      </c>
      <c r="AC237" s="260"/>
      <c r="AD237" s="163">
        <f t="shared" si="39"/>
        <v>0</v>
      </c>
      <c r="AF237" s="260"/>
      <c r="AG237" s="163">
        <f t="shared" si="41"/>
        <v>0</v>
      </c>
      <c r="AI237" s="260"/>
      <c r="AJ237" s="163">
        <f t="shared" si="42"/>
        <v>0</v>
      </c>
      <c r="AL237" s="162">
        <f t="shared" si="43"/>
        <v>0</v>
      </c>
      <c r="AM237" s="163">
        <f t="shared" si="40"/>
        <v>0</v>
      </c>
    </row>
    <row r="238" spans="4:39" x14ac:dyDescent="0.3">
      <c r="D238" s="446"/>
      <c r="E238" s="306" t="s">
        <v>567</v>
      </c>
      <c r="F238" s="214" t="s">
        <v>614</v>
      </c>
      <c r="G238" s="202" t="s">
        <v>21</v>
      </c>
      <c r="H238" s="203">
        <v>1</v>
      </c>
      <c r="I238" s="206">
        <v>11756.183631183629</v>
      </c>
      <c r="J238" s="310"/>
      <c r="K238" s="260"/>
      <c r="L238" s="163">
        <f t="shared" si="34"/>
        <v>0</v>
      </c>
      <c r="M238" s="261"/>
      <c r="N238" s="260"/>
      <c r="O238" s="163">
        <f t="shared" si="35"/>
        <v>0</v>
      </c>
      <c r="Q238" s="260"/>
      <c r="R238" s="163">
        <f t="shared" si="36"/>
        <v>0</v>
      </c>
      <c r="T238" s="260"/>
      <c r="U238" s="163">
        <f t="shared" si="37"/>
        <v>0</v>
      </c>
      <c r="W238" s="262">
        <v>0</v>
      </c>
      <c r="X238" s="163">
        <f t="shared" si="44"/>
        <v>0</v>
      </c>
      <c r="Z238" s="274"/>
      <c r="AA238" s="163">
        <f t="shared" si="38"/>
        <v>0</v>
      </c>
      <c r="AC238" s="260"/>
      <c r="AD238" s="163">
        <f t="shared" si="39"/>
        <v>0</v>
      </c>
      <c r="AF238" s="260"/>
      <c r="AG238" s="163">
        <f t="shared" si="41"/>
        <v>0</v>
      </c>
      <c r="AI238" s="260"/>
      <c r="AJ238" s="163">
        <f t="shared" si="42"/>
        <v>0</v>
      </c>
      <c r="AL238" s="162">
        <f t="shared" si="43"/>
        <v>0</v>
      </c>
      <c r="AM238" s="163">
        <f t="shared" si="40"/>
        <v>0</v>
      </c>
    </row>
    <row r="239" spans="4:39" ht="35.4" customHeight="1" thickBot="1" x14ac:dyDescent="0.35">
      <c r="D239" s="446"/>
      <c r="E239" s="307">
        <v>9.1300000000000008</v>
      </c>
      <c r="F239" s="214" t="s">
        <v>569</v>
      </c>
      <c r="G239" s="202" t="s">
        <v>27</v>
      </c>
      <c r="H239" s="242">
        <v>1</v>
      </c>
      <c r="I239" s="243">
        <v>2841046.2190168407</v>
      </c>
      <c r="J239" s="310"/>
      <c r="K239" s="260"/>
      <c r="L239" s="163">
        <f t="shared" si="34"/>
        <v>0</v>
      </c>
      <c r="M239" s="261"/>
      <c r="N239" s="260"/>
      <c r="O239" s="163">
        <f t="shared" si="35"/>
        <v>0</v>
      </c>
      <c r="Q239" s="260"/>
      <c r="R239" s="163">
        <f t="shared" si="36"/>
        <v>0</v>
      </c>
      <c r="T239" s="260"/>
      <c r="U239" s="163">
        <f t="shared" si="37"/>
        <v>0</v>
      </c>
      <c r="W239" s="262">
        <v>0</v>
      </c>
      <c r="X239" s="163">
        <f t="shared" si="44"/>
        <v>0</v>
      </c>
      <c r="Z239" s="260"/>
      <c r="AA239" s="163">
        <f t="shared" si="38"/>
        <v>0</v>
      </c>
      <c r="AC239" s="260"/>
      <c r="AD239" s="163">
        <f t="shared" si="39"/>
        <v>0</v>
      </c>
      <c r="AF239" s="260"/>
      <c r="AG239" s="163">
        <f t="shared" si="41"/>
        <v>0</v>
      </c>
      <c r="AI239" s="260"/>
      <c r="AJ239" s="163">
        <f t="shared" si="42"/>
        <v>0</v>
      </c>
      <c r="AL239" s="162">
        <f t="shared" si="43"/>
        <v>0</v>
      </c>
      <c r="AM239" s="163">
        <f t="shared" si="40"/>
        <v>0</v>
      </c>
    </row>
    <row r="240" spans="4:39" ht="39" customHeight="1" x14ac:dyDescent="0.3">
      <c r="D240" s="447" t="s">
        <v>603</v>
      </c>
      <c r="E240" s="308">
        <v>11.21</v>
      </c>
      <c r="F240" s="248" t="s">
        <v>571</v>
      </c>
      <c r="G240" s="249" t="s">
        <v>230</v>
      </c>
      <c r="H240" s="250">
        <v>1</v>
      </c>
      <c r="I240" s="251">
        <v>23384.324009324006</v>
      </c>
      <c r="J240" s="310"/>
      <c r="K240" s="260"/>
      <c r="L240" s="163">
        <f t="shared" si="34"/>
        <v>0</v>
      </c>
      <c r="M240" s="261"/>
      <c r="N240" s="260"/>
      <c r="O240" s="163">
        <f t="shared" si="35"/>
        <v>0</v>
      </c>
      <c r="Q240" s="260"/>
      <c r="R240" s="163">
        <f t="shared" si="36"/>
        <v>0</v>
      </c>
      <c r="T240" s="260"/>
      <c r="U240" s="163">
        <f t="shared" si="37"/>
        <v>0</v>
      </c>
      <c r="W240" s="262">
        <v>0</v>
      </c>
      <c r="X240" s="163">
        <f t="shared" si="44"/>
        <v>0</v>
      </c>
      <c r="Z240" s="260"/>
      <c r="AA240" s="163">
        <f t="shared" si="38"/>
        <v>0</v>
      </c>
      <c r="AC240" s="260"/>
      <c r="AD240" s="163">
        <f t="shared" si="39"/>
        <v>0</v>
      </c>
      <c r="AF240" s="260"/>
      <c r="AG240" s="163">
        <f t="shared" si="41"/>
        <v>0</v>
      </c>
      <c r="AI240" s="260"/>
      <c r="AJ240" s="163">
        <f t="shared" si="42"/>
        <v>0</v>
      </c>
      <c r="AL240" s="162">
        <f t="shared" si="43"/>
        <v>0</v>
      </c>
      <c r="AM240" s="163">
        <f t="shared" si="40"/>
        <v>0</v>
      </c>
    </row>
    <row r="241" spans="4:39" ht="39" customHeight="1" x14ac:dyDescent="0.3">
      <c r="D241" s="448"/>
      <c r="E241" s="308">
        <v>11.28</v>
      </c>
      <c r="F241" s="248" t="s">
        <v>608</v>
      </c>
      <c r="G241" s="249" t="s">
        <v>27</v>
      </c>
      <c r="H241" s="250">
        <v>1</v>
      </c>
      <c r="I241" s="251">
        <v>49117.618492618487</v>
      </c>
      <c r="J241" s="310"/>
      <c r="K241" s="260"/>
      <c r="L241" s="163">
        <f t="shared" si="34"/>
        <v>0</v>
      </c>
      <c r="M241" s="261"/>
      <c r="N241" s="260"/>
      <c r="O241" s="163">
        <f t="shared" si="35"/>
        <v>0</v>
      </c>
      <c r="Q241" s="260"/>
      <c r="R241" s="163">
        <f t="shared" si="36"/>
        <v>0</v>
      </c>
      <c r="T241" s="260"/>
      <c r="U241" s="163">
        <f t="shared" si="37"/>
        <v>0</v>
      </c>
      <c r="W241" s="262">
        <v>0</v>
      </c>
      <c r="X241" s="163">
        <f t="shared" si="44"/>
        <v>0</v>
      </c>
      <c r="Z241" s="260"/>
      <c r="AA241" s="163">
        <f t="shared" si="38"/>
        <v>0</v>
      </c>
      <c r="AC241" s="260"/>
      <c r="AD241" s="163">
        <f t="shared" si="39"/>
        <v>0</v>
      </c>
      <c r="AF241" s="260"/>
      <c r="AG241" s="163">
        <f t="shared" si="41"/>
        <v>0</v>
      </c>
      <c r="AI241" s="260"/>
      <c r="AJ241" s="163">
        <f t="shared" si="42"/>
        <v>0</v>
      </c>
      <c r="AL241" s="162">
        <f t="shared" si="43"/>
        <v>0</v>
      </c>
      <c r="AM241" s="163">
        <f t="shared" si="40"/>
        <v>0</v>
      </c>
    </row>
    <row r="242" spans="4:39" ht="39" customHeight="1" x14ac:dyDescent="0.3">
      <c r="D242" s="448"/>
      <c r="E242" s="308">
        <v>11.16</v>
      </c>
      <c r="F242" s="248" t="s">
        <v>609</v>
      </c>
      <c r="G242" s="249" t="s">
        <v>27</v>
      </c>
      <c r="H242" s="250">
        <v>1</v>
      </c>
      <c r="I242" s="251">
        <v>133542.31416731415</v>
      </c>
      <c r="J242" s="310"/>
      <c r="K242" s="260"/>
      <c r="L242" s="163">
        <f t="shared" si="34"/>
        <v>0</v>
      </c>
      <c r="M242" s="261"/>
      <c r="N242" s="260"/>
      <c r="O242" s="163">
        <f t="shared" si="35"/>
        <v>0</v>
      </c>
      <c r="Q242" s="260"/>
      <c r="R242" s="163">
        <f t="shared" si="36"/>
        <v>0</v>
      </c>
      <c r="T242" s="260"/>
      <c r="U242" s="163">
        <f t="shared" si="37"/>
        <v>0</v>
      </c>
      <c r="W242" s="262">
        <v>0</v>
      </c>
      <c r="X242" s="163">
        <f t="shared" si="44"/>
        <v>0</v>
      </c>
      <c r="Z242" s="260"/>
      <c r="AA242" s="273">
        <f t="shared" si="38"/>
        <v>0</v>
      </c>
      <c r="AC242" s="260"/>
      <c r="AD242" s="163">
        <f t="shared" si="39"/>
        <v>0</v>
      </c>
      <c r="AF242" s="260"/>
      <c r="AG242" s="163">
        <f t="shared" si="41"/>
        <v>0</v>
      </c>
      <c r="AI242" s="260"/>
      <c r="AJ242" s="163">
        <f t="shared" si="42"/>
        <v>0</v>
      </c>
      <c r="AL242" s="162">
        <f t="shared" si="43"/>
        <v>0</v>
      </c>
      <c r="AM242" s="163">
        <f t="shared" si="40"/>
        <v>0</v>
      </c>
    </row>
    <row r="243" spans="4:39" ht="39" customHeight="1" x14ac:dyDescent="0.3">
      <c r="D243" s="448"/>
      <c r="E243" s="308">
        <v>11.13</v>
      </c>
      <c r="F243" s="248" t="s">
        <v>616</v>
      </c>
      <c r="G243" s="249" t="s">
        <v>27</v>
      </c>
      <c r="H243" s="250">
        <v>1</v>
      </c>
      <c r="I243" s="251">
        <v>775692.8256928256</v>
      </c>
      <c r="J243" s="310"/>
      <c r="K243" s="260"/>
      <c r="L243" s="163">
        <f t="shared" si="34"/>
        <v>0</v>
      </c>
      <c r="M243" s="261"/>
      <c r="N243" s="260"/>
      <c r="O243" s="163">
        <f t="shared" si="35"/>
        <v>0</v>
      </c>
      <c r="Q243" s="260"/>
      <c r="R243" s="163">
        <f t="shared" si="36"/>
        <v>0</v>
      </c>
      <c r="T243" s="260"/>
      <c r="U243" s="163">
        <f t="shared" si="37"/>
        <v>0</v>
      </c>
      <c r="W243" s="262">
        <v>0</v>
      </c>
      <c r="X243" s="163">
        <f t="shared" si="44"/>
        <v>0</v>
      </c>
      <c r="Z243" s="260"/>
      <c r="AA243" s="273">
        <f t="shared" si="38"/>
        <v>0</v>
      </c>
      <c r="AC243" s="260"/>
      <c r="AD243" s="163">
        <f t="shared" si="39"/>
        <v>0</v>
      </c>
      <c r="AF243" s="260"/>
      <c r="AG243" s="163">
        <f t="shared" si="41"/>
        <v>0</v>
      </c>
      <c r="AI243" s="260"/>
      <c r="AJ243" s="163">
        <f t="shared" si="42"/>
        <v>0</v>
      </c>
      <c r="AL243" s="162">
        <f t="shared" si="43"/>
        <v>0</v>
      </c>
      <c r="AM243" s="163">
        <f t="shared" si="40"/>
        <v>0</v>
      </c>
    </row>
    <row r="244" spans="4:39" ht="39" customHeight="1" x14ac:dyDescent="0.3">
      <c r="D244" s="448"/>
      <c r="E244" s="308">
        <v>11.19</v>
      </c>
      <c r="F244" s="248" t="s">
        <v>617</v>
      </c>
      <c r="G244" s="249" t="s">
        <v>27</v>
      </c>
      <c r="H244" s="250">
        <v>1</v>
      </c>
      <c r="I244" s="251">
        <v>1237928.969178969</v>
      </c>
      <c r="J244" s="310"/>
      <c r="K244" s="260"/>
      <c r="L244" s="163">
        <f t="shared" si="34"/>
        <v>0</v>
      </c>
      <c r="M244" s="261"/>
      <c r="N244" s="260"/>
      <c r="O244" s="163">
        <f t="shared" si="35"/>
        <v>0</v>
      </c>
      <c r="Q244" s="260"/>
      <c r="R244" s="163">
        <f t="shared" si="36"/>
        <v>0</v>
      </c>
      <c r="T244" s="260"/>
      <c r="U244" s="163">
        <f t="shared" si="37"/>
        <v>0</v>
      </c>
      <c r="W244" s="262">
        <v>0</v>
      </c>
      <c r="X244" s="163">
        <f t="shared" si="44"/>
        <v>0</v>
      </c>
      <c r="Z244" s="260"/>
      <c r="AA244" s="273">
        <f t="shared" si="38"/>
        <v>0</v>
      </c>
      <c r="AC244" s="260"/>
      <c r="AD244" s="163">
        <f t="shared" si="39"/>
        <v>0</v>
      </c>
      <c r="AF244" s="260"/>
      <c r="AG244" s="163">
        <f t="shared" si="41"/>
        <v>0</v>
      </c>
      <c r="AI244" s="260"/>
      <c r="AJ244" s="163">
        <f t="shared" si="42"/>
        <v>0</v>
      </c>
      <c r="AL244" s="162">
        <f t="shared" si="43"/>
        <v>0</v>
      </c>
      <c r="AM244" s="163">
        <f t="shared" si="40"/>
        <v>0</v>
      </c>
    </row>
    <row r="245" spans="4:39" ht="39" customHeight="1" x14ac:dyDescent="0.3">
      <c r="D245" s="448"/>
      <c r="E245" s="308">
        <v>11.2</v>
      </c>
      <c r="F245" s="248" t="s">
        <v>618</v>
      </c>
      <c r="G245" s="249" t="s">
        <v>619</v>
      </c>
      <c r="H245" s="250">
        <v>1</v>
      </c>
      <c r="I245" s="251">
        <v>133370.07899507898</v>
      </c>
      <c r="J245" s="310"/>
      <c r="K245" s="260"/>
      <c r="L245" s="163">
        <f t="shared" si="34"/>
        <v>0</v>
      </c>
      <c r="M245" s="261"/>
      <c r="N245" s="260"/>
      <c r="O245" s="163">
        <f t="shared" si="35"/>
        <v>0</v>
      </c>
      <c r="Q245" s="260"/>
      <c r="R245" s="163">
        <f t="shared" si="36"/>
        <v>0</v>
      </c>
      <c r="T245" s="260"/>
      <c r="U245" s="163">
        <f t="shared" si="37"/>
        <v>0</v>
      </c>
      <c r="W245" s="262">
        <v>0</v>
      </c>
      <c r="X245" s="163">
        <f t="shared" si="44"/>
        <v>0</v>
      </c>
      <c r="Z245" s="260"/>
      <c r="AA245" s="273">
        <f t="shared" si="38"/>
        <v>0</v>
      </c>
      <c r="AC245" s="260"/>
      <c r="AD245" s="163">
        <f t="shared" si="39"/>
        <v>0</v>
      </c>
      <c r="AF245" s="260"/>
      <c r="AG245" s="163">
        <f t="shared" si="41"/>
        <v>0</v>
      </c>
      <c r="AI245" s="260"/>
      <c r="AJ245" s="163">
        <f t="shared" si="42"/>
        <v>0</v>
      </c>
      <c r="AL245" s="162">
        <f t="shared" si="43"/>
        <v>0</v>
      </c>
      <c r="AM245" s="163">
        <f t="shared" si="40"/>
        <v>0</v>
      </c>
    </row>
    <row r="246" spans="4:39" ht="38.4" customHeight="1" x14ac:dyDescent="0.3">
      <c r="D246" s="448"/>
      <c r="E246" s="308">
        <v>11.07</v>
      </c>
      <c r="F246" s="248" t="s">
        <v>572</v>
      </c>
      <c r="G246" s="249" t="s">
        <v>27</v>
      </c>
      <c r="H246" s="250">
        <v>1</v>
      </c>
      <c r="I246" s="251">
        <v>1929279.8174048171</v>
      </c>
      <c r="J246" s="310"/>
      <c r="K246" s="260"/>
      <c r="L246" s="163">
        <f t="shared" si="34"/>
        <v>0</v>
      </c>
      <c r="M246" s="261"/>
      <c r="N246" s="260"/>
      <c r="O246" s="163">
        <f t="shared" si="35"/>
        <v>0</v>
      </c>
      <c r="Q246" s="260"/>
      <c r="R246" s="163">
        <f t="shared" si="36"/>
        <v>0</v>
      </c>
      <c r="T246" s="260"/>
      <c r="U246" s="163">
        <f t="shared" si="37"/>
        <v>0</v>
      </c>
      <c r="W246" s="262">
        <v>0</v>
      </c>
      <c r="X246" s="163">
        <f t="shared" si="44"/>
        <v>0</v>
      </c>
      <c r="Z246" s="260"/>
      <c r="AA246" s="163">
        <f t="shared" si="38"/>
        <v>0</v>
      </c>
      <c r="AC246" s="260"/>
      <c r="AD246" s="163">
        <f t="shared" si="39"/>
        <v>0</v>
      </c>
      <c r="AF246" s="260"/>
      <c r="AG246" s="163">
        <f t="shared" si="41"/>
        <v>0</v>
      </c>
      <c r="AI246" s="260"/>
      <c r="AJ246" s="163">
        <f t="shared" si="42"/>
        <v>0</v>
      </c>
      <c r="AL246" s="162">
        <f t="shared" si="43"/>
        <v>0</v>
      </c>
      <c r="AM246" s="163">
        <f t="shared" si="40"/>
        <v>0</v>
      </c>
    </row>
    <row r="247" spans="4:39" ht="38.4" customHeight="1" x14ac:dyDescent="0.3">
      <c r="D247" s="448"/>
      <c r="E247" s="309">
        <v>11.3</v>
      </c>
      <c r="F247" s="248" t="s">
        <v>610</v>
      </c>
      <c r="G247" s="249" t="s">
        <v>27</v>
      </c>
      <c r="H247" s="250">
        <v>1</v>
      </c>
      <c r="I247" s="251">
        <v>1746046.5229215226</v>
      </c>
      <c r="J247" s="310"/>
      <c r="K247" s="260"/>
      <c r="L247" s="163">
        <f t="shared" si="34"/>
        <v>0</v>
      </c>
      <c r="M247" s="261"/>
      <c r="N247" s="260"/>
      <c r="O247" s="163">
        <f t="shared" si="35"/>
        <v>0</v>
      </c>
      <c r="Q247" s="260"/>
      <c r="R247" s="163">
        <f t="shared" si="36"/>
        <v>0</v>
      </c>
      <c r="T247" s="260"/>
      <c r="U247" s="163">
        <f t="shared" si="37"/>
        <v>0</v>
      </c>
      <c r="W247" s="262">
        <v>0</v>
      </c>
      <c r="X247" s="163">
        <f t="shared" si="44"/>
        <v>0</v>
      </c>
      <c r="Z247" s="260"/>
      <c r="AA247" s="163">
        <f t="shared" si="38"/>
        <v>0</v>
      </c>
      <c r="AC247" s="260"/>
      <c r="AD247" s="163">
        <f t="shared" si="39"/>
        <v>0</v>
      </c>
      <c r="AF247" s="260"/>
      <c r="AG247" s="163">
        <f t="shared" si="41"/>
        <v>0</v>
      </c>
      <c r="AI247" s="260"/>
      <c r="AJ247" s="163">
        <f t="shared" si="42"/>
        <v>0</v>
      </c>
      <c r="AL247" s="162">
        <f t="shared" si="43"/>
        <v>0</v>
      </c>
      <c r="AM247" s="163">
        <f t="shared" si="40"/>
        <v>0</v>
      </c>
    </row>
    <row r="248" spans="4:39" ht="46.95" customHeight="1" x14ac:dyDescent="0.3">
      <c r="D248" s="448"/>
      <c r="E248" s="309">
        <v>11.1</v>
      </c>
      <c r="F248" s="252" t="s">
        <v>573</v>
      </c>
      <c r="G248" s="252" t="s">
        <v>27</v>
      </c>
      <c r="H248" s="253">
        <v>1</v>
      </c>
      <c r="I248" s="251">
        <v>3419756.5397565393</v>
      </c>
      <c r="J248" s="310"/>
      <c r="K248" s="260"/>
      <c r="L248" s="163">
        <f t="shared" si="34"/>
        <v>0</v>
      </c>
      <c r="M248" s="261"/>
      <c r="N248" s="260"/>
      <c r="O248" s="163">
        <f t="shared" si="35"/>
        <v>0</v>
      </c>
      <c r="Q248" s="260"/>
      <c r="R248" s="163">
        <f t="shared" si="36"/>
        <v>0</v>
      </c>
      <c r="T248" s="260"/>
      <c r="U248" s="163">
        <f t="shared" si="37"/>
        <v>0</v>
      </c>
      <c r="W248" s="262">
        <v>0</v>
      </c>
      <c r="X248" s="163">
        <f t="shared" si="44"/>
        <v>0</v>
      </c>
      <c r="Z248" s="260"/>
      <c r="AA248" s="163">
        <f t="shared" si="38"/>
        <v>0</v>
      </c>
      <c r="AC248" s="260"/>
      <c r="AD248" s="163">
        <f t="shared" si="39"/>
        <v>0</v>
      </c>
      <c r="AF248" s="260"/>
      <c r="AG248" s="163">
        <f t="shared" si="41"/>
        <v>0</v>
      </c>
      <c r="AI248" s="260"/>
      <c r="AJ248" s="163">
        <f t="shared" si="42"/>
        <v>0</v>
      </c>
      <c r="AL248" s="162">
        <f t="shared" si="43"/>
        <v>0</v>
      </c>
      <c r="AM248" s="163">
        <f t="shared" si="40"/>
        <v>0</v>
      </c>
    </row>
    <row r="249" spans="4:39" x14ac:dyDescent="0.3">
      <c r="G249" s="449" t="s">
        <v>574</v>
      </c>
      <c r="H249" s="450"/>
      <c r="I249" s="451"/>
      <c r="J249" s="310"/>
      <c r="K249" s="436">
        <f>SUM(L5:L248)</f>
        <v>234826167.77092701</v>
      </c>
      <c r="L249" s="437"/>
      <c r="M249" s="165"/>
      <c r="N249" s="436">
        <f>SUM(O5:O248)</f>
        <v>107359279.9651745</v>
      </c>
      <c r="O249" s="437"/>
      <c r="Q249" s="438">
        <f>SUM(R5:R248)</f>
        <v>180626757.95211783</v>
      </c>
      <c r="R249" s="439"/>
      <c r="T249" s="438">
        <f>SUM(U5:U248)</f>
        <v>172255521.62425798</v>
      </c>
      <c r="U249" s="439"/>
      <c r="W249" s="438">
        <f>SUM(X5:X248)</f>
        <v>234656752.64634803</v>
      </c>
      <c r="X249" s="439"/>
      <c r="Z249" s="438">
        <f>SUM(AA5:AA248)</f>
        <v>330103590.6657871</v>
      </c>
      <c r="AA249" s="439"/>
      <c r="AC249" s="438">
        <f>SUM(AD5:AD248)</f>
        <v>168713611.83890256</v>
      </c>
      <c r="AD249" s="439"/>
      <c r="AF249" s="438">
        <f>SUM(AG5:AG56)</f>
        <v>80148448.556919634</v>
      </c>
      <c r="AG249" s="439"/>
      <c r="AI249" s="438">
        <f>SUM(AJ5:AJ56)</f>
        <v>106648790.14900886</v>
      </c>
      <c r="AJ249" s="439"/>
      <c r="AL249" s="436">
        <f>ROUND(SUM(AM5:AM248),6)</f>
        <v>1615338921.16944</v>
      </c>
      <c r="AM249" s="437"/>
    </row>
    <row r="250" spans="4:39" x14ac:dyDescent="0.3">
      <c r="G250" s="429" t="s">
        <v>575</v>
      </c>
      <c r="H250" s="430"/>
      <c r="I250" s="431"/>
      <c r="J250" s="310"/>
      <c r="K250" s="432">
        <f>+K249*20%</f>
        <v>46965233.554185405</v>
      </c>
      <c r="L250" s="433"/>
      <c r="M250" s="166"/>
      <c r="N250" s="432">
        <f>+N249*20%</f>
        <v>21471855.993034899</v>
      </c>
      <c r="O250" s="433"/>
      <c r="Q250" s="434">
        <f>+Q249*20%</f>
        <v>36125351.590423569</v>
      </c>
      <c r="R250" s="435"/>
      <c r="T250" s="434">
        <f>+T249*20%</f>
        <v>34451104.324851595</v>
      </c>
      <c r="U250" s="435"/>
      <c r="W250" s="434">
        <f>+W249*20%</f>
        <v>46931350.529269606</v>
      </c>
      <c r="X250" s="435"/>
      <c r="Z250" s="434">
        <f>+Z249*20%</f>
        <v>66020718.133157425</v>
      </c>
      <c r="AA250" s="435"/>
      <c r="AC250" s="434">
        <f>+AC249*20%</f>
        <v>33742722.367780514</v>
      </c>
      <c r="AD250" s="435"/>
      <c r="AF250" s="434">
        <f>+AF249*20%</f>
        <v>16029689.711383928</v>
      </c>
      <c r="AG250" s="435"/>
      <c r="AI250" s="434">
        <f>+AI249*20%</f>
        <v>21329758.029801771</v>
      </c>
      <c r="AJ250" s="435"/>
      <c r="AL250" s="432">
        <f>+ROUND(AL249*20%,6)</f>
        <v>323067784.23388797</v>
      </c>
      <c r="AM250" s="433"/>
    </row>
    <row r="251" spans="4:39" x14ac:dyDescent="0.3">
      <c r="G251" s="429" t="s">
        <v>576</v>
      </c>
      <c r="H251" s="430"/>
      <c r="I251" s="431"/>
      <c r="J251" s="310"/>
      <c r="K251" s="432">
        <f>+K249*0.05</f>
        <v>11741308.388546351</v>
      </c>
      <c r="L251" s="433"/>
      <c r="M251" s="166"/>
      <c r="N251" s="432">
        <f>+N249*0.05</f>
        <v>5367963.9982587248</v>
      </c>
      <c r="O251" s="433"/>
      <c r="Q251" s="434">
        <f>+Q249*0.05</f>
        <v>9031337.8976058923</v>
      </c>
      <c r="R251" s="435"/>
      <c r="T251" s="434">
        <f>+T249*0.05</f>
        <v>8612776.0812128987</v>
      </c>
      <c r="U251" s="435"/>
      <c r="W251" s="434">
        <f>+W249*0.05</f>
        <v>11732837.632317401</v>
      </c>
      <c r="X251" s="435"/>
      <c r="Z251" s="434">
        <f>+Z249*0.05</f>
        <v>16505179.533289356</v>
      </c>
      <c r="AA251" s="435"/>
      <c r="AC251" s="434">
        <f>+AC249*0.05</f>
        <v>8435680.5919451285</v>
      </c>
      <c r="AD251" s="435"/>
      <c r="AF251" s="434">
        <f>+AF249*0.05</f>
        <v>4007422.4278459819</v>
      </c>
      <c r="AG251" s="435"/>
      <c r="AI251" s="434">
        <f>+AI249*0.05</f>
        <v>5332439.5074504428</v>
      </c>
      <c r="AJ251" s="435"/>
      <c r="AL251" s="432">
        <f>+ROUND(AL249*0.05,8)</f>
        <v>80766946.058471993</v>
      </c>
      <c r="AM251" s="433"/>
    </row>
    <row r="252" spans="4:39" x14ac:dyDescent="0.3">
      <c r="G252" s="429" t="s">
        <v>577</v>
      </c>
      <c r="H252" s="430"/>
      <c r="I252" s="431"/>
      <c r="J252" s="310"/>
      <c r="K252" s="432">
        <f>+K249*0.05</f>
        <v>11741308.388546351</v>
      </c>
      <c r="L252" s="433"/>
      <c r="M252" s="166"/>
      <c r="N252" s="432">
        <f>+N249*0.05</f>
        <v>5367963.9982587248</v>
      </c>
      <c r="O252" s="433"/>
      <c r="Q252" s="434">
        <f>+Q249*0.05</f>
        <v>9031337.8976058923</v>
      </c>
      <c r="R252" s="435"/>
      <c r="T252" s="434">
        <f>+T249*0.05</f>
        <v>8612776.0812128987</v>
      </c>
      <c r="U252" s="435"/>
      <c r="W252" s="434">
        <f>+W249*0.05</f>
        <v>11732837.632317401</v>
      </c>
      <c r="X252" s="435"/>
      <c r="Z252" s="434">
        <f>+Z249*0.05</f>
        <v>16505179.533289356</v>
      </c>
      <c r="AA252" s="435"/>
      <c r="AC252" s="434">
        <f>+AC249*0.05</f>
        <v>8435680.5919451285</v>
      </c>
      <c r="AD252" s="435"/>
      <c r="AF252" s="434">
        <f>+AF249*0.05</f>
        <v>4007422.4278459819</v>
      </c>
      <c r="AG252" s="435"/>
      <c r="AI252" s="434">
        <f>+AI249*0.05</f>
        <v>5332439.5074504428</v>
      </c>
      <c r="AJ252" s="435"/>
      <c r="AL252" s="427">
        <f>+ROUND(AL249*0.05,0)</f>
        <v>80766946</v>
      </c>
      <c r="AM252" s="428"/>
    </row>
    <row r="253" spans="4:39" ht="15" thickBot="1" x14ac:dyDescent="0.35">
      <c r="G253" s="422" t="s">
        <v>578</v>
      </c>
      <c r="H253" s="423"/>
      <c r="I253" s="424"/>
      <c r="J253" s="310"/>
      <c r="K253" s="420">
        <f>+K249+K250+K251+K252</f>
        <v>305274018.1022051</v>
      </c>
      <c r="L253" s="421"/>
      <c r="M253" s="166"/>
      <c r="N253" s="420">
        <f>+N249+N250+N251+N252</f>
        <v>139567063.95472685</v>
      </c>
      <c r="O253" s="421"/>
      <c r="Q253" s="425">
        <f>+Q249+Q250+Q251+Q252</f>
        <v>234814785.33775318</v>
      </c>
      <c r="R253" s="426"/>
      <c r="T253" s="425">
        <f>+T249+T250+T251+T252</f>
        <v>223932178.1115354</v>
      </c>
      <c r="U253" s="426"/>
      <c r="W253" s="425">
        <f>+W249+W250+W251+W252</f>
        <v>305053778.44025248</v>
      </c>
      <c r="X253" s="426"/>
      <c r="Z253" s="425">
        <f>+Z249+Z250+Z251+Z252</f>
        <v>429134667.86552328</v>
      </c>
      <c r="AA253" s="426"/>
      <c r="AC253" s="425">
        <f>+AC249+AC250+AC251+AC252</f>
        <v>219327695.39057335</v>
      </c>
      <c r="AD253" s="426"/>
      <c r="AF253" s="425">
        <f>+AF249+AF250+AF251+AF252</f>
        <v>104192983.12399553</v>
      </c>
      <c r="AG253" s="426"/>
      <c r="AI253" s="425">
        <f>+AI249+AI250+AI251+AI252</f>
        <v>138643427.19371152</v>
      </c>
      <c r="AJ253" s="426"/>
      <c r="AL253" s="420">
        <f>ROUND(AL249+AL250+AL251+AL252,0)</f>
        <v>2099940597</v>
      </c>
      <c r="AM253" s="421"/>
    </row>
    <row r="254" spans="4:39" ht="15" thickTop="1" x14ac:dyDescent="0.3"/>
    <row r="255" spans="4:39" x14ac:dyDescent="0.3">
      <c r="X255" s="339"/>
    </row>
    <row r="271" spans="7:7" x14ac:dyDescent="0.3">
      <c r="G271">
        <f>1.2*1.2</f>
        <v>1.44</v>
      </c>
    </row>
  </sheetData>
  <autoFilter ref="B2:I253" xr:uid="{4BE52CC9-EAF0-4F59-8F2C-ACDDFC2A8E04}"/>
  <mergeCells count="85">
    <mergeCell ref="AL2:AM3"/>
    <mergeCell ref="K3:L3"/>
    <mergeCell ref="N3:O3"/>
    <mergeCell ref="Q3:R3"/>
    <mergeCell ref="T3:U3"/>
    <mergeCell ref="W3:X3"/>
    <mergeCell ref="K2:L2"/>
    <mergeCell ref="N2:O2"/>
    <mergeCell ref="Q2:R2"/>
    <mergeCell ref="T2:U2"/>
    <mergeCell ref="W2:X2"/>
    <mergeCell ref="Z2:AA2"/>
    <mergeCell ref="AC3:AD3"/>
    <mergeCell ref="AC2:AD2"/>
    <mergeCell ref="AI2:AJ2"/>
    <mergeCell ref="AI3:AJ3"/>
    <mergeCell ref="B5:B19"/>
    <mergeCell ref="D5:D19"/>
    <mergeCell ref="AF2:AG2"/>
    <mergeCell ref="Z3:AA3"/>
    <mergeCell ref="AF3:AG3"/>
    <mergeCell ref="B20:B37"/>
    <mergeCell ref="D20:D41"/>
    <mergeCell ref="B42:B47"/>
    <mergeCell ref="D42:D55"/>
    <mergeCell ref="B48:B56"/>
    <mergeCell ref="B57:B88"/>
    <mergeCell ref="D57:D101"/>
    <mergeCell ref="G251:I251"/>
    <mergeCell ref="AF249:AG249"/>
    <mergeCell ref="D103:D239"/>
    <mergeCell ref="D240:D248"/>
    <mergeCell ref="G249:I249"/>
    <mergeCell ref="K249:L249"/>
    <mergeCell ref="N249:O249"/>
    <mergeCell ref="Q249:R249"/>
    <mergeCell ref="K251:L251"/>
    <mergeCell ref="N251:O251"/>
    <mergeCell ref="Q251:R251"/>
    <mergeCell ref="T251:U251"/>
    <mergeCell ref="AC251:AD251"/>
    <mergeCell ref="AC249:AD249"/>
    <mergeCell ref="W251:X251"/>
    <mergeCell ref="AL249:AM249"/>
    <mergeCell ref="G250:I250"/>
    <mergeCell ref="K250:L250"/>
    <mergeCell ref="N250:O250"/>
    <mergeCell ref="Q250:R250"/>
    <mergeCell ref="T250:U250"/>
    <mergeCell ref="W250:X250"/>
    <mergeCell ref="Z250:AA250"/>
    <mergeCell ref="T249:U249"/>
    <mergeCell ref="W249:X249"/>
    <mergeCell ref="Z249:AA249"/>
    <mergeCell ref="AI249:AJ249"/>
    <mergeCell ref="AI250:AJ250"/>
    <mergeCell ref="AL251:AM251"/>
    <mergeCell ref="AF250:AG250"/>
    <mergeCell ref="AL250:AM250"/>
    <mergeCell ref="Z251:AA251"/>
    <mergeCell ref="AF251:AG251"/>
    <mergeCell ref="AI251:AJ251"/>
    <mergeCell ref="AC250:AD250"/>
    <mergeCell ref="AL252:AM252"/>
    <mergeCell ref="G252:I252"/>
    <mergeCell ref="K252:L252"/>
    <mergeCell ref="N252:O252"/>
    <mergeCell ref="Q252:R252"/>
    <mergeCell ref="T252:U252"/>
    <mergeCell ref="W252:X252"/>
    <mergeCell ref="Z252:AA252"/>
    <mergeCell ref="AF252:AG252"/>
    <mergeCell ref="AC252:AD252"/>
    <mergeCell ref="AI252:AJ252"/>
    <mergeCell ref="AL253:AM253"/>
    <mergeCell ref="G253:I253"/>
    <mergeCell ref="K253:L253"/>
    <mergeCell ref="N253:O253"/>
    <mergeCell ref="Q253:R253"/>
    <mergeCell ref="T253:U253"/>
    <mergeCell ref="W253:X253"/>
    <mergeCell ref="Z253:AA253"/>
    <mergeCell ref="AF253:AG253"/>
    <mergeCell ref="AC253:AD253"/>
    <mergeCell ref="AI253:AJ253"/>
  </mergeCells>
  <pageMargins left="0.7" right="0.7" top="0.75" bottom="0.75" header="0.3" footer="0.3"/>
  <pageSetup orientation="portrait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85D3-89B8-471F-B0B6-E050627B0A96}">
  <dimension ref="ODU669037"/>
  <sheetViews>
    <sheetView workbookViewId="0"/>
  </sheetViews>
  <sheetFormatPr baseColWidth="10" defaultColWidth="8.88671875" defaultRowHeight="14.4" x14ac:dyDescent="0.3"/>
  <sheetData>
    <row r="669037" spans="10265:10265" x14ac:dyDescent="0.3">
      <c r="ODU669037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ACTA 32</vt:lpstr>
      <vt:lpstr>DETALLE DE ACTA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javier herrera orozco</dc:creator>
  <cp:keywords/>
  <dc:description/>
  <cp:lastModifiedBy>Tomas Herrera</cp:lastModifiedBy>
  <cp:revision/>
  <dcterms:created xsi:type="dcterms:W3CDTF">2024-03-15T14:37:25Z</dcterms:created>
  <dcterms:modified xsi:type="dcterms:W3CDTF">2026-02-25T14:21:24Z</dcterms:modified>
  <cp:category/>
  <cp:contentStatus/>
</cp:coreProperties>
</file>