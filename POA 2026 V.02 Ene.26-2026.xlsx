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conservacioncostera-my.sharepoint.com/personal/jacosta_consorcioconservacioncostera_com/Documents/Gerencia/Presupuestos/"/>
    </mc:Choice>
  </mc:AlternateContent>
  <xr:revisionPtr revIDLastSave="271" documentId="8_{826703A6-FDE0-4E7E-9CC9-62BE84AAD2CC}" xr6:coauthVersionLast="47" xr6:coauthVersionMax="47" xr10:uidLastSave="{E6FF2C7C-0DC4-4A01-9530-79FB62002A5D}"/>
  <bookViews>
    <workbookView xWindow="-108" yWindow="-108" windowWidth="23256" windowHeight="12456" xr2:uid="{0F661FA9-0BFC-4BF0-A419-0F40CB3CF23D}"/>
  </bookViews>
  <sheets>
    <sheet name="POA INICIAL 2026 " sheetId="18" r:id="rId1"/>
    <sheet name="PPTO + ADICION" sheetId="31" r:id="rId2"/>
    <sheet name="RES. GRAL INICIAL" sheetId="22" state="hidden" r:id="rId3"/>
  </sheets>
  <definedNames>
    <definedName name="TOPES_PRESUPUESTALES" localSheetId="0">#REF!</definedName>
    <definedName name="TOPES_PRESUPUEST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1" l="1"/>
  <c r="HM54" i="18"/>
  <c r="HM50" i="18"/>
  <c r="HM47" i="18"/>
  <c r="HK45" i="18"/>
  <c r="HK44" i="18"/>
  <c r="IH32" i="18"/>
  <c r="ID32" i="18"/>
  <c r="HZ32" i="18"/>
  <c r="HV32" i="18"/>
  <c r="HR32" i="18"/>
  <c r="IJ29" i="18"/>
  <c r="IJ28" i="18"/>
  <c r="IJ27" i="18"/>
  <c r="ID29" i="18"/>
  <c r="ID28" i="18"/>
  <c r="ID27" i="18"/>
  <c r="HX29" i="18"/>
  <c r="HX28" i="18"/>
  <c r="HX27" i="18"/>
  <c r="HR27" i="18"/>
  <c r="HR28" i="18"/>
  <c r="HR29" i="18"/>
  <c r="IH23" i="18"/>
  <c r="IH24" i="18"/>
  <c r="IH25" i="18"/>
  <c r="IH26" i="18"/>
  <c r="ID23" i="18"/>
  <c r="ID24" i="18"/>
  <c r="ID25" i="18"/>
  <c r="ID26" i="18"/>
  <c r="HZ23" i="18"/>
  <c r="HZ24" i="18"/>
  <c r="HZ25" i="18"/>
  <c r="HZ26" i="18"/>
  <c r="HV23" i="18"/>
  <c r="HV24" i="18"/>
  <c r="HV25" i="18"/>
  <c r="HV26" i="18"/>
  <c r="HR24" i="18"/>
  <c r="HR25" i="18"/>
  <c r="HR26" i="18"/>
  <c r="HR23" i="18"/>
  <c r="IH22" i="18"/>
  <c r="ID22" i="18"/>
  <c r="HZ22" i="18"/>
  <c r="HV22" i="18"/>
  <c r="HR22" i="18"/>
  <c r="HK34" i="18"/>
  <c r="HK33" i="18"/>
  <c r="HK32" i="18"/>
  <c r="HK31" i="18"/>
  <c r="HK30" i="18"/>
  <c r="HK29" i="18"/>
  <c r="HK28" i="18"/>
  <c r="HK27" i="18"/>
  <c r="HK26" i="18"/>
  <c r="HK25" i="18"/>
  <c r="HK24" i="18"/>
  <c r="HK23" i="18"/>
  <c r="HK22" i="18"/>
  <c r="EX18" i="18" l="1"/>
  <c r="EX17" i="18"/>
  <c r="EX16" i="18"/>
  <c r="EX15" i="18"/>
  <c r="EX14" i="18"/>
  <c r="EX13" i="18"/>
  <c r="EX12" i="18"/>
  <c r="EX11" i="18"/>
  <c r="EX10" i="18"/>
  <c r="EX9" i="18"/>
  <c r="EX8" i="18"/>
  <c r="EX7" i="18"/>
  <c r="EX6" i="18"/>
  <c r="EX5" i="18"/>
  <c r="EX4" i="18"/>
  <c r="EV18" i="18"/>
  <c r="EV16" i="18"/>
  <c r="EV15" i="18"/>
  <c r="EV14" i="18"/>
  <c r="EV13" i="18"/>
  <c r="EV12" i="18"/>
  <c r="EV11" i="18"/>
  <c r="EV10" i="18"/>
  <c r="EV9" i="18"/>
  <c r="EV8" i="18"/>
  <c r="EV7" i="18"/>
  <c r="EV6" i="18"/>
  <c r="EV5" i="18"/>
  <c r="EV4" i="18"/>
  <c r="ET18" i="18"/>
  <c r="ET16" i="18"/>
  <c r="ET15" i="18"/>
  <c r="ET14" i="18"/>
  <c r="ET13" i="18"/>
  <c r="ET12" i="18"/>
  <c r="ET11" i="18"/>
  <c r="ET10" i="18"/>
  <c r="ET9" i="18"/>
  <c r="ET8" i="18"/>
  <c r="ET7" i="18"/>
  <c r="ET6" i="18"/>
  <c r="ET5" i="18"/>
  <c r="ET4" i="18"/>
  <c r="ER18" i="18"/>
  <c r="ER16" i="18"/>
  <c r="ER15" i="18"/>
  <c r="ER14" i="18"/>
  <c r="ER13" i="18"/>
  <c r="ER12" i="18"/>
  <c r="ER11" i="18"/>
  <c r="ER10" i="18"/>
  <c r="ER9" i="18"/>
  <c r="ER8" i="18"/>
  <c r="ER7" i="18"/>
  <c r="ER6" i="18"/>
  <c r="ER5" i="18"/>
  <c r="ER4" i="18"/>
  <c r="EP18" i="18"/>
  <c r="EP17" i="18"/>
  <c r="EP16" i="18"/>
  <c r="EP15" i="18"/>
  <c r="EP14" i="18"/>
  <c r="EP13" i="18"/>
  <c r="EP12" i="18"/>
  <c r="EP11" i="18"/>
  <c r="EP10" i="18"/>
  <c r="EP9" i="18"/>
  <c r="EP8" i="18"/>
  <c r="EP7" i="18"/>
  <c r="EP6" i="18"/>
  <c r="EP5" i="18"/>
  <c r="EP4" i="18"/>
  <c r="EN18" i="18"/>
  <c r="EN16" i="18"/>
  <c r="EN15" i="18"/>
  <c r="EN14" i="18"/>
  <c r="EN13" i="18"/>
  <c r="EN12" i="18"/>
  <c r="EN11" i="18"/>
  <c r="EN10" i="18"/>
  <c r="EN9" i="18"/>
  <c r="EN8" i="18"/>
  <c r="EN7" i="18"/>
  <c r="EN6" i="18"/>
  <c r="EN5" i="18"/>
  <c r="EN4" i="18"/>
  <c r="EL18" i="18"/>
  <c r="EL16" i="18"/>
  <c r="EL15" i="18"/>
  <c r="EL14" i="18"/>
  <c r="EL13" i="18"/>
  <c r="EL12" i="18"/>
  <c r="EL11" i="18"/>
  <c r="EL10" i="18"/>
  <c r="EL9" i="18"/>
  <c r="EL8" i="18"/>
  <c r="EL7" i="18"/>
  <c r="EL6" i="18"/>
  <c r="EL5" i="18"/>
  <c r="EL4" i="18"/>
  <c r="EJ18" i="18"/>
  <c r="EJ16" i="18"/>
  <c r="EJ15" i="18"/>
  <c r="EJ14" i="18"/>
  <c r="EJ13" i="18"/>
  <c r="EJ12" i="18"/>
  <c r="EJ11" i="18"/>
  <c r="EJ10" i="18"/>
  <c r="EJ9" i="18"/>
  <c r="EJ8" i="18"/>
  <c r="EJ7" i="18"/>
  <c r="EJ6" i="18"/>
  <c r="EJ5" i="18"/>
  <c r="EJ4" i="18"/>
  <c r="EH18" i="18"/>
  <c r="EH17" i="18"/>
  <c r="EH15" i="18"/>
  <c r="EH16" i="18"/>
  <c r="EH13" i="18"/>
  <c r="EH14" i="18"/>
  <c r="EH12" i="18"/>
  <c r="EH7" i="18"/>
  <c r="EH4" i="18"/>
  <c r="LV53" i="18" l="1"/>
  <c r="LW53" i="18" s="1"/>
  <c r="LU53" i="18"/>
  <c r="LT53" i="18"/>
  <c r="LR53" i="18"/>
  <c r="LS53" i="18" s="1"/>
  <c r="LP53" i="18"/>
  <c r="LQ53" i="18" s="1"/>
  <c r="LO53" i="18"/>
  <c r="LN53" i="18"/>
  <c r="LL53" i="18"/>
  <c r="LM53" i="18" s="1"/>
  <c r="LJ53" i="18"/>
  <c r="LK53" i="18" s="1"/>
  <c r="LI53" i="18"/>
  <c r="LH53" i="18"/>
  <c r="LF53" i="18"/>
  <c r="LG53" i="18" s="1"/>
  <c r="LD53" i="18"/>
  <c r="LE53" i="18" s="1"/>
  <c r="LC53" i="18"/>
  <c r="LB53" i="18"/>
  <c r="KZ53" i="18"/>
  <c r="KS53" i="18"/>
  <c r="KQ53" i="18"/>
  <c r="KO53" i="18"/>
  <c r="KE53" i="18"/>
  <c r="KC53" i="18"/>
  <c r="JY53" i="18"/>
  <c r="JV53" i="18"/>
  <c r="KT53" i="18" s="1"/>
  <c r="JN53" i="18"/>
  <c r="JL53" i="18"/>
  <c r="JJ53" i="18"/>
  <c r="JK53" i="18" s="1"/>
  <c r="JH53" i="18"/>
  <c r="JI53" i="18" s="1"/>
  <c r="JF53" i="18"/>
  <c r="JG53" i="18" s="1"/>
  <c r="JD53" i="18"/>
  <c r="JE53" i="18" s="1"/>
  <c r="JB53" i="18"/>
  <c r="IZ53" i="18"/>
  <c r="IX53" i="18"/>
  <c r="IY53" i="18" s="1"/>
  <c r="IV53" i="18"/>
  <c r="IW53" i="18" s="1"/>
  <c r="IT53" i="18"/>
  <c r="IU53" i="18" s="1"/>
  <c r="IR53" i="18"/>
  <c r="IS53" i="18" s="1"/>
  <c r="IJ53" i="18"/>
  <c r="IH53" i="18"/>
  <c r="II53" i="18" s="1"/>
  <c r="IF53" i="18"/>
  <c r="IG53" i="18" s="1"/>
  <c r="ID53" i="18"/>
  <c r="IE53" i="18" s="1"/>
  <c r="IB53" i="18"/>
  <c r="IC53" i="18" s="1"/>
  <c r="HZ53" i="18"/>
  <c r="HX53" i="18"/>
  <c r="HV53" i="18"/>
  <c r="HW53" i="18" s="1"/>
  <c r="HT53" i="18"/>
  <c r="HU53" i="18" s="1"/>
  <c r="HR53" i="18"/>
  <c r="HS53" i="18" s="1"/>
  <c r="HP53" i="18"/>
  <c r="HQ53" i="18" s="1"/>
  <c r="HN53" i="18"/>
  <c r="HF53" i="18"/>
  <c r="HD53" i="18"/>
  <c r="HE53" i="18" s="1"/>
  <c r="HB53" i="18"/>
  <c r="HC53" i="18" s="1"/>
  <c r="GZ53" i="18"/>
  <c r="HA53" i="18" s="1"/>
  <c r="GX53" i="18"/>
  <c r="GY53" i="18" s="1"/>
  <c r="GV53" i="18"/>
  <c r="GT53" i="18"/>
  <c r="GR53" i="18"/>
  <c r="GS53" i="18" s="1"/>
  <c r="GP53" i="18"/>
  <c r="GQ53" i="18" s="1"/>
  <c r="GN53" i="18"/>
  <c r="GO53" i="18" s="1"/>
  <c r="GL53" i="18"/>
  <c r="GM53" i="18" s="1"/>
  <c r="GJ53" i="18"/>
  <c r="HH53" i="18" s="1"/>
  <c r="GB53" i="18"/>
  <c r="GC53" i="18" s="1"/>
  <c r="FZ53" i="18"/>
  <c r="GA53" i="18" s="1"/>
  <c r="FX53" i="18"/>
  <c r="FY53" i="18" s="1"/>
  <c r="FV53" i="18"/>
  <c r="FW53" i="18" s="1"/>
  <c r="FT53" i="18"/>
  <c r="FU53" i="18" s="1"/>
  <c r="FR53" i="18"/>
  <c r="FS53" i="18" s="1"/>
  <c r="FP53" i="18"/>
  <c r="FQ53" i="18" s="1"/>
  <c r="FN53" i="18"/>
  <c r="FO53" i="18" s="1"/>
  <c r="FL53" i="18"/>
  <c r="FM53" i="18" s="1"/>
  <c r="FJ53" i="18"/>
  <c r="FK53" i="18" s="1"/>
  <c r="FH53" i="18"/>
  <c r="FI53" i="18" s="1"/>
  <c r="FF53" i="18"/>
  <c r="FG53" i="18" s="1"/>
  <c r="FE53" i="18"/>
  <c r="EX53" i="18"/>
  <c r="EY53" i="18" s="1"/>
  <c r="EV53" i="18"/>
  <c r="EW53" i="18" s="1"/>
  <c r="ET53" i="18"/>
  <c r="EU53" i="18" s="1"/>
  <c r="ER53" i="18"/>
  <c r="ES53" i="18" s="1"/>
  <c r="EP53" i="18"/>
  <c r="EQ53" i="18" s="1"/>
  <c r="EN53" i="18"/>
  <c r="EO53" i="18" s="1"/>
  <c r="EL53" i="18"/>
  <c r="EM53" i="18" s="1"/>
  <c r="EJ53" i="18"/>
  <c r="EK53" i="18" s="1"/>
  <c r="EH53" i="18"/>
  <c r="EI53" i="18" s="1"/>
  <c r="EF53" i="18"/>
  <c r="EG53" i="18" s="1"/>
  <c r="ED53" i="18"/>
  <c r="EE53" i="18" s="1"/>
  <c r="EB53" i="18"/>
  <c r="EC53" i="18" s="1"/>
  <c r="DT53" i="18"/>
  <c r="DU53" i="18" s="1"/>
  <c r="DR53" i="18"/>
  <c r="DP53" i="18"/>
  <c r="DQ53" i="18" s="1"/>
  <c r="DN53" i="18"/>
  <c r="DO53" i="18" s="1"/>
  <c r="DL53" i="18"/>
  <c r="DM53" i="18" s="1"/>
  <c r="DJ53" i="18"/>
  <c r="DK53" i="18" s="1"/>
  <c r="DH53" i="18"/>
  <c r="DI53" i="18" s="1"/>
  <c r="DF53" i="18"/>
  <c r="DD53" i="18"/>
  <c r="DE53" i="18" s="1"/>
  <c r="DB53" i="18"/>
  <c r="DC53" i="18" s="1"/>
  <c r="CZ53" i="18"/>
  <c r="DA53" i="18" s="1"/>
  <c r="CX53" i="18"/>
  <c r="CY53" i="18" s="1"/>
  <c r="CP53" i="18"/>
  <c r="CO53" i="18"/>
  <c r="CN53" i="18"/>
  <c r="CL53" i="18"/>
  <c r="CJ53" i="18"/>
  <c r="CK53" i="18" s="1"/>
  <c r="CI53" i="18"/>
  <c r="CH53" i="18"/>
  <c r="CF53" i="18"/>
  <c r="CG53" i="18" s="1"/>
  <c r="CD53" i="18"/>
  <c r="CR53" i="18" s="1"/>
  <c r="CS53" i="18" s="1"/>
  <c r="CC53" i="18"/>
  <c r="CB53" i="18"/>
  <c r="BZ53" i="18"/>
  <c r="BX53" i="18"/>
  <c r="BY53" i="18" s="1"/>
  <c r="BW53" i="18"/>
  <c r="BV53" i="18"/>
  <c r="BT53" i="18"/>
  <c r="BU53" i="18" s="1"/>
  <c r="BM53" i="18"/>
  <c r="BJ53" i="18"/>
  <c r="BK53" i="18" s="1"/>
  <c r="BH53" i="18"/>
  <c r="BI53" i="18" s="1"/>
  <c r="BF53" i="18"/>
  <c r="BG53" i="18" s="1"/>
  <c r="BD53" i="18"/>
  <c r="BE53" i="18" s="1"/>
  <c r="BB53" i="18"/>
  <c r="BC53" i="18" s="1"/>
  <c r="AZ53" i="18"/>
  <c r="BA53" i="18" s="1"/>
  <c r="AX53" i="18"/>
  <c r="AY53" i="18" s="1"/>
  <c r="AV53" i="18"/>
  <c r="AW53" i="18" s="1"/>
  <c r="AT53" i="18"/>
  <c r="AU53" i="18" s="1"/>
  <c r="AR53" i="18"/>
  <c r="AS53" i="18" s="1"/>
  <c r="AP53" i="18"/>
  <c r="AJ53" i="18"/>
  <c r="AK53" i="18" s="1"/>
  <c r="AH53" i="18"/>
  <c r="AI53" i="18" s="1"/>
  <c r="AF53" i="18"/>
  <c r="AG53" i="18" s="1"/>
  <c r="AD53" i="18"/>
  <c r="AB53" i="18"/>
  <c r="AC53" i="18" s="1"/>
  <c r="Z53" i="18"/>
  <c r="AA53" i="18" s="1"/>
  <c r="X53" i="18"/>
  <c r="MM53" i="18" s="1"/>
  <c r="MN53" i="18" s="1"/>
  <c r="V53" i="18"/>
  <c r="W53" i="18" s="1"/>
  <c r="T53" i="18"/>
  <c r="U53" i="18" s="1"/>
  <c r="R53" i="18"/>
  <c r="MG53" i="18" s="1"/>
  <c r="MH53" i="18" s="1"/>
  <c r="P53" i="18"/>
  <c r="Q53" i="18" s="1"/>
  <c r="N53" i="18"/>
  <c r="M53" i="18"/>
  <c r="K53" i="18"/>
  <c r="G53" i="18"/>
  <c r="KA53" i="18" s="1"/>
  <c r="MA53" i="18" l="1"/>
  <c r="MB53" i="18" s="1"/>
  <c r="MC53" i="18"/>
  <c r="MD53" i="18" s="1"/>
  <c r="MW53" i="18"/>
  <c r="MX53" i="18" s="1"/>
  <c r="IL53" i="18"/>
  <c r="IM53" i="18" s="1"/>
  <c r="MI53" i="18"/>
  <c r="MJ53" i="18" s="1"/>
  <c r="MS53" i="18"/>
  <c r="MT53" i="18" s="1"/>
  <c r="MU53" i="18"/>
  <c r="MV53" i="18" s="1"/>
  <c r="JP53" i="18"/>
  <c r="JQ53" i="18" s="1"/>
  <c r="BN53" i="18"/>
  <c r="BO53" i="18" s="1"/>
  <c r="O53" i="18"/>
  <c r="MK53" i="18"/>
  <c r="ML53" i="18" s="1"/>
  <c r="MO53" i="18"/>
  <c r="MP53" i="18" s="1"/>
  <c r="GD53" i="18"/>
  <c r="GE53" i="18" s="1"/>
  <c r="KG53" i="18"/>
  <c r="DG53" i="18"/>
  <c r="LX53" i="18"/>
  <c r="LY53" i="18" s="1"/>
  <c r="AE53" i="18"/>
  <c r="GU53" i="18"/>
  <c r="HG53" i="18"/>
  <c r="HY53" i="18"/>
  <c r="IK53" i="18"/>
  <c r="JA53" i="18"/>
  <c r="JM53" i="18"/>
  <c r="KI53" i="18"/>
  <c r="ME53" i="18"/>
  <c r="MF53" i="18" s="1"/>
  <c r="MQ53" i="18"/>
  <c r="MR53" i="18" s="1"/>
  <c r="AQ53" i="18"/>
  <c r="JW53" i="18"/>
  <c r="CA53" i="18"/>
  <c r="CM53" i="18"/>
  <c r="KK53" i="18"/>
  <c r="DS53" i="18"/>
  <c r="CE53" i="18"/>
  <c r="EZ53" i="18"/>
  <c r="S53" i="18"/>
  <c r="GK53" i="18"/>
  <c r="GW53" i="18"/>
  <c r="IA53" i="18"/>
  <c r="JC53" i="18"/>
  <c r="JO53" i="18"/>
  <c r="KM53" i="18"/>
  <c r="Y53" i="18"/>
  <c r="DV53" i="18"/>
  <c r="DW53" i="18" s="1"/>
  <c r="MY53" i="18" l="1"/>
  <c r="MZ53" i="18" s="1"/>
  <c r="HB17" i="18" l="1"/>
  <c r="GV17" i="18"/>
  <c r="GP17" i="18"/>
  <c r="GJ17" i="18"/>
  <c r="GJ7" i="18"/>
  <c r="BQ30" i="18"/>
  <c r="LT4" i="18" l="1"/>
  <c r="LR4" i="18"/>
  <c r="LP4" i="18"/>
  <c r="LN4" i="18"/>
  <c r="LL4" i="18"/>
  <c r="LJ4" i="18"/>
  <c r="LH4" i="18"/>
  <c r="LF4" i="18"/>
  <c r="LD4" i="18"/>
  <c r="LB4" i="18"/>
  <c r="KZ4" i="18"/>
  <c r="KW4" i="18"/>
  <c r="LV4" i="18" s="1"/>
  <c r="GJ18" i="18"/>
  <c r="AP17" i="18"/>
  <c r="GJ47" i="18" l="1"/>
  <c r="GG33" i="18"/>
  <c r="GJ33" i="18" s="1"/>
  <c r="FZ40" i="18"/>
  <c r="FZ39" i="18"/>
  <c r="FV39" i="18"/>
  <c r="FT40" i="18"/>
  <c r="FR39" i="18"/>
  <c r="FN40" i="18"/>
  <c r="FN39" i="18"/>
  <c r="FJ39" i="18"/>
  <c r="FF39" i="18"/>
  <c r="FH40" i="18"/>
  <c r="DY19" i="18"/>
  <c r="I33" i="18"/>
  <c r="I32" i="18"/>
  <c r="I31" i="18"/>
  <c r="I30" i="18"/>
  <c r="I28" i="18"/>
  <c r="I27" i="18"/>
  <c r="I20" i="18"/>
  <c r="I25" i="18" s="1"/>
  <c r="I19" i="18"/>
  <c r="I24" i="18" s="1"/>
  <c r="I22" i="18" l="1"/>
  <c r="GJ20" i="18" l="1"/>
  <c r="GJ43" i="18"/>
  <c r="GJ42" i="18"/>
  <c r="HF6" i="18"/>
  <c r="HD6" i="18"/>
  <c r="HB6" i="18"/>
  <c r="GZ6" i="18"/>
  <c r="GX6" i="18"/>
  <c r="GV6" i="18"/>
  <c r="GT6" i="18"/>
  <c r="GR6" i="18"/>
  <c r="GP6" i="18"/>
  <c r="GN6" i="18"/>
  <c r="GL6" i="18"/>
  <c r="GJ6" i="18"/>
  <c r="DT6" i="18"/>
  <c r="DR6" i="18"/>
  <c r="DP6" i="18"/>
  <c r="DN6" i="18"/>
  <c r="DL6" i="18"/>
  <c r="DJ6" i="18"/>
  <c r="DH6" i="18"/>
  <c r="DF6" i="18"/>
  <c r="DD6" i="18"/>
  <c r="DB6" i="18"/>
  <c r="CZ6" i="18"/>
  <c r="CX6" i="18"/>
  <c r="CP6" i="18"/>
  <c r="CN6" i="18"/>
  <c r="CL6" i="18"/>
  <c r="CJ6" i="18"/>
  <c r="CH6" i="18"/>
  <c r="CF6" i="18"/>
  <c r="CD6" i="18"/>
  <c r="CB6" i="18"/>
  <c r="BZ6" i="18"/>
  <c r="BX6" i="18"/>
  <c r="BV6" i="18"/>
  <c r="BT6" i="18"/>
  <c r="AH6" i="18"/>
  <c r="AF6" i="18"/>
  <c r="AD6" i="18"/>
  <c r="AB6" i="18"/>
  <c r="Z6" i="18"/>
  <c r="X6" i="18"/>
  <c r="V6" i="18"/>
  <c r="T6" i="18"/>
  <c r="R6" i="18"/>
  <c r="P6" i="18"/>
  <c r="N6" i="18"/>
  <c r="L6" i="18"/>
  <c r="C12" i="31" l="1"/>
  <c r="C11" i="31"/>
  <c r="G49" i="18" l="1"/>
  <c r="K49" i="18" s="1"/>
  <c r="G42" i="18"/>
  <c r="G41" i="18"/>
  <c r="K41" i="18" s="1"/>
  <c r="G2" i="18"/>
  <c r="G37" i="18" s="1"/>
  <c r="K37" i="18" s="1"/>
  <c r="G62" i="18" l="1"/>
  <c r="K62" i="18" s="1"/>
  <c r="G6" i="18"/>
  <c r="G13" i="18"/>
  <c r="G74" i="18"/>
  <c r="K74" i="18" s="1"/>
  <c r="G5" i="18"/>
  <c r="K5" i="18" s="1"/>
  <c r="G17" i="18"/>
  <c r="K17" i="18" s="1"/>
  <c r="G78" i="18"/>
  <c r="K78" i="18" s="1"/>
  <c r="G66" i="18"/>
  <c r="K66" i="18" s="1"/>
  <c r="G18" i="18"/>
  <c r="K18" i="18" s="1"/>
  <c r="G90" i="18"/>
  <c r="K90" i="18" s="1"/>
  <c r="G25" i="18"/>
  <c r="K25" i="18" s="1"/>
  <c r="G103" i="18"/>
  <c r="K103" i="18" s="1"/>
  <c r="G54" i="18"/>
  <c r="K54" i="18" s="1"/>
  <c r="G29" i="18"/>
  <c r="G86" i="18"/>
  <c r="K86" i="18" s="1"/>
  <c r="G110" i="18"/>
  <c r="K110" i="18" s="1"/>
  <c r="G14" i="18"/>
  <c r="G38" i="18"/>
  <c r="K38" i="18" s="1"/>
  <c r="G63" i="18"/>
  <c r="K63" i="18" s="1"/>
  <c r="G75" i="18"/>
  <c r="K75" i="18" s="1"/>
  <c r="G99" i="18"/>
  <c r="K99" i="18" s="1"/>
  <c r="G15" i="18"/>
  <c r="K15" i="18" s="1"/>
  <c r="G27" i="18"/>
  <c r="K27" i="18" s="1"/>
  <c r="G39" i="18"/>
  <c r="K39" i="18" s="1"/>
  <c r="G51" i="18"/>
  <c r="K51" i="18" s="1"/>
  <c r="G64" i="18"/>
  <c r="K64" i="18" s="1"/>
  <c r="G76" i="18"/>
  <c r="K76" i="18" s="1"/>
  <c r="G88" i="18"/>
  <c r="K88" i="18" s="1"/>
  <c r="G100" i="18"/>
  <c r="K100" i="18" s="1"/>
  <c r="G98" i="18"/>
  <c r="K98" i="18" s="1"/>
  <c r="G26" i="18"/>
  <c r="G50" i="18"/>
  <c r="G87" i="18"/>
  <c r="K87" i="18" s="1"/>
  <c r="G4" i="18"/>
  <c r="K4" i="18" s="1"/>
  <c r="G16" i="18"/>
  <c r="K16" i="18" s="1"/>
  <c r="G28" i="18"/>
  <c r="K28" i="18" s="1"/>
  <c r="G40" i="18"/>
  <c r="K40" i="18" s="1"/>
  <c r="G52" i="18"/>
  <c r="K52" i="18" s="1"/>
  <c r="G65" i="18"/>
  <c r="K65" i="18" s="1"/>
  <c r="G77" i="18"/>
  <c r="K77" i="18" s="1"/>
  <c r="G89" i="18"/>
  <c r="K89" i="18" s="1"/>
  <c r="G101" i="18"/>
  <c r="K101" i="18" s="1"/>
  <c r="G102" i="18"/>
  <c r="K102" i="18" s="1"/>
  <c r="G7" i="18"/>
  <c r="K7" i="18" s="1"/>
  <c r="G19" i="18"/>
  <c r="K19" i="18" s="1"/>
  <c r="G31" i="18"/>
  <c r="K31" i="18" s="1"/>
  <c r="G43" i="18"/>
  <c r="G56" i="18"/>
  <c r="K56" i="18" s="1"/>
  <c r="G68" i="18"/>
  <c r="K68" i="18" s="1"/>
  <c r="G80" i="18"/>
  <c r="K80" i="18" s="1"/>
  <c r="G92" i="18"/>
  <c r="K92" i="18" s="1"/>
  <c r="G104" i="18"/>
  <c r="K104" i="18" s="1"/>
  <c r="G91" i="18"/>
  <c r="K91" i="18" s="1"/>
  <c r="G32" i="18"/>
  <c r="K32" i="18" s="1"/>
  <c r="G69" i="18"/>
  <c r="K69" i="18" s="1"/>
  <c r="G93" i="18"/>
  <c r="K93" i="18" s="1"/>
  <c r="G9" i="18"/>
  <c r="K9" i="18" s="1"/>
  <c r="G21" i="18"/>
  <c r="G33" i="18"/>
  <c r="K33" i="18" s="1"/>
  <c r="G45" i="18"/>
  <c r="G58" i="18"/>
  <c r="K58" i="18" s="1"/>
  <c r="G70" i="18"/>
  <c r="K70" i="18" s="1"/>
  <c r="G82" i="18"/>
  <c r="K82" i="18" s="1"/>
  <c r="G94" i="18"/>
  <c r="K94" i="18" s="1"/>
  <c r="G106" i="18"/>
  <c r="K106" i="18" s="1"/>
  <c r="G30" i="18"/>
  <c r="K30" i="18" s="1"/>
  <c r="G79" i="18"/>
  <c r="K79" i="18" s="1"/>
  <c r="G8" i="18"/>
  <c r="K8" i="18" s="1"/>
  <c r="G57" i="18"/>
  <c r="K57" i="18" s="1"/>
  <c r="G105" i="18"/>
  <c r="K105" i="18" s="1"/>
  <c r="G10" i="18"/>
  <c r="K10" i="18" s="1"/>
  <c r="G22" i="18"/>
  <c r="K22" i="18" s="1"/>
  <c r="G34" i="18"/>
  <c r="G46" i="18"/>
  <c r="K46" i="18" s="1"/>
  <c r="G59" i="18"/>
  <c r="K59" i="18" s="1"/>
  <c r="G71" i="18"/>
  <c r="K71" i="18" s="1"/>
  <c r="G83" i="18"/>
  <c r="K83" i="18" s="1"/>
  <c r="G95" i="18"/>
  <c r="K95" i="18" s="1"/>
  <c r="G107" i="18"/>
  <c r="K107" i="18" s="1"/>
  <c r="G55" i="18"/>
  <c r="K55" i="18" s="1"/>
  <c r="G44" i="18"/>
  <c r="G81" i="18"/>
  <c r="K81" i="18" s="1"/>
  <c r="G11" i="18"/>
  <c r="K11" i="18" s="1"/>
  <c r="G23" i="18"/>
  <c r="G35" i="18"/>
  <c r="K35" i="18" s="1"/>
  <c r="G47" i="18"/>
  <c r="K47" i="18" s="1"/>
  <c r="G60" i="18"/>
  <c r="K60" i="18" s="1"/>
  <c r="G72" i="18"/>
  <c r="K72" i="18" s="1"/>
  <c r="G84" i="18"/>
  <c r="K84" i="18" s="1"/>
  <c r="G96" i="18"/>
  <c r="K96" i="18" s="1"/>
  <c r="G108" i="18"/>
  <c r="K108" i="18" s="1"/>
  <c r="G67" i="18"/>
  <c r="K67" i="18" s="1"/>
  <c r="G20" i="18"/>
  <c r="K20" i="18" s="1"/>
  <c r="G12" i="18"/>
  <c r="K12" i="18" s="1"/>
  <c r="G24" i="18"/>
  <c r="K24" i="18" s="1"/>
  <c r="G36" i="18"/>
  <c r="G48" i="18"/>
  <c r="K48" i="18" s="1"/>
  <c r="G61" i="18"/>
  <c r="K61" i="18" s="1"/>
  <c r="G73" i="18"/>
  <c r="K73" i="18" s="1"/>
  <c r="G85" i="18"/>
  <c r="K85" i="18" s="1"/>
  <c r="G97" i="18"/>
  <c r="K97" i="18" s="1"/>
  <c r="G109" i="18"/>
  <c r="K109" i="18" s="1"/>
  <c r="GI50" i="18" l="1"/>
  <c r="K50" i="18"/>
  <c r="DO6" i="18"/>
  <c r="DM6" i="18"/>
  <c r="DS6" i="18"/>
  <c r="DK6" i="18"/>
  <c r="DQ6" i="18"/>
  <c r="DA6" i="18"/>
  <c r="DG6" i="18"/>
  <c r="DE6" i="18"/>
  <c r="DC6" i="18"/>
  <c r="CY6" i="18"/>
  <c r="DI6" i="18"/>
  <c r="S6" i="18"/>
  <c r="U6" i="18"/>
  <c r="K6" i="18"/>
  <c r="GP21" i="18"/>
  <c r="GR21" i="18"/>
  <c r="GT21" i="18"/>
  <c r="GL20" i="18"/>
  <c r="E25" i="22" l="1"/>
  <c r="F25" i="22" s="1"/>
  <c r="F18" i="22"/>
  <c r="E17" i="22"/>
  <c r="F17" i="22" s="1"/>
  <c r="E16" i="22"/>
  <c r="F16" i="22" s="1"/>
  <c r="E15" i="22"/>
  <c r="F15" i="22" s="1"/>
  <c r="E14" i="22"/>
  <c r="F14" i="22" s="1"/>
  <c r="E13" i="22"/>
  <c r="F13" i="22" s="1"/>
  <c r="E12" i="22"/>
  <c r="E19" i="22" l="1"/>
  <c r="F12" i="22"/>
  <c r="F19" i="22" s="1"/>
  <c r="I14" i="18" l="1"/>
  <c r="K14" i="18" s="1"/>
  <c r="CU14" i="18"/>
  <c r="BQ14" i="18"/>
  <c r="BT17" i="18"/>
  <c r="BZ17" i="18"/>
  <c r="CF17" i="18"/>
  <c r="AH18" i="18"/>
  <c r="DY45" i="18"/>
  <c r="DY44" i="18"/>
  <c r="DY42" i="18"/>
  <c r="DY43" i="18"/>
  <c r="AM13" i="18"/>
  <c r="GG14" i="18"/>
  <c r="GJ14" i="18" s="1"/>
  <c r="GN20" i="18"/>
  <c r="GG19" i="18"/>
  <c r="HF35" i="18"/>
  <c r="HD35" i="18"/>
  <c r="HB35" i="18"/>
  <c r="GZ35" i="18"/>
  <c r="GX35" i="18"/>
  <c r="GV35" i="18"/>
  <c r="GT35" i="18"/>
  <c r="GR35" i="18"/>
  <c r="GP35" i="18"/>
  <c r="GN35" i="18"/>
  <c r="GL35" i="18"/>
  <c r="GJ35" i="18"/>
  <c r="GG32" i="18"/>
  <c r="GR32" i="18" s="1"/>
  <c r="GG31" i="18"/>
  <c r="GG26" i="18"/>
  <c r="GZ26" i="18" s="1"/>
  <c r="GG25" i="18"/>
  <c r="GG23" i="18"/>
  <c r="GZ23" i="18" s="1"/>
  <c r="GG22" i="18"/>
  <c r="GR25" i="18" l="1"/>
  <c r="GJ25" i="18"/>
  <c r="GN22" i="18"/>
  <c r="GJ22" i="18"/>
  <c r="GL31" i="18"/>
  <c r="GJ31" i="18"/>
  <c r="GG30" i="18"/>
  <c r="GL19" i="18"/>
  <c r="GJ19" i="18"/>
  <c r="GJ24" i="18" s="1"/>
  <c r="HD23" i="18"/>
  <c r="GR23" i="18"/>
  <c r="HD32" i="18"/>
  <c r="GZ32" i="18"/>
  <c r="GV32" i="18"/>
  <c r="GG29" i="18"/>
  <c r="HD29" i="18" s="1"/>
  <c r="GN23" i="18"/>
  <c r="GL29" i="18"/>
  <c r="GR29" i="18"/>
  <c r="GN19" i="18"/>
  <c r="GV22" i="18"/>
  <c r="HD26" i="18"/>
  <c r="GV23" i="18"/>
  <c r="GN26" i="18"/>
  <c r="GR26" i="18"/>
  <c r="GV26" i="18"/>
  <c r="GN32" i="18"/>
  <c r="GG34" i="18"/>
  <c r="GJ34" i="18" s="1"/>
  <c r="HD22" i="18"/>
  <c r="GN25" i="18"/>
  <c r="GV25" i="18"/>
  <c r="GZ25" i="18"/>
  <c r="GG28" i="18"/>
  <c r="GZ22" i="18"/>
  <c r="HD25" i="18"/>
  <c r="GR22" i="18"/>
  <c r="GG24" i="18"/>
  <c r="GG27" i="18"/>
  <c r="GG36" i="18"/>
  <c r="GL30" i="18" l="1"/>
  <c r="GJ30" i="18"/>
  <c r="GX29" i="18"/>
  <c r="GJ36" i="18"/>
  <c r="GX28" i="18"/>
  <c r="GR28" i="18"/>
  <c r="GL28" i="18"/>
  <c r="HD28" i="18"/>
  <c r="GR27" i="18"/>
  <c r="GL27" i="18"/>
  <c r="HD27" i="18"/>
  <c r="GX27" i="18"/>
  <c r="GR24" i="18"/>
  <c r="GN24" i="18"/>
  <c r="HD24" i="18"/>
  <c r="GZ24" i="18"/>
  <c r="GV24" i="18"/>
  <c r="KW17" i="18" l="1"/>
  <c r="LT17" i="18" s="1"/>
  <c r="KW13" i="18"/>
  <c r="EB5" i="18"/>
  <c r="EF5" i="18"/>
  <c r="EH5" i="18"/>
  <c r="EB6" i="18"/>
  <c r="EF6" i="18"/>
  <c r="EH6" i="18"/>
  <c r="EB8" i="18"/>
  <c r="EF8" i="18"/>
  <c r="EH8" i="18"/>
  <c r="EB9" i="18"/>
  <c r="EF9" i="18"/>
  <c r="EH9" i="18"/>
  <c r="EB10" i="18"/>
  <c r="EF10" i="18"/>
  <c r="EH10" i="18"/>
  <c r="EB11" i="18"/>
  <c r="EF11" i="18"/>
  <c r="EH11" i="18"/>
  <c r="DY13" i="18"/>
  <c r="DY14" i="18"/>
  <c r="ED19" i="18"/>
  <c r="EL20" i="18"/>
  <c r="EF21" i="18"/>
  <c r="EB37" i="18"/>
  <c r="ED37" i="18"/>
  <c r="EF37" i="18"/>
  <c r="EH37" i="18"/>
  <c r="EJ37" i="18"/>
  <c r="EL37" i="18"/>
  <c r="EN37" i="18"/>
  <c r="EP37" i="18"/>
  <c r="ER37" i="18"/>
  <c r="ET37" i="18"/>
  <c r="EV37" i="18"/>
  <c r="EX37" i="18"/>
  <c r="EB38" i="18"/>
  <c r="ED38" i="18"/>
  <c r="EF38" i="18"/>
  <c r="EH38" i="18"/>
  <c r="EJ38" i="18"/>
  <c r="EL38" i="18"/>
  <c r="EN38" i="18"/>
  <c r="EP38" i="18"/>
  <c r="ER38" i="18"/>
  <c r="ET38" i="18"/>
  <c r="EV38" i="18"/>
  <c r="EX38" i="18"/>
  <c r="EB39" i="18"/>
  <c r="ED39" i="18"/>
  <c r="EF39" i="18"/>
  <c r="EH39" i="18"/>
  <c r="EJ39" i="18"/>
  <c r="EL39" i="18"/>
  <c r="EN39" i="18"/>
  <c r="EP39" i="18"/>
  <c r="ER39" i="18"/>
  <c r="ET39" i="18"/>
  <c r="EV39" i="18"/>
  <c r="EX39" i="18"/>
  <c r="EB40" i="18"/>
  <c r="ED40" i="18"/>
  <c r="EF40" i="18"/>
  <c r="EH40" i="18"/>
  <c r="EJ40" i="18"/>
  <c r="EL40" i="18"/>
  <c r="EN40" i="18"/>
  <c r="EP40" i="18"/>
  <c r="ER40" i="18"/>
  <c r="ET40" i="18"/>
  <c r="EV40" i="18"/>
  <c r="EX40" i="18"/>
  <c r="EB41" i="18"/>
  <c r="ED41" i="18"/>
  <c r="EF41" i="18"/>
  <c r="EH41" i="18"/>
  <c r="EJ41" i="18"/>
  <c r="EL41" i="18"/>
  <c r="EN41" i="18"/>
  <c r="EP41" i="18"/>
  <c r="ER41" i="18"/>
  <c r="ET41" i="18"/>
  <c r="EV41" i="18"/>
  <c r="EX41" i="18"/>
  <c r="EB46" i="18"/>
  <c r="ED46" i="18"/>
  <c r="EF46" i="18"/>
  <c r="EH46" i="18"/>
  <c r="EJ46" i="18"/>
  <c r="EL46" i="18"/>
  <c r="EN46" i="18"/>
  <c r="EP46" i="18"/>
  <c r="ER46" i="18"/>
  <c r="ET46" i="18"/>
  <c r="EV46" i="18"/>
  <c r="EX46" i="18"/>
  <c r="EB47" i="18"/>
  <c r="ED47" i="18"/>
  <c r="EF47" i="18"/>
  <c r="EH47" i="18"/>
  <c r="EJ47" i="18"/>
  <c r="EL47" i="18"/>
  <c r="EN47" i="18"/>
  <c r="EP47" i="18"/>
  <c r="ER47" i="18"/>
  <c r="ET47" i="18"/>
  <c r="EV47" i="18"/>
  <c r="EX47" i="18"/>
  <c r="EB48" i="18"/>
  <c r="ED48" i="18"/>
  <c r="EF48" i="18"/>
  <c r="EH48" i="18"/>
  <c r="EJ48" i="18"/>
  <c r="EL48" i="18"/>
  <c r="EN48" i="18"/>
  <c r="EP48" i="18"/>
  <c r="ER48" i="18"/>
  <c r="ET48" i="18"/>
  <c r="EV48" i="18"/>
  <c r="EX48" i="18"/>
  <c r="EB49" i="18"/>
  <c r="ED49" i="18"/>
  <c r="EF49" i="18"/>
  <c r="EH49" i="18"/>
  <c r="EJ49" i="18"/>
  <c r="EL49" i="18"/>
  <c r="EN49" i="18"/>
  <c r="EP49" i="18"/>
  <c r="ER49" i="18"/>
  <c r="ET49" i="18"/>
  <c r="EV49" i="18"/>
  <c r="EX49" i="18"/>
  <c r="EB50" i="18"/>
  <c r="ED50" i="18"/>
  <c r="EF50" i="18"/>
  <c r="EH50" i="18"/>
  <c r="EJ50" i="18"/>
  <c r="EL50" i="18"/>
  <c r="EN50" i="18"/>
  <c r="EP50" i="18"/>
  <c r="ER50" i="18"/>
  <c r="ET50" i="18"/>
  <c r="EV50" i="18"/>
  <c r="EX50" i="18"/>
  <c r="EB51" i="18"/>
  <c r="ED51" i="18"/>
  <c r="EF51" i="18"/>
  <c r="EH51" i="18"/>
  <c r="EJ51" i="18"/>
  <c r="EL51" i="18"/>
  <c r="EN51" i="18"/>
  <c r="EP51" i="18"/>
  <c r="ER51" i="18"/>
  <c r="ET51" i="18"/>
  <c r="EV51" i="18"/>
  <c r="EX51" i="18"/>
  <c r="EB52" i="18"/>
  <c r="ED52" i="18"/>
  <c r="EF52" i="18"/>
  <c r="EH52" i="18"/>
  <c r="EJ52" i="18"/>
  <c r="EL52" i="18"/>
  <c r="EN52" i="18"/>
  <c r="EP52" i="18"/>
  <c r="ER52" i="18"/>
  <c r="ET52" i="18"/>
  <c r="EV52" i="18"/>
  <c r="EX52" i="18"/>
  <c r="EB54" i="18"/>
  <c r="ED54" i="18"/>
  <c r="EF54" i="18"/>
  <c r="EH54" i="18"/>
  <c r="EJ54" i="18"/>
  <c r="EL54" i="18"/>
  <c r="EN54" i="18"/>
  <c r="EP54" i="18"/>
  <c r="ER54" i="18"/>
  <c r="ET54" i="18"/>
  <c r="EV54" i="18"/>
  <c r="EX54" i="18"/>
  <c r="EB55" i="18"/>
  <c r="ED55" i="18"/>
  <c r="EF55" i="18"/>
  <c r="EH55" i="18"/>
  <c r="EJ55" i="18"/>
  <c r="EL55" i="18"/>
  <c r="EN55" i="18"/>
  <c r="EP55" i="18"/>
  <c r="ER55" i="18"/>
  <c r="ET55" i="18"/>
  <c r="EV55" i="18"/>
  <c r="EX55" i="18"/>
  <c r="EB56" i="18"/>
  <c r="ED56" i="18"/>
  <c r="EF56" i="18"/>
  <c r="EH56" i="18"/>
  <c r="EJ56" i="18"/>
  <c r="EL56" i="18"/>
  <c r="EN56" i="18"/>
  <c r="EP56" i="18"/>
  <c r="ER56" i="18"/>
  <c r="ET56" i="18"/>
  <c r="EV56" i="18"/>
  <c r="EX56" i="18"/>
  <c r="EB57" i="18"/>
  <c r="ED57" i="18"/>
  <c r="EF57" i="18"/>
  <c r="EH57" i="18"/>
  <c r="EJ57" i="18"/>
  <c r="EL57" i="18"/>
  <c r="EN57" i="18"/>
  <c r="EP57" i="18"/>
  <c r="ER57" i="18"/>
  <c r="ET57" i="18"/>
  <c r="EV57" i="18"/>
  <c r="EX57" i="18"/>
  <c r="EB58" i="18"/>
  <c r="ED58" i="18"/>
  <c r="EF58" i="18"/>
  <c r="EH58" i="18"/>
  <c r="EJ58" i="18"/>
  <c r="EL58" i="18"/>
  <c r="EN58" i="18"/>
  <c r="EP58" i="18"/>
  <c r="ER58" i="18"/>
  <c r="ET58" i="18"/>
  <c r="EV58" i="18"/>
  <c r="EX58" i="18"/>
  <c r="EB59" i="18"/>
  <c r="ED59" i="18"/>
  <c r="EF59" i="18"/>
  <c r="EH59" i="18"/>
  <c r="EJ59" i="18"/>
  <c r="EL59" i="18"/>
  <c r="EN59" i="18"/>
  <c r="EP59" i="18"/>
  <c r="ER59" i="18"/>
  <c r="ET59" i="18"/>
  <c r="EV59" i="18"/>
  <c r="EX59" i="18"/>
  <c r="EB60" i="18"/>
  <c r="ED60" i="18"/>
  <c r="EF60" i="18"/>
  <c r="EH60" i="18"/>
  <c r="EJ60" i="18"/>
  <c r="EL60" i="18"/>
  <c r="EN60" i="18"/>
  <c r="EP60" i="18"/>
  <c r="ER60" i="18"/>
  <c r="ET60" i="18"/>
  <c r="EV60" i="18"/>
  <c r="EX60" i="18"/>
  <c r="EB61" i="18"/>
  <c r="ED61" i="18"/>
  <c r="EF61" i="18"/>
  <c r="EH61" i="18"/>
  <c r="EJ61" i="18"/>
  <c r="EL61" i="18"/>
  <c r="EN61" i="18"/>
  <c r="EP61" i="18"/>
  <c r="ER61" i="18"/>
  <c r="ET61" i="18"/>
  <c r="EV61" i="18"/>
  <c r="EX61" i="18"/>
  <c r="EB62" i="18"/>
  <c r="ED62" i="18"/>
  <c r="EF62" i="18"/>
  <c r="EH62" i="18"/>
  <c r="EJ62" i="18"/>
  <c r="EL62" i="18"/>
  <c r="EN62" i="18"/>
  <c r="EP62" i="18"/>
  <c r="ER62" i="18"/>
  <c r="ET62" i="18"/>
  <c r="EV62" i="18"/>
  <c r="EX62" i="18"/>
  <c r="EB63" i="18"/>
  <c r="ED63" i="18"/>
  <c r="EF63" i="18"/>
  <c r="EH63" i="18"/>
  <c r="EJ63" i="18"/>
  <c r="EL63" i="18"/>
  <c r="EN63" i="18"/>
  <c r="EP63" i="18"/>
  <c r="ER63" i="18"/>
  <c r="ET63" i="18"/>
  <c r="EV63" i="18"/>
  <c r="EX63" i="18"/>
  <c r="EB64" i="18"/>
  <c r="ED64" i="18"/>
  <c r="EF64" i="18"/>
  <c r="EH64" i="18"/>
  <c r="EJ64" i="18"/>
  <c r="EL64" i="18"/>
  <c r="EN64" i="18"/>
  <c r="EP64" i="18"/>
  <c r="ER64" i="18"/>
  <c r="ET64" i="18"/>
  <c r="EV64" i="18"/>
  <c r="EX64" i="18"/>
  <c r="EB65" i="18"/>
  <c r="ED65" i="18"/>
  <c r="EF65" i="18"/>
  <c r="EH65" i="18"/>
  <c r="EJ65" i="18"/>
  <c r="EL65" i="18"/>
  <c r="EN65" i="18"/>
  <c r="EP65" i="18"/>
  <c r="ER65" i="18"/>
  <c r="ET65" i="18"/>
  <c r="EV65" i="18"/>
  <c r="EX65" i="18"/>
  <c r="EB66" i="18"/>
  <c r="ED66" i="18"/>
  <c r="EF66" i="18"/>
  <c r="EH66" i="18"/>
  <c r="EJ66" i="18"/>
  <c r="EL66" i="18"/>
  <c r="EN66" i="18"/>
  <c r="EP66" i="18"/>
  <c r="ER66" i="18"/>
  <c r="ET66" i="18"/>
  <c r="EV66" i="18"/>
  <c r="EX66" i="18"/>
  <c r="EB67" i="18"/>
  <c r="ED67" i="18"/>
  <c r="EF67" i="18"/>
  <c r="EH67" i="18"/>
  <c r="EJ67" i="18"/>
  <c r="EL67" i="18"/>
  <c r="EN67" i="18"/>
  <c r="EP67" i="18"/>
  <c r="ER67" i="18"/>
  <c r="ET67" i="18"/>
  <c r="EV67" i="18"/>
  <c r="EX67" i="18"/>
  <c r="EB68" i="18"/>
  <c r="ED68" i="18"/>
  <c r="EF68" i="18"/>
  <c r="EH68" i="18"/>
  <c r="EJ68" i="18"/>
  <c r="EL68" i="18"/>
  <c r="EN68" i="18"/>
  <c r="EP68" i="18"/>
  <c r="ER68" i="18"/>
  <c r="ET68" i="18"/>
  <c r="EV68" i="18"/>
  <c r="EX68" i="18"/>
  <c r="EB69" i="18"/>
  <c r="ED69" i="18"/>
  <c r="EF69" i="18"/>
  <c r="EH69" i="18"/>
  <c r="EJ69" i="18"/>
  <c r="EL69" i="18"/>
  <c r="EN69" i="18"/>
  <c r="EP69" i="18"/>
  <c r="ER69" i="18"/>
  <c r="ET69" i="18"/>
  <c r="EV69" i="18"/>
  <c r="EX69" i="18"/>
  <c r="EB70" i="18"/>
  <c r="ED70" i="18"/>
  <c r="EF70" i="18"/>
  <c r="EH70" i="18"/>
  <c r="EJ70" i="18"/>
  <c r="EL70" i="18"/>
  <c r="EN70" i="18"/>
  <c r="EP70" i="18"/>
  <c r="ER70" i="18"/>
  <c r="ET70" i="18"/>
  <c r="EV70" i="18"/>
  <c r="EX70" i="18"/>
  <c r="EB71" i="18"/>
  <c r="ED71" i="18"/>
  <c r="EF71" i="18"/>
  <c r="EH71" i="18"/>
  <c r="EJ71" i="18"/>
  <c r="EL71" i="18"/>
  <c r="EN71" i="18"/>
  <c r="EP71" i="18"/>
  <c r="ER71" i="18"/>
  <c r="ET71" i="18"/>
  <c r="EV71" i="18"/>
  <c r="EX71" i="18"/>
  <c r="EB72" i="18"/>
  <c r="ED72" i="18"/>
  <c r="EF72" i="18"/>
  <c r="EH72" i="18"/>
  <c r="EJ72" i="18"/>
  <c r="EL72" i="18"/>
  <c r="EN72" i="18"/>
  <c r="EP72" i="18"/>
  <c r="ER72" i="18"/>
  <c r="ET72" i="18"/>
  <c r="EV72" i="18"/>
  <c r="EX72" i="18"/>
  <c r="EB73" i="18"/>
  <c r="ED73" i="18"/>
  <c r="EF73" i="18"/>
  <c r="EH73" i="18"/>
  <c r="EJ73" i="18"/>
  <c r="EL73" i="18"/>
  <c r="EN73" i="18"/>
  <c r="EP73" i="18"/>
  <c r="ER73" i="18"/>
  <c r="ET73" i="18"/>
  <c r="EV73" i="18"/>
  <c r="EX73" i="18"/>
  <c r="EB74" i="18"/>
  <c r="ED74" i="18"/>
  <c r="EF74" i="18"/>
  <c r="EH74" i="18"/>
  <c r="EJ74" i="18"/>
  <c r="EL74" i="18"/>
  <c r="EN74" i="18"/>
  <c r="EP74" i="18"/>
  <c r="ER74" i="18"/>
  <c r="ET74" i="18"/>
  <c r="EV74" i="18"/>
  <c r="EX74" i="18"/>
  <c r="EB75" i="18"/>
  <c r="ED75" i="18"/>
  <c r="EF75" i="18"/>
  <c r="EH75" i="18"/>
  <c r="EJ75" i="18"/>
  <c r="EL75" i="18"/>
  <c r="EN75" i="18"/>
  <c r="EP75" i="18"/>
  <c r="ER75" i="18"/>
  <c r="ET75" i="18"/>
  <c r="EV75" i="18"/>
  <c r="EX75" i="18"/>
  <c r="EB76" i="18"/>
  <c r="ED76" i="18"/>
  <c r="EF76" i="18"/>
  <c r="EH76" i="18"/>
  <c r="EJ76" i="18"/>
  <c r="EL76" i="18"/>
  <c r="EN76" i="18"/>
  <c r="EP76" i="18"/>
  <c r="ER76" i="18"/>
  <c r="ET76" i="18"/>
  <c r="EV76" i="18"/>
  <c r="EX76" i="18"/>
  <c r="EB77" i="18"/>
  <c r="ED77" i="18"/>
  <c r="EF77" i="18"/>
  <c r="EH77" i="18"/>
  <c r="EJ77" i="18"/>
  <c r="EL77" i="18"/>
  <c r="EN77" i="18"/>
  <c r="EP77" i="18"/>
  <c r="ER77" i="18"/>
  <c r="ET77" i="18"/>
  <c r="EV77" i="18"/>
  <c r="EX77" i="18"/>
  <c r="EB78" i="18"/>
  <c r="ED78" i="18"/>
  <c r="EF78" i="18"/>
  <c r="EH78" i="18"/>
  <c r="EJ78" i="18"/>
  <c r="EL78" i="18"/>
  <c r="EN78" i="18"/>
  <c r="EP78" i="18"/>
  <c r="ER78" i="18"/>
  <c r="ET78" i="18"/>
  <c r="EV78" i="18"/>
  <c r="EX78" i="18"/>
  <c r="EB79" i="18"/>
  <c r="ED79" i="18"/>
  <c r="EF79" i="18"/>
  <c r="EH79" i="18"/>
  <c r="EJ79" i="18"/>
  <c r="EL79" i="18"/>
  <c r="EN79" i="18"/>
  <c r="EP79" i="18"/>
  <c r="ER79" i="18"/>
  <c r="ET79" i="18"/>
  <c r="EV79" i="18"/>
  <c r="EX79" i="18"/>
  <c r="EB80" i="18"/>
  <c r="ED80" i="18"/>
  <c r="EF80" i="18"/>
  <c r="EH80" i="18"/>
  <c r="EJ80" i="18"/>
  <c r="EL80" i="18"/>
  <c r="EN80" i="18"/>
  <c r="EP80" i="18"/>
  <c r="ER80" i="18"/>
  <c r="ET80" i="18"/>
  <c r="EV80" i="18"/>
  <c r="EX80" i="18"/>
  <c r="EB81" i="18"/>
  <c r="ED81" i="18"/>
  <c r="EF81" i="18"/>
  <c r="EH81" i="18"/>
  <c r="EJ81" i="18"/>
  <c r="EL81" i="18"/>
  <c r="EN81" i="18"/>
  <c r="EP81" i="18"/>
  <c r="ER81" i="18"/>
  <c r="ET81" i="18"/>
  <c r="EV81" i="18"/>
  <c r="EX81" i="18"/>
  <c r="EB82" i="18"/>
  <c r="ED82" i="18"/>
  <c r="EF82" i="18"/>
  <c r="EH82" i="18"/>
  <c r="EJ82" i="18"/>
  <c r="EL82" i="18"/>
  <c r="EN82" i="18"/>
  <c r="EP82" i="18"/>
  <c r="ER82" i="18"/>
  <c r="ET82" i="18"/>
  <c r="EV82" i="18"/>
  <c r="EX82" i="18"/>
  <c r="EB83" i="18"/>
  <c r="ED83" i="18"/>
  <c r="EF83" i="18"/>
  <c r="EH83" i="18"/>
  <c r="EJ83" i="18"/>
  <c r="EL83" i="18"/>
  <c r="EN83" i="18"/>
  <c r="EP83" i="18"/>
  <c r="ER83" i="18"/>
  <c r="ET83" i="18"/>
  <c r="EV83" i="18"/>
  <c r="EX83" i="18"/>
  <c r="EB84" i="18"/>
  <c r="ED84" i="18"/>
  <c r="EF84" i="18"/>
  <c r="EH84" i="18"/>
  <c r="EJ84" i="18"/>
  <c r="EL84" i="18"/>
  <c r="EN84" i="18"/>
  <c r="EP84" i="18"/>
  <c r="ER84" i="18"/>
  <c r="ET84" i="18"/>
  <c r="EV84" i="18"/>
  <c r="EX84" i="18"/>
  <c r="EB85" i="18"/>
  <c r="ED85" i="18"/>
  <c r="EF85" i="18"/>
  <c r="EH85" i="18"/>
  <c r="EJ85" i="18"/>
  <c r="EL85" i="18"/>
  <c r="EN85" i="18"/>
  <c r="EP85" i="18"/>
  <c r="ER85" i="18"/>
  <c r="ET85" i="18"/>
  <c r="EV85" i="18"/>
  <c r="EX85" i="18"/>
  <c r="EB86" i="18"/>
  <c r="ED86" i="18"/>
  <c r="EF86" i="18"/>
  <c r="EH86" i="18"/>
  <c r="EJ86" i="18"/>
  <c r="EL86" i="18"/>
  <c r="EN86" i="18"/>
  <c r="EP86" i="18"/>
  <c r="ER86" i="18"/>
  <c r="ET86" i="18"/>
  <c r="EV86" i="18"/>
  <c r="EX86" i="18"/>
  <c r="EB87" i="18"/>
  <c r="ED87" i="18"/>
  <c r="EF87" i="18"/>
  <c r="EH87" i="18"/>
  <c r="EJ87" i="18"/>
  <c r="EL87" i="18"/>
  <c r="EN87" i="18"/>
  <c r="EP87" i="18"/>
  <c r="ER87" i="18"/>
  <c r="ET87" i="18"/>
  <c r="EV87" i="18"/>
  <c r="EX87" i="18"/>
  <c r="EB88" i="18"/>
  <c r="ED88" i="18"/>
  <c r="EF88" i="18"/>
  <c r="EH88" i="18"/>
  <c r="EJ88" i="18"/>
  <c r="EL88" i="18"/>
  <c r="EN88" i="18"/>
  <c r="EP88" i="18"/>
  <c r="ER88" i="18"/>
  <c r="ET88" i="18"/>
  <c r="EV88" i="18"/>
  <c r="EX88" i="18"/>
  <c r="EB89" i="18"/>
  <c r="ED89" i="18"/>
  <c r="EF89" i="18"/>
  <c r="EH89" i="18"/>
  <c r="EJ89" i="18"/>
  <c r="EL89" i="18"/>
  <c r="EN89" i="18"/>
  <c r="EP89" i="18"/>
  <c r="ER89" i="18"/>
  <c r="ET89" i="18"/>
  <c r="EV89" i="18"/>
  <c r="EX89" i="18"/>
  <c r="EB90" i="18"/>
  <c r="ED90" i="18"/>
  <c r="EF90" i="18"/>
  <c r="EH90" i="18"/>
  <c r="EJ90" i="18"/>
  <c r="EL90" i="18"/>
  <c r="EN90" i="18"/>
  <c r="EP90" i="18"/>
  <c r="ER90" i="18"/>
  <c r="ET90" i="18"/>
  <c r="EV90" i="18"/>
  <c r="EX90" i="18"/>
  <c r="EB91" i="18"/>
  <c r="ED91" i="18"/>
  <c r="EF91" i="18"/>
  <c r="EH91" i="18"/>
  <c r="EJ91" i="18"/>
  <c r="EL91" i="18"/>
  <c r="EN91" i="18"/>
  <c r="EP91" i="18"/>
  <c r="ER91" i="18"/>
  <c r="ET91" i="18"/>
  <c r="EV91" i="18"/>
  <c r="EX91" i="18"/>
  <c r="EB92" i="18"/>
  <c r="ED92" i="18"/>
  <c r="EF92" i="18"/>
  <c r="EH92" i="18"/>
  <c r="EJ92" i="18"/>
  <c r="EL92" i="18"/>
  <c r="EN92" i="18"/>
  <c r="EP92" i="18"/>
  <c r="ER92" i="18"/>
  <c r="ET92" i="18"/>
  <c r="EV92" i="18"/>
  <c r="EX92" i="18"/>
  <c r="EB93" i="18"/>
  <c r="ED93" i="18"/>
  <c r="EF93" i="18"/>
  <c r="EH93" i="18"/>
  <c r="EJ93" i="18"/>
  <c r="EL93" i="18"/>
  <c r="EN93" i="18"/>
  <c r="EP93" i="18"/>
  <c r="ER93" i="18"/>
  <c r="ET93" i="18"/>
  <c r="EV93" i="18"/>
  <c r="EX93" i="18"/>
  <c r="EB94" i="18"/>
  <c r="ED94" i="18"/>
  <c r="EF94" i="18"/>
  <c r="EH94" i="18"/>
  <c r="EJ94" i="18"/>
  <c r="EL94" i="18"/>
  <c r="EN94" i="18"/>
  <c r="EP94" i="18"/>
  <c r="ER94" i="18"/>
  <c r="ET94" i="18"/>
  <c r="EV94" i="18"/>
  <c r="EX94" i="18"/>
  <c r="EB95" i="18"/>
  <c r="ED95" i="18"/>
  <c r="EF95" i="18"/>
  <c r="EH95" i="18"/>
  <c r="EJ95" i="18"/>
  <c r="EL95" i="18"/>
  <c r="EN95" i="18"/>
  <c r="EP95" i="18"/>
  <c r="ER95" i="18"/>
  <c r="ET95" i="18"/>
  <c r="EV95" i="18"/>
  <c r="EX95" i="18"/>
  <c r="EB96" i="18"/>
  <c r="ED96" i="18"/>
  <c r="EF96" i="18"/>
  <c r="EH96" i="18"/>
  <c r="EJ96" i="18"/>
  <c r="EL96" i="18"/>
  <c r="EN96" i="18"/>
  <c r="EP96" i="18"/>
  <c r="ER96" i="18"/>
  <c r="ET96" i="18"/>
  <c r="EV96" i="18"/>
  <c r="EX96" i="18"/>
  <c r="EB97" i="18"/>
  <c r="ED97" i="18"/>
  <c r="EF97" i="18"/>
  <c r="EH97" i="18"/>
  <c r="EJ97" i="18"/>
  <c r="EL97" i="18"/>
  <c r="EN97" i="18"/>
  <c r="EP97" i="18"/>
  <c r="ER97" i="18"/>
  <c r="ET97" i="18"/>
  <c r="EV97" i="18"/>
  <c r="EX97" i="18"/>
  <c r="EB98" i="18"/>
  <c r="ED98" i="18"/>
  <c r="EF98" i="18"/>
  <c r="EH98" i="18"/>
  <c r="EJ98" i="18"/>
  <c r="EL98" i="18"/>
  <c r="EN98" i="18"/>
  <c r="EP98" i="18"/>
  <c r="ER98" i="18"/>
  <c r="ET98" i="18"/>
  <c r="EV98" i="18"/>
  <c r="EX98" i="18"/>
  <c r="EB99" i="18"/>
  <c r="ED99" i="18"/>
  <c r="EF99" i="18"/>
  <c r="EH99" i="18"/>
  <c r="EJ99" i="18"/>
  <c r="EL99" i="18"/>
  <c r="EN99" i="18"/>
  <c r="EP99" i="18"/>
  <c r="ER99" i="18"/>
  <c r="ET99" i="18"/>
  <c r="EV99" i="18"/>
  <c r="EX99" i="18"/>
  <c r="EB100" i="18"/>
  <c r="ED100" i="18"/>
  <c r="EF100" i="18"/>
  <c r="EH100" i="18"/>
  <c r="EJ100" i="18"/>
  <c r="EL100" i="18"/>
  <c r="EN100" i="18"/>
  <c r="EP100" i="18"/>
  <c r="ER100" i="18"/>
  <c r="ET100" i="18"/>
  <c r="EV100" i="18"/>
  <c r="EX100" i="18"/>
  <c r="EB101" i="18"/>
  <c r="ED101" i="18"/>
  <c r="EF101" i="18"/>
  <c r="EH101" i="18"/>
  <c r="EJ101" i="18"/>
  <c r="EL101" i="18"/>
  <c r="EN101" i="18"/>
  <c r="EP101" i="18"/>
  <c r="ER101" i="18"/>
  <c r="ET101" i="18"/>
  <c r="EV101" i="18"/>
  <c r="EX101" i="18"/>
  <c r="EB102" i="18"/>
  <c r="ED102" i="18"/>
  <c r="EF102" i="18"/>
  <c r="EH102" i="18"/>
  <c r="EJ102" i="18"/>
  <c r="EL102" i="18"/>
  <c r="EN102" i="18"/>
  <c r="EP102" i="18"/>
  <c r="ER102" i="18"/>
  <c r="ET102" i="18"/>
  <c r="EV102" i="18"/>
  <c r="EX102" i="18"/>
  <c r="EB103" i="18"/>
  <c r="ED103" i="18"/>
  <c r="EF103" i="18"/>
  <c r="EH103" i="18"/>
  <c r="EJ103" i="18"/>
  <c r="EL103" i="18"/>
  <c r="EN103" i="18"/>
  <c r="EP103" i="18"/>
  <c r="ER103" i="18"/>
  <c r="ET103" i="18"/>
  <c r="EV103" i="18"/>
  <c r="EX103" i="18"/>
  <c r="EB104" i="18"/>
  <c r="ED104" i="18"/>
  <c r="EF104" i="18"/>
  <c r="EH104" i="18"/>
  <c r="EJ104" i="18"/>
  <c r="EL104" i="18"/>
  <c r="EN104" i="18"/>
  <c r="EP104" i="18"/>
  <c r="ER104" i="18"/>
  <c r="ET104" i="18"/>
  <c r="EV104" i="18"/>
  <c r="EX104" i="18"/>
  <c r="EB105" i="18"/>
  <c r="ED105" i="18"/>
  <c r="EF105" i="18"/>
  <c r="EH105" i="18"/>
  <c r="EJ105" i="18"/>
  <c r="EL105" i="18"/>
  <c r="EN105" i="18"/>
  <c r="EP105" i="18"/>
  <c r="ER105" i="18"/>
  <c r="ET105" i="18"/>
  <c r="EV105" i="18"/>
  <c r="EX105" i="18"/>
  <c r="EB106" i="18"/>
  <c r="ED106" i="18"/>
  <c r="EF106" i="18"/>
  <c r="EH106" i="18"/>
  <c r="EJ106" i="18"/>
  <c r="EL106" i="18"/>
  <c r="EN106" i="18"/>
  <c r="EP106" i="18"/>
  <c r="ER106" i="18"/>
  <c r="ET106" i="18"/>
  <c r="EV106" i="18"/>
  <c r="EX106" i="18"/>
  <c r="EB107" i="18"/>
  <c r="ED107" i="18"/>
  <c r="EF107" i="18"/>
  <c r="EH107" i="18"/>
  <c r="EJ107" i="18"/>
  <c r="EL107" i="18"/>
  <c r="EN107" i="18"/>
  <c r="EP107" i="18"/>
  <c r="ER107" i="18"/>
  <c r="ET107" i="18"/>
  <c r="EV107" i="18"/>
  <c r="EX107" i="18"/>
  <c r="EB108" i="18"/>
  <c r="ED108" i="18"/>
  <c r="EF108" i="18"/>
  <c r="EH108" i="18"/>
  <c r="EJ108" i="18"/>
  <c r="EL108" i="18"/>
  <c r="EN108" i="18"/>
  <c r="EP108" i="18"/>
  <c r="ER108" i="18"/>
  <c r="ET108" i="18"/>
  <c r="EV108" i="18"/>
  <c r="EX108" i="18"/>
  <c r="EB109" i="18"/>
  <c r="ED109" i="18"/>
  <c r="EF109" i="18"/>
  <c r="EH109" i="18"/>
  <c r="EJ109" i="18"/>
  <c r="EL109" i="18"/>
  <c r="EN109" i="18"/>
  <c r="EP109" i="18"/>
  <c r="ER109" i="18"/>
  <c r="ET109" i="18"/>
  <c r="EV109" i="18"/>
  <c r="EX109" i="18"/>
  <c r="EB110" i="18"/>
  <c r="ED110" i="18"/>
  <c r="EF110" i="18"/>
  <c r="EH110" i="18"/>
  <c r="EJ110" i="18"/>
  <c r="EL110" i="18"/>
  <c r="EN110" i="18"/>
  <c r="EP110" i="18"/>
  <c r="ER110" i="18"/>
  <c r="ET110" i="18"/>
  <c r="EV110" i="18"/>
  <c r="EX110" i="18"/>
  <c r="EP21" i="18" l="1"/>
  <c r="EN21" i="18"/>
  <c r="EL21" i="18"/>
  <c r="ED21" i="18"/>
  <c r="EJ21" i="18"/>
  <c r="EH21" i="18"/>
  <c r="DY22" i="18"/>
  <c r="EN22" i="18" s="1"/>
  <c r="EX19" i="18"/>
  <c r="EX20" i="18"/>
  <c r="ET20" i="18"/>
  <c r="EZ38" i="18"/>
  <c r="DY32" i="18"/>
  <c r="EJ32" i="18" s="1"/>
  <c r="EZ92" i="18"/>
  <c r="EZ49" i="18"/>
  <c r="DY26" i="18"/>
  <c r="EB26" i="18" s="1"/>
  <c r="EZ95" i="18"/>
  <c r="EZ64" i="18"/>
  <c r="EZ104" i="18"/>
  <c r="EZ72" i="18"/>
  <c r="EZ80" i="18"/>
  <c r="EZ93" i="18"/>
  <c r="EZ109" i="18"/>
  <c r="EZ105" i="18"/>
  <c r="EZ103" i="18"/>
  <c r="EZ102" i="18"/>
  <c r="EZ88" i="18"/>
  <c r="EZ81" i="18"/>
  <c r="DY23" i="18"/>
  <c r="EJ23" i="18" s="1"/>
  <c r="EB21" i="18"/>
  <c r="EZ79" i="18"/>
  <c r="EZ73" i="18"/>
  <c r="EZ65" i="18"/>
  <c r="EX21" i="18"/>
  <c r="EZ52" i="18"/>
  <c r="EZ51" i="18"/>
  <c r="DY29" i="18"/>
  <c r="EV21" i="18"/>
  <c r="ET21" i="18"/>
  <c r="EZ6" i="18"/>
  <c r="LB17" i="18"/>
  <c r="LN17" i="18"/>
  <c r="LR17" i="18"/>
  <c r="EZ11" i="18"/>
  <c r="EZ107" i="18"/>
  <c r="EZ41" i="18"/>
  <c r="EZ100" i="18"/>
  <c r="EZ96" i="18"/>
  <c r="EZ86" i="18"/>
  <c r="EZ98" i="18"/>
  <c r="EZ91" i="18"/>
  <c r="EZ108" i="18"/>
  <c r="EZ89" i="18"/>
  <c r="EZ101" i="18"/>
  <c r="EZ97" i="18"/>
  <c r="EZ99" i="18"/>
  <c r="EZ76" i="18"/>
  <c r="EZ66" i="18"/>
  <c r="EZ58" i="18"/>
  <c r="EZ46" i="18"/>
  <c r="EZ78" i="18"/>
  <c r="EZ84" i="18"/>
  <c r="EZ90" i="18"/>
  <c r="EZ68" i="18"/>
  <c r="EZ63" i="18"/>
  <c r="EZ60" i="18"/>
  <c r="EZ57" i="18"/>
  <c r="EZ94" i="18"/>
  <c r="EZ74" i="18"/>
  <c r="EZ106" i="18"/>
  <c r="EZ71" i="18"/>
  <c r="EZ70" i="18"/>
  <c r="EZ110" i="18"/>
  <c r="EZ82" i="18"/>
  <c r="EZ62" i="18"/>
  <c r="EZ87" i="18"/>
  <c r="EZ59" i="18"/>
  <c r="EZ85" i="18"/>
  <c r="EZ77" i="18"/>
  <c r="EZ69" i="18"/>
  <c r="EZ54" i="18"/>
  <c r="EZ56" i="18"/>
  <c r="EZ55" i="18"/>
  <c r="EZ42" i="18"/>
  <c r="EZ37" i="18"/>
  <c r="EZ7" i="18"/>
  <c r="EZ83" i="18"/>
  <c r="EZ75" i="18"/>
  <c r="EZ67" i="18"/>
  <c r="ED20" i="18"/>
  <c r="EP20" i="18"/>
  <c r="DY33" i="18"/>
  <c r="EF20" i="18"/>
  <c r="ER20" i="18"/>
  <c r="DY28" i="18"/>
  <c r="EJ20" i="18"/>
  <c r="EV20" i="18"/>
  <c r="EB20" i="18"/>
  <c r="EN20" i="18"/>
  <c r="DY25" i="18"/>
  <c r="DY31" i="18"/>
  <c r="EZ18" i="18"/>
  <c r="EZ15" i="18"/>
  <c r="EZ9" i="18"/>
  <c r="EZ61" i="18"/>
  <c r="EZ35" i="18"/>
  <c r="EZ10" i="18"/>
  <c r="DY34" i="18"/>
  <c r="EP19" i="18"/>
  <c r="EZ48" i="18"/>
  <c r="EL19" i="18"/>
  <c r="EZ17" i="18"/>
  <c r="EZ50" i="18"/>
  <c r="EZ47" i="18"/>
  <c r="EZ44" i="18"/>
  <c r="EZ40" i="18"/>
  <c r="EH20" i="18"/>
  <c r="EZ12" i="18"/>
  <c r="EZ39" i="18"/>
  <c r="EZ16" i="18"/>
  <c r="EZ8" i="18"/>
  <c r="EZ5" i="18"/>
  <c r="EZ4" i="18"/>
  <c r="EH19" i="18"/>
  <c r="ET19" i="18"/>
  <c r="DY24" i="18"/>
  <c r="EJ19" i="18"/>
  <c r="EV19" i="18"/>
  <c r="EB19" i="18"/>
  <c r="EN19" i="18"/>
  <c r="DY27" i="18"/>
  <c r="DY30" i="18"/>
  <c r="EF19" i="18"/>
  <c r="ER19" i="18"/>
  <c r="ER21" i="18"/>
  <c r="EJ22" i="18" l="1"/>
  <c r="EB22" i="18"/>
  <c r="EV22" i="18"/>
  <c r="EF22" i="18"/>
  <c r="ER22" i="18"/>
  <c r="EV32" i="18"/>
  <c r="EN26" i="18"/>
  <c r="ER26" i="18"/>
  <c r="EF32" i="18"/>
  <c r="EB32" i="18"/>
  <c r="EN32" i="18"/>
  <c r="ER32" i="18"/>
  <c r="EV26" i="18"/>
  <c r="EF26" i="18"/>
  <c r="EJ26" i="18"/>
  <c r="EF23" i="18"/>
  <c r="EB23" i="18"/>
  <c r="EN23" i="18"/>
  <c r="ER23" i="18"/>
  <c r="EV23" i="18"/>
  <c r="ED29" i="18"/>
  <c r="EJ29" i="18"/>
  <c r="EP29" i="18"/>
  <c r="EV29" i="18"/>
  <c r="ED28" i="18"/>
  <c r="EV28" i="18"/>
  <c r="EJ28" i="18"/>
  <c r="EP28" i="18"/>
  <c r="EZ21" i="18"/>
  <c r="EL33" i="18"/>
  <c r="EX33" i="18"/>
  <c r="EB33" i="18"/>
  <c r="EN33" i="18"/>
  <c r="EF33" i="18"/>
  <c r="ER33" i="18"/>
  <c r="EJ33" i="18"/>
  <c r="EV33" i="18"/>
  <c r="EP33" i="18"/>
  <c r="ET33" i="18"/>
  <c r="EH33" i="18"/>
  <c r="ED33" i="18"/>
  <c r="EP27" i="18"/>
  <c r="ED27" i="18"/>
  <c r="EV27" i="18"/>
  <c r="EJ27" i="18"/>
  <c r="EB31" i="18"/>
  <c r="EN31" i="18"/>
  <c r="ED31" i="18"/>
  <c r="EP31" i="18"/>
  <c r="EH31" i="18"/>
  <c r="ET31" i="18"/>
  <c r="EL31" i="18"/>
  <c r="EX31" i="18"/>
  <c r="EJ31" i="18"/>
  <c r="EV31" i="18"/>
  <c r="EF31" i="18"/>
  <c r="ER31" i="18"/>
  <c r="EZ45" i="18"/>
  <c r="EZ13" i="18"/>
  <c r="EZ14" i="18"/>
  <c r="EF30" i="18"/>
  <c r="ER30" i="18"/>
  <c r="EH30" i="18"/>
  <c r="ET30" i="18"/>
  <c r="EL30" i="18"/>
  <c r="EX30" i="18"/>
  <c r="ED30" i="18"/>
  <c r="EP30" i="18"/>
  <c r="EJ30" i="18"/>
  <c r="EN30" i="18"/>
  <c r="EV30" i="18"/>
  <c r="EB30" i="18"/>
  <c r="EZ19" i="18"/>
  <c r="EH34" i="18"/>
  <c r="ET34" i="18"/>
  <c r="EJ34" i="18"/>
  <c r="EV34" i="18"/>
  <c r="EB34" i="18"/>
  <c r="EN34" i="18"/>
  <c r="EF34" i="18"/>
  <c r="ER34" i="18"/>
  <c r="EP34" i="18"/>
  <c r="ED34" i="18"/>
  <c r="EL34" i="18"/>
  <c r="DY36" i="18"/>
  <c r="EX34" i="18"/>
  <c r="EB25" i="18"/>
  <c r="ER25" i="18"/>
  <c r="EJ25" i="18"/>
  <c r="EN25" i="18"/>
  <c r="EF25" i="18"/>
  <c r="EV25" i="18"/>
  <c r="EB24" i="18"/>
  <c r="ER24" i="18"/>
  <c r="EF24" i="18"/>
  <c r="EV24" i="18"/>
  <c r="EN24" i="18"/>
  <c r="EJ24" i="18"/>
  <c r="EZ43" i="18"/>
  <c r="EZ20" i="18"/>
  <c r="EZ32" i="18" l="1"/>
  <c r="EZ22" i="18"/>
  <c r="EZ26" i="18"/>
  <c r="EZ23" i="18"/>
  <c r="EZ29" i="18"/>
  <c r="EZ31" i="18"/>
  <c r="EZ24" i="18"/>
  <c r="EZ33" i="18"/>
  <c r="EZ28" i="18"/>
  <c r="EZ34" i="18"/>
  <c r="EZ25" i="18"/>
  <c r="EF36" i="18"/>
  <c r="ER36" i="18"/>
  <c r="EH36" i="18"/>
  <c r="ET36" i="18"/>
  <c r="EJ36" i="18"/>
  <c r="EV36" i="18"/>
  <c r="ED36" i="18"/>
  <c r="EL36" i="18"/>
  <c r="EP36" i="18"/>
  <c r="EB36" i="18"/>
  <c r="EX36" i="18"/>
  <c r="EN36" i="18"/>
  <c r="EZ27" i="18"/>
  <c r="EZ30" i="18"/>
  <c r="EZ36" i="18" l="1"/>
  <c r="LV110" i="18" l="1"/>
  <c r="LT110" i="18"/>
  <c r="LR110" i="18"/>
  <c r="LP110" i="18"/>
  <c r="LN110" i="18"/>
  <c r="LL110" i="18"/>
  <c r="LJ110" i="18"/>
  <c r="LH110" i="18"/>
  <c r="LF110" i="18"/>
  <c r="LD110" i="18"/>
  <c r="LB110" i="18"/>
  <c r="KZ110" i="18"/>
  <c r="KR110" i="18"/>
  <c r="KP110" i="18"/>
  <c r="KN110" i="18"/>
  <c r="KL110" i="18"/>
  <c r="KJ110" i="18"/>
  <c r="KH110" i="18"/>
  <c r="KF110" i="18"/>
  <c r="KD110" i="18"/>
  <c r="KB110" i="18"/>
  <c r="JZ110" i="18"/>
  <c r="JX110" i="18"/>
  <c r="JV110" i="18"/>
  <c r="JN110" i="18"/>
  <c r="JL110" i="18"/>
  <c r="JJ110" i="18"/>
  <c r="JH110" i="18"/>
  <c r="JF110" i="18"/>
  <c r="JD110" i="18"/>
  <c r="JB110" i="18"/>
  <c r="IZ110" i="18"/>
  <c r="IX110" i="18"/>
  <c r="IV110" i="18"/>
  <c r="IT110" i="18"/>
  <c r="IR110" i="18"/>
  <c r="IJ110" i="18"/>
  <c r="IH110" i="18"/>
  <c r="IF110" i="18"/>
  <c r="ID110" i="18"/>
  <c r="IB110" i="18"/>
  <c r="HZ110" i="18"/>
  <c r="HX110" i="18"/>
  <c r="HV110" i="18"/>
  <c r="HT110" i="18"/>
  <c r="HR110" i="18"/>
  <c r="HP110" i="18"/>
  <c r="HN110" i="18"/>
  <c r="HF110" i="18"/>
  <c r="HD110" i="18"/>
  <c r="HB110" i="18"/>
  <c r="GZ110" i="18"/>
  <c r="GX110" i="18"/>
  <c r="GV110" i="18"/>
  <c r="GT110" i="18"/>
  <c r="GR110" i="18"/>
  <c r="GP110" i="18"/>
  <c r="GN110" i="18"/>
  <c r="GL110" i="18"/>
  <c r="GJ110" i="18"/>
  <c r="GB110" i="18"/>
  <c r="FZ110" i="18"/>
  <c r="FX110" i="18"/>
  <c r="FV110" i="18"/>
  <c r="FT110" i="18"/>
  <c r="FR110" i="18"/>
  <c r="FP110" i="18"/>
  <c r="FN110" i="18"/>
  <c r="FL110" i="18"/>
  <c r="FJ110" i="18"/>
  <c r="FH110" i="18"/>
  <c r="FF110" i="18"/>
  <c r="FE110" i="18"/>
  <c r="DT110" i="18"/>
  <c r="DR110" i="18"/>
  <c r="DP110" i="18"/>
  <c r="DN110" i="18"/>
  <c r="DL110" i="18"/>
  <c r="DJ110" i="18"/>
  <c r="DH110" i="18"/>
  <c r="DF110" i="18"/>
  <c r="DD110" i="18"/>
  <c r="DB110" i="18"/>
  <c r="CZ110" i="18"/>
  <c r="CX110" i="18"/>
  <c r="CP110" i="18"/>
  <c r="CN110" i="18"/>
  <c r="CL110" i="18"/>
  <c r="CJ110" i="18"/>
  <c r="CH110" i="18"/>
  <c r="CF110" i="18"/>
  <c r="CD110" i="18"/>
  <c r="CB110" i="18"/>
  <c r="BZ110" i="18"/>
  <c r="BX110" i="18"/>
  <c r="BV110" i="18"/>
  <c r="BT110" i="18"/>
  <c r="BL110" i="18"/>
  <c r="BJ110" i="18"/>
  <c r="BH110" i="18"/>
  <c r="BF110" i="18"/>
  <c r="BD110" i="18"/>
  <c r="BB110" i="18"/>
  <c r="AZ110" i="18"/>
  <c r="AX110" i="18"/>
  <c r="AV110" i="18"/>
  <c r="AT110" i="18"/>
  <c r="AR110" i="18"/>
  <c r="AP110" i="18"/>
  <c r="AH110" i="18"/>
  <c r="AF110" i="18"/>
  <c r="AD110" i="18"/>
  <c r="AB110" i="18"/>
  <c r="Z110" i="18"/>
  <c r="X110" i="18"/>
  <c r="V110" i="18"/>
  <c r="T110" i="18"/>
  <c r="R110" i="18"/>
  <c r="P110" i="18"/>
  <c r="N110" i="18"/>
  <c r="LV109" i="18"/>
  <c r="LT109" i="18"/>
  <c r="LR109" i="18"/>
  <c r="LP109" i="18"/>
  <c r="LN109" i="18"/>
  <c r="LL109" i="18"/>
  <c r="LJ109" i="18"/>
  <c r="LH109" i="18"/>
  <c r="LF109" i="18"/>
  <c r="LD109" i="18"/>
  <c r="LB109" i="18"/>
  <c r="KZ109" i="18"/>
  <c r="KR109" i="18"/>
  <c r="KP109" i="18"/>
  <c r="KN109" i="18"/>
  <c r="KL109" i="18"/>
  <c r="KJ109" i="18"/>
  <c r="KH109" i="18"/>
  <c r="KF109" i="18"/>
  <c r="KD109" i="18"/>
  <c r="KB109" i="18"/>
  <c r="JZ109" i="18"/>
  <c r="JX109" i="18"/>
  <c r="JV109" i="18"/>
  <c r="JN109" i="18"/>
  <c r="JL109" i="18"/>
  <c r="JJ109" i="18"/>
  <c r="JH109" i="18"/>
  <c r="JF109" i="18"/>
  <c r="JD109" i="18"/>
  <c r="JB109" i="18"/>
  <c r="IZ109" i="18"/>
  <c r="IX109" i="18"/>
  <c r="IV109" i="18"/>
  <c r="IT109" i="18"/>
  <c r="IR109" i="18"/>
  <c r="IJ109" i="18"/>
  <c r="IH109" i="18"/>
  <c r="IF109" i="18"/>
  <c r="ID109" i="18"/>
  <c r="IB109" i="18"/>
  <c r="HZ109" i="18"/>
  <c r="HX109" i="18"/>
  <c r="HV109" i="18"/>
  <c r="HT109" i="18"/>
  <c r="HR109" i="18"/>
  <c r="HP109" i="18"/>
  <c r="HN109" i="18"/>
  <c r="HF109" i="18"/>
  <c r="HD109" i="18"/>
  <c r="HB109" i="18"/>
  <c r="GZ109" i="18"/>
  <c r="GX109" i="18"/>
  <c r="GV109" i="18"/>
  <c r="GT109" i="18"/>
  <c r="GR109" i="18"/>
  <c r="GP109" i="18"/>
  <c r="GN109" i="18"/>
  <c r="GL109" i="18"/>
  <c r="GJ109" i="18"/>
  <c r="GB109" i="18"/>
  <c r="FZ109" i="18"/>
  <c r="FX109" i="18"/>
  <c r="FV109" i="18"/>
  <c r="FT109" i="18"/>
  <c r="FR109" i="18"/>
  <c r="FP109" i="18"/>
  <c r="FN109" i="18"/>
  <c r="FL109" i="18"/>
  <c r="FJ109" i="18"/>
  <c r="FH109" i="18"/>
  <c r="FF109" i="18"/>
  <c r="FE109" i="18"/>
  <c r="DT109" i="18"/>
  <c r="DR109" i="18"/>
  <c r="DP109" i="18"/>
  <c r="DN109" i="18"/>
  <c r="DL109" i="18"/>
  <c r="DJ109" i="18"/>
  <c r="DH109" i="18"/>
  <c r="DF109" i="18"/>
  <c r="DD109" i="18"/>
  <c r="DB109" i="18"/>
  <c r="CZ109" i="18"/>
  <c r="CX109" i="18"/>
  <c r="CP109" i="18"/>
  <c r="CN109" i="18"/>
  <c r="CL109" i="18"/>
  <c r="CJ109" i="18"/>
  <c r="CH109" i="18"/>
  <c r="CF109" i="18"/>
  <c r="CD109" i="18"/>
  <c r="CB109" i="18"/>
  <c r="BZ109" i="18"/>
  <c r="BX109" i="18"/>
  <c r="BV109" i="18"/>
  <c r="BT109" i="18"/>
  <c r="BL109" i="18"/>
  <c r="BJ109" i="18"/>
  <c r="BH109" i="18"/>
  <c r="BF109" i="18"/>
  <c r="BD109" i="18"/>
  <c r="BB109" i="18"/>
  <c r="AZ109" i="18"/>
  <c r="AX109" i="18"/>
  <c r="AV109" i="18"/>
  <c r="AT109" i="18"/>
  <c r="AR109" i="18"/>
  <c r="AP109" i="18"/>
  <c r="AH109" i="18"/>
  <c r="AF109" i="18"/>
  <c r="AD109" i="18"/>
  <c r="AB109" i="18"/>
  <c r="Z109" i="18"/>
  <c r="X109" i="18"/>
  <c r="V109" i="18"/>
  <c r="T109" i="18"/>
  <c r="R109" i="18"/>
  <c r="P109" i="18"/>
  <c r="N109" i="18"/>
  <c r="LV108" i="18"/>
  <c r="LT108" i="18"/>
  <c r="LR108" i="18"/>
  <c r="LP108" i="18"/>
  <c r="LN108" i="18"/>
  <c r="LL108" i="18"/>
  <c r="LJ108" i="18"/>
  <c r="LH108" i="18"/>
  <c r="LF108" i="18"/>
  <c r="LD108" i="18"/>
  <c r="LB108" i="18"/>
  <c r="KZ108" i="18"/>
  <c r="KR108" i="18"/>
  <c r="KP108" i="18"/>
  <c r="KN108" i="18"/>
  <c r="KL108" i="18"/>
  <c r="KJ108" i="18"/>
  <c r="KH108" i="18"/>
  <c r="KF108" i="18"/>
  <c r="KD108" i="18"/>
  <c r="KB108" i="18"/>
  <c r="JZ108" i="18"/>
  <c r="JX108" i="18"/>
  <c r="JV108" i="18"/>
  <c r="JN108" i="18"/>
  <c r="JL108" i="18"/>
  <c r="JJ108" i="18"/>
  <c r="JH108" i="18"/>
  <c r="JF108" i="18"/>
  <c r="JD108" i="18"/>
  <c r="JB108" i="18"/>
  <c r="IZ108" i="18"/>
  <c r="IX108" i="18"/>
  <c r="IV108" i="18"/>
  <c r="IT108" i="18"/>
  <c r="IR108" i="18"/>
  <c r="IJ108" i="18"/>
  <c r="IH108" i="18"/>
  <c r="IF108" i="18"/>
  <c r="ID108" i="18"/>
  <c r="IB108" i="18"/>
  <c r="HZ108" i="18"/>
  <c r="HX108" i="18"/>
  <c r="HV108" i="18"/>
  <c r="HT108" i="18"/>
  <c r="HR108" i="18"/>
  <c r="HP108" i="18"/>
  <c r="HN108" i="18"/>
  <c r="HF108" i="18"/>
  <c r="HD108" i="18"/>
  <c r="HB108" i="18"/>
  <c r="GZ108" i="18"/>
  <c r="GX108" i="18"/>
  <c r="GV108" i="18"/>
  <c r="GT108" i="18"/>
  <c r="GR108" i="18"/>
  <c r="GP108" i="18"/>
  <c r="GN108" i="18"/>
  <c r="GL108" i="18"/>
  <c r="GJ108" i="18"/>
  <c r="GB108" i="18"/>
  <c r="FZ108" i="18"/>
  <c r="FX108" i="18"/>
  <c r="FV108" i="18"/>
  <c r="FT108" i="18"/>
  <c r="FR108" i="18"/>
  <c r="FP108" i="18"/>
  <c r="FN108" i="18"/>
  <c r="FL108" i="18"/>
  <c r="FJ108" i="18"/>
  <c r="FH108" i="18"/>
  <c r="FF108" i="18"/>
  <c r="FE108" i="18"/>
  <c r="DT108" i="18"/>
  <c r="DR108" i="18"/>
  <c r="DP108" i="18"/>
  <c r="DN108" i="18"/>
  <c r="DL108" i="18"/>
  <c r="DJ108" i="18"/>
  <c r="DH108" i="18"/>
  <c r="DF108" i="18"/>
  <c r="DD108" i="18"/>
  <c r="DB108" i="18"/>
  <c r="CZ108" i="18"/>
  <c r="CX108" i="18"/>
  <c r="CP108" i="18"/>
  <c r="CN108" i="18"/>
  <c r="CL108" i="18"/>
  <c r="CJ108" i="18"/>
  <c r="CH108" i="18"/>
  <c r="CF108" i="18"/>
  <c r="CD108" i="18"/>
  <c r="CB108" i="18"/>
  <c r="BZ108" i="18"/>
  <c r="BX108" i="18"/>
  <c r="BV108" i="18"/>
  <c r="BT108" i="18"/>
  <c r="BL108" i="18"/>
  <c r="BJ108" i="18"/>
  <c r="BH108" i="18"/>
  <c r="BF108" i="18"/>
  <c r="BD108" i="18"/>
  <c r="BB108" i="18"/>
  <c r="AZ108" i="18"/>
  <c r="AX108" i="18"/>
  <c r="AV108" i="18"/>
  <c r="AT108" i="18"/>
  <c r="AR108" i="18"/>
  <c r="AP108" i="18"/>
  <c r="AH108" i="18"/>
  <c r="AF108" i="18"/>
  <c r="AD108" i="18"/>
  <c r="AB108" i="18"/>
  <c r="Z108" i="18"/>
  <c r="X108" i="18"/>
  <c r="V108" i="18"/>
  <c r="T108" i="18"/>
  <c r="R108" i="18"/>
  <c r="P108" i="18"/>
  <c r="N108" i="18"/>
  <c r="LV107" i="18"/>
  <c r="LT107" i="18"/>
  <c r="LR107" i="18"/>
  <c r="LP107" i="18"/>
  <c r="LN107" i="18"/>
  <c r="LL107" i="18"/>
  <c r="LJ107" i="18"/>
  <c r="LH107" i="18"/>
  <c r="LF107" i="18"/>
  <c r="LD107" i="18"/>
  <c r="LB107" i="18"/>
  <c r="KZ107" i="18"/>
  <c r="KR107" i="18"/>
  <c r="KP107" i="18"/>
  <c r="KN107" i="18"/>
  <c r="KL107" i="18"/>
  <c r="KJ107" i="18"/>
  <c r="KH107" i="18"/>
  <c r="KF107" i="18"/>
  <c r="KD107" i="18"/>
  <c r="KB107" i="18"/>
  <c r="JZ107" i="18"/>
  <c r="JX107" i="18"/>
  <c r="JV107" i="18"/>
  <c r="JN107" i="18"/>
  <c r="JL107" i="18"/>
  <c r="JJ107" i="18"/>
  <c r="JH107" i="18"/>
  <c r="JF107" i="18"/>
  <c r="JD107" i="18"/>
  <c r="JB107" i="18"/>
  <c r="IZ107" i="18"/>
  <c r="IX107" i="18"/>
  <c r="IV107" i="18"/>
  <c r="IT107" i="18"/>
  <c r="IR107" i="18"/>
  <c r="IJ107" i="18"/>
  <c r="IH107" i="18"/>
  <c r="IF107" i="18"/>
  <c r="ID107" i="18"/>
  <c r="IB107" i="18"/>
  <c r="HZ107" i="18"/>
  <c r="HX107" i="18"/>
  <c r="HV107" i="18"/>
  <c r="HT107" i="18"/>
  <c r="HR107" i="18"/>
  <c r="HP107" i="18"/>
  <c r="HN107" i="18"/>
  <c r="HF107" i="18"/>
  <c r="HD107" i="18"/>
  <c r="HB107" i="18"/>
  <c r="GZ107" i="18"/>
  <c r="GX107" i="18"/>
  <c r="GV107" i="18"/>
  <c r="GT107" i="18"/>
  <c r="GR107" i="18"/>
  <c r="GP107" i="18"/>
  <c r="GN107" i="18"/>
  <c r="GL107" i="18"/>
  <c r="GJ107" i="18"/>
  <c r="GB107" i="18"/>
  <c r="FZ107" i="18"/>
  <c r="FX107" i="18"/>
  <c r="FV107" i="18"/>
  <c r="FT107" i="18"/>
  <c r="FR107" i="18"/>
  <c r="FP107" i="18"/>
  <c r="FN107" i="18"/>
  <c r="FL107" i="18"/>
  <c r="FJ107" i="18"/>
  <c r="FH107" i="18"/>
  <c r="FF107" i="18"/>
  <c r="FE107" i="18"/>
  <c r="DT107" i="18"/>
  <c r="DR107" i="18"/>
  <c r="DP107" i="18"/>
  <c r="DN107" i="18"/>
  <c r="DL107" i="18"/>
  <c r="DJ107" i="18"/>
  <c r="DH107" i="18"/>
  <c r="DF107" i="18"/>
  <c r="DD107" i="18"/>
  <c r="DB107" i="18"/>
  <c r="CZ107" i="18"/>
  <c r="CX107" i="18"/>
  <c r="CP107" i="18"/>
  <c r="CN107" i="18"/>
  <c r="CL107" i="18"/>
  <c r="CJ107" i="18"/>
  <c r="CH107" i="18"/>
  <c r="CF107" i="18"/>
  <c r="CD107" i="18"/>
  <c r="CB107" i="18"/>
  <c r="BZ107" i="18"/>
  <c r="BX107" i="18"/>
  <c r="BV107" i="18"/>
  <c r="BT107" i="18"/>
  <c r="BL107" i="18"/>
  <c r="BJ107" i="18"/>
  <c r="BH107" i="18"/>
  <c r="BF107" i="18"/>
  <c r="BD107" i="18"/>
  <c r="BB107" i="18"/>
  <c r="AZ107" i="18"/>
  <c r="AX107" i="18"/>
  <c r="AV107" i="18"/>
  <c r="AT107" i="18"/>
  <c r="AR107" i="18"/>
  <c r="AP107" i="18"/>
  <c r="AH107" i="18"/>
  <c r="AF107" i="18"/>
  <c r="AD107" i="18"/>
  <c r="AB107" i="18"/>
  <c r="Z107" i="18"/>
  <c r="X107" i="18"/>
  <c r="V107" i="18"/>
  <c r="T107" i="18"/>
  <c r="R107" i="18"/>
  <c r="P107" i="18"/>
  <c r="N107" i="18"/>
  <c r="LV106" i="18"/>
  <c r="LT106" i="18"/>
  <c r="LR106" i="18"/>
  <c r="LP106" i="18"/>
  <c r="LN106" i="18"/>
  <c r="LL106" i="18"/>
  <c r="LJ106" i="18"/>
  <c r="LH106" i="18"/>
  <c r="LF106" i="18"/>
  <c r="LD106" i="18"/>
  <c r="LB106" i="18"/>
  <c r="KZ106" i="18"/>
  <c r="KR106" i="18"/>
  <c r="KP106" i="18"/>
  <c r="KN106" i="18"/>
  <c r="KL106" i="18"/>
  <c r="KJ106" i="18"/>
  <c r="KH106" i="18"/>
  <c r="KF106" i="18"/>
  <c r="KD106" i="18"/>
  <c r="KB106" i="18"/>
  <c r="JZ106" i="18"/>
  <c r="JX106" i="18"/>
  <c r="JV106" i="18"/>
  <c r="JN106" i="18"/>
  <c r="JL106" i="18"/>
  <c r="JJ106" i="18"/>
  <c r="JH106" i="18"/>
  <c r="JF106" i="18"/>
  <c r="JD106" i="18"/>
  <c r="JB106" i="18"/>
  <c r="IZ106" i="18"/>
  <c r="IX106" i="18"/>
  <c r="IV106" i="18"/>
  <c r="IT106" i="18"/>
  <c r="IR106" i="18"/>
  <c r="IJ106" i="18"/>
  <c r="IH106" i="18"/>
  <c r="IF106" i="18"/>
  <c r="ID106" i="18"/>
  <c r="IB106" i="18"/>
  <c r="HZ106" i="18"/>
  <c r="HX106" i="18"/>
  <c r="HV106" i="18"/>
  <c r="HT106" i="18"/>
  <c r="HR106" i="18"/>
  <c r="HP106" i="18"/>
  <c r="HN106" i="18"/>
  <c r="HF106" i="18"/>
  <c r="HD106" i="18"/>
  <c r="HB106" i="18"/>
  <c r="GZ106" i="18"/>
  <c r="GX106" i="18"/>
  <c r="GV106" i="18"/>
  <c r="GT106" i="18"/>
  <c r="GR106" i="18"/>
  <c r="GP106" i="18"/>
  <c r="GN106" i="18"/>
  <c r="GL106" i="18"/>
  <c r="GJ106" i="18"/>
  <c r="GB106" i="18"/>
  <c r="FZ106" i="18"/>
  <c r="FX106" i="18"/>
  <c r="FV106" i="18"/>
  <c r="FT106" i="18"/>
  <c r="FR106" i="18"/>
  <c r="FP106" i="18"/>
  <c r="FN106" i="18"/>
  <c r="FL106" i="18"/>
  <c r="FJ106" i="18"/>
  <c r="FH106" i="18"/>
  <c r="FF106" i="18"/>
  <c r="FE106" i="18"/>
  <c r="DT106" i="18"/>
  <c r="DR106" i="18"/>
  <c r="DP106" i="18"/>
  <c r="DN106" i="18"/>
  <c r="DL106" i="18"/>
  <c r="DJ106" i="18"/>
  <c r="DH106" i="18"/>
  <c r="DF106" i="18"/>
  <c r="DD106" i="18"/>
  <c r="DB106" i="18"/>
  <c r="CZ106" i="18"/>
  <c r="CX106" i="18"/>
  <c r="CP106" i="18"/>
  <c r="CN106" i="18"/>
  <c r="CL106" i="18"/>
  <c r="CJ106" i="18"/>
  <c r="CH106" i="18"/>
  <c r="CF106" i="18"/>
  <c r="CD106" i="18"/>
  <c r="CB106" i="18"/>
  <c r="BZ106" i="18"/>
  <c r="BX106" i="18"/>
  <c r="BV106" i="18"/>
  <c r="BT106" i="18"/>
  <c r="BL106" i="18"/>
  <c r="BJ106" i="18"/>
  <c r="BH106" i="18"/>
  <c r="BF106" i="18"/>
  <c r="BD106" i="18"/>
  <c r="BB106" i="18"/>
  <c r="AZ106" i="18"/>
  <c r="AX106" i="18"/>
  <c r="AV106" i="18"/>
  <c r="AT106" i="18"/>
  <c r="AR106" i="18"/>
  <c r="AP106" i="18"/>
  <c r="AH106" i="18"/>
  <c r="AF106" i="18"/>
  <c r="AD106" i="18"/>
  <c r="AB106" i="18"/>
  <c r="Z106" i="18"/>
  <c r="X106" i="18"/>
  <c r="V106" i="18"/>
  <c r="T106" i="18"/>
  <c r="R106" i="18"/>
  <c r="P106" i="18"/>
  <c r="N106" i="18"/>
  <c r="LV105" i="18"/>
  <c r="LT105" i="18"/>
  <c r="LR105" i="18"/>
  <c r="LP105" i="18"/>
  <c r="LN105" i="18"/>
  <c r="LL105" i="18"/>
  <c r="LJ105" i="18"/>
  <c r="LH105" i="18"/>
  <c r="LF105" i="18"/>
  <c r="LD105" i="18"/>
  <c r="LB105" i="18"/>
  <c r="KZ105" i="18"/>
  <c r="KR105" i="18"/>
  <c r="KP105" i="18"/>
  <c r="KN105" i="18"/>
  <c r="KL105" i="18"/>
  <c r="KJ105" i="18"/>
  <c r="KH105" i="18"/>
  <c r="KF105" i="18"/>
  <c r="KD105" i="18"/>
  <c r="KB105" i="18"/>
  <c r="JZ105" i="18"/>
  <c r="JX105" i="18"/>
  <c r="JV105" i="18"/>
  <c r="JN105" i="18"/>
  <c r="JL105" i="18"/>
  <c r="JJ105" i="18"/>
  <c r="JH105" i="18"/>
  <c r="JF105" i="18"/>
  <c r="JD105" i="18"/>
  <c r="JB105" i="18"/>
  <c r="IZ105" i="18"/>
  <c r="IX105" i="18"/>
  <c r="IV105" i="18"/>
  <c r="IT105" i="18"/>
  <c r="IR105" i="18"/>
  <c r="IJ105" i="18"/>
  <c r="IH105" i="18"/>
  <c r="IF105" i="18"/>
  <c r="ID105" i="18"/>
  <c r="IB105" i="18"/>
  <c r="HZ105" i="18"/>
  <c r="HX105" i="18"/>
  <c r="HV105" i="18"/>
  <c r="HT105" i="18"/>
  <c r="HR105" i="18"/>
  <c r="HP105" i="18"/>
  <c r="HN105" i="18"/>
  <c r="HF105" i="18"/>
  <c r="HD105" i="18"/>
  <c r="HB105" i="18"/>
  <c r="GZ105" i="18"/>
  <c r="GX105" i="18"/>
  <c r="GV105" i="18"/>
  <c r="GT105" i="18"/>
  <c r="GR105" i="18"/>
  <c r="GP105" i="18"/>
  <c r="GN105" i="18"/>
  <c r="GL105" i="18"/>
  <c r="GJ105" i="18"/>
  <c r="GB105" i="18"/>
  <c r="FZ105" i="18"/>
  <c r="FX105" i="18"/>
  <c r="FV105" i="18"/>
  <c r="FT105" i="18"/>
  <c r="FR105" i="18"/>
  <c r="FP105" i="18"/>
  <c r="FN105" i="18"/>
  <c r="FL105" i="18"/>
  <c r="FJ105" i="18"/>
  <c r="FH105" i="18"/>
  <c r="FF105" i="18"/>
  <c r="FE105" i="18"/>
  <c r="DT105" i="18"/>
  <c r="DR105" i="18"/>
  <c r="DP105" i="18"/>
  <c r="DN105" i="18"/>
  <c r="DL105" i="18"/>
  <c r="DJ105" i="18"/>
  <c r="DH105" i="18"/>
  <c r="DF105" i="18"/>
  <c r="DD105" i="18"/>
  <c r="DB105" i="18"/>
  <c r="CZ105" i="18"/>
  <c r="CX105" i="18"/>
  <c r="CP105" i="18"/>
  <c r="CN105" i="18"/>
  <c r="CL105" i="18"/>
  <c r="CJ105" i="18"/>
  <c r="CH105" i="18"/>
  <c r="CF105" i="18"/>
  <c r="CD105" i="18"/>
  <c r="CB105" i="18"/>
  <c r="BZ105" i="18"/>
  <c r="BX105" i="18"/>
  <c r="BV105" i="18"/>
  <c r="BT105" i="18"/>
  <c r="BL105" i="18"/>
  <c r="BJ105" i="18"/>
  <c r="BH105" i="18"/>
  <c r="BF105" i="18"/>
  <c r="BD105" i="18"/>
  <c r="BB105" i="18"/>
  <c r="AZ105" i="18"/>
  <c r="AX105" i="18"/>
  <c r="AV105" i="18"/>
  <c r="AT105" i="18"/>
  <c r="AR105" i="18"/>
  <c r="AP105" i="18"/>
  <c r="AH105" i="18"/>
  <c r="AF105" i="18"/>
  <c r="AD105" i="18"/>
  <c r="AB105" i="18"/>
  <c r="Z105" i="18"/>
  <c r="X105" i="18"/>
  <c r="V105" i="18"/>
  <c r="T105" i="18"/>
  <c r="R105" i="18"/>
  <c r="P105" i="18"/>
  <c r="N105" i="18"/>
  <c r="LV104" i="18"/>
  <c r="LT104" i="18"/>
  <c r="LR104" i="18"/>
  <c r="LP104" i="18"/>
  <c r="LN104" i="18"/>
  <c r="LL104" i="18"/>
  <c r="LJ104" i="18"/>
  <c r="LH104" i="18"/>
  <c r="LF104" i="18"/>
  <c r="LD104" i="18"/>
  <c r="LB104" i="18"/>
  <c r="KZ104" i="18"/>
  <c r="KR104" i="18"/>
  <c r="KP104" i="18"/>
  <c r="KN104" i="18"/>
  <c r="KL104" i="18"/>
  <c r="KJ104" i="18"/>
  <c r="KH104" i="18"/>
  <c r="KF104" i="18"/>
  <c r="KD104" i="18"/>
  <c r="KB104" i="18"/>
  <c r="JZ104" i="18"/>
  <c r="JX104" i="18"/>
  <c r="JV104" i="18"/>
  <c r="JN104" i="18"/>
  <c r="JL104" i="18"/>
  <c r="JJ104" i="18"/>
  <c r="JH104" i="18"/>
  <c r="JF104" i="18"/>
  <c r="JD104" i="18"/>
  <c r="JB104" i="18"/>
  <c r="IZ104" i="18"/>
  <c r="IX104" i="18"/>
  <c r="IV104" i="18"/>
  <c r="IT104" i="18"/>
  <c r="IR104" i="18"/>
  <c r="IJ104" i="18"/>
  <c r="IH104" i="18"/>
  <c r="IF104" i="18"/>
  <c r="ID104" i="18"/>
  <c r="IB104" i="18"/>
  <c r="HZ104" i="18"/>
  <c r="HX104" i="18"/>
  <c r="HV104" i="18"/>
  <c r="HT104" i="18"/>
  <c r="HR104" i="18"/>
  <c r="HP104" i="18"/>
  <c r="HN104" i="18"/>
  <c r="HF104" i="18"/>
  <c r="HD104" i="18"/>
  <c r="HB104" i="18"/>
  <c r="GZ104" i="18"/>
  <c r="GX104" i="18"/>
  <c r="GV104" i="18"/>
  <c r="GT104" i="18"/>
  <c r="GR104" i="18"/>
  <c r="GP104" i="18"/>
  <c r="GN104" i="18"/>
  <c r="GL104" i="18"/>
  <c r="GJ104" i="18"/>
  <c r="GB104" i="18"/>
  <c r="FZ104" i="18"/>
  <c r="FX104" i="18"/>
  <c r="FV104" i="18"/>
  <c r="FT104" i="18"/>
  <c r="FR104" i="18"/>
  <c r="FP104" i="18"/>
  <c r="FN104" i="18"/>
  <c r="FL104" i="18"/>
  <c r="FJ104" i="18"/>
  <c r="FH104" i="18"/>
  <c r="FF104" i="18"/>
  <c r="FE104" i="18"/>
  <c r="DT104" i="18"/>
  <c r="DR104" i="18"/>
  <c r="DP104" i="18"/>
  <c r="DN104" i="18"/>
  <c r="DL104" i="18"/>
  <c r="DJ104" i="18"/>
  <c r="DH104" i="18"/>
  <c r="DF104" i="18"/>
  <c r="DD104" i="18"/>
  <c r="DB104" i="18"/>
  <c r="CZ104" i="18"/>
  <c r="CX104" i="18"/>
  <c r="CP104" i="18"/>
  <c r="CN104" i="18"/>
  <c r="CL104" i="18"/>
  <c r="CJ104" i="18"/>
  <c r="CH104" i="18"/>
  <c r="CF104" i="18"/>
  <c r="CD104" i="18"/>
  <c r="CB104" i="18"/>
  <c r="BZ104" i="18"/>
  <c r="BX104" i="18"/>
  <c r="BV104" i="18"/>
  <c r="BT104" i="18"/>
  <c r="BL104" i="18"/>
  <c r="BJ104" i="18"/>
  <c r="BH104" i="18"/>
  <c r="BF104" i="18"/>
  <c r="BD104" i="18"/>
  <c r="BB104" i="18"/>
  <c r="AZ104" i="18"/>
  <c r="AX104" i="18"/>
  <c r="AV104" i="18"/>
  <c r="AT104" i="18"/>
  <c r="AR104" i="18"/>
  <c r="AP104" i="18"/>
  <c r="AH104" i="18"/>
  <c r="AF104" i="18"/>
  <c r="AD104" i="18"/>
  <c r="AB104" i="18"/>
  <c r="Z104" i="18"/>
  <c r="X104" i="18"/>
  <c r="V104" i="18"/>
  <c r="T104" i="18"/>
  <c r="R104" i="18"/>
  <c r="P104" i="18"/>
  <c r="N104" i="18"/>
  <c r="LV103" i="18"/>
  <c r="LT103" i="18"/>
  <c r="LR103" i="18"/>
  <c r="LP103" i="18"/>
  <c r="LN103" i="18"/>
  <c r="LL103" i="18"/>
  <c r="LJ103" i="18"/>
  <c r="LH103" i="18"/>
  <c r="LF103" i="18"/>
  <c r="LD103" i="18"/>
  <c r="LB103" i="18"/>
  <c r="KZ103" i="18"/>
  <c r="KR103" i="18"/>
  <c r="KP103" i="18"/>
  <c r="KN103" i="18"/>
  <c r="KL103" i="18"/>
  <c r="KJ103" i="18"/>
  <c r="KH103" i="18"/>
  <c r="KF103" i="18"/>
  <c r="KD103" i="18"/>
  <c r="KB103" i="18"/>
  <c r="JZ103" i="18"/>
  <c r="JX103" i="18"/>
  <c r="JV103" i="18"/>
  <c r="JN103" i="18"/>
  <c r="JL103" i="18"/>
  <c r="JJ103" i="18"/>
  <c r="JH103" i="18"/>
  <c r="JF103" i="18"/>
  <c r="JD103" i="18"/>
  <c r="JB103" i="18"/>
  <c r="IZ103" i="18"/>
  <c r="IX103" i="18"/>
  <c r="IV103" i="18"/>
  <c r="IT103" i="18"/>
  <c r="IR103" i="18"/>
  <c r="IJ103" i="18"/>
  <c r="IH103" i="18"/>
  <c r="IF103" i="18"/>
  <c r="ID103" i="18"/>
  <c r="IB103" i="18"/>
  <c r="HZ103" i="18"/>
  <c r="HX103" i="18"/>
  <c r="HV103" i="18"/>
  <c r="HT103" i="18"/>
  <c r="HR103" i="18"/>
  <c r="HP103" i="18"/>
  <c r="HN103" i="18"/>
  <c r="HF103" i="18"/>
  <c r="HD103" i="18"/>
  <c r="HB103" i="18"/>
  <c r="GZ103" i="18"/>
  <c r="GX103" i="18"/>
  <c r="GV103" i="18"/>
  <c r="GT103" i="18"/>
  <c r="GR103" i="18"/>
  <c r="GP103" i="18"/>
  <c r="GN103" i="18"/>
  <c r="GL103" i="18"/>
  <c r="GJ103" i="18"/>
  <c r="GB103" i="18"/>
  <c r="FZ103" i="18"/>
  <c r="FX103" i="18"/>
  <c r="FV103" i="18"/>
  <c r="FT103" i="18"/>
  <c r="FR103" i="18"/>
  <c r="FP103" i="18"/>
  <c r="FN103" i="18"/>
  <c r="FL103" i="18"/>
  <c r="FJ103" i="18"/>
  <c r="FH103" i="18"/>
  <c r="FF103" i="18"/>
  <c r="FE103" i="18"/>
  <c r="DT103" i="18"/>
  <c r="DR103" i="18"/>
  <c r="DP103" i="18"/>
  <c r="DN103" i="18"/>
  <c r="DL103" i="18"/>
  <c r="DJ103" i="18"/>
  <c r="DH103" i="18"/>
  <c r="DF103" i="18"/>
  <c r="DD103" i="18"/>
  <c r="DB103" i="18"/>
  <c r="CZ103" i="18"/>
  <c r="CX103" i="18"/>
  <c r="CP103" i="18"/>
  <c r="CN103" i="18"/>
  <c r="CL103" i="18"/>
  <c r="CJ103" i="18"/>
  <c r="CH103" i="18"/>
  <c r="CF103" i="18"/>
  <c r="CD103" i="18"/>
  <c r="CB103" i="18"/>
  <c r="BZ103" i="18"/>
  <c r="BX103" i="18"/>
  <c r="BV103" i="18"/>
  <c r="BT103" i="18"/>
  <c r="BL103" i="18"/>
  <c r="BJ103" i="18"/>
  <c r="BH103" i="18"/>
  <c r="BF103" i="18"/>
  <c r="BD103" i="18"/>
  <c r="BB103" i="18"/>
  <c r="AZ103" i="18"/>
  <c r="AX103" i="18"/>
  <c r="AV103" i="18"/>
  <c r="AT103" i="18"/>
  <c r="AR103" i="18"/>
  <c r="AP103" i="18"/>
  <c r="AH103" i="18"/>
  <c r="AF103" i="18"/>
  <c r="AD103" i="18"/>
  <c r="AB103" i="18"/>
  <c r="Z103" i="18"/>
  <c r="X103" i="18"/>
  <c r="V103" i="18"/>
  <c r="T103" i="18"/>
  <c r="R103" i="18"/>
  <c r="P103" i="18"/>
  <c r="N103" i="18"/>
  <c r="LV102" i="18"/>
  <c r="LT102" i="18"/>
  <c r="LR102" i="18"/>
  <c r="LP102" i="18"/>
  <c r="LN102" i="18"/>
  <c r="LL102" i="18"/>
  <c r="LJ102" i="18"/>
  <c r="LH102" i="18"/>
  <c r="LF102" i="18"/>
  <c r="LD102" i="18"/>
  <c r="LB102" i="18"/>
  <c r="KZ102" i="18"/>
  <c r="KR102" i="18"/>
  <c r="KP102" i="18"/>
  <c r="KN102" i="18"/>
  <c r="KL102" i="18"/>
  <c r="KJ102" i="18"/>
  <c r="KH102" i="18"/>
  <c r="KF102" i="18"/>
  <c r="KD102" i="18"/>
  <c r="KB102" i="18"/>
  <c r="JZ102" i="18"/>
  <c r="JX102" i="18"/>
  <c r="JV102" i="18"/>
  <c r="JN102" i="18"/>
  <c r="JL102" i="18"/>
  <c r="JJ102" i="18"/>
  <c r="JH102" i="18"/>
  <c r="JF102" i="18"/>
  <c r="JD102" i="18"/>
  <c r="JB102" i="18"/>
  <c r="IZ102" i="18"/>
  <c r="IX102" i="18"/>
  <c r="IV102" i="18"/>
  <c r="IT102" i="18"/>
  <c r="IR102" i="18"/>
  <c r="IJ102" i="18"/>
  <c r="IH102" i="18"/>
  <c r="IF102" i="18"/>
  <c r="ID102" i="18"/>
  <c r="IB102" i="18"/>
  <c r="HZ102" i="18"/>
  <c r="HX102" i="18"/>
  <c r="HV102" i="18"/>
  <c r="HT102" i="18"/>
  <c r="HR102" i="18"/>
  <c r="HP102" i="18"/>
  <c r="HN102" i="18"/>
  <c r="HF102" i="18"/>
  <c r="HD102" i="18"/>
  <c r="HB102" i="18"/>
  <c r="GZ102" i="18"/>
  <c r="GX102" i="18"/>
  <c r="GV102" i="18"/>
  <c r="GT102" i="18"/>
  <c r="GR102" i="18"/>
  <c r="GP102" i="18"/>
  <c r="GN102" i="18"/>
  <c r="GL102" i="18"/>
  <c r="GJ102" i="18"/>
  <c r="GB102" i="18"/>
  <c r="FZ102" i="18"/>
  <c r="FX102" i="18"/>
  <c r="FV102" i="18"/>
  <c r="FT102" i="18"/>
  <c r="FR102" i="18"/>
  <c r="FP102" i="18"/>
  <c r="FN102" i="18"/>
  <c r="FL102" i="18"/>
  <c r="FJ102" i="18"/>
  <c r="FH102" i="18"/>
  <c r="FF102" i="18"/>
  <c r="FE102" i="18"/>
  <c r="DT102" i="18"/>
  <c r="DR102" i="18"/>
  <c r="DP102" i="18"/>
  <c r="DN102" i="18"/>
  <c r="DL102" i="18"/>
  <c r="DJ102" i="18"/>
  <c r="DH102" i="18"/>
  <c r="DF102" i="18"/>
  <c r="DD102" i="18"/>
  <c r="DB102" i="18"/>
  <c r="CZ102" i="18"/>
  <c r="CX102" i="18"/>
  <c r="CP102" i="18"/>
  <c r="CN102" i="18"/>
  <c r="CL102" i="18"/>
  <c r="CJ102" i="18"/>
  <c r="CH102" i="18"/>
  <c r="CF102" i="18"/>
  <c r="CD102" i="18"/>
  <c r="CB102" i="18"/>
  <c r="BZ102" i="18"/>
  <c r="BX102" i="18"/>
  <c r="BV102" i="18"/>
  <c r="BT102" i="18"/>
  <c r="BL102" i="18"/>
  <c r="BJ102" i="18"/>
  <c r="BH102" i="18"/>
  <c r="BF102" i="18"/>
  <c r="BD102" i="18"/>
  <c r="BB102" i="18"/>
  <c r="AZ102" i="18"/>
  <c r="AX102" i="18"/>
  <c r="AV102" i="18"/>
  <c r="AT102" i="18"/>
  <c r="AR102" i="18"/>
  <c r="AP102" i="18"/>
  <c r="AH102" i="18"/>
  <c r="AF102" i="18"/>
  <c r="AD102" i="18"/>
  <c r="AB102" i="18"/>
  <c r="Z102" i="18"/>
  <c r="X102" i="18"/>
  <c r="V102" i="18"/>
  <c r="T102" i="18"/>
  <c r="R102" i="18"/>
  <c r="P102" i="18"/>
  <c r="N102" i="18"/>
  <c r="LV101" i="18"/>
  <c r="LT101" i="18"/>
  <c r="LR101" i="18"/>
  <c r="LP101" i="18"/>
  <c r="LN101" i="18"/>
  <c r="LL101" i="18"/>
  <c r="LJ101" i="18"/>
  <c r="LH101" i="18"/>
  <c r="LF101" i="18"/>
  <c r="LD101" i="18"/>
  <c r="LB101" i="18"/>
  <c r="KZ101" i="18"/>
  <c r="KR101" i="18"/>
  <c r="KP101" i="18"/>
  <c r="KN101" i="18"/>
  <c r="KL101" i="18"/>
  <c r="KJ101" i="18"/>
  <c r="KH101" i="18"/>
  <c r="KF101" i="18"/>
  <c r="KD101" i="18"/>
  <c r="KB101" i="18"/>
  <c r="JZ101" i="18"/>
  <c r="JX101" i="18"/>
  <c r="JV101" i="18"/>
  <c r="JN101" i="18"/>
  <c r="JL101" i="18"/>
  <c r="JJ101" i="18"/>
  <c r="JH101" i="18"/>
  <c r="JF101" i="18"/>
  <c r="JD101" i="18"/>
  <c r="JB101" i="18"/>
  <c r="IZ101" i="18"/>
  <c r="IX101" i="18"/>
  <c r="IV101" i="18"/>
  <c r="IT101" i="18"/>
  <c r="IR101" i="18"/>
  <c r="IJ101" i="18"/>
  <c r="IH101" i="18"/>
  <c r="IF101" i="18"/>
  <c r="ID101" i="18"/>
  <c r="IB101" i="18"/>
  <c r="HZ101" i="18"/>
  <c r="HX101" i="18"/>
  <c r="HV101" i="18"/>
  <c r="HT101" i="18"/>
  <c r="HR101" i="18"/>
  <c r="HP101" i="18"/>
  <c r="HN101" i="18"/>
  <c r="HF101" i="18"/>
  <c r="HD101" i="18"/>
  <c r="HB101" i="18"/>
  <c r="GZ101" i="18"/>
  <c r="GX101" i="18"/>
  <c r="GV101" i="18"/>
  <c r="GT101" i="18"/>
  <c r="GR101" i="18"/>
  <c r="GP101" i="18"/>
  <c r="GN101" i="18"/>
  <c r="GL101" i="18"/>
  <c r="GJ101" i="18"/>
  <c r="GB101" i="18"/>
  <c r="FZ101" i="18"/>
  <c r="FX101" i="18"/>
  <c r="FV101" i="18"/>
  <c r="FT101" i="18"/>
  <c r="FR101" i="18"/>
  <c r="FP101" i="18"/>
  <c r="FN101" i="18"/>
  <c r="FL101" i="18"/>
  <c r="FJ101" i="18"/>
  <c r="FH101" i="18"/>
  <c r="FF101" i="18"/>
  <c r="FE101" i="18"/>
  <c r="DT101" i="18"/>
  <c r="DR101" i="18"/>
  <c r="DP101" i="18"/>
  <c r="DN101" i="18"/>
  <c r="DL101" i="18"/>
  <c r="DJ101" i="18"/>
  <c r="DH101" i="18"/>
  <c r="DF101" i="18"/>
  <c r="DD101" i="18"/>
  <c r="DB101" i="18"/>
  <c r="CZ101" i="18"/>
  <c r="CX101" i="18"/>
  <c r="CP101" i="18"/>
  <c r="CN101" i="18"/>
  <c r="CL101" i="18"/>
  <c r="CJ101" i="18"/>
  <c r="CH101" i="18"/>
  <c r="CF101" i="18"/>
  <c r="CD101" i="18"/>
  <c r="CB101" i="18"/>
  <c r="BZ101" i="18"/>
  <c r="BX101" i="18"/>
  <c r="BV101" i="18"/>
  <c r="BT101" i="18"/>
  <c r="BL101" i="18"/>
  <c r="BJ101" i="18"/>
  <c r="BH101" i="18"/>
  <c r="BF101" i="18"/>
  <c r="BD101" i="18"/>
  <c r="BB101" i="18"/>
  <c r="AZ101" i="18"/>
  <c r="AX101" i="18"/>
  <c r="AV101" i="18"/>
  <c r="AT101" i="18"/>
  <c r="AR101" i="18"/>
  <c r="AP101" i="18"/>
  <c r="AH101" i="18"/>
  <c r="AF101" i="18"/>
  <c r="AD101" i="18"/>
  <c r="AB101" i="18"/>
  <c r="Z101" i="18"/>
  <c r="X101" i="18"/>
  <c r="V101" i="18"/>
  <c r="T101" i="18"/>
  <c r="R101" i="18"/>
  <c r="P101" i="18"/>
  <c r="N101" i="18"/>
  <c r="LV100" i="18"/>
  <c r="LT100" i="18"/>
  <c r="LR100" i="18"/>
  <c r="LP100" i="18"/>
  <c r="LN100" i="18"/>
  <c r="LL100" i="18"/>
  <c r="LJ100" i="18"/>
  <c r="LH100" i="18"/>
  <c r="LF100" i="18"/>
  <c r="LD100" i="18"/>
  <c r="LB100" i="18"/>
  <c r="KZ100" i="18"/>
  <c r="KR100" i="18"/>
  <c r="KP100" i="18"/>
  <c r="KN100" i="18"/>
  <c r="KL100" i="18"/>
  <c r="KJ100" i="18"/>
  <c r="KH100" i="18"/>
  <c r="KF100" i="18"/>
  <c r="KD100" i="18"/>
  <c r="KB100" i="18"/>
  <c r="JZ100" i="18"/>
  <c r="JX100" i="18"/>
  <c r="JV100" i="18"/>
  <c r="JN100" i="18"/>
  <c r="JL100" i="18"/>
  <c r="JJ100" i="18"/>
  <c r="JH100" i="18"/>
  <c r="JF100" i="18"/>
  <c r="JD100" i="18"/>
  <c r="JB100" i="18"/>
  <c r="IZ100" i="18"/>
  <c r="IX100" i="18"/>
  <c r="IV100" i="18"/>
  <c r="IT100" i="18"/>
  <c r="IR100" i="18"/>
  <c r="IJ100" i="18"/>
  <c r="IH100" i="18"/>
  <c r="IF100" i="18"/>
  <c r="ID100" i="18"/>
  <c r="IB100" i="18"/>
  <c r="HZ100" i="18"/>
  <c r="HX100" i="18"/>
  <c r="HV100" i="18"/>
  <c r="HT100" i="18"/>
  <c r="HR100" i="18"/>
  <c r="HP100" i="18"/>
  <c r="HN100" i="18"/>
  <c r="HF100" i="18"/>
  <c r="HD100" i="18"/>
  <c r="HB100" i="18"/>
  <c r="GZ100" i="18"/>
  <c r="GX100" i="18"/>
  <c r="GV100" i="18"/>
  <c r="GT100" i="18"/>
  <c r="GR100" i="18"/>
  <c r="GP100" i="18"/>
  <c r="GN100" i="18"/>
  <c r="GL100" i="18"/>
  <c r="GJ100" i="18"/>
  <c r="GB100" i="18"/>
  <c r="FZ100" i="18"/>
  <c r="FX100" i="18"/>
  <c r="FV100" i="18"/>
  <c r="FT100" i="18"/>
  <c r="FR100" i="18"/>
  <c r="FP100" i="18"/>
  <c r="FN100" i="18"/>
  <c r="FL100" i="18"/>
  <c r="FJ100" i="18"/>
  <c r="FH100" i="18"/>
  <c r="FF100" i="18"/>
  <c r="FE100" i="18"/>
  <c r="DT100" i="18"/>
  <c r="DR100" i="18"/>
  <c r="DP100" i="18"/>
  <c r="DN100" i="18"/>
  <c r="DL100" i="18"/>
  <c r="DJ100" i="18"/>
  <c r="DH100" i="18"/>
  <c r="DF100" i="18"/>
  <c r="DD100" i="18"/>
  <c r="DB100" i="18"/>
  <c r="CZ100" i="18"/>
  <c r="CX100" i="18"/>
  <c r="CP100" i="18"/>
  <c r="CN100" i="18"/>
  <c r="CL100" i="18"/>
  <c r="CJ100" i="18"/>
  <c r="CH100" i="18"/>
  <c r="CF100" i="18"/>
  <c r="CD100" i="18"/>
  <c r="CB100" i="18"/>
  <c r="BZ100" i="18"/>
  <c r="BX100" i="18"/>
  <c r="BV100" i="18"/>
  <c r="BT100" i="18"/>
  <c r="BL100" i="18"/>
  <c r="BJ100" i="18"/>
  <c r="BH100" i="18"/>
  <c r="BF100" i="18"/>
  <c r="BD100" i="18"/>
  <c r="BB100" i="18"/>
  <c r="AZ100" i="18"/>
  <c r="AX100" i="18"/>
  <c r="AV100" i="18"/>
  <c r="AT100" i="18"/>
  <c r="AR100" i="18"/>
  <c r="AP100" i="18"/>
  <c r="AH100" i="18"/>
  <c r="AF100" i="18"/>
  <c r="AD100" i="18"/>
  <c r="AB100" i="18"/>
  <c r="Z100" i="18"/>
  <c r="X100" i="18"/>
  <c r="V100" i="18"/>
  <c r="T100" i="18"/>
  <c r="R100" i="18"/>
  <c r="P100" i="18"/>
  <c r="N100" i="18"/>
  <c r="LV99" i="18"/>
  <c r="LT99" i="18"/>
  <c r="LR99" i="18"/>
  <c r="LP99" i="18"/>
  <c r="LN99" i="18"/>
  <c r="LL99" i="18"/>
  <c r="LJ99" i="18"/>
  <c r="LH99" i="18"/>
  <c r="LF99" i="18"/>
  <c r="LD99" i="18"/>
  <c r="LB99" i="18"/>
  <c r="KZ99" i="18"/>
  <c r="KR99" i="18"/>
  <c r="KP99" i="18"/>
  <c r="KN99" i="18"/>
  <c r="KL99" i="18"/>
  <c r="KJ99" i="18"/>
  <c r="KH99" i="18"/>
  <c r="KF99" i="18"/>
  <c r="KD99" i="18"/>
  <c r="KB99" i="18"/>
  <c r="JZ99" i="18"/>
  <c r="JX99" i="18"/>
  <c r="JV99" i="18"/>
  <c r="JN99" i="18"/>
  <c r="JL99" i="18"/>
  <c r="JJ99" i="18"/>
  <c r="JH99" i="18"/>
  <c r="JF99" i="18"/>
  <c r="JD99" i="18"/>
  <c r="JB99" i="18"/>
  <c r="IZ99" i="18"/>
  <c r="IX99" i="18"/>
  <c r="IV99" i="18"/>
  <c r="IT99" i="18"/>
  <c r="IR99" i="18"/>
  <c r="IJ99" i="18"/>
  <c r="IH99" i="18"/>
  <c r="IF99" i="18"/>
  <c r="ID99" i="18"/>
  <c r="IB99" i="18"/>
  <c r="HZ99" i="18"/>
  <c r="HX99" i="18"/>
  <c r="HV99" i="18"/>
  <c r="HT99" i="18"/>
  <c r="HR99" i="18"/>
  <c r="HP99" i="18"/>
  <c r="HN99" i="18"/>
  <c r="HF99" i="18"/>
  <c r="HD99" i="18"/>
  <c r="HB99" i="18"/>
  <c r="GZ99" i="18"/>
  <c r="GX99" i="18"/>
  <c r="GV99" i="18"/>
  <c r="GT99" i="18"/>
  <c r="GR99" i="18"/>
  <c r="GP99" i="18"/>
  <c r="GN99" i="18"/>
  <c r="GL99" i="18"/>
  <c r="GJ99" i="18"/>
  <c r="GB99" i="18"/>
  <c r="FZ99" i="18"/>
  <c r="FX99" i="18"/>
  <c r="FV99" i="18"/>
  <c r="FT99" i="18"/>
  <c r="FR99" i="18"/>
  <c r="FP99" i="18"/>
  <c r="FN99" i="18"/>
  <c r="FL99" i="18"/>
  <c r="FJ99" i="18"/>
  <c r="FH99" i="18"/>
  <c r="FF99" i="18"/>
  <c r="FE99" i="18"/>
  <c r="DT99" i="18"/>
  <c r="DR99" i="18"/>
  <c r="DP99" i="18"/>
  <c r="DN99" i="18"/>
  <c r="DL99" i="18"/>
  <c r="DJ99" i="18"/>
  <c r="DH99" i="18"/>
  <c r="DF99" i="18"/>
  <c r="DD99" i="18"/>
  <c r="DB99" i="18"/>
  <c r="CZ99" i="18"/>
  <c r="CX99" i="18"/>
  <c r="CP99" i="18"/>
  <c r="CN99" i="18"/>
  <c r="CL99" i="18"/>
  <c r="CJ99" i="18"/>
  <c r="CH99" i="18"/>
  <c r="CF99" i="18"/>
  <c r="CD99" i="18"/>
  <c r="CB99" i="18"/>
  <c r="BZ99" i="18"/>
  <c r="BX99" i="18"/>
  <c r="BV99" i="18"/>
  <c r="BT99" i="18"/>
  <c r="BL99" i="18"/>
  <c r="BJ99" i="18"/>
  <c r="BH99" i="18"/>
  <c r="BF99" i="18"/>
  <c r="BD99" i="18"/>
  <c r="BB99" i="18"/>
  <c r="AZ99" i="18"/>
  <c r="AX99" i="18"/>
  <c r="AV99" i="18"/>
  <c r="AT99" i="18"/>
  <c r="AR99" i="18"/>
  <c r="AP99" i="18"/>
  <c r="AH99" i="18"/>
  <c r="AF99" i="18"/>
  <c r="AD99" i="18"/>
  <c r="AB99" i="18"/>
  <c r="Z99" i="18"/>
  <c r="X99" i="18"/>
  <c r="V99" i="18"/>
  <c r="T99" i="18"/>
  <c r="R99" i="18"/>
  <c r="P99" i="18"/>
  <c r="N99" i="18"/>
  <c r="LV98" i="18"/>
  <c r="LT98" i="18"/>
  <c r="LR98" i="18"/>
  <c r="LP98" i="18"/>
  <c r="LN98" i="18"/>
  <c r="LL98" i="18"/>
  <c r="LJ98" i="18"/>
  <c r="LH98" i="18"/>
  <c r="LF98" i="18"/>
  <c r="LD98" i="18"/>
  <c r="LB98" i="18"/>
  <c r="KZ98" i="18"/>
  <c r="KR98" i="18"/>
  <c r="KP98" i="18"/>
  <c r="KN98" i="18"/>
  <c r="KL98" i="18"/>
  <c r="KJ98" i="18"/>
  <c r="KH98" i="18"/>
  <c r="KF98" i="18"/>
  <c r="KD98" i="18"/>
  <c r="KB98" i="18"/>
  <c r="JZ98" i="18"/>
  <c r="JX98" i="18"/>
  <c r="JV98" i="18"/>
  <c r="JN98" i="18"/>
  <c r="JL98" i="18"/>
  <c r="JJ98" i="18"/>
  <c r="JH98" i="18"/>
  <c r="JF98" i="18"/>
  <c r="JD98" i="18"/>
  <c r="JB98" i="18"/>
  <c r="IZ98" i="18"/>
  <c r="IX98" i="18"/>
  <c r="IV98" i="18"/>
  <c r="IT98" i="18"/>
  <c r="IR98" i="18"/>
  <c r="IJ98" i="18"/>
  <c r="IH98" i="18"/>
  <c r="IF98" i="18"/>
  <c r="ID98" i="18"/>
  <c r="IB98" i="18"/>
  <c r="HZ98" i="18"/>
  <c r="HX98" i="18"/>
  <c r="HV98" i="18"/>
  <c r="HT98" i="18"/>
  <c r="HR98" i="18"/>
  <c r="HP98" i="18"/>
  <c r="HN98" i="18"/>
  <c r="HF98" i="18"/>
  <c r="HD98" i="18"/>
  <c r="HB98" i="18"/>
  <c r="GZ98" i="18"/>
  <c r="GX98" i="18"/>
  <c r="GV98" i="18"/>
  <c r="GT98" i="18"/>
  <c r="GR98" i="18"/>
  <c r="GP98" i="18"/>
  <c r="GN98" i="18"/>
  <c r="GL98" i="18"/>
  <c r="GJ98" i="18"/>
  <c r="GB98" i="18"/>
  <c r="FZ98" i="18"/>
  <c r="FX98" i="18"/>
  <c r="FV98" i="18"/>
  <c r="FT98" i="18"/>
  <c r="FR98" i="18"/>
  <c r="FP98" i="18"/>
  <c r="FN98" i="18"/>
  <c r="FL98" i="18"/>
  <c r="FJ98" i="18"/>
  <c r="FH98" i="18"/>
  <c r="FF98" i="18"/>
  <c r="FE98" i="18"/>
  <c r="DT98" i="18"/>
  <c r="DR98" i="18"/>
  <c r="DP98" i="18"/>
  <c r="DN98" i="18"/>
  <c r="DL98" i="18"/>
  <c r="DJ98" i="18"/>
  <c r="DH98" i="18"/>
  <c r="DF98" i="18"/>
  <c r="DD98" i="18"/>
  <c r="DB98" i="18"/>
  <c r="CZ98" i="18"/>
  <c r="CX98" i="18"/>
  <c r="CP98" i="18"/>
  <c r="CN98" i="18"/>
  <c r="CL98" i="18"/>
  <c r="CJ98" i="18"/>
  <c r="CH98" i="18"/>
  <c r="CF98" i="18"/>
  <c r="CD98" i="18"/>
  <c r="CB98" i="18"/>
  <c r="BZ98" i="18"/>
  <c r="BX98" i="18"/>
  <c r="BV98" i="18"/>
  <c r="BT98" i="18"/>
  <c r="BL98" i="18"/>
  <c r="BJ98" i="18"/>
  <c r="BH98" i="18"/>
  <c r="BF98" i="18"/>
  <c r="BD98" i="18"/>
  <c r="BB98" i="18"/>
  <c r="AZ98" i="18"/>
  <c r="AX98" i="18"/>
  <c r="AV98" i="18"/>
  <c r="AT98" i="18"/>
  <c r="AR98" i="18"/>
  <c r="AP98" i="18"/>
  <c r="AH98" i="18"/>
  <c r="AF98" i="18"/>
  <c r="AD98" i="18"/>
  <c r="AB98" i="18"/>
  <c r="Z98" i="18"/>
  <c r="X98" i="18"/>
  <c r="V98" i="18"/>
  <c r="T98" i="18"/>
  <c r="R98" i="18"/>
  <c r="P98" i="18"/>
  <c r="N98" i="18"/>
  <c r="LV97" i="18"/>
  <c r="LT97" i="18"/>
  <c r="LR97" i="18"/>
  <c r="LP97" i="18"/>
  <c r="LN97" i="18"/>
  <c r="LL97" i="18"/>
  <c r="LJ97" i="18"/>
  <c r="LH97" i="18"/>
  <c r="LF97" i="18"/>
  <c r="LD97" i="18"/>
  <c r="LB97" i="18"/>
  <c r="KZ97" i="18"/>
  <c r="KR97" i="18"/>
  <c r="KP97" i="18"/>
  <c r="KN97" i="18"/>
  <c r="KL97" i="18"/>
  <c r="KJ97" i="18"/>
  <c r="KH97" i="18"/>
  <c r="KF97" i="18"/>
  <c r="KD97" i="18"/>
  <c r="KB97" i="18"/>
  <c r="JZ97" i="18"/>
  <c r="JX97" i="18"/>
  <c r="JV97" i="18"/>
  <c r="JN97" i="18"/>
  <c r="JL97" i="18"/>
  <c r="JJ97" i="18"/>
  <c r="JH97" i="18"/>
  <c r="JF97" i="18"/>
  <c r="JD97" i="18"/>
  <c r="JB97" i="18"/>
  <c r="IZ97" i="18"/>
  <c r="IX97" i="18"/>
  <c r="IV97" i="18"/>
  <c r="IT97" i="18"/>
  <c r="IR97" i="18"/>
  <c r="IJ97" i="18"/>
  <c r="IH97" i="18"/>
  <c r="IF97" i="18"/>
  <c r="ID97" i="18"/>
  <c r="IB97" i="18"/>
  <c r="HZ97" i="18"/>
  <c r="HX97" i="18"/>
  <c r="HV97" i="18"/>
  <c r="HT97" i="18"/>
  <c r="HR97" i="18"/>
  <c r="HP97" i="18"/>
  <c r="HN97" i="18"/>
  <c r="HF97" i="18"/>
  <c r="HD97" i="18"/>
  <c r="HB97" i="18"/>
  <c r="GZ97" i="18"/>
  <c r="GX97" i="18"/>
  <c r="GV97" i="18"/>
  <c r="GT97" i="18"/>
  <c r="GR97" i="18"/>
  <c r="GP97" i="18"/>
  <c r="GN97" i="18"/>
  <c r="GL97" i="18"/>
  <c r="GJ97" i="18"/>
  <c r="GB97" i="18"/>
  <c r="FZ97" i="18"/>
  <c r="FX97" i="18"/>
  <c r="FV97" i="18"/>
  <c r="FT97" i="18"/>
  <c r="FR97" i="18"/>
  <c r="FP97" i="18"/>
  <c r="FN97" i="18"/>
  <c r="FL97" i="18"/>
  <c r="FJ97" i="18"/>
  <c r="FH97" i="18"/>
  <c r="FF97" i="18"/>
  <c r="FE97" i="18"/>
  <c r="DT97" i="18"/>
  <c r="DR97" i="18"/>
  <c r="DP97" i="18"/>
  <c r="DN97" i="18"/>
  <c r="DL97" i="18"/>
  <c r="DJ97" i="18"/>
  <c r="DH97" i="18"/>
  <c r="DF97" i="18"/>
  <c r="DD97" i="18"/>
  <c r="DB97" i="18"/>
  <c r="CZ97" i="18"/>
  <c r="CX97" i="18"/>
  <c r="CP97" i="18"/>
  <c r="CN97" i="18"/>
  <c r="CL97" i="18"/>
  <c r="CJ97" i="18"/>
  <c r="CH97" i="18"/>
  <c r="CF97" i="18"/>
  <c r="CD97" i="18"/>
  <c r="CB97" i="18"/>
  <c r="BZ97" i="18"/>
  <c r="BX97" i="18"/>
  <c r="BV97" i="18"/>
  <c r="BT97" i="18"/>
  <c r="BL97" i="18"/>
  <c r="BJ97" i="18"/>
  <c r="BH97" i="18"/>
  <c r="BF97" i="18"/>
  <c r="BD97" i="18"/>
  <c r="BB97" i="18"/>
  <c r="AZ97" i="18"/>
  <c r="AX97" i="18"/>
  <c r="AV97" i="18"/>
  <c r="AT97" i="18"/>
  <c r="AR97" i="18"/>
  <c r="AP97" i="18"/>
  <c r="AH97" i="18"/>
  <c r="AF97" i="18"/>
  <c r="AD97" i="18"/>
  <c r="AB97" i="18"/>
  <c r="Z97" i="18"/>
  <c r="X97" i="18"/>
  <c r="V97" i="18"/>
  <c r="T97" i="18"/>
  <c r="R97" i="18"/>
  <c r="P97" i="18"/>
  <c r="N97" i="18"/>
  <c r="LV96" i="18"/>
  <c r="LT96" i="18"/>
  <c r="LR96" i="18"/>
  <c r="LP96" i="18"/>
  <c r="LN96" i="18"/>
  <c r="LL96" i="18"/>
  <c r="LJ96" i="18"/>
  <c r="LH96" i="18"/>
  <c r="LF96" i="18"/>
  <c r="LD96" i="18"/>
  <c r="LB96" i="18"/>
  <c r="KZ96" i="18"/>
  <c r="KR96" i="18"/>
  <c r="KP96" i="18"/>
  <c r="KN96" i="18"/>
  <c r="KL96" i="18"/>
  <c r="KJ96" i="18"/>
  <c r="KH96" i="18"/>
  <c r="KF96" i="18"/>
  <c r="KD96" i="18"/>
  <c r="KB96" i="18"/>
  <c r="JZ96" i="18"/>
  <c r="JX96" i="18"/>
  <c r="JV96" i="18"/>
  <c r="JN96" i="18"/>
  <c r="JL96" i="18"/>
  <c r="JJ96" i="18"/>
  <c r="JH96" i="18"/>
  <c r="JF96" i="18"/>
  <c r="JD96" i="18"/>
  <c r="JB96" i="18"/>
  <c r="IZ96" i="18"/>
  <c r="IX96" i="18"/>
  <c r="IV96" i="18"/>
  <c r="IT96" i="18"/>
  <c r="IR96" i="18"/>
  <c r="IJ96" i="18"/>
  <c r="IH96" i="18"/>
  <c r="IF96" i="18"/>
  <c r="ID96" i="18"/>
  <c r="IB96" i="18"/>
  <c r="HZ96" i="18"/>
  <c r="HX96" i="18"/>
  <c r="HV96" i="18"/>
  <c r="HT96" i="18"/>
  <c r="HR96" i="18"/>
  <c r="HP96" i="18"/>
  <c r="HN96" i="18"/>
  <c r="HF96" i="18"/>
  <c r="HD96" i="18"/>
  <c r="HB96" i="18"/>
  <c r="GZ96" i="18"/>
  <c r="GX96" i="18"/>
  <c r="GV96" i="18"/>
  <c r="GT96" i="18"/>
  <c r="GR96" i="18"/>
  <c r="GP96" i="18"/>
  <c r="GN96" i="18"/>
  <c r="GL96" i="18"/>
  <c r="GJ96" i="18"/>
  <c r="GB96" i="18"/>
  <c r="FZ96" i="18"/>
  <c r="FX96" i="18"/>
  <c r="FV96" i="18"/>
  <c r="FT96" i="18"/>
  <c r="FR96" i="18"/>
  <c r="FP96" i="18"/>
  <c r="FN96" i="18"/>
  <c r="FL96" i="18"/>
  <c r="FJ96" i="18"/>
  <c r="FH96" i="18"/>
  <c r="FF96" i="18"/>
  <c r="FE96" i="18"/>
  <c r="DT96" i="18"/>
  <c r="DR96" i="18"/>
  <c r="DP96" i="18"/>
  <c r="DN96" i="18"/>
  <c r="DL96" i="18"/>
  <c r="DJ96" i="18"/>
  <c r="DH96" i="18"/>
  <c r="DF96" i="18"/>
  <c r="DD96" i="18"/>
  <c r="DB96" i="18"/>
  <c r="CZ96" i="18"/>
  <c r="CX96" i="18"/>
  <c r="CP96" i="18"/>
  <c r="CN96" i="18"/>
  <c r="CL96" i="18"/>
  <c r="CJ96" i="18"/>
  <c r="CH96" i="18"/>
  <c r="CF96" i="18"/>
  <c r="CD96" i="18"/>
  <c r="CB96" i="18"/>
  <c r="BZ96" i="18"/>
  <c r="BX96" i="18"/>
  <c r="BV96" i="18"/>
  <c r="BT96" i="18"/>
  <c r="BL96" i="18"/>
  <c r="BJ96" i="18"/>
  <c r="BH96" i="18"/>
  <c r="BF96" i="18"/>
  <c r="BD96" i="18"/>
  <c r="BB96" i="18"/>
  <c r="AZ96" i="18"/>
  <c r="AX96" i="18"/>
  <c r="AV96" i="18"/>
  <c r="AT96" i="18"/>
  <c r="AR96" i="18"/>
  <c r="AP96" i="18"/>
  <c r="AH96" i="18"/>
  <c r="AF96" i="18"/>
  <c r="AD96" i="18"/>
  <c r="AB96" i="18"/>
  <c r="Z96" i="18"/>
  <c r="X96" i="18"/>
  <c r="V96" i="18"/>
  <c r="T96" i="18"/>
  <c r="R96" i="18"/>
  <c r="P96" i="18"/>
  <c r="N96" i="18"/>
  <c r="LV95" i="18"/>
  <c r="LT95" i="18"/>
  <c r="LR95" i="18"/>
  <c r="LP95" i="18"/>
  <c r="LN95" i="18"/>
  <c r="LL95" i="18"/>
  <c r="LJ95" i="18"/>
  <c r="LH95" i="18"/>
  <c r="LF95" i="18"/>
  <c r="LD95" i="18"/>
  <c r="LB95" i="18"/>
  <c r="KZ95" i="18"/>
  <c r="KR95" i="18"/>
  <c r="KP95" i="18"/>
  <c r="KN95" i="18"/>
  <c r="KL95" i="18"/>
  <c r="KJ95" i="18"/>
  <c r="KH95" i="18"/>
  <c r="KF95" i="18"/>
  <c r="KD95" i="18"/>
  <c r="KB95" i="18"/>
  <c r="JZ95" i="18"/>
  <c r="JX95" i="18"/>
  <c r="JV95" i="18"/>
  <c r="JN95" i="18"/>
  <c r="JL95" i="18"/>
  <c r="JJ95" i="18"/>
  <c r="JH95" i="18"/>
  <c r="JF95" i="18"/>
  <c r="JD95" i="18"/>
  <c r="JB95" i="18"/>
  <c r="IZ95" i="18"/>
  <c r="IX95" i="18"/>
  <c r="IV95" i="18"/>
  <c r="IT95" i="18"/>
  <c r="IR95" i="18"/>
  <c r="IJ95" i="18"/>
  <c r="IH95" i="18"/>
  <c r="IF95" i="18"/>
  <c r="ID95" i="18"/>
  <c r="IB95" i="18"/>
  <c r="HZ95" i="18"/>
  <c r="HX95" i="18"/>
  <c r="HV95" i="18"/>
  <c r="HT95" i="18"/>
  <c r="HR95" i="18"/>
  <c r="HP95" i="18"/>
  <c r="HN95" i="18"/>
  <c r="HF95" i="18"/>
  <c r="HD95" i="18"/>
  <c r="HB95" i="18"/>
  <c r="GZ95" i="18"/>
  <c r="GX95" i="18"/>
  <c r="GV95" i="18"/>
  <c r="GT95" i="18"/>
  <c r="GR95" i="18"/>
  <c r="GP95" i="18"/>
  <c r="GN95" i="18"/>
  <c r="GL95" i="18"/>
  <c r="GJ95" i="18"/>
  <c r="GB95" i="18"/>
  <c r="FZ95" i="18"/>
  <c r="FX95" i="18"/>
  <c r="FV95" i="18"/>
  <c r="FT95" i="18"/>
  <c r="FR95" i="18"/>
  <c r="FP95" i="18"/>
  <c r="FN95" i="18"/>
  <c r="FL95" i="18"/>
  <c r="FJ95" i="18"/>
  <c r="FH95" i="18"/>
  <c r="FF95" i="18"/>
  <c r="FE95" i="18"/>
  <c r="DT95" i="18"/>
  <c r="DR95" i="18"/>
  <c r="DP95" i="18"/>
  <c r="DN95" i="18"/>
  <c r="DL95" i="18"/>
  <c r="DJ95" i="18"/>
  <c r="DH95" i="18"/>
  <c r="DF95" i="18"/>
  <c r="DD95" i="18"/>
  <c r="DB95" i="18"/>
  <c r="CZ95" i="18"/>
  <c r="CX95" i="18"/>
  <c r="CP95" i="18"/>
  <c r="CN95" i="18"/>
  <c r="CL95" i="18"/>
  <c r="CJ95" i="18"/>
  <c r="CH95" i="18"/>
  <c r="CF95" i="18"/>
  <c r="CD95" i="18"/>
  <c r="CB95" i="18"/>
  <c r="BZ95" i="18"/>
  <c r="BX95" i="18"/>
  <c r="BV95" i="18"/>
  <c r="BT95" i="18"/>
  <c r="BL95" i="18"/>
  <c r="BJ95" i="18"/>
  <c r="BH95" i="18"/>
  <c r="BF95" i="18"/>
  <c r="BD95" i="18"/>
  <c r="BB95" i="18"/>
  <c r="AZ95" i="18"/>
  <c r="AX95" i="18"/>
  <c r="AV95" i="18"/>
  <c r="AT95" i="18"/>
  <c r="AR95" i="18"/>
  <c r="AP95" i="18"/>
  <c r="AH95" i="18"/>
  <c r="AF95" i="18"/>
  <c r="AD95" i="18"/>
  <c r="AB95" i="18"/>
  <c r="Z95" i="18"/>
  <c r="X95" i="18"/>
  <c r="V95" i="18"/>
  <c r="T95" i="18"/>
  <c r="R95" i="18"/>
  <c r="P95" i="18"/>
  <c r="N95" i="18"/>
  <c r="LV94" i="18"/>
  <c r="LT94" i="18"/>
  <c r="LR94" i="18"/>
  <c r="LP94" i="18"/>
  <c r="LN94" i="18"/>
  <c r="LL94" i="18"/>
  <c r="LJ94" i="18"/>
  <c r="LH94" i="18"/>
  <c r="LF94" i="18"/>
  <c r="LD94" i="18"/>
  <c r="LB94" i="18"/>
  <c r="KZ94" i="18"/>
  <c r="KR94" i="18"/>
  <c r="KP94" i="18"/>
  <c r="KN94" i="18"/>
  <c r="KL94" i="18"/>
  <c r="KJ94" i="18"/>
  <c r="KH94" i="18"/>
  <c r="KF94" i="18"/>
  <c r="KD94" i="18"/>
  <c r="KB94" i="18"/>
  <c r="JZ94" i="18"/>
  <c r="JX94" i="18"/>
  <c r="JV94" i="18"/>
  <c r="JN94" i="18"/>
  <c r="JL94" i="18"/>
  <c r="JJ94" i="18"/>
  <c r="JH94" i="18"/>
  <c r="JF94" i="18"/>
  <c r="JD94" i="18"/>
  <c r="JB94" i="18"/>
  <c r="IZ94" i="18"/>
  <c r="IX94" i="18"/>
  <c r="IV94" i="18"/>
  <c r="IT94" i="18"/>
  <c r="IR94" i="18"/>
  <c r="IJ94" i="18"/>
  <c r="IH94" i="18"/>
  <c r="IF94" i="18"/>
  <c r="ID94" i="18"/>
  <c r="IB94" i="18"/>
  <c r="HZ94" i="18"/>
  <c r="HX94" i="18"/>
  <c r="HV94" i="18"/>
  <c r="HT94" i="18"/>
  <c r="HR94" i="18"/>
  <c r="HP94" i="18"/>
  <c r="HN94" i="18"/>
  <c r="HF94" i="18"/>
  <c r="HD94" i="18"/>
  <c r="HB94" i="18"/>
  <c r="GZ94" i="18"/>
  <c r="GX94" i="18"/>
  <c r="GV94" i="18"/>
  <c r="GT94" i="18"/>
  <c r="GR94" i="18"/>
  <c r="GP94" i="18"/>
  <c r="GN94" i="18"/>
  <c r="GL94" i="18"/>
  <c r="GJ94" i="18"/>
  <c r="GB94" i="18"/>
  <c r="FZ94" i="18"/>
  <c r="FX94" i="18"/>
  <c r="FV94" i="18"/>
  <c r="FT94" i="18"/>
  <c r="FR94" i="18"/>
  <c r="FP94" i="18"/>
  <c r="FN94" i="18"/>
  <c r="FL94" i="18"/>
  <c r="FJ94" i="18"/>
  <c r="FH94" i="18"/>
  <c r="FF94" i="18"/>
  <c r="FE94" i="18"/>
  <c r="DT94" i="18"/>
  <c r="DR94" i="18"/>
  <c r="DP94" i="18"/>
  <c r="DN94" i="18"/>
  <c r="DL94" i="18"/>
  <c r="DJ94" i="18"/>
  <c r="DH94" i="18"/>
  <c r="DF94" i="18"/>
  <c r="DD94" i="18"/>
  <c r="DB94" i="18"/>
  <c r="CZ94" i="18"/>
  <c r="CX94" i="18"/>
  <c r="CP94" i="18"/>
  <c r="CN94" i="18"/>
  <c r="CL94" i="18"/>
  <c r="CJ94" i="18"/>
  <c r="CH94" i="18"/>
  <c r="CF94" i="18"/>
  <c r="CD94" i="18"/>
  <c r="CB94" i="18"/>
  <c r="BZ94" i="18"/>
  <c r="BX94" i="18"/>
  <c r="BV94" i="18"/>
  <c r="BT94" i="18"/>
  <c r="BL94" i="18"/>
  <c r="BJ94" i="18"/>
  <c r="BH94" i="18"/>
  <c r="BF94" i="18"/>
  <c r="BD94" i="18"/>
  <c r="BB94" i="18"/>
  <c r="AZ94" i="18"/>
  <c r="AX94" i="18"/>
  <c r="AV94" i="18"/>
  <c r="AT94" i="18"/>
  <c r="AR94" i="18"/>
  <c r="AP94" i="18"/>
  <c r="AH94" i="18"/>
  <c r="AF94" i="18"/>
  <c r="AD94" i="18"/>
  <c r="AB94" i="18"/>
  <c r="Z94" i="18"/>
  <c r="X94" i="18"/>
  <c r="V94" i="18"/>
  <c r="T94" i="18"/>
  <c r="R94" i="18"/>
  <c r="P94" i="18"/>
  <c r="N94" i="18"/>
  <c r="LV93" i="18"/>
  <c r="LT93" i="18"/>
  <c r="LR93" i="18"/>
  <c r="LP93" i="18"/>
  <c r="LN93" i="18"/>
  <c r="LL93" i="18"/>
  <c r="LJ93" i="18"/>
  <c r="LH93" i="18"/>
  <c r="LF93" i="18"/>
  <c r="LD93" i="18"/>
  <c r="LB93" i="18"/>
  <c r="KZ93" i="18"/>
  <c r="KR93" i="18"/>
  <c r="KP93" i="18"/>
  <c r="KN93" i="18"/>
  <c r="KL93" i="18"/>
  <c r="KJ93" i="18"/>
  <c r="KH93" i="18"/>
  <c r="KF93" i="18"/>
  <c r="KD93" i="18"/>
  <c r="KB93" i="18"/>
  <c r="JZ93" i="18"/>
  <c r="JX93" i="18"/>
  <c r="JV93" i="18"/>
  <c r="JN93" i="18"/>
  <c r="JL93" i="18"/>
  <c r="JJ93" i="18"/>
  <c r="JH93" i="18"/>
  <c r="JF93" i="18"/>
  <c r="JD93" i="18"/>
  <c r="JB93" i="18"/>
  <c r="IZ93" i="18"/>
  <c r="IX93" i="18"/>
  <c r="IV93" i="18"/>
  <c r="IT93" i="18"/>
  <c r="IR93" i="18"/>
  <c r="IJ93" i="18"/>
  <c r="IH93" i="18"/>
  <c r="IF93" i="18"/>
  <c r="ID93" i="18"/>
  <c r="IB93" i="18"/>
  <c r="HZ93" i="18"/>
  <c r="HX93" i="18"/>
  <c r="HV93" i="18"/>
  <c r="HT93" i="18"/>
  <c r="HR93" i="18"/>
  <c r="HP93" i="18"/>
  <c r="HN93" i="18"/>
  <c r="HF93" i="18"/>
  <c r="HD93" i="18"/>
  <c r="HB93" i="18"/>
  <c r="GZ93" i="18"/>
  <c r="GX93" i="18"/>
  <c r="GV93" i="18"/>
  <c r="GT93" i="18"/>
  <c r="GR93" i="18"/>
  <c r="GP93" i="18"/>
  <c r="GN93" i="18"/>
  <c r="GL93" i="18"/>
  <c r="GJ93" i="18"/>
  <c r="GB93" i="18"/>
  <c r="FZ93" i="18"/>
  <c r="FX93" i="18"/>
  <c r="FV93" i="18"/>
  <c r="FT93" i="18"/>
  <c r="FR93" i="18"/>
  <c r="FP93" i="18"/>
  <c r="FN93" i="18"/>
  <c r="FL93" i="18"/>
  <c r="FJ93" i="18"/>
  <c r="FH93" i="18"/>
  <c r="FF93" i="18"/>
  <c r="FE93" i="18"/>
  <c r="DT93" i="18"/>
  <c r="DR93" i="18"/>
  <c r="DP93" i="18"/>
  <c r="DN93" i="18"/>
  <c r="DL93" i="18"/>
  <c r="DJ93" i="18"/>
  <c r="DH93" i="18"/>
  <c r="DF93" i="18"/>
  <c r="DD93" i="18"/>
  <c r="DB93" i="18"/>
  <c r="CZ93" i="18"/>
  <c r="CX93" i="18"/>
  <c r="CP93" i="18"/>
  <c r="CN93" i="18"/>
  <c r="CL93" i="18"/>
  <c r="CJ93" i="18"/>
  <c r="CH93" i="18"/>
  <c r="CF93" i="18"/>
  <c r="CD93" i="18"/>
  <c r="CB93" i="18"/>
  <c r="BZ93" i="18"/>
  <c r="BX93" i="18"/>
  <c r="BV93" i="18"/>
  <c r="BT93" i="18"/>
  <c r="BL93" i="18"/>
  <c r="BJ93" i="18"/>
  <c r="BH93" i="18"/>
  <c r="BF93" i="18"/>
  <c r="BD93" i="18"/>
  <c r="BB93" i="18"/>
  <c r="AZ93" i="18"/>
  <c r="AX93" i="18"/>
  <c r="AV93" i="18"/>
  <c r="AT93" i="18"/>
  <c r="AR93" i="18"/>
  <c r="AP93" i="18"/>
  <c r="AH93" i="18"/>
  <c r="AF93" i="18"/>
  <c r="AD93" i="18"/>
  <c r="AB93" i="18"/>
  <c r="Z93" i="18"/>
  <c r="X93" i="18"/>
  <c r="V93" i="18"/>
  <c r="T93" i="18"/>
  <c r="R93" i="18"/>
  <c r="P93" i="18"/>
  <c r="N93" i="18"/>
  <c r="LV92" i="18"/>
  <c r="LT92" i="18"/>
  <c r="LR92" i="18"/>
  <c r="LP92" i="18"/>
  <c r="LN92" i="18"/>
  <c r="LL92" i="18"/>
  <c r="LJ92" i="18"/>
  <c r="LH92" i="18"/>
  <c r="LF92" i="18"/>
  <c r="LD92" i="18"/>
  <c r="LB92" i="18"/>
  <c r="KZ92" i="18"/>
  <c r="KR92" i="18"/>
  <c r="KP92" i="18"/>
  <c r="KN92" i="18"/>
  <c r="KL92" i="18"/>
  <c r="KJ92" i="18"/>
  <c r="KH92" i="18"/>
  <c r="KF92" i="18"/>
  <c r="KD92" i="18"/>
  <c r="KB92" i="18"/>
  <c r="JZ92" i="18"/>
  <c r="JX92" i="18"/>
  <c r="JV92" i="18"/>
  <c r="JN92" i="18"/>
  <c r="JL92" i="18"/>
  <c r="JJ92" i="18"/>
  <c r="JH92" i="18"/>
  <c r="JF92" i="18"/>
  <c r="JD92" i="18"/>
  <c r="JB92" i="18"/>
  <c r="IZ92" i="18"/>
  <c r="IX92" i="18"/>
  <c r="IV92" i="18"/>
  <c r="IT92" i="18"/>
  <c r="IR92" i="18"/>
  <c r="IJ92" i="18"/>
  <c r="IH92" i="18"/>
  <c r="IF92" i="18"/>
  <c r="ID92" i="18"/>
  <c r="IB92" i="18"/>
  <c r="HZ92" i="18"/>
  <c r="HX92" i="18"/>
  <c r="HV92" i="18"/>
  <c r="HT92" i="18"/>
  <c r="HR92" i="18"/>
  <c r="HP92" i="18"/>
  <c r="HN92" i="18"/>
  <c r="HF92" i="18"/>
  <c r="HD92" i="18"/>
  <c r="HB92" i="18"/>
  <c r="GZ92" i="18"/>
  <c r="GX92" i="18"/>
  <c r="GV92" i="18"/>
  <c r="GT92" i="18"/>
  <c r="GR92" i="18"/>
  <c r="GP92" i="18"/>
  <c r="GN92" i="18"/>
  <c r="GL92" i="18"/>
  <c r="GJ92" i="18"/>
  <c r="GB92" i="18"/>
  <c r="FZ92" i="18"/>
  <c r="FX92" i="18"/>
  <c r="FV92" i="18"/>
  <c r="FT92" i="18"/>
  <c r="FR92" i="18"/>
  <c r="FP92" i="18"/>
  <c r="FN92" i="18"/>
  <c r="FL92" i="18"/>
  <c r="FJ92" i="18"/>
  <c r="FH92" i="18"/>
  <c r="FF92" i="18"/>
  <c r="FE92" i="18"/>
  <c r="DT92" i="18"/>
  <c r="DR92" i="18"/>
  <c r="DP92" i="18"/>
  <c r="DN92" i="18"/>
  <c r="DL92" i="18"/>
  <c r="DJ92" i="18"/>
  <c r="DH92" i="18"/>
  <c r="DF92" i="18"/>
  <c r="DD92" i="18"/>
  <c r="DB92" i="18"/>
  <c r="CZ92" i="18"/>
  <c r="CX92" i="18"/>
  <c r="CP92" i="18"/>
  <c r="CN92" i="18"/>
  <c r="CL92" i="18"/>
  <c r="CJ92" i="18"/>
  <c r="CH92" i="18"/>
  <c r="CF92" i="18"/>
  <c r="CD92" i="18"/>
  <c r="CB92" i="18"/>
  <c r="BZ92" i="18"/>
  <c r="BX92" i="18"/>
  <c r="BV92" i="18"/>
  <c r="BT92" i="18"/>
  <c r="BL92" i="18"/>
  <c r="BJ92" i="18"/>
  <c r="BH92" i="18"/>
  <c r="BF92" i="18"/>
  <c r="BD92" i="18"/>
  <c r="BB92" i="18"/>
  <c r="AZ92" i="18"/>
  <c r="AX92" i="18"/>
  <c r="AV92" i="18"/>
  <c r="AT92" i="18"/>
  <c r="AR92" i="18"/>
  <c r="AP92" i="18"/>
  <c r="AH92" i="18"/>
  <c r="AF92" i="18"/>
  <c r="AD92" i="18"/>
  <c r="AB92" i="18"/>
  <c r="Z92" i="18"/>
  <c r="X92" i="18"/>
  <c r="V92" i="18"/>
  <c r="T92" i="18"/>
  <c r="R92" i="18"/>
  <c r="P92" i="18"/>
  <c r="N92" i="18"/>
  <c r="LV91" i="18"/>
  <c r="LT91" i="18"/>
  <c r="LR91" i="18"/>
  <c r="LP91" i="18"/>
  <c r="LN91" i="18"/>
  <c r="LL91" i="18"/>
  <c r="LJ91" i="18"/>
  <c r="LH91" i="18"/>
  <c r="LF91" i="18"/>
  <c r="LD91" i="18"/>
  <c r="LB91" i="18"/>
  <c r="KZ91" i="18"/>
  <c r="KR91" i="18"/>
  <c r="KP91" i="18"/>
  <c r="KN91" i="18"/>
  <c r="KL91" i="18"/>
  <c r="KJ91" i="18"/>
  <c r="KH91" i="18"/>
  <c r="KF91" i="18"/>
  <c r="KD91" i="18"/>
  <c r="KB91" i="18"/>
  <c r="JZ91" i="18"/>
  <c r="JX91" i="18"/>
  <c r="JV91" i="18"/>
  <c r="JN91" i="18"/>
  <c r="JL91" i="18"/>
  <c r="JJ91" i="18"/>
  <c r="JH91" i="18"/>
  <c r="JF91" i="18"/>
  <c r="JD91" i="18"/>
  <c r="JB91" i="18"/>
  <c r="IZ91" i="18"/>
  <c r="IX91" i="18"/>
  <c r="IV91" i="18"/>
  <c r="IT91" i="18"/>
  <c r="IR91" i="18"/>
  <c r="IJ91" i="18"/>
  <c r="IH91" i="18"/>
  <c r="IF91" i="18"/>
  <c r="ID91" i="18"/>
  <c r="IB91" i="18"/>
  <c r="HZ91" i="18"/>
  <c r="HX91" i="18"/>
  <c r="HV91" i="18"/>
  <c r="HT91" i="18"/>
  <c r="HR91" i="18"/>
  <c r="HP91" i="18"/>
  <c r="HN91" i="18"/>
  <c r="HF91" i="18"/>
  <c r="HD91" i="18"/>
  <c r="HB91" i="18"/>
  <c r="GZ91" i="18"/>
  <c r="GX91" i="18"/>
  <c r="GV91" i="18"/>
  <c r="GT91" i="18"/>
  <c r="GR91" i="18"/>
  <c r="GP91" i="18"/>
  <c r="GN91" i="18"/>
  <c r="GL91" i="18"/>
  <c r="GJ91" i="18"/>
  <c r="GB91" i="18"/>
  <c r="FZ91" i="18"/>
  <c r="FX91" i="18"/>
  <c r="FV91" i="18"/>
  <c r="FT91" i="18"/>
  <c r="FR91" i="18"/>
  <c r="FP91" i="18"/>
  <c r="FN91" i="18"/>
  <c r="FL91" i="18"/>
  <c r="FJ91" i="18"/>
  <c r="FH91" i="18"/>
  <c r="FF91" i="18"/>
  <c r="FE91" i="18"/>
  <c r="DT91" i="18"/>
  <c r="DR91" i="18"/>
  <c r="DP91" i="18"/>
  <c r="DN91" i="18"/>
  <c r="DL91" i="18"/>
  <c r="DJ91" i="18"/>
  <c r="DH91" i="18"/>
  <c r="DF91" i="18"/>
  <c r="DD91" i="18"/>
  <c r="DB91" i="18"/>
  <c r="CZ91" i="18"/>
  <c r="CX91" i="18"/>
  <c r="CP91" i="18"/>
  <c r="CN91" i="18"/>
  <c r="CL91" i="18"/>
  <c r="CJ91" i="18"/>
  <c r="CH91" i="18"/>
  <c r="CF91" i="18"/>
  <c r="CD91" i="18"/>
  <c r="CB91" i="18"/>
  <c r="BZ91" i="18"/>
  <c r="BX91" i="18"/>
  <c r="BV91" i="18"/>
  <c r="BT91" i="18"/>
  <c r="BL91" i="18"/>
  <c r="BJ91" i="18"/>
  <c r="BH91" i="18"/>
  <c r="BF91" i="18"/>
  <c r="BD91" i="18"/>
  <c r="BB91" i="18"/>
  <c r="AZ91" i="18"/>
  <c r="AX91" i="18"/>
  <c r="AV91" i="18"/>
  <c r="AT91" i="18"/>
  <c r="AR91" i="18"/>
  <c r="AP91" i="18"/>
  <c r="AH91" i="18"/>
  <c r="AF91" i="18"/>
  <c r="AD91" i="18"/>
  <c r="AB91" i="18"/>
  <c r="Z91" i="18"/>
  <c r="X91" i="18"/>
  <c r="V91" i="18"/>
  <c r="T91" i="18"/>
  <c r="R91" i="18"/>
  <c r="P91" i="18"/>
  <c r="N91" i="18"/>
  <c r="LV90" i="18"/>
  <c r="LT90" i="18"/>
  <c r="LR90" i="18"/>
  <c r="LP90" i="18"/>
  <c r="LN90" i="18"/>
  <c r="LL90" i="18"/>
  <c r="LJ90" i="18"/>
  <c r="LH90" i="18"/>
  <c r="LF90" i="18"/>
  <c r="LD90" i="18"/>
  <c r="LB90" i="18"/>
  <c r="KZ90" i="18"/>
  <c r="KR90" i="18"/>
  <c r="KP90" i="18"/>
  <c r="KN90" i="18"/>
  <c r="KL90" i="18"/>
  <c r="KJ90" i="18"/>
  <c r="KH90" i="18"/>
  <c r="KF90" i="18"/>
  <c r="KD90" i="18"/>
  <c r="KB90" i="18"/>
  <c r="JZ90" i="18"/>
  <c r="JX90" i="18"/>
  <c r="JV90" i="18"/>
  <c r="JN90" i="18"/>
  <c r="JL90" i="18"/>
  <c r="JJ90" i="18"/>
  <c r="JH90" i="18"/>
  <c r="JF90" i="18"/>
  <c r="JD90" i="18"/>
  <c r="JB90" i="18"/>
  <c r="IZ90" i="18"/>
  <c r="IX90" i="18"/>
  <c r="IV90" i="18"/>
  <c r="IT90" i="18"/>
  <c r="IR90" i="18"/>
  <c r="IJ90" i="18"/>
  <c r="IH90" i="18"/>
  <c r="IF90" i="18"/>
  <c r="ID90" i="18"/>
  <c r="IB90" i="18"/>
  <c r="HZ90" i="18"/>
  <c r="HX90" i="18"/>
  <c r="HV90" i="18"/>
  <c r="HT90" i="18"/>
  <c r="HR90" i="18"/>
  <c r="HP90" i="18"/>
  <c r="HN90" i="18"/>
  <c r="HF90" i="18"/>
  <c r="HD90" i="18"/>
  <c r="HB90" i="18"/>
  <c r="GZ90" i="18"/>
  <c r="GX90" i="18"/>
  <c r="GV90" i="18"/>
  <c r="GT90" i="18"/>
  <c r="GR90" i="18"/>
  <c r="GP90" i="18"/>
  <c r="GN90" i="18"/>
  <c r="GL90" i="18"/>
  <c r="GJ90" i="18"/>
  <c r="GB90" i="18"/>
  <c r="FZ90" i="18"/>
  <c r="FX90" i="18"/>
  <c r="FV90" i="18"/>
  <c r="FT90" i="18"/>
  <c r="FR90" i="18"/>
  <c r="FP90" i="18"/>
  <c r="FN90" i="18"/>
  <c r="FL90" i="18"/>
  <c r="FJ90" i="18"/>
  <c r="FH90" i="18"/>
  <c r="FF90" i="18"/>
  <c r="FE90" i="18"/>
  <c r="DT90" i="18"/>
  <c r="DR90" i="18"/>
  <c r="DP90" i="18"/>
  <c r="DN90" i="18"/>
  <c r="DL90" i="18"/>
  <c r="DJ90" i="18"/>
  <c r="DH90" i="18"/>
  <c r="DF90" i="18"/>
  <c r="DD90" i="18"/>
  <c r="DB90" i="18"/>
  <c r="CZ90" i="18"/>
  <c r="CX90" i="18"/>
  <c r="CP90" i="18"/>
  <c r="CN90" i="18"/>
  <c r="CL90" i="18"/>
  <c r="CJ90" i="18"/>
  <c r="CH90" i="18"/>
  <c r="CF90" i="18"/>
  <c r="CD90" i="18"/>
  <c r="CB90" i="18"/>
  <c r="BZ90" i="18"/>
  <c r="BX90" i="18"/>
  <c r="BV90" i="18"/>
  <c r="BT90" i="18"/>
  <c r="BL90" i="18"/>
  <c r="BJ90" i="18"/>
  <c r="BH90" i="18"/>
  <c r="BF90" i="18"/>
  <c r="BD90" i="18"/>
  <c r="BB90" i="18"/>
  <c r="AZ90" i="18"/>
  <c r="AX90" i="18"/>
  <c r="AV90" i="18"/>
  <c r="AT90" i="18"/>
  <c r="AR90" i="18"/>
  <c r="AP90" i="18"/>
  <c r="AH90" i="18"/>
  <c r="AF90" i="18"/>
  <c r="AD90" i="18"/>
  <c r="AB90" i="18"/>
  <c r="Z90" i="18"/>
  <c r="X90" i="18"/>
  <c r="V90" i="18"/>
  <c r="T90" i="18"/>
  <c r="R90" i="18"/>
  <c r="P90" i="18"/>
  <c r="N90" i="18"/>
  <c r="LV89" i="18"/>
  <c r="LT89" i="18"/>
  <c r="LR89" i="18"/>
  <c r="LP89" i="18"/>
  <c r="LN89" i="18"/>
  <c r="LL89" i="18"/>
  <c r="LJ89" i="18"/>
  <c r="LH89" i="18"/>
  <c r="LF89" i="18"/>
  <c r="LD89" i="18"/>
  <c r="LB89" i="18"/>
  <c r="KZ89" i="18"/>
  <c r="KR89" i="18"/>
  <c r="KP89" i="18"/>
  <c r="KN89" i="18"/>
  <c r="KL89" i="18"/>
  <c r="KJ89" i="18"/>
  <c r="KH89" i="18"/>
  <c r="KF89" i="18"/>
  <c r="KD89" i="18"/>
  <c r="KB89" i="18"/>
  <c r="JZ89" i="18"/>
  <c r="JX89" i="18"/>
  <c r="JV89" i="18"/>
  <c r="JN89" i="18"/>
  <c r="JL89" i="18"/>
  <c r="JJ89" i="18"/>
  <c r="JH89" i="18"/>
  <c r="JF89" i="18"/>
  <c r="JD89" i="18"/>
  <c r="JB89" i="18"/>
  <c r="IZ89" i="18"/>
  <c r="IX89" i="18"/>
  <c r="IV89" i="18"/>
  <c r="IT89" i="18"/>
  <c r="IR89" i="18"/>
  <c r="IJ89" i="18"/>
  <c r="IH89" i="18"/>
  <c r="IF89" i="18"/>
  <c r="ID89" i="18"/>
  <c r="IB89" i="18"/>
  <c r="HZ89" i="18"/>
  <c r="HX89" i="18"/>
  <c r="HV89" i="18"/>
  <c r="HT89" i="18"/>
  <c r="HR89" i="18"/>
  <c r="HP89" i="18"/>
  <c r="HN89" i="18"/>
  <c r="HF89" i="18"/>
  <c r="HD89" i="18"/>
  <c r="HB89" i="18"/>
  <c r="GZ89" i="18"/>
  <c r="GX89" i="18"/>
  <c r="GV89" i="18"/>
  <c r="GT89" i="18"/>
  <c r="GR89" i="18"/>
  <c r="GP89" i="18"/>
  <c r="GN89" i="18"/>
  <c r="GL89" i="18"/>
  <c r="GJ89" i="18"/>
  <c r="GB89" i="18"/>
  <c r="FZ89" i="18"/>
  <c r="FX89" i="18"/>
  <c r="FV89" i="18"/>
  <c r="FT89" i="18"/>
  <c r="FR89" i="18"/>
  <c r="FP89" i="18"/>
  <c r="FN89" i="18"/>
  <c r="FL89" i="18"/>
  <c r="FJ89" i="18"/>
  <c r="FH89" i="18"/>
  <c r="FF89" i="18"/>
  <c r="FE89" i="18"/>
  <c r="DT89" i="18"/>
  <c r="DR89" i="18"/>
  <c r="DP89" i="18"/>
  <c r="DN89" i="18"/>
  <c r="DL89" i="18"/>
  <c r="DJ89" i="18"/>
  <c r="DH89" i="18"/>
  <c r="DF89" i="18"/>
  <c r="DD89" i="18"/>
  <c r="DB89" i="18"/>
  <c r="CZ89" i="18"/>
  <c r="CX89" i="18"/>
  <c r="CP89" i="18"/>
  <c r="CN89" i="18"/>
  <c r="CL89" i="18"/>
  <c r="CJ89" i="18"/>
  <c r="CH89" i="18"/>
  <c r="CF89" i="18"/>
  <c r="CD89" i="18"/>
  <c r="CB89" i="18"/>
  <c r="BZ89" i="18"/>
  <c r="BX89" i="18"/>
  <c r="BV89" i="18"/>
  <c r="BT89" i="18"/>
  <c r="BL89" i="18"/>
  <c r="BJ89" i="18"/>
  <c r="BH89" i="18"/>
  <c r="BF89" i="18"/>
  <c r="BD89" i="18"/>
  <c r="BB89" i="18"/>
  <c r="AZ89" i="18"/>
  <c r="AX89" i="18"/>
  <c r="AV89" i="18"/>
  <c r="AT89" i="18"/>
  <c r="AR89" i="18"/>
  <c r="AP89" i="18"/>
  <c r="AH89" i="18"/>
  <c r="AF89" i="18"/>
  <c r="AD89" i="18"/>
  <c r="AB89" i="18"/>
  <c r="Z89" i="18"/>
  <c r="X89" i="18"/>
  <c r="V89" i="18"/>
  <c r="T89" i="18"/>
  <c r="R89" i="18"/>
  <c r="P89" i="18"/>
  <c r="N89" i="18"/>
  <c r="LV88" i="18"/>
  <c r="LT88" i="18"/>
  <c r="LR88" i="18"/>
  <c r="LP88" i="18"/>
  <c r="LN88" i="18"/>
  <c r="LL88" i="18"/>
  <c r="LJ88" i="18"/>
  <c r="LH88" i="18"/>
  <c r="LF88" i="18"/>
  <c r="LD88" i="18"/>
  <c r="LB88" i="18"/>
  <c r="KZ88" i="18"/>
  <c r="KR88" i="18"/>
  <c r="KP88" i="18"/>
  <c r="KN88" i="18"/>
  <c r="KL88" i="18"/>
  <c r="KJ88" i="18"/>
  <c r="KH88" i="18"/>
  <c r="KF88" i="18"/>
  <c r="KD88" i="18"/>
  <c r="KB88" i="18"/>
  <c r="JZ88" i="18"/>
  <c r="JX88" i="18"/>
  <c r="JV88" i="18"/>
  <c r="JN88" i="18"/>
  <c r="JL88" i="18"/>
  <c r="JJ88" i="18"/>
  <c r="JH88" i="18"/>
  <c r="JF88" i="18"/>
  <c r="JD88" i="18"/>
  <c r="JB88" i="18"/>
  <c r="IZ88" i="18"/>
  <c r="IX88" i="18"/>
  <c r="IV88" i="18"/>
  <c r="IT88" i="18"/>
  <c r="IR88" i="18"/>
  <c r="IJ88" i="18"/>
  <c r="IH88" i="18"/>
  <c r="IF88" i="18"/>
  <c r="ID88" i="18"/>
  <c r="IB88" i="18"/>
  <c r="HZ88" i="18"/>
  <c r="HX88" i="18"/>
  <c r="HV88" i="18"/>
  <c r="HT88" i="18"/>
  <c r="HR88" i="18"/>
  <c r="HP88" i="18"/>
  <c r="HN88" i="18"/>
  <c r="HF88" i="18"/>
  <c r="HD88" i="18"/>
  <c r="HB88" i="18"/>
  <c r="GZ88" i="18"/>
  <c r="GX88" i="18"/>
  <c r="GV88" i="18"/>
  <c r="GT88" i="18"/>
  <c r="GR88" i="18"/>
  <c r="GP88" i="18"/>
  <c r="GN88" i="18"/>
  <c r="GL88" i="18"/>
  <c r="GJ88" i="18"/>
  <c r="GB88" i="18"/>
  <c r="FZ88" i="18"/>
  <c r="FX88" i="18"/>
  <c r="FV88" i="18"/>
  <c r="FT88" i="18"/>
  <c r="FR88" i="18"/>
  <c r="FP88" i="18"/>
  <c r="FN88" i="18"/>
  <c r="FL88" i="18"/>
  <c r="FJ88" i="18"/>
  <c r="FH88" i="18"/>
  <c r="FF88" i="18"/>
  <c r="FE88" i="18"/>
  <c r="DT88" i="18"/>
  <c r="DR88" i="18"/>
  <c r="DP88" i="18"/>
  <c r="DN88" i="18"/>
  <c r="DL88" i="18"/>
  <c r="DJ88" i="18"/>
  <c r="DH88" i="18"/>
  <c r="DF88" i="18"/>
  <c r="DD88" i="18"/>
  <c r="DB88" i="18"/>
  <c r="CZ88" i="18"/>
  <c r="CX88" i="18"/>
  <c r="CP88" i="18"/>
  <c r="CN88" i="18"/>
  <c r="CL88" i="18"/>
  <c r="CJ88" i="18"/>
  <c r="CH88" i="18"/>
  <c r="CF88" i="18"/>
  <c r="CD88" i="18"/>
  <c r="CB88" i="18"/>
  <c r="BZ88" i="18"/>
  <c r="BX88" i="18"/>
  <c r="BV88" i="18"/>
  <c r="BT88" i="18"/>
  <c r="BL88" i="18"/>
  <c r="BJ88" i="18"/>
  <c r="BH88" i="18"/>
  <c r="BF88" i="18"/>
  <c r="BD88" i="18"/>
  <c r="BB88" i="18"/>
  <c r="AZ88" i="18"/>
  <c r="AX88" i="18"/>
  <c r="AV88" i="18"/>
  <c r="AT88" i="18"/>
  <c r="AR88" i="18"/>
  <c r="AP88" i="18"/>
  <c r="AH88" i="18"/>
  <c r="AF88" i="18"/>
  <c r="AD88" i="18"/>
  <c r="AB88" i="18"/>
  <c r="Z88" i="18"/>
  <c r="X88" i="18"/>
  <c r="V88" i="18"/>
  <c r="T88" i="18"/>
  <c r="R88" i="18"/>
  <c r="P88" i="18"/>
  <c r="N88" i="18"/>
  <c r="LV87" i="18"/>
  <c r="LT87" i="18"/>
  <c r="LR87" i="18"/>
  <c r="LP87" i="18"/>
  <c r="LN87" i="18"/>
  <c r="LL87" i="18"/>
  <c r="LJ87" i="18"/>
  <c r="LH87" i="18"/>
  <c r="LF87" i="18"/>
  <c r="LD87" i="18"/>
  <c r="LB87" i="18"/>
  <c r="KZ87" i="18"/>
  <c r="KR87" i="18"/>
  <c r="KP87" i="18"/>
  <c r="KN87" i="18"/>
  <c r="KL87" i="18"/>
  <c r="KJ87" i="18"/>
  <c r="KH87" i="18"/>
  <c r="KF87" i="18"/>
  <c r="KD87" i="18"/>
  <c r="KB87" i="18"/>
  <c r="JZ87" i="18"/>
  <c r="JX87" i="18"/>
  <c r="JV87" i="18"/>
  <c r="JN87" i="18"/>
  <c r="JL87" i="18"/>
  <c r="JJ87" i="18"/>
  <c r="JH87" i="18"/>
  <c r="JF87" i="18"/>
  <c r="JD87" i="18"/>
  <c r="JB87" i="18"/>
  <c r="IZ87" i="18"/>
  <c r="IX87" i="18"/>
  <c r="IV87" i="18"/>
  <c r="IT87" i="18"/>
  <c r="IR87" i="18"/>
  <c r="IJ87" i="18"/>
  <c r="IH87" i="18"/>
  <c r="IF87" i="18"/>
  <c r="ID87" i="18"/>
  <c r="IB87" i="18"/>
  <c r="HZ87" i="18"/>
  <c r="HX87" i="18"/>
  <c r="HV87" i="18"/>
  <c r="HT87" i="18"/>
  <c r="HR87" i="18"/>
  <c r="HP87" i="18"/>
  <c r="HN87" i="18"/>
  <c r="HF87" i="18"/>
  <c r="HD87" i="18"/>
  <c r="HB87" i="18"/>
  <c r="GZ87" i="18"/>
  <c r="GX87" i="18"/>
  <c r="GV87" i="18"/>
  <c r="GT87" i="18"/>
  <c r="GR87" i="18"/>
  <c r="GP87" i="18"/>
  <c r="GN87" i="18"/>
  <c r="GL87" i="18"/>
  <c r="GJ87" i="18"/>
  <c r="GB87" i="18"/>
  <c r="FZ87" i="18"/>
  <c r="FX87" i="18"/>
  <c r="FV87" i="18"/>
  <c r="FT87" i="18"/>
  <c r="FR87" i="18"/>
  <c r="FP87" i="18"/>
  <c r="FN87" i="18"/>
  <c r="FL87" i="18"/>
  <c r="FJ87" i="18"/>
  <c r="FH87" i="18"/>
  <c r="FF87" i="18"/>
  <c r="FE87" i="18"/>
  <c r="DT87" i="18"/>
  <c r="DR87" i="18"/>
  <c r="DP87" i="18"/>
  <c r="DN87" i="18"/>
  <c r="DL87" i="18"/>
  <c r="DJ87" i="18"/>
  <c r="DH87" i="18"/>
  <c r="DF87" i="18"/>
  <c r="DD87" i="18"/>
  <c r="DB87" i="18"/>
  <c r="CZ87" i="18"/>
  <c r="CX87" i="18"/>
  <c r="CP87" i="18"/>
  <c r="CN87" i="18"/>
  <c r="CL87" i="18"/>
  <c r="CJ87" i="18"/>
  <c r="CH87" i="18"/>
  <c r="CF87" i="18"/>
  <c r="CD87" i="18"/>
  <c r="CB87" i="18"/>
  <c r="BZ87" i="18"/>
  <c r="BX87" i="18"/>
  <c r="BV87" i="18"/>
  <c r="BT87" i="18"/>
  <c r="BL87" i="18"/>
  <c r="BJ87" i="18"/>
  <c r="BH87" i="18"/>
  <c r="BF87" i="18"/>
  <c r="BD87" i="18"/>
  <c r="BB87" i="18"/>
  <c r="AZ87" i="18"/>
  <c r="AX87" i="18"/>
  <c r="AV87" i="18"/>
  <c r="AT87" i="18"/>
  <c r="AR87" i="18"/>
  <c r="AP87" i="18"/>
  <c r="AH87" i="18"/>
  <c r="AF87" i="18"/>
  <c r="AD87" i="18"/>
  <c r="AB87" i="18"/>
  <c r="Z87" i="18"/>
  <c r="X87" i="18"/>
  <c r="V87" i="18"/>
  <c r="T87" i="18"/>
  <c r="R87" i="18"/>
  <c r="P87" i="18"/>
  <c r="N87" i="18"/>
  <c r="LV86" i="18"/>
  <c r="LT86" i="18"/>
  <c r="LR86" i="18"/>
  <c r="LP86" i="18"/>
  <c r="LN86" i="18"/>
  <c r="LL86" i="18"/>
  <c r="LJ86" i="18"/>
  <c r="LH86" i="18"/>
  <c r="LF86" i="18"/>
  <c r="LD86" i="18"/>
  <c r="LB86" i="18"/>
  <c r="KZ86" i="18"/>
  <c r="KR86" i="18"/>
  <c r="KP86" i="18"/>
  <c r="KN86" i="18"/>
  <c r="KL86" i="18"/>
  <c r="KJ86" i="18"/>
  <c r="KH86" i="18"/>
  <c r="KF86" i="18"/>
  <c r="KD86" i="18"/>
  <c r="KB86" i="18"/>
  <c r="JZ86" i="18"/>
  <c r="JX86" i="18"/>
  <c r="JV86" i="18"/>
  <c r="JN86" i="18"/>
  <c r="JL86" i="18"/>
  <c r="JJ86" i="18"/>
  <c r="JH86" i="18"/>
  <c r="JF86" i="18"/>
  <c r="JD86" i="18"/>
  <c r="JB86" i="18"/>
  <c r="IZ86" i="18"/>
  <c r="IX86" i="18"/>
  <c r="IV86" i="18"/>
  <c r="IT86" i="18"/>
  <c r="IR86" i="18"/>
  <c r="IJ86" i="18"/>
  <c r="IH86" i="18"/>
  <c r="IF86" i="18"/>
  <c r="ID86" i="18"/>
  <c r="IB86" i="18"/>
  <c r="HZ86" i="18"/>
  <c r="HX86" i="18"/>
  <c r="HV86" i="18"/>
  <c r="HT86" i="18"/>
  <c r="HR86" i="18"/>
  <c r="HP86" i="18"/>
  <c r="HN86" i="18"/>
  <c r="HF86" i="18"/>
  <c r="HD86" i="18"/>
  <c r="HB86" i="18"/>
  <c r="GZ86" i="18"/>
  <c r="GX86" i="18"/>
  <c r="GV86" i="18"/>
  <c r="GT86" i="18"/>
  <c r="GR86" i="18"/>
  <c r="GP86" i="18"/>
  <c r="GN86" i="18"/>
  <c r="GL86" i="18"/>
  <c r="GJ86" i="18"/>
  <c r="GB86" i="18"/>
  <c r="FZ86" i="18"/>
  <c r="FX86" i="18"/>
  <c r="FV86" i="18"/>
  <c r="FT86" i="18"/>
  <c r="FR86" i="18"/>
  <c r="FP86" i="18"/>
  <c r="FN86" i="18"/>
  <c r="FL86" i="18"/>
  <c r="FJ86" i="18"/>
  <c r="FH86" i="18"/>
  <c r="FF86" i="18"/>
  <c r="FE86" i="18"/>
  <c r="DT86" i="18"/>
  <c r="DR86" i="18"/>
  <c r="DP86" i="18"/>
  <c r="DN86" i="18"/>
  <c r="DL86" i="18"/>
  <c r="DJ86" i="18"/>
  <c r="DH86" i="18"/>
  <c r="DF86" i="18"/>
  <c r="DD86" i="18"/>
  <c r="DB86" i="18"/>
  <c r="CZ86" i="18"/>
  <c r="CX86" i="18"/>
  <c r="CP86" i="18"/>
  <c r="CN86" i="18"/>
  <c r="CL86" i="18"/>
  <c r="CJ86" i="18"/>
  <c r="CH86" i="18"/>
  <c r="CF86" i="18"/>
  <c r="CD86" i="18"/>
  <c r="CB86" i="18"/>
  <c r="BZ86" i="18"/>
  <c r="BX86" i="18"/>
  <c r="BV86" i="18"/>
  <c r="BT86" i="18"/>
  <c r="BL86" i="18"/>
  <c r="BJ86" i="18"/>
  <c r="BH86" i="18"/>
  <c r="BF86" i="18"/>
  <c r="BD86" i="18"/>
  <c r="BB86" i="18"/>
  <c r="AZ86" i="18"/>
  <c r="AX86" i="18"/>
  <c r="AV86" i="18"/>
  <c r="AT86" i="18"/>
  <c r="AR86" i="18"/>
  <c r="AP86" i="18"/>
  <c r="AH86" i="18"/>
  <c r="AF86" i="18"/>
  <c r="AD86" i="18"/>
  <c r="AB86" i="18"/>
  <c r="Z86" i="18"/>
  <c r="X86" i="18"/>
  <c r="V86" i="18"/>
  <c r="T86" i="18"/>
  <c r="R86" i="18"/>
  <c r="P86" i="18"/>
  <c r="N86" i="18"/>
  <c r="LV85" i="18"/>
  <c r="LT85" i="18"/>
  <c r="LR85" i="18"/>
  <c r="LP85" i="18"/>
  <c r="LN85" i="18"/>
  <c r="LL85" i="18"/>
  <c r="LJ85" i="18"/>
  <c r="LH85" i="18"/>
  <c r="LF85" i="18"/>
  <c r="LD85" i="18"/>
  <c r="LB85" i="18"/>
  <c r="KZ85" i="18"/>
  <c r="KR85" i="18"/>
  <c r="KP85" i="18"/>
  <c r="KN85" i="18"/>
  <c r="KL85" i="18"/>
  <c r="KJ85" i="18"/>
  <c r="KH85" i="18"/>
  <c r="KF85" i="18"/>
  <c r="KD85" i="18"/>
  <c r="KB85" i="18"/>
  <c r="JZ85" i="18"/>
  <c r="JX85" i="18"/>
  <c r="JV85" i="18"/>
  <c r="JN85" i="18"/>
  <c r="JL85" i="18"/>
  <c r="JJ85" i="18"/>
  <c r="JH85" i="18"/>
  <c r="JF85" i="18"/>
  <c r="JD85" i="18"/>
  <c r="JB85" i="18"/>
  <c r="IZ85" i="18"/>
  <c r="IX85" i="18"/>
  <c r="IV85" i="18"/>
  <c r="IT85" i="18"/>
  <c r="IR85" i="18"/>
  <c r="IJ85" i="18"/>
  <c r="IH85" i="18"/>
  <c r="IF85" i="18"/>
  <c r="ID85" i="18"/>
  <c r="IB85" i="18"/>
  <c r="HZ85" i="18"/>
  <c r="HX85" i="18"/>
  <c r="HV85" i="18"/>
  <c r="HT85" i="18"/>
  <c r="HR85" i="18"/>
  <c r="HP85" i="18"/>
  <c r="HN85" i="18"/>
  <c r="HF85" i="18"/>
  <c r="HD85" i="18"/>
  <c r="HB85" i="18"/>
  <c r="GZ85" i="18"/>
  <c r="GX85" i="18"/>
  <c r="GV85" i="18"/>
  <c r="GT85" i="18"/>
  <c r="GR85" i="18"/>
  <c r="GP85" i="18"/>
  <c r="GN85" i="18"/>
  <c r="GL85" i="18"/>
  <c r="GJ85" i="18"/>
  <c r="GB85" i="18"/>
  <c r="FZ85" i="18"/>
  <c r="FX85" i="18"/>
  <c r="FV85" i="18"/>
  <c r="FT85" i="18"/>
  <c r="FR85" i="18"/>
  <c r="FP85" i="18"/>
  <c r="FN85" i="18"/>
  <c r="FL85" i="18"/>
  <c r="FJ85" i="18"/>
  <c r="FH85" i="18"/>
  <c r="FF85" i="18"/>
  <c r="FE85" i="18"/>
  <c r="DT85" i="18"/>
  <c r="DR85" i="18"/>
  <c r="DP85" i="18"/>
  <c r="DN85" i="18"/>
  <c r="DL85" i="18"/>
  <c r="DJ85" i="18"/>
  <c r="DH85" i="18"/>
  <c r="DF85" i="18"/>
  <c r="DD85" i="18"/>
  <c r="DB85" i="18"/>
  <c r="CZ85" i="18"/>
  <c r="CX85" i="18"/>
  <c r="CP85" i="18"/>
  <c r="CN85" i="18"/>
  <c r="CL85" i="18"/>
  <c r="CJ85" i="18"/>
  <c r="CH85" i="18"/>
  <c r="CF85" i="18"/>
  <c r="CD85" i="18"/>
  <c r="CB85" i="18"/>
  <c r="BZ85" i="18"/>
  <c r="BX85" i="18"/>
  <c r="BV85" i="18"/>
  <c r="BT85" i="18"/>
  <c r="BL85" i="18"/>
  <c r="BJ85" i="18"/>
  <c r="BH85" i="18"/>
  <c r="BF85" i="18"/>
  <c r="BD85" i="18"/>
  <c r="BB85" i="18"/>
  <c r="AZ85" i="18"/>
  <c r="AX85" i="18"/>
  <c r="AV85" i="18"/>
  <c r="AT85" i="18"/>
  <c r="AR85" i="18"/>
  <c r="AP85" i="18"/>
  <c r="AH85" i="18"/>
  <c r="AF85" i="18"/>
  <c r="AD85" i="18"/>
  <c r="AB85" i="18"/>
  <c r="Z85" i="18"/>
  <c r="X85" i="18"/>
  <c r="V85" i="18"/>
  <c r="T85" i="18"/>
  <c r="R85" i="18"/>
  <c r="P85" i="18"/>
  <c r="N85" i="18"/>
  <c r="LV84" i="18"/>
  <c r="LT84" i="18"/>
  <c r="LR84" i="18"/>
  <c r="LP84" i="18"/>
  <c r="LN84" i="18"/>
  <c r="LL84" i="18"/>
  <c r="LJ84" i="18"/>
  <c r="LH84" i="18"/>
  <c r="LF84" i="18"/>
  <c r="LD84" i="18"/>
  <c r="LB84" i="18"/>
  <c r="KZ84" i="18"/>
  <c r="KR84" i="18"/>
  <c r="KP84" i="18"/>
  <c r="KN84" i="18"/>
  <c r="KL84" i="18"/>
  <c r="KJ84" i="18"/>
  <c r="KH84" i="18"/>
  <c r="KF84" i="18"/>
  <c r="KD84" i="18"/>
  <c r="KB84" i="18"/>
  <c r="JZ84" i="18"/>
  <c r="JX84" i="18"/>
  <c r="JV84" i="18"/>
  <c r="JN84" i="18"/>
  <c r="JL84" i="18"/>
  <c r="JJ84" i="18"/>
  <c r="JH84" i="18"/>
  <c r="JF84" i="18"/>
  <c r="JD84" i="18"/>
  <c r="JB84" i="18"/>
  <c r="IZ84" i="18"/>
  <c r="IX84" i="18"/>
  <c r="IV84" i="18"/>
  <c r="IT84" i="18"/>
  <c r="IR84" i="18"/>
  <c r="IJ84" i="18"/>
  <c r="IH84" i="18"/>
  <c r="IF84" i="18"/>
  <c r="ID84" i="18"/>
  <c r="IB84" i="18"/>
  <c r="HZ84" i="18"/>
  <c r="HX84" i="18"/>
  <c r="HV84" i="18"/>
  <c r="HT84" i="18"/>
  <c r="HR84" i="18"/>
  <c r="HP84" i="18"/>
  <c r="HN84" i="18"/>
  <c r="HF84" i="18"/>
  <c r="HD84" i="18"/>
  <c r="HB84" i="18"/>
  <c r="GZ84" i="18"/>
  <c r="GX84" i="18"/>
  <c r="GV84" i="18"/>
  <c r="GT84" i="18"/>
  <c r="GR84" i="18"/>
  <c r="GP84" i="18"/>
  <c r="GN84" i="18"/>
  <c r="GL84" i="18"/>
  <c r="GJ84" i="18"/>
  <c r="GB84" i="18"/>
  <c r="FZ84" i="18"/>
  <c r="FX84" i="18"/>
  <c r="FV84" i="18"/>
  <c r="FT84" i="18"/>
  <c r="FR84" i="18"/>
  <c r="FP84" i="18"/>
  <c r="FN84" i="18"/>
  <c r="FL84" i="18"/>
  <c r="FJ84" i="18"/>
  <c r="FH84" i="18"/>
  <c r="FF84" i="18"/>
  <c r="FE84" i="18"/>
  <c r="DT84" i="18"/>
  <c r="DR84" i="18"/>
  <c r="DP84" i="18"/>
  <c r="DN84" i="18"/>
  <c r="DL84" i="18"/>
  <c r="DJ84" i="18"/>
  <c r="DH84" i="18"/>
  <c r="DF84" i="18"/>
  <c r="DD84" i="18"/>
  <c r="DB84" i="18"/>
  <c r="CZ84" i="18"/>
  <c r="CX84" i="18"/>
  <c r="CP84" i="18"/>
  <c r="CN84" i="18"/>
  <c r="CL84" i="18"/>
  <c r="CJ84" i="18"/>
  <c r="CH84" i="18"/>
  <c r="CF84" i="18"/>
  <c r="CD84" i="18"/>
  <c r="CB84" i="18"/>
  <c r="BZ84" i="18"/>
  <c r="BX84" i="18"/>
  <c r="BV84" i="18"/>
  <c r="BT84" i="18"/>
  <c r="BL84" i="18"/>
  <c r="BJ84" i="18"/>
  <c r="BH84" i="18"/>
  <c r="BF84" i="18"/>
  <c r="BD84" i="18"/>
  <c r="BB84" i="18"/>
  <c r="AZ84" i="18"/>
  <c r="AX84" i="18"/>
  <c r="AV84" i="18"/>
  <c r="AT84" i="18"/>
  <c r="AR84" i="18"/>
  <c r="AP84" i="18"/>
  <c r="AH84" i="18"/>
  <c r="AF84" i="18"/>
  <c r="AD84" i="18"/>
  <c r="AB84" i="18"/>
  <c r="Z84" i="18"/>
  <c r="X84" i="18"/>
  <c r="V84" i="18"/>
  <c r="T84" i="18"/>
  <c r="R84" i="18"/>
  <c r="P84" i="18"/>
  <c r="N84" i="18"/>
  <c r="CW84" i="18"/>
  <c r="LV83" i="18"/>
  <c r="LT83" i="18"/>
  <c r="LR83" i="18"/>
  <c r="LP83" i="18"/>
  <c r="LN83" i="18"/>
  <c r="LL83" i="18"/>
  <c r="LJ83" i="18"/>
  <c r="LH83" i="18"/>
  <c r="LF83" i="18"/>
  <c r="LD83" i="18"/>
  <c r="LB83" i="18"/>
  <c r="KZ83" i="18"/>
  <c r="KR83" i="18"/>
  <c r="KP83" i="18"/>
  <c r="KN83" i="18"/>
  <c r="KL83" i="18"/>
  <c r="KJ83" i="18"/>
  <c r="KH83" i="18"/>
  <c r="KF83" i="18"/>
  <c r="KD83" i="18"/>
  <c r="KB83" i="18"/>
  <c r="JZ83" i="18"/>
  <c r="JX83" i="18"/>
  <c r="JV83" i="18"/>
  <c r="JN83" i="18"/>
  <c r="JL83" i="18"/>
  <c r="JJ83" i="18"/>
  <c r="JH83" i="18"/>
  <c r="JF83" i="18"/>
  <c r="JD83" i="18"/>
  <c r="JB83" i="18"/>
  <c r="IZ83" i="18"/>
  <c r="IX83" i="18"/>
  <c r="IV83" i="18"/>
  <c r="IT83" i="18"/>
  <c r="IR83" i="18"/>
  <c r="IJ83" i="18"/>
  <c r="IH83" i="18"/>
  <c r="IF83" i="18"/>
  <c r="ID83" i="18"/>
  <c r="IB83" i="18"/>
  <c r="HZ83" i="18"/>
  <c r="HX83" i="18"/>
  <c r="HV83" i="18"/>
  <c r="HT83" i="18"/>
  <c r="HR83" i="18"/>
  <c r="HP83" i="18"/>
  <c r="HN83" i="18"/>
  <c r="HF83" i="18"/>
  <c r="HD83" i="18"/>
  <c r="HB83" i="18"/>
  <c r="GZ83" i="18"/>
  <c r="GX83" i="18"/>
  <c r="GV83" i="18"/>
  <c r="GT83" i="18"/>
  <c r="GR83" i="18"/>
  <c r="GP83" i="18"/>
  <c r="GN83" i="18"/>
  <c r="GL83" i="18"/>
  <c r="GJ83" i="18"/>
  <c r="GB83" i="18"/>
  <c r="FZ83" i="18"/>
  <c r="FX83" i="18"/>
  <c r="FV83" i="18"/>
  <c r="FT83" i="18"/>
  <c r="FR83" i="18"/>
  <c r="FP83" i="18"/>
  <c r="FN83" i="18"/>
  <c r="FL83" i="18"/>
  <c r="FJ83" i="18"/>
  <c r="FH83" i="18"/>
  <c r="FF83" i="18"/>
  <c r="FE83" i="18"/>
  <c r="DT83" i="18"/>
  <c r="DR83" i="18"/>
  <c r="DP83" i="18"/>
  <c r="DN83" i="18"/>
  <c r="DL83" i="18"/>
  <c r="DJ83" i="18"/>
  <c r="DH83" i="18"/>
  <c r="DF83" i="18"/>
  <c r="DD83" i="18"/>
  <c r="DB83" i="18"/>
  <c r="CZ83" i="18"/>
  <c r="CX83" i="18"/>
  <c r="CP83" i="18"/>
  <c r="CN83" i="18"/>
  <c r="CL83" i="18"/>
  <c r="CJ83" i="18"/>
  <c r="CH83" i="18"/>
  <c r="CF83" i="18"/>
  <c r="CD83" i="18"/>
  <c r="CB83" i="18"/>
  <c r="BZ83" i="18"/>
  <c r="BX83" i="18"/>
  <c r="BV83" i="18"/>
  <c r="BT83" i="18"/>
  <c r="BL83" i="18"/>
  <c r="BJ83" i="18"/>
  <c r="BH83" i="18"/>
  <c r="BF83" i="18"/>
  <c r="BD83" i="18"/>
  <c r="BB83" i="18"/>
  <c r="AZ83" i="18"/>
  <c r="AX83" i="18"/>
  <c r="AV83" i="18"/>
  <c r="AT83" i="18"/>
  <c r="AR83" i="18"/>
  <c r="AP83" i="18"/>
  <c r="AH83" i="18"/>
  <c r="AF83" i="18"/>
  <c r="AD83" i="18"/>
  <c r="AB83" i="18"/>
  <c r="Z83" i="18"/>
  <c r="X83" i="18"/>
  <c r="V83" i="18"/>
  <c r="T83" i="18"/>
  <c r="R83" i="18"/>
  <c r="P83" i="18"/>
  <c r="N83" i="18"/>
  <c r="LV82" i="18"/>
  <c r="LT82" i="18"/>
  <c r="LR82" i="18"/>
  <c r="LP82" i="18"/>
  <c r="LN82" i="18"/>
  <c r="LL82" i="18"/>
  <c r="LJ82" i="18"/>
  <c r="LH82" i="18"/>
  <c r="LF82" i="18"/>
  <c r="LD82" i="18"/>
  <c r="LB82" i="18"/>
  <c r="KZ82" i="18"/>
  <c r="KR82" i="18"/>
  <c r="KP82" i="18"/>
  <c r="KN82" i="18"/>
  <c r="KL82" i="18"/>
  <c r="KJ82" i="18"/>
  <c r="KH82" i="18"/>
  <c r="KF82" i="18"/>
  <c r="KD82" i="18"/>
  <c r="KB82" i="18"/>
  <c r="JZ82" i="18"/>
  <c r="JX82" i="18"/>
  <c r="JV82" i="18"/>
  <c r="JN82" i="18"/>
  <c r="JL82" i="18"/>
  <c r="JJ82" i="18"/>
  <c r="JH82" i="18"/>
  <c r="JF82" i="18"/>
  <c r="JD82" i="18"/>
  <c r="JB82" i="18"/>
  <c r="IZ82" i="18"/>
  <c r="IX82" i="18"/>
  <c r="IV82" i="18"/>
  <c r="IT82" i="18"/>
  <c r="IR82" i="18"/>
  <c r="IJ82" i="18"/>
  <c r="IH82" i="18"/>
  <c r="IF82" i="18"/>
  <c r="ID82" i="18"/>
  <c r="IB82" i="18"/>
  <c r="HZ82" i="18"/>
  <c r="HX82" i="18"/>
  <c r="HV82" i="18"/>
  <c r="HT82" i="18"/>
  <c r="HR82" i="18"/>
  <c r="HP82" i="18"/>
  <c r="HN82" i="18"/>
  <c r="HF82" i="18"/>
  <c r="HD82" i="18"/>
  <c r="HB82" i="18"/>
  <c r="GZ82" i="18"/>
  <c r="GX82" i="18"/>
  <c r="GV82" i="18"/>
  <c r="GT82" i="18"/>
  <c r="GR82" i="18"/>
  <c r="GP82" i="18"/>
  <c r="GN82" i="18"/>
  <c r="GL82" i="18"/>
  <c r="GJ82" i="18"/>
  <c r="GB82" i="18"/>
  <c r="FZ82" i="18"/>
  <c r="FX82" i="18"/>
  <c r="FV82" i="18"/>
  <c r="FT82" i="18"/>
  <c r="FR82" i="18"/>
  <c r="FP82" i="18"/>
  <c r="FN82" i="18"/>
  <c r="FL82" i="18"/>
  <c r="FJ82" i="18"/>
  <c r="FH82" i="18"/>
  <c r="FF82" i="18"/>
  <c r="FE82" i="18"/>
  <c r="DT82" i="18"/>
  <c r="DR82" i="18"/>
  <c r="DP82" i="18"/>
  <c r="DN82" i="18"/>
  <c r="DL82" i="18"/>
  <c r="DJ82" i="18"/>
  <c r="DH82" i="18"/>
  <c r="DF82" i="18"/>
  <c r="DD82" i="18"/>
  <c r="DB82" i="18"/>
  <c r="CZ82" i="18"/>
  <c r="CX82" i="18"/>
  <c r="CP82" i="18"/>
  <c r="CN82" i="18"/>
  <c r="CL82" i="18"/>
  <c r="CJ82" i="18"/>
  <c r="CH82" i="18"/>
  <c r="CF82" i="18"/>
  <c r="CD82" i="18"/>
  <c r="CB82" i="18"/>
  <c r="BZ82" i="18"/>
  <c r="BX82" i="18"/>
  <c r="BV82" i="18"/>
  <c r="BT82" i="18"/>
  <c r="BL82" i="18"/>
  <c r="BJ82" i="18"/>
  <c r="BH82" i="18"/>
  <c r="BF82" i="18"/>
  <c r="BD82" i="18"/>
  <c r="BB82" i="18"/>
  <c r="AZ82" i="18"/>
  <c r="AX82" i="18"/>
  <c r="AV82" i="18"/>
  <c r="AT82" i="18"/>
  <c r="AR82" i="18"/>
  <c r="AP82" i="18"/>
  <c r="AH82" i="18"/>
  <c r="AF82" i="18"/>
  <c r="AD82" i="18"/>
  <c r="AB82" i="18"/>
  <c r="Z82" i="18"/>
  <c r="X82" i="18"/>
  <c r="V82" i="18"/>
  <c r="T82" i="18"/>
  <c r="R82" i="18"/>
  <c r="P82" i="18"/>
  <c r="N82" i="18"/>
  <c r="LV81" i="18"/>
  <c r="LT81" i="18"/>
  <c r="LR81" i="18"/>
  <c r="LP81" i="18"/>
  <c r="LN81" i="18"/>
  <c r="LL81" i="18"/>
  <c r="LJ81" i="18"/>
  <c r="LH81" i="18"/>
  <c r="LF81" i="18"/>
  <c r="LD81" i="18"/>
  <c r="LB81" i="18"/>
  <c r="KZ81" i="18"/>
  <c r="KR81" i="18"/>
  <c r="KP81" i="18"/>
  <c r="KN81" i="18"/>
  <c r="KL81" i="18"/>
  <c r="KJ81" i="18"/>
  <c r="KH81" i="18"/>
  <c r="KF81" i="18"/>
  <c r="KD81" i="18"/>
  <c r="KB81" i="18"/>
  <c r="JZ81" i="18"/>
  <c r="JX81" i="18"/>
  <c r="JV81" i="18"/>
  <c r="JN81" i="18"/>
  <c r="JL81" i="18"/>
  <c r="JJ81" i="18"/>
  <c r="JH81" i="18"/>
  <c r="JF81" i="18"/>
  <c r="JD81" i="18"/>
  <c r="JB81" i="18"/>
  <c r="IZ81" i="18"/>
  <c r="IX81" i="18"/>
  <c r="IV81" i="18"/>
  <c r="IT81" i="18"/>
  <c r="IR81" i="18"/>
  <c r="IJ81" i="18"/>
  <c r="IH81" i="18"/>
  <c r="IF81" i="18"/>
  <c r="ID81" i="18"/>
  <c r="IB81" i="18"/>
  <c r="HZ81" i="18"/>
  <c r="HX81" i="18"/>
  <c r="HV81" i="18"/>
  <c r="HT81" i="18"/>
  <c r="HR81" i="18"/>
  <c r="HP81" i="18"/>
  <c r="HN81" i="18"/>
  <c r="HF81" i="18"/>
  <c r="HD81" i="18"/>
  <c r="HB81" i="18"/>
  <c r="GZ81" i="18"/>
  <c r="GX81" i="18"/>
  <c r="GV81" i="18"/>
  <c r="GT81" i="18"/>
  <c r="GR81" i="18"/>
  <c r="GP81" i="18"/>
  <c r="GN81" i="18"/>
  <c r="GL81" i="18"/>
  <c r="GJ81" i="18"/>
  <c r="GB81" i="18"/>
  <c r="FZ81" i="18"/>
  <c r="FX81" i="18"/>
  <c r="FV81" i="18"/>
  <c r="FT81" i="18"/>
  <c r="FR81" i="18"/>
  <c r="FP81" i="18"/>
  <c r="FN81" i="18"/>
  <c r="FL81" i="18"/>
  <c r="FJ81" i="18"/>
  <c r="FH81" i="18"/>
  <c r="FF81" i="18"/>
  <c r="FE81" i="18"/>
  <c r="DT81" i="18"/>
  <c r="DR81" i="18"/>
  <c r="DP81" i="18"/>
  <c r="DN81" i="18"/>
  <c r="DL81" i="18"/>
  <c r="DJ81" i="18"/>
  <c r="DH81" i="18"/>
  <c r="DF81" i="18"/>
  <c r="DD81" i="18"/>
  <c r="DB81" i="18"/>
  <c r="CZ81" i="18"/>
  <c r="CX81" i="18"/>
  <c r="CP81" i="18"/>
  <c r="CN81" i="18"/>
  <c r="CL81" i="18"/>
  <c r="CJ81" i="18"/>
  <c r="CH81" i="18"/>
  <c r="CF81" i="18"/>
  <c r="CD81" i="18"/>
  <c r="CB81" i="18"/>
  <c r="BZ81" i="18"/>
  <c r="BX81" i="18"/>
  <c r="BV81" i="18"/>
  <c r="BT81" i="18"/>
  <c r="BL81" i="18"/>
  <c r="BJ81" i="18"/>
  <c r="BH81" i="18"/>
  <c r="BF81" i="18"/>
  <c r="BD81" i="18"/>
  <c r="BB81" i="18"/>
  <c r="AZ81" i="18"/>
  <c r="AX81" i="18"/>
  <c r="AV81" i="18"/>
  <c r="AT81" i="18"/>
  <c r="AR81" i="18"/>
  <c r="AP81" i="18"/>
  <c r="AH81" i="18"/>
  <c r="AF81" i="18"/>
  <c r="AD81" i="18"/>
  <c r="AB81" i="18"/>
  <c r="Z81" i="18"/>
  <c r="X81" i="18"/>
  <c r="V81" i="18"/>
  <c r="T81" i="18"/>
  <c r="R81" i="18"/>
  <c r="P81" i="18"/>
  <c r="N81" i="18"/>
  <c r="LV80" i="18"/>
  <c r="LT80" i="18"/>
  <c r="LR80" i="18"/>
  <c r="LP80" i="18"/>
  <c r="LN80" i="18"/>
  <c r="LL80" i="18"/>
  <c r="LJ80" i="18"/>
  <c r="LH80" i="18"/>
  <c r="LF80" i="18"/>
  <c r="LD80" i="18"/>
  <c r="LB80" i="18"/>
  <c r="KZ80" i="18"/>
  <c r="KR80" i="18"/>
  <c r="KP80" i="18"/>
  <c r="KN80" i="18"/>
  <c r="KL80" i="18"/>
  <c r="KJ80" i="18"/>
  <c r="KH80" i="18"/>
  <c r="KF80" i="18"/>
  <c r="KD80" i="18"/>
  <c r="KB80" i="18"/>
  <c r="JZ80" i="18"/>
  <c r="JX80" i="18"/>
  <c r="JV80" i="18"/>
  <c r="JN80" i="18"/>
  <c r="JL80" i="18"/>
  <c r="JJ80" i="18"/>
  <c r="JH80" i="18"/>
  <c r="JF80" i="18"/>
  <c r="JD80" i="18"/>
  <c r="JB80" i="18"/>
  <c r="IZ80" i="18"/>
  <c r="IX80" i="18"/>
  <c r="IV80" i="18"/>
  <c r="IT80" i="18"/>
  <c r="IR80" i="18"/>
  <c r="IJ80" i="18"/>
  <c r="IH80" i="18"/>
  <c r="IF80" i="18"/>
  <c r="ID80" i="18"/>
  <c r="IB80" i="18"/>
  <c r="HZ80" i="18"/>
  <c r="HX80" i="18"/>
  <c r="HV80" i="18"/>
  <c r="HT80" i="18"/>
  <c r="HR80" i="18"/>
  <c r="HP80" i="18"/>
  <c r="HN80" i="18"/>
  <c r="HF80" i="18"/>
  <c r="HD80" i="18"/>
  <c r="HB80" i="18"/>
  <c r="GZ80" i="18"/>
  <c r="GX80" i="18"/>
  <c r="GV80" i="18"/>
  <c r="GT80" i="18"/>
  <c r="GR80" i="18"/>
  <c r="GP80" i="18"/>
  <c r="GN80" i="18"/>
  <c r="GL80" i="18"/>
  <c r="GJ80" i="18"/>
  <c r="GB80" i="18"/>
  <c r="FZ80" i="18"/>
  <c r="FX80" i="18"/>
  <c r="FV80" i="18"/>
  <c r="FT80" i="18"/>
  <c r="FR80" i="18"/>
  <c r="FP80" i="18"/>
  <c r="FN80" i="18"/>
  <c r="FL80" i="18"/>
  <c r="FJ80" i="18"/>
  <c r="FH80" i="18"/>
  <c r="FF80" i="18"/>
  <c r="FE80" i="18"/>
  <c r="DT80" i="18"/>
  <c r="DR80" i="18"/>
  <c r="DP80" i="18"/>
  <c r="DN80" i="18"/>
  <c r="DL80" i="18"/>
  <c r="DJ80" i="18"/>
  <c r="DH80" i="18"/>
  <c r="DF80" i="18"/>
  <c r="DD80" i="18"/>
  <c r="DB80" i="18"/>
  <c r="CZ80" i="18"/>
  <c r="CX80" i="18"/>
  <c r="CP80" i="18"/>
  <c r="CN80" i="18"/>
  <c r="CL80" i="18"/>
  <c r="CJ80" i="18"/>
  <c r="CH80" i="18"/>
  <c r="CF80" i="18"/>
  <c r="CD80" i="18"/>
  <c r="CB80" i="18"/>
  <c r="BZ80" i="18"/>
  <c r="BX80" i="18"/>
  <c r="BV80" i="18"/>
  <c r="BT80" i="18"/>
  <c r="BL80" i="18"/>
  <c r="BJ80" i="18"/>
  <c r="BH80" i="18"/>
  <c r="BF80" i="18"/>
  <c r="BD80" i="18"/>
  <c r="BB80" i="18"/>
  <c r="AZ80" i="18"/>
  <c r="AX80" i="18"/>
  <c r="AV80" i="18"/>
  <c r="AT80" i="18"/>
  <c r="AR80" i="18"/>
  <c r="AP80" i="18"/>
  <c r="AH80" i="18"/>
  <c r="AF80" i="18"/>
  <c r="AD80" i="18"/>
  <c r="AB80" i="18"/>
  <c r="Z80" i="18"/>
  <c r="X80" i="18"/>
  <c r="V80" i="18"/>
  <c r="T80" i="18"/>
  <c r="R80" i="18"/>
  <c r="P80" i="18"/>
  <c r="N80" i="18"/>
  <c r="LV79" i="18"/>
  <c r="LT79" i="18"/>
  <c r="LR79" i="18"/>
  <c r="LP79" i="18"/>
  <c r="LN79" i="18"/>
  <c r="LL79" i="18"/>
  <c r="LJ79" i="18"/>
  <c r="LH79" i="18"/>
  <c r="LF79" i="18"/>
  <c r="LD79" i="18"/>
  <c r="LB79" i="18"/>
  <c r="KZ79" i="18"/>
  <c r="KR79" i="18"/>
  <c r="KP79" i="18"/>
  <c r="KN79" i="18"/>
  <c r="KL79" i="18"/>
  <c r="KJ79" i="18"/>
  <c r="KH79" i="18"/>
  <c r="KF79" i="18"/>
  <c r="KD79" i="18"/>
  <c r="KB79" i="18"/>
  <c r="JZ79" i="18"/>
  <c r="JX79" i="18"/>
  <c r="JV79" i="18"/>
  <c r="JN79" i="18"/>
  <c r="JL79" i="18"/>
  <c r="JJ79" i="18"/>
  <c r="JH79" i="18"/>
  <c r="JF79" i="18"/>
  <c r="JD79" i="18"/>
  <c r="JB79" i="18"/>
  <c r="IZ79" i="18"/>
  <c r="IX79" i="18"/>
  <c r="IV79" i="18"/>
  <c r="IT79" i="18"/>
  <c r="IR79" i="18"/>
  <c r="IJ79" i="18"/>
  <c r="IH79" i="18"/>
  <c r="IF79" i="18"/>
  <c r="ID79" i="18"/>
  <c r="IB79" i="18"/>
  <c r="HZ79" i="18"/>
  <c r="HX79" i="18"/>
  <c r="HV79" i="18"/>
  <c r="HT79" i="18"/>
  <c r="HR79" i="18"/>
  <c r="HP79" i="18"/>
  <c r="HN79" i="18"/>
  <c r="HF79" i="18"/>
  <c r="HD79" i="18"/>
  <c r="HB79" i="18"/>
  <c r="GZ79" i="18"/>
  <c r="GX79" i="18"/>
  <c r="GV79" i="18"/>
  <c r="GT79" i="18"/>
  <c r="GR79" i="18"/>
  <c r="GP79" i="18"/>
  <c r="GN79" i="18"/>
  <c r="GL79" i="18"/>
  <c r="GJ79" i="18"/>
  <c r="GB79" i="18"/>
  <c r="FZ79" i="18"/>
  <c r="FX79" i="18"/>
  <c r="FV79" i="18"/>
  <c r="FT79" i="18"/>
  <c r="FR79" i="18"/>
  <c r="FP79" i="18"/>
  <c r="FN79" i="18"/>
  <c r="FL79" i="18"/>
  <c r="FJ79" i="18"/>
  <c r="FH79" i="18"/>
  <c r="FF79" i="18"/>
  <c r="FE79" i="18"/>
  <c r="DT79" i="18"/>
  <c r="DR79" i="18"/>
  <c r="DP79" i="18"/>
  <c r="DN79" i="18"/>
  <c r="DL79" i="18"/>
  <c r="DJ79" i="18"/>
  <c r="DH79" i="18"/>
  <c r="DF79" i="18"/>
  <c r="DD79" i="18"/>
  <c r="DB79" i="18"/>
  <c r="CZ79" i="18"/>
  <c r="CX79" i="18"/>
  <c r="CP79" i="18"/>
  <c r="CN79" i="18"/>
  <c r="CL79" i="18"/>
  <c r="CJ79" i="18"/>
  <c r="CH79" i="18"/>
  <c r="CF79" i="18"/>
  <c r="CD79" i="18"/>
  <c r="CB79" i="18"/>
  <c r="BZ79" i="18"/>
  <c r="BX79" i="18"/>
  <c r="BV79" i="18"/>
  <c r="BT79" i="18"/>
  <c r="BL79" i="18"/>
  <c r="BJ79" i="18"/>
  <c r="BH79" i="18"/>
  <c r="BF79" i="18"/>
  <c r="BD79" i="18"/>
  <c r="BB79" i="18"/>
  <c r="AZ79" i="18"/>
  <c r="AX79" i="18"/>
  <c r="AV79" i="18"/>
  <c r="AT79" i="18"/>
  <c r="AR79" i="18"/>
  <c r="AP79" i="18"/>
  <c r="AH79" i="18"/>
  <c r="AF79" i="18"/>
  <c r="AD79" i="18"/>
  <c r="AB79" i="18"/>
  <c r="Z79" i="18"/>
  <c r="X79" i="18"/>
  <c r="V79" i="18"/>
  <c r="T79" i="18"/>
  <c r="R79" i="18"/>
  <c r="P79" i="18"/>
  <c r="N79" i="18"/>
  <c r="LV78" i="18"/>
  <c r="LT78" i="18"/>
  <c r="LR78" i="18"/>
  <c r="LP78" i="18"/>
  <c r="LN78" i="18"/>
  <c r="LL78" i="18"/>
  <c r="LJ78" i="18"/>
  <c r="LH78" i="18"/>
  <c r="LF78" i="18"/>
  <c r="LD78" i="18"/>
  <c r="LB78" i="18"/>
  <c r="KZ78" i="18"/>
  <c r="KR78" i="18"/>
  <c r="KP78" i="18"/>
  <c r="KN78" i="18"/>
  <c r="KL78" i="18"/>
  <c r="KJ78" i="18"/>
  <c r="KH78" i="18"/>
  <c r="KF78" i="18"/>
  <c r="KD78" i="18"/>
  <c r="KB78" i="18"/>
  <c r="JZ78" i="18"/>
  <c r="JX78" i="18"/>
  <c r="JV78" i="18"/>
  <c r="JN78" i="18"/>
  <c r="JL78" i="18"/>
  <c r="JJ78" i="18"/>
  <c r="JH78" i="18"/>
  <c r="JF78" i="18"/>
  <c r="JD78" i="18"/>
  <c r="JB78" i="18"/>
  <c r="IZ78" i="18"/>
  <c r="IX78" i="18"/>
  <c r="IV78" i="18"/>
  <c r="IT78" i="18"/>
  <c r="IR78" i="18"/>
  <c r="IJ78" i="18"/>
  <c r="IH78" i="18"/>
  <c r="IF78" i="18"/>
  <c r="ID78" i="18"/>
  <c r="IB78" i="18"/>
  <c r="HZ78" i="18"/>
  <c r="HX78" i="18"/>
  <c r="HV78" i="18"/>
  <c r="HT78" i="18"/>
  <c r="HR78" i="18"/>
  <c r="HP78" i="18"/>
  <c r="HN78" i="18"/>
  <c r="HF78" i="18"/>
  <c r="HD78" i="18"/>
  <c r="HB78" i="18"/>
  <c r="GZ78" i="18"/>
  <c r="GX78" i="18"/>
  <c r="GV78" i="18"/>
  <c r="GT78" i="18"/>
  <c r="GR78" i="18"/>
  <c r="GP78" i="18"/>
  <c r="GN78" i="18"/>
  <c r="GL78" i="18"/>
  <c r="GJ78" i="18"/>
  <c r="GB78" i="18"/>
  <c r="FZ78" i="18"/>
  <c r="FX78" i="18"/>
  <c r="FV78" i="18"/>
  <c r="FT78" i="18"/>
  <c r="FR78" i="18"/>
  <c r="FP78" i="18"/>
  <c r="FN78" i="18"/>
  <c r="FL78" i="18"/>
  <c r="FJ78" i="18"/>
  <c r="FH78" i="18"/>
  <c r="FF78" i="18"/>
  <c r="FE78" i="18"/>
  <c r="DT78" i="18"/>
  <c r="DR78" i="18"/>
  <c r="DP78" i="18"/>
  <c r="DN78" i="18"/>
  <c r="DL78" i="18"/>
  <c r="DJ78" i="18"/>
  <c r="DH78" i="18"/>
  <c r="DF78" i="18"/>
  <c r="DD78" i="18"/>
  <c r="DB78" i="18"/>
  <c r="CZ78" i="18"/>
  <c r="CX78" i="18"/>
  <c r="CP78" i="18"/>
  <c r="CN78" i="18"/>
  <c r="CL78" i="18"/>
  <c r="CJ78" i="18"/>
  <c r="CH78" i="18"/>
  <c r="CF78" i="18"/>
  <c r="CD78" i="18"/>
  <c r="CB78" i="18"/>
  <c r="BZ78" i="18"/>
  <c r="BX78" i="18"/>
  <c r="BV78" i="18"/>
  <c r="BT78" i="18"/>
  <c r="BL78" i="18"/>
  <c r="BJ78" i="18"/>
  <c r="BH78" i="18"/>
  <c r="BF78" i="18"/>
  <c r="BD78" i="18"/>
  <c r="BB78" i="18"/>
  <c r="AZ78" i="18"/>
  <c r="AX78" i="18"/>
  <c r="AV78" i="18"/>
  <c r="AT78" i="18"/>
  <c r="AR78" i="18"/>
  <c r="AP78" i="18"/>
  <c r="AH78" i="18"/>
  <c r="AF78" i="18"/>
  <c r="AD78" i="18"/>
  <c r="AB78" i="18"/>
  <c r="Z78" i="18"/>
  <c r="X78" i="18"/>
  <c r="V78" i="18"/>
  <c r="T78" i="18"/>
  <c r="R78" i="18"/>
  <c r="P78" i="18"/>
  <c r="N78" i="18"/>
  <c r="LV77" i="18"/>
  <c r="LT77" i="18"/>
  <c r="LR77" i="18"/>
  <c r="LP77" i="18"/>
  <c r="LN77" i="18"/>
  <c r="LL77" i="18"/>
  <c r="LJ77" i="18"/>
  <c r="LH77" i="18"/>
  <c r="LF77" i="18"/>
  <c r="LD77" i="18"/>
  <c r="LB77" i="18"/>
  <c r="KZ77" i="18"/>
  <c r="KR77" i="18"/>
  <c r="KP77" i="18"/>
  <c r="KN77" i="18"/>
  <c r="KL77" i="18"/>
  <c r="KJ77" i="18"/>
  <c r="KH77" i="18"/>
  <c r="KF77" i="18"/>
  <c r="KD77" i="18"/>
  <c r="KB77" i="18"/>
  <c r="JZ77" i="18"/>
  <c r="JX77" i="18"/>
  <c r="JV77" i="18"/>
  <c r="JN77" i="18"/>
  <c r="JL77" i="18"/>
  <c r="JJ77" i="18"/>
  <c r="JH77" i="18"/>
  <c r="JF77" i="18"/>
  <c r="JD77" i="18"/>
  <c r="JB77" i="18"/>
  <c r="IZ77" i="18"/>
  <c r="IX77" i="18"/>
  <c r="IV77" i="18"/>
  <c r="IT77" i="18"/>
  <c r="IR77" i="18"/>
  <c r="IJ77" i="18"/>
  <c r="IH77" i="18"/>
  <c r="IF77" i="18"/>
  <c r="ID77" i="18"/>
  <c r="IB77" i="18"/>
  <c r="HZ77" i="18"/>
  <c r="HX77" i="18"/>
  <c r="HV77" i="18"/>
  <c r="HT77" i="18"/>
  <c r="HR77" i="18"/>
  <c r="HP77" i="18"/>
  <c r="HN77" i="18"/>
  <c r="HF77" i="18"/>
  <c r="HD77" i="18"/>
  <c r="HB77" i="18"/>
  <c r="GZ77" i="18"/>
  <c r="GX77" i="18"/>
  <c r="GV77" i="18"/>
  <c r="GT77" i="18"/>
  <c r="GR77" i="18"/>
  <c r="GP77" i="18"/>
  <c r="GN77" i="18"/>
  <c r="GL77" i="18"/>
  <c r="GJ77" i="18"/>
  <c r="GB77" i="18"/>
  <c r="FZ77" i="18"/>
  <c r="FX77" i="18"/>
  <c r="FV77" i="18"/>
  <c r="FT77" i="18"/>
  <c r="FR77" i="18"/>
  <c r="FP77" i="18"/>
  <c r="FN77" i="18"/>
  <c r="FL77" i="18"/>
  <c r="FJ77" i="18"/>
  <c r="FH77" i="18"/>
  <c r="FF77" i="18"/>
  <c r="FE77" i="18"/>
  <c r="DT77" i="18"/>
  <c r="DR77" i="18"/>
  <c r="DP77" i="18"/>
  <c r="DN77" i="18"/>
  <c r="DL77" i="18"/>
  <c r="DJ77" i="18"/>
  <c r="DH77" i="18"/>
  <c r="DF77" i="18"/>
  <c r="DD77" i="18"/>
  <c r="DB77" i="18"/>
  <c r="CZ77" i="18"/>
  <c r="CX77" i="18"/>
  <c r="CP77" i="18"/>
  <c r="CN77" i="18"/>
  <c r="CL77" i="18"/>
  <c r="CJ77" i="18"/>
  <c r="CH77" i="18"/>
  <c r="CF77" i="18"/>
  <c r="CD77" i="18"/>
  <c r="CB77" i="18"/>
  <c r="BZ77" i="18"/>
  <c r="BX77" i="18"/>
  <c r="BV77" i="18"/>
  <c r="BT77" i="18"/>
  <c r="BL77" i="18"/>
  <c r="BJ77" i="18"/>
  <c r="BH77" i="18"/>
  <c r="BF77" i="18"/>
  <c r="BD77" i="18"/>
  <c r="BB77" i="18"/>
  <c r="AZ77" i="18"/>
  <c r="AX77" i="18"/>
  <c r="AV77" i="18"/>
  <c r="AT77" i="18"/>
  <c r="AR77" i="18"/>
  <c r="AP77" i="18"/>
  <c r="AH77" i="18"/>
  <c r="AF77" i="18"/>
  <c r="AD77" i="18"/>
  <c r="AB77" i="18"/>
  <c r="Z77" i="18"/>
  <c r="X77" i="18"/>
  <c r="V77" i="18"/>
  <c r="T77" i="18"/>
  <c r="R77" i="18"/>
  <c r="P77" i="18"/>
  <c r="N77" i="18"/>
  <c r="LV76" i="18"/>
  <c r="LT76" i="18"/>
  <c r="LR76" i="18"/>
  <c r="LP76" i="18"/>
  <c r="LN76" i="18"/>
  <c r="LL76" i="18"/>
  <c r="LJ76" i="18"/>
  <c r="LH76" i="18"/>
  <c r="LF76" i="18"/>
  <c r="LD76" i="18"/>
  <c r="LB76" i="18"/>
  <c r="KZ76" i="18"/>
  <c r="KR76" i="18"/>
  <c r="KP76" i="18"/>
  <c r="KN76" i="18"/>
  <c r="KL76" i="18"/>
  <c r="KJ76" i="18"/>
  <c r="KH76" i="18"/>
  <c r="KF76" i="18"/>
  <c r="KD76" i="18"/>
  <c r="KB76" i="18"/>
  <c r="JZ76" i="18"/>
  <c r="JX76" i="18"/>
  <c r="JV76" i="18"/>
  <c r="JN76" i="18"/>
  <c r="JL76" i="18"/>
  <c r="JJ76" i="18"/>
  <c r="JH76" i="18"/>
  <c r="JF76" i="18"/>
  <c r="JD76" i="18"/>
  <c r="JB76" i="18"/>
  <c r="IZ76" i="18"/>
  <c r="IX76" i="18"/>
  <c r="IV76" i="18"/>
  <c r="IT76" i="18"/>
  <c r="IR76" i="18"/>
  <c r="IJ76" i="18"/>
  <c r="IH76" i="18"/>
  <c r="IF76" i="18"/>
  <c r="ID76" i="18"/>
  <c r="IB76" i="18"/>
  <c r="HZ76" i="18"/>
  <c r="HX76" i="18"/>
  <c r="HV76" i="18"/>
  <c r="HT76" i="18"/>
  <c r="HR76" i="18"/>
  <c r="HP76" i="18"/>
  <c r="HN76" i="18"/>
  <c r="HF76" i="18"/>
  <c r="HD76" i="18"/>
  <c r="HB76" i="18"/>
  <c r="GZ76" i="18"/>
  <c r="GX76" i="18"/>
  <c r="GV76" i="18"/>
  <c r="GT76" i="18"/>
  <c r="GR76" i="18"/>
  <c r="GP76" i="18"/>
  <c r="GN76" i="18"/>
  <c r="GL76" i="18"/>
  <c r="GJ76" i="18"/>
  <c r="GB76" i="18"/>
  <c r="FZ76" i="18"/>
  <c r="FX76" i="18"/>
  <c r="FV76" i="18"/>
  <c r="FT76" i="18"/>
  <c r="FR76" i="18"/>
  <c r="FP76" i="18"/>
  <c r="FN76" i="18"/>
  <c r="FL76" i="18"/>
  <c r="FJ76" i="18"/>
  <c r="FH76" i="18"/>
  <c r="FF76" i="18"/>
  <c r="FE76" i="18"/>
  <c r="DT76" i="18"/>
  <c r="DR76" i="18"/>
  <c r="DP76" i="18"/>
  <c r="DN76" i="18"/>
  <c r="DL76" i="18"/>
  <c r="DJ76" i="18"/>
  <c r="DH76" i="18"/>
  <c r="DF76" i="18"/>
  <c r="DD76" i="18"/>
  <c r="DB76" i="18"/>
  <c r="CZ76" i="18"/>
  <c r="CX76" i="18"/>
  <c r="CP76" i="18"/>
  <c r="CN76" i="18"/>
  <c r="CL76" i="18"/>
  <c r="CJ76" i="18"/>
  <c r="CH76" i="18"/>
  <c r="CF76" i="18"/>
  <c r="CD76" i="18"/>
  <c r="CB76" i="18"/>
  <c r="BZ76" i="18"/>
  <c r="BX76" i="18"/>
  <c r="BV76" i="18"/>
  <c r="BT76" i="18"/>
  <c r="BL76" i="18"/>
  <c r="BJ76" i="18"/>
  <c r="BH76" i="18"/>
  <c r="BF76" i="18"/>
  <c r="BD76" i="18"/>
  <c r="BB76" i="18"/>
  <c r="AZ76" i="18"/>
  <c r="AX76" i="18"/>
  <c r="AV76" i="18"/>
  <c r="AT76" i="18"/>
  <c r="AR76" i="18"/>
  <c r="AP76" i="18"/>
  <c r="AH76" i="18"/>
  <c r="AF76" i="18"/>
  <c r="AD76" i="18"/>
  <c r="AB76" i="18"/>
  <c r="Z76" i="18"/>
  <c r="X76" i="18"/>
  <c r="V76" i="18"/>
  <c r="T76" i="18"/>
  <c r="R76" i="18"/>
  <c r="P76" i="18"/>
  <c r="N76" i="18"/>
  <c r="LV75" i="18"/>
  <c r="LT75" i="18"/>
  <c r="LR75" i="18"/>
  <c r="LP75" i="18"/>
  <c r="LN75" i="18"/>
  <c r="LL75" i="18"/>
  <c r="LJ75" i="18"/>
  <c r="LH75" i="18"/>
  <c r="LF75" i="18"/>
  <c r="LD75" i="18"/>
  <c r="LB75" i="18"/>
  <c r="KZ75" i="18"/>
  <c r="KR75" i="18"/>
  <c r="KP75" i="18"/>
  <c r="KN75" i="18"/>
  <c r="KL75" i="18"/>
  <c r="KJ75" i="18"/>
  <c r="KH75" i="18"/>
  <c r="KF75" i="18"/>
  <c r="KD75" i="18"/>
  <c r="KB75" i="18"/>
  <c r="JZ75" i="18"/>
  <c r="JX75" i="18"/>
  <c r="JV75" i="18"/>
  <c r="JN75" i="18"/>
  <c r="JL75" i="18"/>
  <c r="JJ75" i="18"/>
  <c r="JH75" i="18"/>
  <c r="JF75" i="18"/>
  <c r="JD75" i="18"/>
  <c r="JB75" i="18"/>
  <c r="IZ75" i="18"/>
  <c r="IX75" i="18"/>
  <c r="IV75" i="18"/>
  <c r="IT75" i="18"/>
  <c r="IR75" i="18"/>
  <c r="IJ75" i="18"/>
  <c r="IH75" i="18"/>
  <c r="IF75" i="18"/>
  <c r="ID75" i="18"/>
  <c r="IB75" i="18"/>
  <c r="HZ75" i="18"/>
  <c r="HX75" i="18"/>
  <c r="HV75" i="18"/>
  <c r="HT75" i="18"/>
  <c r="HR75" i="18"/>
  <c r="HP75" i="18"/>
  <c r="HN75" i="18"/>
  <c r="HF75" i="18"/>
  <c r="HD75" i="18"/>
  <c r="HB75" i="18"/>
  <c r="GZ75" i="18"/>
  <c r="GX75" i="18"/>
  <c r="GV75" i="18"/>
  <c r="GT75" i="18"/>
  <c r="GR75" i="18"/>
  <c r="GP75" i="18"/>
  <c r="GN75" i="18"/>
  <c r="GL75" i="18"/>
  <c r="GJ75" i="18"/>
  <c r="GB75" i="18"/>
  <c r="FZ75" i="18"/>
  <c r="FX75" i="18"/>
  <c r="FV75" i="18"/>
  <c r="FT75" i="18"/>
  <c r="FR75" i="18"/>
  <c r="FP75" i="18"/>
  <c r="FN75" i="18"/>
  <c r="FL75" i="18"/>
  <c r="FJ75" i="18"/>
  <c r="FH75" i="18"/>
  <c r="FF75" i="18"/>
  <c r="FE75" i="18"/>
  <c r="DT75" i="18"/>
  <c r="DR75" i="18"/>
  <c r="DP75" i="18"/>
  <c r="DN75" i="18"/>
  <c r="DL75" i="18"/>
  <c r="DJ75" i="18"/>
  <c r="DH75" i="18"/>
  <c r="DF75" i="18"/>
  <c r="DD75" i="18"/>
  <c r="DB75" i="18"/>
  <c r="CZ75" i="18"/>
  <c r="CX75" i="18"/>
  <c r="CP75" i="18"/>
  <c r="CN75" i="18"/>
  <c r="CL75" i="18"/>
  <c r="CJ75" i="18"/>
  <c r="CH75" i="18"/>
  <c r="CF75" i="18"/>
  <c r="CD75" i="18"/>
  <c r="CB75" i="18"/>
  <c r="BZ75" i="18"/>
  <c r="BX75" i="18"/>
  <c r="BV75" i="18"/>
  <c r="BT75" i="18"/>
  <c r="BL75" i="18"/>
  <c r="BJ75" i="18"/>
  <c r="BH75" i="18"/>
  <c r="BF75" i="18"/>
  <c r="BD75" i="18"/>
  <c r="BB75" i="18"/>
  <c r="AZ75" i="18"/>
  <c r="AX75" i="18"/>
  <c r="AV75" i="18"/>
  <c r="AT75" i="18"/>
  <c r="AR75" i="18"/>
  <c r="AP75" i="18"/>
  <c r="AH75" i="18"/>
  <c r="AF75" i="18"/>
  <c r="AD75" i="18"/>
  <c r="AB75" i="18"/>
  <c r="Z75" i="18"/>
  <c r="X75" i="18"/>
  <c r="V75" i="18"/>
  <c r="T75" i="18"/>
  <c r="R75" i="18"/>
  <c r="P75" i="18"/>
  <c r="N75" i="18"/>
  <c r="LV74" i="18"/>
  <c r="LT74" i="18"/>
  <c r="LR74" i="18"/>
  <c r="LP74" i="18"/>
  <c r="LN74" i="18"/>
  <c r="LL74" i="18"/>
  <c r="LJ74" i="18"/>
  <c r="LH74" i="18"/>
  <c r="LF74" i="18"/>
  <c r="LD74" i="18"/>
  <c r="LB74" i="18"/>
  <c r="KZ74" i="18"/>
  <c r="KR74" i="18"/>
  <c r="KP74" i="18"/>
  <c r="KN74" i="18"/>
  <c r="KL74" i="18"/>
  <c r="KJ74" i="18"/>
  <c r="KH74" i="18"/>
  <c r="KF74" i="18"/>
  <c r="KD74" i="18"/>
  <c r="KB74" i="18"/>
  <c r="JZ74" i="18"/>
  <c r="JX74" i="18"/>
  <c r="JV74" i="18"/>
  <c r="JN74" i="18"/>
  <c r="JL74" i="18"/>
  <c r="JJ74" i="18"/>
  <c r="JH74" i="18"/>
  <c r="JF74" i="18"/>
  <c r="JD74" i="18"/>
  <c r="JB74" i="18"/>
  <c r="IZ74" i="18"/>
  <c r="IX74" i="18"/>
  <c r="IV74" i="18"/>
  <c r="IT74" i="18"/>
  <c r="IR74" i="18"/>
  <c r="IJ74" i="18"/>
  <c r="IH74" i="18"/>
  <c r="IF74" i="18"/>
  <c r="ID74" i="18"/>
  <c r="IB74" i="18"/>
  <c r="HZ74" i="18"/>
  <c r="HX74" i="18"/>
  <c r="HV74" i="18"/>
  <c r="HT74" i="18"/>
  <c r="HR74" i="18"/>
  <c r="HP74" i="18"/>
  <c r="HN74" i="18"/>
  <c r="HF74" i="18"/>
  <c r="HD74" i="18"/>
  <c r="HB74" i="18"/>
  <c r="GZ74" i="18"/>
  <c r="GX74" i="18"/>
  <c r="GV74" i="18"/>
  <c r="GT74" i="18"/>
  <c r="GR74" i="18"/>
  <c r="GP74" i="18"/>
  <c r="GN74" i="18"/>
  <c r="GL74" i="18"/>
  <c r="GJ74" i="18"/>
  <c r="GB74" i="18"/>
  <c r="FZ74" i="18"/>
  <c r="FX74" i="18"/>
  <c r="FV74" i="18"/>
  <c r="FT74" i="18"/>
  <c r="FR74" i="18"/>
  <c r="FP74" i="18"/>
  <c r="FN74" i="18"/>
  <c r="FL74" i="18"/>
  <c r="FJ74" i="18"/>
  <c r="FH74" i="18"/>
  <c r="FF74" i="18"/>
  <c r="FE74" i="18"/>
  <c r="DT74" i="18"/>
  <c r="DR74" i="18"/>
  <c r="DP74" i="18"/>
  <c r="DN74" i="18"/>
  <c r="DL74" i="18"/>
  <c r="DJ74" i="18"/>
  <c r="DH74" i="18"/>
  <c r="DF74" i="18"/>
  <c r="DD74" i="18"/>
  <c r="DB74" i="18"/>
  <c r="CZ74" i="18"/>
  <c r="CX74" i="18"/>
  <c r="CP74" i="18"/>
  <c r="CN74" i="18"/>
  <c r="CL74" i="18"/>
  <c r="CJ74" i="18"/>
  <c r="CH74" i="18"/>
  <c r="CF74" i="18"/>
  <c r="CD74" i="18"/>
  <c r="CB74" i="18"/>
  <c r="BZ74" i="18"/>
  <c r="BX74" i="18"/>
  <c r="BV74" i="18"/>
  <c r="BT74" i="18"/>
  <c r="BL74" i="18"/>
  <c r="BJ74" i="18"/>
  <c r="BH74" i="18"/>
  <c r="BF74" i="18"/>
  <c r="BD74" i="18"/>
  <c r="BB74" i="18"/>
  <c r="AZ74" i="18"/>
  <c r="AX74" i="18"/>
  <c r="AV74" i="18"/>
  <c r="AT74" i="18"/>
  <c r="AR74" i="18"/>
  <c r="AP74" i="18"/>
  <c r="AH74" i="18"/>
  <c r="AF74" i="18"/>
  <c r="AD74" i="18"/>
  <c r="AB74" i="18"/>
  <c r="Z74" i="18"/>
  <c r="X74" i="18"/>
  <c r="V74" i="18"/>
  <c r="T74" i="18"/>
  <c r="R74" i="18"/>
  <c r="P74" i="18"/>
  <c r="N74" i="18"/>
  <c r="LV73" i="18"/>
  <c r="LT73" i="18"/>
  <c r="LR73" i="18"/>
  <c r="LP73" i="18"/>
  <c r="LN73" i="18"/>
  <c r="LL73" i="18"/>
  <c r="LJ73" i="18"/>
  <c r="LH73" i="18"/>
  <c r="LF73" i="18"/>
  <c r="LD73" i="18"/>
  <c r="LB73" i="18"/>
  <c r="KZ73" i="18"/>
  <c r="KR73" i="18"/>
  <c r="KP73" i="18"/>
  <c r="KN73" i="18"/>
  <c r="KL73" i="18"/>
  <c r="KJ73" i="18"/>
  <c r="KH73" i="18"/>
  <c r="KF73" i="18"/>
  <c r="KD73" i="18"/>
  <c r="KB73" i="18"/>
  <c r="JZ73" i="18"/>
  <c r="JX73" i="18"/>
  <c r="JV73" i="18"/>
  <c r="JN73" i="18"/>
  <c r="JL73" i="18"/>
  <c r="JJ73" i="18"/>
  <c r="JH73" i="18"/>
  <c r="JF73" i="18"/>
  <c r="JD73" i="18"/>
  <c r="JB73" i="18"/>
  <c r="IZ73" i="18"/>
  <c r="IX73" i="18"/>
  <c r="IV73" i="18"/>
  <c r="IT73" i="18"/>
  <c r="IR73" i="18"/>
  <c r="IJ73" i="18"/>
  <c r="IH73" i="18"/>
  <c r="IF73" i="18"/>
  <c r="ID73" i="18"/>
  <c r="IB73" i="18"/>
  <c r="HZ73" i="18"/>
  <c r="HX73" i="18"/>
  <c r="HV73" i="18"/>
  <c r="HT73" i="18"/>
  <c r="HR73" i="18"/>
  <c r="HP73" i="18"/>
  <c r="HN73" i="18"/>
  <c r="HF73" i="18"/>
  <c r="HD73" i="18"/>
  <c r="HB73" i="18"/>
  <c r="GZ73" i="18"/>
  <c r="GX73" i="18"/>
  <c r="GV73" i="18"/>
  <c r="GT73" i="18"/>
  <c r="GR73" i="18"/>
  <c r="GP73" i="18"/>
  <c r="GN73" i="18"/>
  <c r="GL73" i="18"/>
  <c r="GJ73" i="18"/>
  <c r="GB73" i="18"/>
  <c r="FZ73" i="18"/>
  <c r="FX73" i="18"/>
  <c r="FV73" i="18"/>
  <c r="FT73" i="18"/>
  <c r="FR73" i="18"/>
  <c r="FP73" i="18"/>
  <c r="FN73" i="18"/>
  <c r="FL73" i="18"/>
  <c r="FJ73" i="18"/>
  <c r="FH73" i="18"/>
  <c r="FF73" i="18"/>
  <c r="FE73" i="18"/>
  <c r="DT73" i="18"/>
  <c r="DR73" i="18"/>
  <c r="DP73" i="18"/>
  <c r="DN73" i="18"/>
  <c r="DL73" i="18"/>
  <c r="DJ73" i="18"/>
  <c r="DH73" i="18"/>
  <c r="DF73" i="18"/>
  <c r="DD73" i="18"/>
  <c r="DB73" i="18"/>
  <c r="CZ73" i="18"/>
  <c r="CX73" i="18"/>
  <c r="CP73" i="18"/>
  <c r="CN73" i="18"/>
  <c r="CL73" i="18"/>
  <c r="CJ73" i="18"/>
  <c r="CH73" i="18"/>
  <c r="CF73" i="18"/>
  <c r="CD73" i="18"/>
  <c r="CB73" i="18"/>
  <c r="BZ73" i="18"/>
  <c r="BX73" i="18"/>
  <c r="BV73" i="18"/>
  <c r="BT73" i="18"/>
  <c r="BL73" i="18"/>
  <c r="BJ73" i="18"/>
  <c r="BH73" i="18"/>
  <c r="BF73" i="18"/>
  <c r="BD73" i="18"/>
  <c r="BB73" i="18"/>
  <c r="AZ73" i="18"/>
  <c r="AX73" i="18"/>
  <c r="AV73" i="18"/>
  <c r="AT73" i="18"/>
  <c r="AR73" i="18"/>
  <c r="AP73" i="18"/>
  <c r="AH73" i="18"/>
  <c r="AF73" i="18"/>
  <c r="AD73" i="18"/>
  <c r="AB73" i="18"/>
  <c r="Z73" i="18"/>
  <c r="X73" i="18"/>
  <c r="V73" i="18"/>
  <c r="T73" i="18"/>
  <c r="R73" i="18"/>
  <c r="P73" i="18"/>
  <c r="N73" i="18"/>
  <c r="LV72" i="18"/>
  <c r="LT72" i="18"/>
  <c r="LR72" i="18"/>
  <c r="LP72" i="18"/>
  <c r="LN72" i="18"/>
  <c r="LL72" i="18"/>
  <c r="LJ72" i="18"/>
  <c r="LH72" i="18"/>
  <c r="LF72" i="18"/>
  <c r="LD72" i="18"/>
  <c r="LB72" i="18"/>
  <c r="KZ72" i="18"/>
  <c r="KR72" i="18"/>
  <c r="KP72" i="18"/>
  <c r="KN72" i="18"/>
  <c r="KL72" i="18"/>
  <c r="KJ72" i="18"/>
  <c r="KH72" i="18"/>
  <c r="KF72" i="18"/>
  <c r="KD72" i="18"/>
  <c r="KB72" i="18"/>
  <c r="JZ72" i="18"/>
  <c r="JX72" i="18"/>
  <c r="JV72" i="18"/>
  <c r="JN72" i="18"/>
  <c r="JL72" i="18"/>
  <c r="JJ72" i="18"/>
  <c r="JH72" i="18"/>
  <c r="JF72" i="18"/>
  <c r="JD72" i="18"/>
  <c r="JB72" i="18"/>
  <c r="IZ72" i="18"/>
  <c r="IX72" i="18"/>
  <c r="IV72" i="18"/>
  <c r="IT72" i="18"/>
  <c r="IR72" i="18"/>
  <c r="IJ72" i="18"/>
  <c r="IH72" i="18"/>
  <c r="IF72" i="18"/>
  <c r="ID72" i="18"/>
  <c r="IB72" i="18"/>
  <c r="HZ72" i="18"/>
  <c r="HX72" i="18"/>
  <c r="HV72" i="18"/>
  <c r="HT72" i="18"/>
  <c r="HR72" i="18"/>
  <c r="HP72" i="18"/>
  <c r="HN72" i="18"/>
  <c r="HF72" i="18"/>
  <c r="HD72" i="18"/>
  <c r="HB72" i="18"/>
  <c r="GZ72" i="18"/>
  <c r="GX72" i="18"/>
  <c r="GV72" i="18"/>
  <c r="GT72" i="18"/>
  <c r="GR72" i="18"/>
  <c r="GP72" i="18"/>
  <c r="GN72" i="18"/>
  <c r="GL72" i="18"/>
  <c r="GJ72" i="18"/>
  <c r="GB72" i="18"/>
  <c r="FZ72" i="18"/>
  <c r="FX72" i="18"/>
  <c r="FV72" i="18"/>
  <c r="FT72" i="18"/>
  <c r="FR72" i="18"/>
  <c r="FP72" i="18"/>
  <c r="FN72" i="18"/>
  <c r="FL72" i="18"/>
  <c r="FJ72" i="18"/>
  <c r="FH72" i="18"/>
  <c r="FF72" i="18"/>
  <c r="FE72" i="18"/>
  <c r="DT72" i="18"/>
  <c r="DR72" i="18"/>
  <c r="DP72" i="18"/>
  <c r="DN72" i="18"/>
  <c r="DL72" i="18"/>
  <c r="DJ72" i="18"/>
  <c r="DH72" i="18"/>
  <c r="DF72" i="18"/>
  <c r="DD72" i="18"/>
  <c r="DB72" i="18"/>
  <c r="CZ72" i="18"/>
  <c r="CX72" i="18"/>
  <c r="CP72" i="18"/>
  <c r="CN72" i="18"/>
  <c r="CL72" i="18"/>
  <c r="CJ72" i="18"/>
  <c r="CH72" i="18"/>
  <c r="CF72" i="18"/>
  <c r="CD72" i="18"/>
  <c r="CB72" i="18"/>
  <c r="BZ72" i="18"/>
  <c r="BX72" i="18"/>
  <c r="BV72" i="18"/>
  <c r="BT72" i="18"/>
  <c r="BL72" i="18"/>
  <c r="BJ72" i="18"/>
  <c r="BH72" i="18"/>
  <c r="BF72" i="18"/>
  <c r="BD72" i="18"/>
  <c r="BB72" i="18"/>
  <c r="AZ72" i="18"/>
  <c r="AX72" i="18"/>
  <c r="AV72" i="18"/>
  <c r="AT72" i="18"/>
  <c r="AR72" i="18"/>
  <c r="AP72" i="18"/>
  <c r="AH72" i="18"/>
  <c r="AF72" i="18"/>
  <c r="AD72" i="18"/>
  <c r="AB72" i="18"/>
  <c r="Z72" i="18"/>
  <c r="X72" i="18"/>
  <c r="V72" i="18"/>
  <c r="T72" i="18"/>
  <c r="R72" i="18"/>
  <c r="P72" i="18"/>
  <c r="N72" i="18"/>
  <c r="LV71" i="18"/>
  <c r="LT71" i="18"/>
  <c r="LR71" i="18"/>
  <c r="LP71" i="18"/>
  <c r="LN71" i="18"/>
  <c r="LL71" i="18"/>
  <c r="LJ71" i="18"/>
  <c r="LH71" i="18"/>
  <c r="LF71" i="18"/>
  <c r="LD71" i="18"/>
  <c r="LB71" i="18"/>
  <c r="KZ71" i="18"/>
  <c r="KR71" i="18"/>
  <c r="KP71" i="18"/>
  <c r="KN71" i="18"/>
  <c r="KL71" i="18"/>
  <c r="KJ71" i="18"/>
  <c r="KH71" i="18"/>
  <c r="KF71" i="18"/>
  <c r="KD71" i="18"/>
  <c r="KB71" i="18"/>
  <c r="JZ71" i="18"/>
  <c r="JX71" i="18"/>
  <c r="JV71" i="18"/>
  <c r="JN71" i="18"/>
  <c r="JL71" i="18"/>
  <c r="JJ71" i="18"/>
  <c r="JH71" i="18"/>
  <c r="JF71" i="18"/>
  <c r="JD71" i="18"/>
  <c r="JB71" i="18"/>
  <c r="IZ71" i="18"/>
  <c r="IX71" i="18"/>
  <c r="IV71" i="18"/>
  <c r="IT71" i="18"/>
  <c r="IR71" i="18"/>
  <c r="IJ71" i="18"/>
  <c r="IH71" i="18"/>
  <c r="IF71" i="18"/>
  <c r="ID71" i="18"/>
  <c r="IB71" i="18"/>
  <c r="HZ71" i="18"/>
  <c r="HX71" i="18"/>
  <c r="HV71" i="18"/>
  <c r="HT71" i="18"/>
  <c r="HR71" i="18"/>
  <c r="HP71" i="18"/>
  <c r="HN71" i="18"/>
  <c r="HF71" i="18"/>
  <c r="HD71" i="18"/>
  <c r="HB71" i="18"/>
  <c r="GZ71" i="18"/>
  <c r="GX71" i="18"/>
  <c r="GV71" i="18"/>
  <c r="GT71" i="18"/>
  <c r="GR71" i="18"/>
  <c r="GP71" i="18"/>
  <c r="GN71" i="18"/>
  <c r="GL71" i="18"/>
  <c r="GJ71" i="18"/>
  <c r="GB71" i="18"/>
  <c r="FZ71" i="18"/>
  <c r="FX71" i="18"/>
  <c r="FV71" i="18"/>
  <c r="FT71" i="18"/>
  <c r="FR71" i="18"/>
  <c r="FP71" i="18"/>
  <c r="FN71" i="18"/>
  <c r="FL71" i="18"/>
  <c r="FJ71" i="18"/>
  <c r="FH71" i="18"/>
  <c r="FF71" i="18"/>
  <c r="FE71" i="18"/>
  <c r="DT71" i="18"/>
  <c r="DR71" i="18"/>
  <c r="DP71" i="18"/>
  <c r="DN71" i="18"/>
  <c r="DL71" i="18"/>
  <c r="DJ71" i="18"/>
  <c r="DH71" i="18"/>
  <c r="DF71" i="18"/>
  <c r="DD71" i="18"/>
  <c r="DB71" i="18"/>
  <c r="CZ71" i="18"/>
  <c r="CX71" i="18"/>
  <c r="CP71" i="18"/>
  <c r="CN71" i="18"/>
  <c r="CL71" i="18"/>
  <c r="CJ71" i="18"/>
  <c r="CH71" i="18"/>
  <c r="CF71" i="18"/>
  <c r="CD71" i="18"/>
  <c r="CB71" i="18"/>
  <c r="BZ71" i="18"/>
  <c r="BX71" i="18"/>
  <c r="BV71" i="18"/>
  <c r="BT71" i="18"/>
  <c r="BL71" i="18"/>
  <c r="BJ71" i="18"/>
  <c r="BH71" i="18"/>
  <c r="BF71" i="18"/>
  <c r="BD71" i="18"/>
  <c r="BB71" i="18"/>
  <c r="AZ71" i="18"/>
  <c r="AX71" i="18"/>
  <c r="AV71" i="18"/>
  <c r="AT71" i="18"/>
  <c r="AR71" i="18"/>
  <c r="AP71" i="18"/>
  <c r="AH71" i="18"/>
  <c r="AF71" i="18"/>
  <c r="AD71" i="18"/>
  <c r="AB71" i="18"/>
  <c r="Z71" i="18"/>
  <c r="X71" i="18"/>
  <c r="V71" i="18"/>
  <c r="T71" i="18"/>
  <c r="R71" i="18"/>
  <c r="P71" i="18"/>
  <c r="N71" i="18"/>
  <c r="LV70" i="18"/>
  <c r="LT70" i="18"/>
  <c r="LR70" i="18"/>
  <c r="LP70" i="18"/>
  <c r="LN70" i="18"/>
  <c r="LL70" i="18"/>
  <c r="LJ70" i="18"/>
  <c r="LH70" i="18"/>
  <c r="LF70" i="18"/>
  <c r="LD70" i="18"/>
  <c r="LB70" i="18"/>
  <c r="KZ70" i="18"/>
  <c r="KR70" i="18"/>
  <c r="KP70" i="18"/>
  <c r="KN70" i="18"/>
  <c r="KL70" i="18"/>
  <c r="KJ70" i="18"/>
  <c r="KH70" i="18"/>
  <c r="KF70" i="18"/>
  <c r="KD70" i="18"/>
  <c r="KB70" i="18"/>
  <c r="JZ70" i="18"/>
  <c r="JX70" i="18"/>
  <c r="JV70" i="18"/>
  <c r="JN70" i="18"/>
  <c r="JL70" i="18"/>
  <c r="JJ70" i="18"/>
  <c r="JH70" i="18"/>
  <c r="JF70" i="18"/>
  <c r="JD70" i="18"/>
  <c r="JB70" i="18"/>
  <c r="IZ70" i="18"/>
  <c r="IX70" i="18"/>
  <c r="IV70" i="18"/>
  <c r="IT70" i="18"/>
  <c r="IR70" i="18"/>
  <c r="IJ70" i="18"/>
  <c r="IH70" i="18"/>
  <c r="IF70" i="18"/>
  <c r="ID70" i="18"/>
  <c r="IB70" i="18"/>
  <c r="HZ70" i="18"/>
  <c r="HX70" i="18"/>
  <c r="HV70" i="18"/>
  <c r="HT70" i="18"/>
  <c r="HR70" i="18"/>
  <c r="HP70" i="18"/>
  <c r="HN70" i="18"/>
  <c r="HF70" i="18"/>
  <c r="HD70" i="18"/>
  <c r="HB70" i="18"/>
  <c r="GZ70" i="18"/>
  <c r="GX70" i="18"/>
  <c r="GV70" i="18"/>
  <c r="GT70" i="18"/>
  <c r="GR70" i="18"/>
  <c r="GP70" i="18"/>
  <c r="GN70" i="18"/>
  <c r="GL70" i="18"/>
  <c r="GJ70" i="18"/>
  <c r="GB70" i="18"/>
  <c r="FZ70" i="18"/>
  <c r="FX70" i="18"/>
  <c r="FV70" i="18"/>
  <c r="FT70" i="18"/>
  <c r="FR70" i="18"/>
  <c r="FP70" i="18"/>
  <c r="FN70" i="18"/>
  <c r="FL70" i="18"/>
  <c r="FJ70" i="18"/>
  <c r="FH70" i="18"/>
  <c r="FF70" i="18"/>
  <c r="FE70" i="18"/>
  <c r="DT70" i="18"/>
  <c r="DR70" i="18"/>
  <c r="DP70" i="18"/>
  <c r="DN70" i="18"/>
  <c r="DL70" i="18"/>
  <c r="DJ70" i="18"/>
  <c r="DH70" i="18"/>
  <c r="DF70" i="18"/>
  <c r="DD70" i="18"/>
  <c r="DB70" i="18"/>
  <c r="CZ70" i="18"/>
  <c r="CX70" i="18"/>
  <c r="CP70" i="18"/>
  <c r="CN70" i="18"/>
  <c r="CL70" i="18"/>
  <c r="CJ70" i="18"/>
  <c r="CH70" i="18"/>
  <c r="CF70" i="18"/>
  <c r="CD70" i="18"/>
  <c r="CB70" i="18"/>
  <c r="BZ70" i="18"/>
  <c r="BX70" i="18"/>
  <c r="BV70" i="18"/>
  <c r="BT70" i="18"/>
  <c r="BL70" i="18"/>
  <c r="BJ70" i="18"/>
  <c r="BH70" i="18"/>
  <c r="BF70" i="18"/>
  <c r="BD70" i="18"/>
  <c r="BB70" i="18"/>
  <c r="AZ70" i="18"/>
  <c r="AX70" i="18"/>
  <c r="AV70" i="18"/>
  <c r="AT70" i="18"/>
  <c r="AR70" i="18"/>
  <c r="AP70" i="18"/>
  <c r="AH70" i="18"/>
  <c r="AF70" i="18"/>
  <c r="AD70" i="18"/>
  <c r="AB70" i="18"/>
  <c r="Z70" i="18"/>
  <c r="X70" i="18"/>
  <c r="V70" i="18"/>
  <c r="T70" i="18"/>
  <c r="R70" i="18"/>
  <c r="P70" i="18"/>
  <c r="N70" i="18"/>
  <c r="LV69" i="18"/>
  <c r="LT69" i="18"/>
  <c r="LR69" i="18"/>
  <c r="LP69" i="18"/>
  <c r="LN69" i="18"/>
  <c r="LL69" i="18"/>
  <c r="LJ69" i="18"/>
  <c r="LH69" i="18"/>
  <c r="LF69" i="18"/>
  <c r="LD69" i="18"/>
  <c r="LB69" i="18"/>
  <c r="KZ69" i="18"/>
  <c r="KR69" i="18"/>
  <c r="KP69" i="18"/>
  <c r="KN69" i="18"/>
  <c r="KL69" i="18"/>
  <c r="KJ69" i="18"/>
  <c r="KH69" i="18"/>
  <c r="KF69" i="18"/>
  <c r="KD69" i="18"/>
  <c r="KB69" i="18"/>
  <c r="JZ69" i="18"/>
  <c r="JX69" i="18"/>
  <c r="JV69" i="18"/>
  <c r="JN69" i="18"/>
  <c r="JL69" i="18"/>
  <c r="JJ69" i="18"/>
  <c r="JH69" i="18"/>
  <c r="JF69" i="18"/>
  <c r="JD69" i="18"/>
  <c r="JB69" i="18"/>
  <c r="IZ69" i="18"/>
  <c r="IX69" i="18"/>
  <c r="IV69" i="18"/>
  <c r="IT69" i="18"/>
  <c r="IR69" i="18"/>
  <c r="IJ69" i="18"/>
  <c r="IH69" i="18"/>
  <c r="IF69" i="18"/>
  <c r="ID69" i="18"/>
  <c r="IB69" i="18"/>
  <c r="HZ69" i="18"/>
  <c r="HX69" i="18"/>
  <c r="HV69" i="18"/>
  <c r="HT69" i="18"/>
  <c r="HR69" i="18"/>
  <c r="HP69" i="18"/>
  <c r="HN69" i="18"/>
  <c r="HF69" i="18"/>
  <c r="HD69" i="18"/>
  <c r="HB69" i="18"/>
  <c r="GZ69" i="18"/>
  <c r="GX69" i="18"/>
  <c r="GV69" i="18"/>
  <c r="GT69" i="18"/>
  <c r="GR69" i="18"/>
  <c r="GP69" i="18"/>
  <c r="GN69" i="18"/>
  <c r="GL69" i="18"/>
  <c r="GJ69" i="18"/>
  <c r="GB69" i="18"/>
  <c r="FZ69" i="18"/>
  <c r="FX69" i="18"/>
  <c r="FV69" i="18"/>
  <c r="FT69" i="18"/>
  <c r="FR69" i="18"/>
  <c r="FP69" i="18"/>
  <c r="FN69" i="18"/>
  <c r="FL69" i="18"/>
  <c r="FJ69" i="18"/>
  <c r="FH69" i="18"/>
  <c r="FF69" i="18"/>
  <c r="FE69" i="18"/>
  <c r="DT69" i="18"/>
  <c r="DR69" i="18"/>
  <c r="DP69" i="18"/>
  <c r="DN69" i="18"/>
  <c r="DL69" i="18"/>
  <c r="DJ69" i="18"/>
  <c r="DH69" i="18"/>
  <c r="DF69" i="18"/>
  <c r="DD69" i="18"/>
  <c r="DB69" i="18"/>
  <c r="CZ69" i="18"/>
  <c r="CX69" i="18"/>
  <c r="CP69" i="18"/>
  <c r="CN69" i="18"/>
  <c r="CL69" i="18"/>
  <c r="CJ69" i="18"/>
  <c r="CH69" i="18"/>
  <c r="CF69" i="18"/>
  <c r="CD69" i="18"/>
  <c r="CB69" i="18"/>
  <c r="BZ69" i="18"/>
  <c r="BX69" i="18"/>
  <c r="BV69" i="18"/>
  <c r="BT69" i="18"/>
  <c r="BL69" i="18"/>
  <c r="BJ69" i="18"/>
  <c r="BH69" i="18"/>
  <c r="BF69" i="18"/>
  <c r="BD69" i="18"/>
  <c r="BB69" i="18"/>
  <c r="AZ69" i="18"/>
  <c r="AX69" i="18"/>
  <c r="AV69" i="18"/>
  <c r="AT69" i="18"/>
  <c r="AR69" i="18"/>
  <c r="AP69" i="18"/>
  <c r="AH69" i="18"/>
  <c r="AF69" i="18"/>
  <c r="AD69" i="18"/>
  <c r="AB69" i="18"/>
  <c r="Z69" i="18"/>
  <c r="X69" i="18"/>
  <c r="V69" i="18"/>
  <c r="T69" i="18"/>
  <c r="R69" i="18"/>
  <c r="P69" i="18"/>
  <c r="N69" i="18"/>
  <c r="LV68" i="18"/>
  <c r="LT68" i="18"/>
  <c r="LR68" i="18"/>
  <c r="LP68" i="18"/>
  <c r="LN68" i="18"/>
  <c r="LL68" i="18"/>
  <c r="LJ68" i="18"/>
  <c r="LH68" i="18"/>
  <c r="LF68" i="18"/>
  <c r="LD68" i="18"/>
  <c r="LB68" i="18"/>
  <c r="KZ68" i="18"/>
  <c r="KR68" i="18"/>
  <c r="KP68" i="18"/>
  <c r="KN68" i="18"/>
  <c r="KL68" i="18"/>
  <c r="KJ68" i="18"/>
  <c r="KH68" i="18"/>
  <c r="KF68" i="18"/>
  <c r="KD68" i="18"/>
  <c r="KB68" i="18"/>
  <c r="JZ68" i="18"/>
  <c r="JX68" i="18"/>
  <c r="JV68" i="18"/>
  <c r="JN68" i="18"/>
  <c r="JL68" i="18"/>
  <c r="JJ68" i="18"/>
  <c r="JH68" i="18"/>
  <c r="JF68" i="18"/>
  <c r="JD68" i="18"/>
  <c r="JB68" i="18"/>
  <c r="IZ68" i="18"/>
  <c r="IX68" i="18"/>
  <c r="IV68" i="18"/>
  <c r="IT68" i="18"/>
  <c r="IR68" i="18"/>
  <c r="IJ68" i="18"/>
  <c r="IH68" i="18"/>
  <c r="IF68" i="18"/>
  <c r="ID68" i="18"/>
  <c r="IB68" i="18"/>
  <c r="HZ68" i="18"/>
  <c r="HX68" i="18"/>
  <c r="HV68" i="18"/>
  <c r="HT68" i="18"/>
  <c r="HR68" i="18"/>
  <c r="HP68" i="18"/>
  <c r="HN68" i="18"/>
  <c r="HF68" i="18"/>
  <c r="HD68" i="18"/>
  <c r="HB68" i="18"/>
  <c r="GZ68" i="18"/>
  <c r="GX68" i="18"/>
  <c r="GV68" i="18"/>
  <c r="GT68" i="18"/>
  <c r="GR68" i="18"/>
  <c r="GP68" i="18"/>
  <c r="GN68" i="18"/>
  <c r="GL68" i="18"/>
  <c r="GJ68" i="18"/>
  <c r="GB68" i="18"/>
  <c r="FZ68" i="18"/>
  <c r="FX68" i="18"/>
  <c r="FV68" i="18"/>
  <c r="FT68" i="18"/>
  <c r="FR68" i="18"/>
  <c r="FP68" i="18"/>
  <c r="FN68" i="18"/>
  <c r="FL68" i="18"/>
  <c r="FJ68" i="18"/>
  <c r="FH68" i="18"/>
  <c r="FF68" i="18"/>
  <c r="FE68" i="18"/>
  <c r="DT68" i="18"/>
  <c r="DR68" i="18"/>
  <c r="DP68" i="18"/>
  <c r="DN68" i="18"/>
  <c r="DL68" i="18"/>
  <c r="DJ68" i="18"/>
  <c r="DH68" i="18"/>
  <c r="DF68" i="18"/>
  <c r="DD68" i="18"/>
  <c r="DB68" i="18"/>
  <c r="CZ68" i="18"/>
  <c r="CX68" i="18"/>
  <c r="CP68" i="18"/>
  <c r="CN68" i="18"/>
  <c r="CL68" i="18"/>
  <c r="CJ68" i="18"/>
  <c r="CH68" i="18"/>
  <c r="CF68" i="18"/>
  <c r="CD68" i="18"/>
  <c r="CB68" i="18"/>
  <c r="BZ68" i="18"/>
  <c r="BX68" i="18"/>
  <c r="BV68" i="18"/>
  <c r="BT68" i="18"/>
  <c r="BL68" i="18"/>
  <c r="BJ68" i="18"/>
  <c r="BH68" i="18"/>
  <c r="BF68" i="18"/>
  <c r="BD68" i="18"/>
  <c r="BB68" i="18"/>
  <c r="AZ68" i="18"/>
  <c r="AX68" i="18"/>
  <c r="AV68" i="18"/>
  <c r="AT68" i="18"/>
  <c r="AR68" i="18"/>
  <c r="AP68" i="18"/>
  <c r="AH68" i="18"/>
  <c r="AF68" i="18"/>
  <c r="AD68" i="18"/>
  <c r="AB68" i="18"/>
  <c r="Z68" i="18"/>
  <c r="X68" i="18"/>
  <c r="V68" i="18"/>
  <c r="T68" i="18"/>
  <c r="R68" i="18"/>
  <c r="P68" i="18"/>
  <c r="N68" i="18"/>
  <c r="LV67" i="18"/>
  <c r="LT67" i="18"/>
  <c r="LR67" i="18"/>
  <c r="LP67" i="18"/>
  <c r="LN67" i="18"/>
  <c r="LL67" i="18"/>
  <c r="LJ67" i="18"/>
  <c r="LH67" i="18"/>
  <c r="LF67" i="18"/>
  <c r="LD67" i="18"/>
  <c r="LB67" i="18"/>
  <c r="KZ67" i="18"/>
  <c r="KR67" i="18"/>
  <c r="KP67" i="18"/>
  <c r="KN67" i="18"/>
  <c r="KL67" i="18"/>
  <c r="KJ67" i="18"/>
  <c r="KH67" i="18"/>
  <c r="KF67" i="18"/>
  <c r="KD67" i="18"/>
  <c r="KB67" i="18"/>
  <c r="JZ67" i="18"/>
  <c r="JX67" i="18"/>
  <c r="JV67" i="18"/>
  <c r="JN67" i="18"/>
  <c r="JL67" i="18"/>
  <c r="JJ67" i="18"/>
  <c r="JH67" i="18"/>
  <c r="JF67" i="18"/>
  <c r="JD67" i="18"/>
  <c r="JB67" i="18"/>
  <c r="IZ67" i="18"/>
  <c r="IX67" i="18"/>
  <c r="IV67" i="18"/>
  <c r="IT67" i="18"/>
  <c r="IR67" i="18"/>
  <c r="IJ67" i="18"/>
  <c r="IH67" i="18"/>
  <c r="IF67" i="18"/>
  <c r="ID67" i="18"/>
  <c r="IB67" i="18"/>
  <c r="HZ67" i="18"/>
  <c r="HX67" i="18"/>
  <c r="HV67" i="18"/>
  <c r="HT67" i="18"/>
  <c r="HR67" i="18"/>
  <c r="HP67" i="18"/>
  <c r="HN67" i="18"/>
  <c r="HF67" i="18"/>
  <c r="HD67" i="18"/>
  <c r="HB67" i="18"/>
  <c r="GZ67" i="18"/>
  <c r="GX67" i="18"/>
  <c r="GV67" i="18"/>
  <c r="GT67" i="18"/>
  <c r="GR67" i="18"/>
  <c r="GP67" i="18"/>
  <c r="GN67" i="18"/>
  <c r="GL67" i="18"/>
  <c r="GJ67" i="18"/>
  <c r="GB67" i="18"/>
  <c r="FZ67" i="18"/>
  <c r="FX67" i="18"/>
  <c r="FV67" i="18"/>
  <c r="FT67" i="18"/>
  <c r="FR67" i="18"/>
  <c r="FP67" i="18"/>
  <c r="FN67" i="18"/>
  <c r="FL67" i="18"/>
  <c r="FJ67" i="18"/>
  <c r="FH67" i="18"/>
  <c r="FF67" i="18"/>
  <c r="FE67" i="18"/>
  <c r="DT67" i="18"/>
  <c r="DR67" i="18"/>
  <c r="DP67" i="18"/>
  <c r="DN67" i="18"/>
  <c r="DL67" i="18"/>
  <c r="DJ67" i="18"/>
  <c r="DH67" i="18"/>
  <c r="DF67" i="18"/>
  <c r="DD67" i="18"/>
  <c r="DB67" i="18"/>
  <c r="CZ67" i="18"/>
  <c r="CX67" i="18"/>
  <c r="CP67" i="18"/>
  <c r="CN67" i="18"/>
  <c r="CL67" i="18"/>
  <c r="CJ67" i="18"/>
  <c r="CH67" i="18"/>
  <c r="CF67" i="18"/>
  <c r="CD67" i="18"/>
  <c r="CB67" i="18"/>
  <c r="BZ67" i="18"/>
  <c r="BX67" i="18"/>
  <c r="BV67" i="18"/>
  <c r="BT67" i="18"/>
  <c r="BL67" i="18"/>
  <c r="BJ67" i="18"/>
  <c r="BH67" i="18"/>
  <c r="BF67" i="18"/>
  <c r="BD67" i="18"/>
  <c r="BB67" i="18"/>
  <c r="AZ67" i="18"/>
  <c r="AX67" i="18"/>
  <c r="AV67" i="18"/>
  <c r="AT67" i="18"/>
  <c r="AR67" i="18"/>
  <c r="AP67" i="18"/>
  <c r="AH67" i="18"/>
  <c r="AF67" i="18"/>
  <c r="AD67" i="18"/>
  <c r="AB67" i="18"/>
  <c r="Z67" i="18"/>
  <c r="X67" i="18"/>
  <c r="V67" i="18"/>
  <c r="T67" i="18"/>
  <c r="R67" i="18"/>
  <c r="P67" i="18"/>
  <c r="N67" i="18"/>
  <c r="LV66" i="18"/>
  <c r="LT66" i="18"/>
  <c r="LR66" i="18"/>
  <c r="LP66" i="18"/>
  <c r="LN66" i="18"/>
  <c r="LL66" i="18"/>
  <c r="LJ66" i="18"/>
  <c r="LH66" i="18"/>
  <c r="LF66" i="18"/>
  <c r="LD66" i="18"/>
  <c r="LB66" i="18"/>
  <c r="KZ66" i="18"/>
  <c r="KR66" i="18"/>
  <c r="KP66" i="18"/>
  <c r="KN66" i="18"/>
  <c r="KL66" i="18"/>
  <c r="KJ66" i="18"/>
  <c r="KH66" i="18"/>
  <c r="KF66" i="18"/>
  <c r="KD66" i="18"/>
  <c r="KB66" i="18"/>
  <c r="JZ66" i="18"/>
  <c r="JX66" i="18"/>
  <c r="JV66" i="18"/>
  <c r="JN66" i="18"/>
  <c r="JL66" i="18"/>
  <c r="JJ66" i="18"/>
  <c r="JH66" i="18"/>
  <c r="JF66" i="18"/>
  <c r="JD66" i="18"/>
  <c r="JB66" i="18"/>
  <c r="IZ66" i="18"/>
  <c r="IX66" i="18"/>
  <c r="IV66" i="18"/>
  <c r="IT66" i="18"/>
  <c r="IR66" i="18"/>
  <c r="IJ66" i="18"/>
  <c r="IH66" i="18"/>
  <c r="IF66" i="18"/>
  <c r="ID66" i="18"/>
  <c r="IB66" i="18"/>
  <c r="HZ66" i="18"/>
  <c r="HX66" i="18"/>
  <c r="HV66" i="18"/>
  <c r="HT66" i="18"/>
  <c r="HR66" i="18"/>
  <c r="HP66" i="18"/>
  <c r="HN66" i="18"/>
  <c r="HF66" i="18"/>
  <c r="HD66" i="18"/>
  <c r="HB66" i="18"/>
  <c r="GZ66" i="18"/>
  <c r="GX66" i="18"/>
  <c r="GV66" i="18"/>
  <c r="GT66" i="18"/>
  <c r="GR66" i="18"/>
  <c r="GP66" i="18"/>
  <c r="GN66" i="18"/>
  <c r="GL66" i="18"/>
  <c r="GJ66" i="18"/>
  <c r="GB66" i="18"/>
  <c r="FZ66" i="18"/>
  <c r="FX66" i="18"/>
  <c r="FV66" i="18"/>
  <c r="FT66" i="18"/>
  <c r="FR66" i="18"/>
  <c r="FP66" i="18"/>
  <c r="FN66" i="18"/>
  <c r="FL66" i="18"/>
  <c r="FJ66" i="18"/>
  <c r="FH66" i="18"/>
  <c r="FF66" i="18"/>
  <c r="FE66" i="18"/>
  <c r="DT66" i="18"/>
  <c r="DR66" i="18"/>
  <c r="DP66" i="18"/>
  <c r="DN66" i="18"/>
  <c r="DL66" i="18"/>
  <c r="DJ66" i="18"/>
  <c r="DH66" i="18"/>
  <c r="DF66" i="18"/>
  <c r="DD66" i="18"/>
  <c r="DB66" i="18"/>
  <c r="CZ66" i="18"/>
  <c r="CX66" i="18"/>
  <c r="CP66" i="18"/>
  <c r="CN66" i="18"/>
  <c r="CL66" i="18"/>
  <c r="CJ66" i="18"/>
  <c r="CH66" i="18"/>
  <c r="CF66" i="18"/>
  <c r="CD66" i="18"/>
  <c r="CB66" i="18"/>
  <c r="BZ66" i="18"/>
  <c r="BX66" i="18"/>
  <c r="BV66" i="18"/>
  <c r="BT66" i="18"/>
  <c r="BL66" i="18"/>
  <c r="BJ66" i="18"/>
  <c r="BH66" i="18"/>
  <c r="BF66" i="18"/>
  <c r="BD66" i="18"/>
  <c r="BB66" i="18"/>
  <c r="AZ66" i="18"/>
  <c r="AX66" i="18"/>
  <c r="AV66" i="18"/>
  <c r="AT66" i="18"/>
  <c r="AR66" i="18"/>
  <c r="AP66" i="18"/>
  <c r="AH66" i="18"/>
  <c r="AF66" i="18"/>
  <c r="AD66" i="18"/>
  <c r="AB66" i="18"/>
  <c r="Z66" i="18"/>
  <c r="X66" i="18"/>
  <c r="V66" i="18"/>
  <c r="T66" i="18"/>
  <c r="R66" i="18"/>
  <c r="P66" i="18"/>
  <c r="N66" i="18"/>
  <c r="LV65" i="18"/>
  <c r="LT65" i="18"/>
  <c r="LR65" i="18"/>
  <c r="LP65" i="18"/>
  <c r="LN65" i="18"/>
  <c r="LL65" i="18"/>
  <c r="LJ65" i="18"/>
  <c r="LH65" i="18"/>
  <c r="LF65" i="18"/>
  <c r="LD65" i="18"/>
  <c r="LB65" i="18"/>
  <c r="KZ65" i="18"/>
  <c r="KR65" i="18"/>
  <c r="KP65" i="18"/>
  <c r="KN65" i="18"/>
  <c r="KL65" i="18"/>
  <c r="KJ65" i="18"/>
  <c r="KH65" i="18"/>
  <c r="KF65" i="18"/>
  <c r="KD65" i="18"/>
  <c r="KB65" i="18"/>
  <c r="JZ65" i="18"/>
  <c r="JX65" i="18"/>
  <c r="JV65" i="18"/>
  <c r="JN65" i="18"/>
  <c r="JL65" i="18"/>
  <c r="JJ65" i="18"/>
  <c r="JH65" i="18"/>
  <c r="JF65" i="18"/>
  <c r="JD65" i="18"/>
  <c r="JB65" i="18"/>
  <c r="IZ65" i="18"/>
  <c r="IX65" i="18"/>
  <c r="IV65" i="18"/>
  <c r="IT65" i="18"/>
  <c r="IR65" i="18"/>
  <c r="IJ65" i="18"/>
  <c r="IH65" i="18"/>
  <c r="IF65" i="18"/>
  <c r="ID65" i="18"/>
  <c r="IB65" i="18"/>
  <c r="HZ65" i="18"/>
  <c r="HX65" i="18"/>
  <c r="HV65" i="18"/>
  <c r="HT65" i="18"/>
  <c r="HR65" i="18"/>
  <c r="HP65" i="18"/>
  <c r="HN65" i="18"/>
  <c r="HF65" i="18"/>
  <c r="HD65" i="18"/>
  <c r="HB65" i="18"/>
  <c r="GZ65" i="18"/>
  <c r="GX65" i="18"/>
  <c r="GV65" i="18"/>
  <c r="GT65" i="18"/>
  <c r="GR65" i="18"/>
  <c r="GP65" i="18"/>
  <c r="GN65" i="18"/>
  <c r="GL65" i="18"/>
  <c r="GJ65" i="18"/>
  <c r="GB65" i="18"/>
  <c r="FZ65" i="18"/>
  <c r="FX65" i="18"/>
  <c r="FV65" i="18"/>
  <c r="FT65" i="18"/>
  <c r="FR65" i="18"/>
  <c r="FP65" i="18"/>
  <c r="FN65" i="18"/>
  <c r="FL65" i="18"/>
  <c r="FJ65" i="18"/>
  <c r="FH65" i="18"/>
  <c r="FF65" i="18"/>
  <c r="FE65" i="18"/>
  <c r="DT65" i="18"/>
  <c r="DR65" i="18"/>
  <c r="DP65" i="18"/>
  <c r="DN65" i="18"/>
  <c r="DL65" i="18"/>
  <c r="DJ65" i="18"/>
  <c r="DH65" i="18"/>
  <c r="DF65" i="18"/>
  <c r="DD65" i="18"/>
  <c r="DB65" i="18"/>
  <c r="CZ65" i="18"/>
  <c r="CX65" i="18"/>
  <c r="CP65" i="18"/>
  <c r="CN65" i="18"/>
  <c r="CL65" i="18"/>
  <c r="CJ65" i="18"/>
  <c r="CH65" i="18"/>
  <c r="CF65" i="18"/>
  <c r="CD65" i="18"/>
  <c r="CB65" i="18"/>
  <c r="BZ65" i="18"/>
  <c r="BX65" i="18"/>
  <c r="BV65" i="18"/>
  <c r="BT65" i="18"/>
  <c r="BL65" i="18"/>
  <c r="BJ65" i="18"/>
  <c r="BH65" i="18"/>
  <c r="BF65" i="18"/>
  <c r="BD65" i="18"/>
  <c r="BB65" i="18"/>
  <c r="AZ65" i="18"/>
  <c r="AX65" i="18"/>
  <c r="AV65" i="18"/>
  <c r="AT65" i="18"/>
  <c r="AR65" i="18"/>
  <c r="AP65" i="18"/>
  <c r="AH65" i="18"/>
  <c r="AF65" i="18"/>
  <c r="AD65" i="18"/>
  <c r="AB65" i="18"/>
  <c r="Z65" i="18"/>
  <c r="X65" i="18"/>
  <c r="V65" i="18"/>
  <c r="T65" i="18"/>
  <c r="R65" i="18"/>
  <c r="P65" i="18"/>
  <c r="N65" i="18"/>
  <c r="LV64" i="18"/>
  <c r="LT64" i="18"/>
  <c r="LR64" i="18"/>
  <c r="LP64" i="18"/>
  <c r="LN64" i="18"/>
  <c r="LL64" i="18"/>
  <c r="LJ64" i="18"/>
  <c r="LH64" i="18"/>
  <c r="LF64" i="18"/>
  <c r="LD64" i="18"/>
  <c r="LB64" i="18"/>
  <c r="KZ64" i="18"/>
  <c r="KR64" i="18"/>
  <c r="KP64" i="18"/>
  <c r="KN64" i="18"/>
  <c r="KL64" i="18"/>
  <c r="KJ64" i="18"/>
  <c r="KH64" i="18"/>
  <c r="KF64" i="18"/>
  <c r="KD64" i="18"/>
  <c r="KB64" i="18"/>
  <c r="JZ64" i="18"/>
  <c r="JX64" i="18"/>
  <c r="JV64" i="18"/>
  <c r="JN64" i="18"/>
  <c r="JL64" i="18"/>
  <c r="JJ64" i="18"/>
  <c r="JH64" i="18"/>
  <c r="JF64" i="18"/>
  <c r="JD64" i="18"/>
  <c r="JB64" i="18"/>
  <c r="IZ64" i="18"/>
  <c r="IX64" i="18"/>
  <c r="IV64" i="18"/>
  <c r="IT64" i="18"/>
  <c r="IR64" i="18"/>
  <c r="IJ64" i="18"/>
  <c r="IH64" i="18"/>
  <c r="IF64" i="18"/>
  <c r="ID64" i="18"/>
  <c r="IB64" i="18"/>
  <c r="HZ64" i="18"/>
  <c r="HX64" i="18"/>
  <c r="HV64" i="18"/>
  <c r="HT64" i="18"/>
  <c r="HR64" i="18"/>
  <c r="HP64" i="18"/>
  <c r="HN64" i="18"/>
  <c r="HF64" i="18"/>
  <c r="HD64" i="18"/>
  <c r="HB64" i="18"/>
  <c r="GZ64" i="18"/>
  <c r="GX64" i="18"/>
  <c r="GV64" i="18"/>
  <c r="GT64" i="18"/>
  <c r="GR64" i="18"/>
  <c r="GP64" i="18"/>
  <c r="GN64" i="18"/>
  <c r="GL64" i="18"/>
  <c r="GJ64" i="18"/>
  <c r="GB64" i="18"/>
  <c r="FZ64" i="18"/>
  <c r="FX64" i="18"/>
  <c r="FV64" i="18"/>
  <c r="FT64" i="18"/>
  <c r="FR64" i="18"/>
  <c r="FP64" i="18"/>
  <c r="FN64" i="18"/>
  <c r="FL64" i="18"/>
  <c r="FJ64" i="18"/>
  <c r="FH64" i="18"/>
  <c r="FF64" i="18"/>
  <c r="FE64" i="18"/>
  <c r="DT64" i="18"/>
  <c r="DR64" i="18"/>
  <c r="DP64" i="18"/>
  <c r="DN64" i="18"/>
  <c r="DL64" i="18"/>
  <c r="DJ64" i="18"/>
  <c r="DH64" i="18"/>
  <c r="DF64" i="18"/>
  <c r="DD64" i="18"/>
  <c r="DB64" i="18"/>
  <c r="CZ64" i="18"/>
  <c r="CX64" i="18"/>
  <c r="CP64" i="18"/>
  <c r="CN64" i="18"/>
  <c r="CL64" i="18"/>
  <c r="CJ64" i="18"/>
  <c r="CH64" i="18"/>
  <c r="CF64" i="18"/>
  <c r="CD64" i="18"/>
  <c r="CB64" i="18"/>
  <c r="BZ64" i="18"/>
  <c r="BX64" i="18"/>
  <c r="BV64" i="18"/>
  <c r="BT64" i="18"/>
  <c r="BL64" i="18"/>
  <c r="BJ64" i="18"/>
  <c r="BH64" i="18"/>
  <c r="BF64" i="18"/>
  <c r="BD64" i="18"/>
  <c r="BB64" i="18"/>
  <c r="AZ64" i="18"/>
  <c r="AX64" i="18"/>
  <c r="AV64" i="18"/>
  <c r="AT64" i="18"/>
  <c r="AR64" i="18"/>
  <c r="AP64" i="18"/>
  <c r="AH64" i="18"/>
  <c r="AF64" i="18"/>
  <c r="AD64" i="18"/>
  <c r="AB64" i="18"/>
  <c r="Z64" i="18"/>
  <c r="X64" i="18"/>
  <c r="V64" i="18"/>
  <c r="T64" i="18"/>
  <c r="R64" i="18"/>
  <c r="P64" i="18"/>
  <c r="N64" i="18"/>
  <c r="LV63" i="18"/>
  <c r="LT63" i="18"/>
  <c r="LR63" i="18"/>
  <c r="LP63" i="18"/>
  <c r="LN63" i="18"/>
  <c r="LL63" i="18"/>
  <c r="LJ63" i="18"/>
  <c r="LH63" i="18"/>
  <c r="LF63" i="18"/>
  <c r="LD63" i="18"/>
  <c r="LB63" i="18"/>
  <c r="KZ63" i="18"/>
  <c r="KR63" i="18"/>
  <c r="KP63" i="18"/>
  <c r="KN63" i="18"/>
  <c r="KL63" i="18"/>
  <c r="KJ63" i="18"/>
  <c r="KH63" i="18"/>
  <c r="KF63" i="18"/>
  <c r="KD63" i="18"/>
  <c r="KB63" i="18"/>
  <c r="JZ63" i="18"/>
  <c r="JX63" i="18"/>
  <c r="JV63" i="18"/>
  <c r="JN63" i="18"/>
  <c r="JL63" i="18"/>
  <c r="JJ63" i="18"/>
  <c r="JH63" i="18"/>
  <c r="JF63" i="18"/>
  <c r="JD63" i="18"/>
  <c r="JB63" i="18"/>
  <c r="IZ63" i="18"/>
  <c r="IX63" i="18"/>
  <c r="IV63" i="18"/>
  <c r="IT63" i="18"/>
  <c r="IR63" i="18"/>
  <c r="IJ63" i="18"/>
  <c r="IH63" i="18"/>
  <c r="IF63" i="18"/>
  <c r="ID63" i="18"/>
  <c r="IB63" i="18"/>
  <c r="HZ63" i="18"/>
  <c r="HX63" i="18"/>
  <c r="HV63" i="18"/>
  <c r="HT63" i="18"/>
  <c r="HR63" i="18"/>
  <c r="HP63" i="18"/>
  <c r="HN63" i="18"/>
  <c r="HF63" i="18"/>
  <c r="HD63" i="18"/>
  <c r="HB63" i="18"/>
  <c r="GZ63" i="18"/>
  <c r="GX63" i="18"/>
  <c r="GV63" i="18"/>
  <c r="GT63" i="18"/>
  <c r="GR63" i="18"/>
  <c r="GP63" i="18"/>
  <c r="GN63" i="18"/>
  <c r="GL63" i="18"/>
  <c r="GJ63" i="18"/>
  <c r="GB63" i="18"/>
  <c r="FZ63" i="18"/>
  <c r="FX63" i="18"/>
  <c r="FV63" i="18"/>
  <c r="FT63" i="18"/>
  <c r="FR63" i="18"/>
  <c r="FP63" i="18"/>
  <c r="FN63" i="18"/>
  <c r="FL63" i="18"/>
  <c r="FJ63" i="18"/>
  <c r="FH63" i="18"/>
  <c r="FF63" i="18"/>
  <c r="FE63" i="18"/>
  <c r="DT63" i="18"/>
  <c r="DR63" i="18"/>
  <c r="DP63" i="18"/>
  <c r="DN63" i="18"/>
  <c r="DL63" i="18"/>
  <c r="DJ63" i="18"/>
  <c r="DH63" i="18"/>
  <c r="DF63" i="18"/>
  <c r="DD63" i="18"/>
  <c r="DB63" i="18"/>
  <c r="CZ63" i="18"/>
  <c r="CX63" i="18"/>
  <c r="CP63" i="18"/>
  <c r="CN63" i="18"/>
  <c r="CL63" i="18"/>
  <c r="CJ63" i="18"/>
  <c r="CH63" i="18"/>
  <c r="CF63" i="18"/>
  <c r="CD63" i="18"/>
  <c r="CB63" i="18"/>
  <c r="BZ63" i="18"/>
  <c r="BX63" i="18"/>
  <c r="BV63" i="18"/>
  <c r="BT63" i="18"/>
  <c r="BL63" i="18"/>
  <c r="BJ63" i="18"/>
  <c r="BH63" i="18"/>
  <c r="BF63" i="18"/>
  <c r="BD63" i="18"/>
  <c r="BB63" i="18"/>
  <c r="AZ63" i="18"/>
  <c r="AX63" i="18"/>
  <c r="AV63" i="18"/>
  <c r="AT63" i="18"/>
  <c r="AR63" i="18"/>
  <c r="AP63" i="18"/>
  <c r="AH63" i="18"/>
  <c r="AF63" i="18"/>
  <c r="AD63" i="18"/>
  <c r="AB63" i="18"/>
  <c r="Z63" i="18"/>
  <c r="X63" i="18"/>
  <c r="V63" i="18"/>
  <c r="T63" i="18"/>
  <c r="R63" i="18"/>
  <c r="P63" i="18"/>
  <c r="N63" i="18"/>
  <c r="LV62" i="18"/>
  <c r="LT62" i="18"/>
  <c r="LR62" i="18"/>
  <c r="LP62" i="18"/>
  <c r="LN62" i="18"/>
  <c r="LL62" i="18"/>
  <c r="LJ62" i="18"/>
  <c r="LH62" i="18"/>
  <c r="LF62" i="18"/>
  <c r="LD62" i="18"/>
  <c r="LB62" i="18"/>
  <c r="KZ62" i="18"/>
  <c r="KR62" i="18"/>
  <c r="KP62" i="18"/>
  <c r="KN62" i="18"/>
  <c r="KL62" i="18"/>
  <c r="KJ62" i="18"/>
  <c r="KH62" i="18"/>
  <c r="KF62" i="18"/>
  <c r="KD62" i="18"/>
  <c r="KB62" i="18"/>
  <c r="JZ62" i="18"/>
  <c r="JX62" i="18"/>
  <c r="JV62" i="18"/>
  <c r="JN62" i="18"/>
  <c r="JL62" i="18"/>
  <c r="JJ62" i="18"/>
  <c r="JH62" i="18"/>
  <c r="JF62" i="18"/>
  <c r="JD62" i="18"/>
  <c r="JB62" i="18"/>
  <c r="IZ62" i="18"/>
  <c r="IX62" i="18"/>
  <c r="IV62" i="18"/>
  <c r="IT62" i="18"/>
  <c r="IR62" i="18"/>
  <c r="IJ62" i="18"/>
  <c r="IH62" i="18"/>
  <c r="IF62" i="18"/>
  <c r="ID62" i="18"/>
  <c r="IB62" i="18"/>
  <c r="HZ62" i="18"/>
  <c r="HX62" i="18"/>
  <c r="HV62" i="18"/>
  <c r="HT62" i="18"/>
  <c r="HR62" i="18"/>
  <c r="HP62" i="18"/>
  <c r="HN62" i="18"/>
  <c r="HF62" i="18"/>
  <c r="HD62" i="18"/>
  <c r="HB62" i="18"/>
  <c r="GZ62" i="18"/>
  <c r="GX62" i="18"/>
  <c r="GV62" i="18"/>
  <c r="GT62" i="18"/>
  <c r="GR62" i="18"/>
  <c r="GP62" i="18"/>
  <c r="GN62" i="18"/>
  <c r="GL62" i="18"/>
  <c r="GJ62" i="18"/>
  <c r="GB62" i="18"/>
  <c r="FZ62" i="18"/>
  <c r="FX62" i="18"/>
  <c r="FV62" i="18"/>
  <c r="FT62" i="18"/>
  <c r="FR62" i="18"/>
  <c r="FP62" i="18"/>
  <c r="FN62" i="18"/>
  <c r="FL62" i="18"/>
  <c r="FJ62" i="18"/>
  <c r="FH62" i="18"/>
  <c r="FF62" i="18"/>
  <c r="FE62" i="18"/>
  <c r="DT62" i="18"/>
  <c r="DR62" i="18"/>
  <c r="DP62" i="18"/>
  <c r="DN62" i="18"/>
  <c r="DL62" i="18"/>
  <c r="DJ62" i="18"/>
  <c r="DH62" i="18"/>
  <c r="DF62" i="18"/>
  <c r="DD62" i="18"/>
  <c r="DB62" i="18"/>
  <c r="CZ62" i="18"/>
  <c r="CX62" i="18"/>
  <c r="CP62" i="18"/>
  <c r="CN62" i="18"/>
  <c r="CL62" i="18"/>
  <c r="CJ62" i="18"/>
  <c r="CH62" i="18"/>
  <c r="CF62" i="18"/>
  <c r="CD62" i="18"/>
  <c r="CB62" i="18"/>
  <c r="BZ62" i="18"/>
  <c r="BX62" i="18"/>
  <c r="BV62" i="18"/>
  <c r="BT62" i="18"/>
  <c r="BL62" i="18"/>
  <c r="BJ62" i="18"/>
  <c r="BH62" i="18"/>
  <c r="BF62" i="18"/>
  <c r="BD62" i="18"/>
  <c r="BB62" i="18"/>
  <c r="AZ62" i="18"/>
  <c r="AX62" i="18"/>
  <c r="AV62" i="18"/>
  <c r="AT62" i="18"/>
  <c r="AR62" i="18"/>
  <c r="AP62" i="18"/>
  <c r="AH62" i="18"/>
  <c r="AF62" i="18"/>
  <c r="AD62" i="18"/>
  <c r="AB62" i="18"/>
  <c r="Z62" i="18"/>
  <c r="X62" i="18"/>
  <c r="V62" i="18"/>
  <c r="T62" i="18"/>
  <c r="R62" i="18"/>
  <c r="P62" i="18"/>
  <c r="N62" i="18"/>
  <c r="LV61" i="18"/>
  <c r="LT61" i="18"/>
  <c r="LR61" i="18"/>
  <c r="LP61" i="18"/>
  <c r="LN61" i="18"/>
  <c r="LL61" i="18"/>
  <c r="LJ61" i="18"/>
  <c r="LH61" i="18"/>
  <c r="LF61" i="18"/>
  <c r="LD61" i="18"/>
  <c r="LB61" i="18"/>
  <c r="KZ61" i="18"/>
  <c r="KR61" i="18"/>
  <c r="KP61" i="18"/>
  <c r="KN61" i="18"/>
  <c r="KL61" i="18"/>
  <c r="KJ61" i="18"/>
  <c r="KH61" i="18"/>
  <c r="KF61" i="18"/>
  <c r="KD61" i="18"/>
  <c r="KB61" i="18"/>
  <c r="JZ61" i="18"/>
  <c r="JX61" i="18"/>
  <c r="JV61" i="18"/>
  <c r="JN61" i="18"/>
  <c r="JL61" i="18"/>
  <c r="JJ61" i="18"/>
  <c r="JH61" i="18"/>
  <c r="JF61" i="18"/>
  <c r="JD61" i="18"/>
  <c r="JB61" i="18"/>
  <c r="IZ61" i="18"/>
  <c r="IX61" i="18"/>
  <c r="IV61" i="18"/>
  <c r="IT61" i="18"/>
  <c r="IR61" i="18"/>
  <c r="IJ61" i="18"/>
  <c r="IH61" i="18"/>
  <c r="IF61" i="18"/>
  <c r="ID61" i="18"/>
  <c r="IB61" i="18"/>
  <c r="HZ61" i="18"/>
  <c r="HX61" i="18"/>
  <c r="HV61" i="18"/>
  <c r="HT61" i="18"/>
  <c r="HR61" i="18"/>
  <c r="HP61" i="18"/>
  <c r="HN61" i="18"/>
  <c r="HF61" i="18"/>
  <c r="HD61" i="18"/>
  <c r="HB61" i="18"/>
  <c r="GZ61" i="18"/>
  <c r="GX61" i="18"/>
  <c r="GV61" i="18"/>
  <c r="GT61" i="18"/>
  <c r="GR61" i="18"/>
  <c r="GP61" i="18"/>
  <c r="GN61" i="18"/>
  <c r="GL61" i="18"/>
  <c r="GJ61" i="18"/>
  <c r="GB61" i="18"/>
  <c r="FZ61" i="18"/>
  <c r="FX61" i="18"/>
  <c r="FV61" i="18"/>
  <c r="FT61" i="18"/>
  <c r="FR61" i="18"/>
  <c r="FP61" i="18"/>
  <c r="FN61" i="18"/>
  <c r="FL61" i="18"/>
  <c r="FJ61" i="18"/>
  <c r="FH61" i="18"/>
  <c r="FF61" i="18"/>
  <c r="FE61" i="18"/>
  <c r="DT61" i="18"/>
  <c r="DR61" i="18"/>
  <c r="DP61" i="18"/>
  <c r="DN61" i="18"/>
  <c r="DL61" i="18"/>
  <c r="DJ61" i="18"/>
  <c r="DH61" i="18"/>
  <c r="DF61" i="18"/>
  <c r="DD61" i="18"/>
  <c r="DB61" i="18"/>
  <c r="CZ61" i="18"/>
  <c r="CX61" i="18"/>
  <c r="CP61" i="18"/>
  <c r="CN61" i="18"/>
  <c r="CL61" i="18"/>
  <c r="CJ61" i="18"/>
  <c r="CH61" i="18"/>
  <c r="CF61" i="18"/>
  <c r="CD61" i="18"/>
  <c r="CB61" i="18"/>
  <c r="BZ61" i="18"/>
  <c r="BX61" i="18"/>
  <c r="BV61" i="18"/>
  <c r="BT61" i="18"/>
  <c r="BL61" i="18"/>
  <c r="BJ61" i="18"/>
  <c r="BH61" i="18"/>
  <c r="BF61" i="18"/>
  <c r="BD61" i="18"/>
  <c r="BB61" i="18"/>
  <c r="AZ61" i="18"/>
  <c r="AX61" i="18"/>
  <c r="AV61" i="18"/>
  <c r="AT61" i="18"/>
  <c r="AR61" i="18"/>
  <c r="AP61" i="18"/>
  <c r="AH61" i="18"/>
  <c r="AF61" i="18"/>
  <c r="AD61" i="18"/>
  <c r="AB61" i="18"/>
  <c r="Z61" i="18"/>
  <c r="X61" i="18"/>
  <c r="V61" i="18"/>
  <c r="T61" i="18"/>
  <c r="R61" i="18"/>
  <c r="P61" i="18"/>
  <c r="N61" i="18"/>
  <c r="LV60" i="18"/>
  <c r="LT60" i="18"/>
  <c r="LR60" i="18"/>
  <c r="LP60" i="18"/>
  <c r="LN60" i="18"/>
  <c r="LL60" i="18"/>
  <c r="LJ60" i="18"/>
  <c r="LH60" i="18"/>
  <c r="LF60" i="18"/>
  <c r="LD60" i="18"/>
  <c r="LB60" i="18"/>
  <c r="KZ60" i="18"/>
  <c r="KR60" i="18"/>
  <c r="KP60" i="18"/>
  <c r="KN60" i="18"/>
  <c r="KL60" i="18"/>
  <c r="KJ60" i="18"/>
  <c r="KH60" i="18"/>
  <c r="KF60" i="18"/>
  <c r="KD60" i="18"/>
  <c r="KB60" i="18"/>
  <c r="JZ60" i="18"/>
  <c r="JX60" i="18"/>
  <c r="JV60" i="18"/>
  <c r="JN60" i="18"/>
  <c r="JL60" i="18"/>
  <c r="JJ60" i="18"/>
  <c r="JH60" i="18"/>
  <c r="JF60" i="18"/>
  <c r="JD60" i="18"/>
  <c r="JB60" i="18"/>
  <c r="IZ60" i="18"/>
  <c r="IX60" i="18"/>
  <c r="IV60" i="18"/>
  <c r="IT60" i="18"/>
  <c r="IR60" i="18"/>
  <c r="IJ60" i="18"/>
  <c r="IH60" i="18"/>
  <c r="IF60" i="18"/>
  <c r="ID60" i="18"/>
  <c r="IB60" i="18"/>
  <c r="HZ60" i="18"/>
  <c r="HX60" i="18"/>
  <c r="HV60" i="18"/>
  <c r="HT60" i="18"/>
  <c r="HR60" i="18"/>
  <c r="HP60" i="18"/>
  <c r="HN60" i="18"/>
  <c r="HF60" i="18"/>
  <c r="HD60" i="18"/>
  <c r="HB60" i="18"/>
  <c r="GZ60" i="18"/>
  <c r="GX60" i="18"/>
  <c r="GV60" i="18"/>
  <c r="GT60" i="18"/>
  <c r="GR60" i="18"/>
  <c r="GP60" i="18"/>
  <c r="GN60" i="18"/>
  <c r="GL60" i="18"/>
  <c r="GJ60" i="18"/>
  <c r="GB60" i="18"/>
  <c r="FZ60" i="18"/>
  <c r="FX60" i="18"/>
  <c r="FV60" i="18"/>
  <c r="FT60" i="18"/>
  <c r="FR60" i="18"/>
  <c r="FP60" i="18"/>
  <c r="FN60" i="18"/>
  <c r="FL60" i="18"/>
  <c r="FJ60" i="18"/>
  <c r="FH60" i="18"/>
  <c r="FF60" i="18"/>
  <c r="FE60" i="18"/>
  <c r="DT60" i="18"/>
  <c r="DR60" i="18"/>
  <c r="DP60" i="18"/>
  <c r="DN60" i="18"/>
  <c r="DL60" i="18"/>
  <c r="DJ60" i="18"/>
  <c r="DH60" i="18"/>
  <c r="DF60" i="18"/>
  <c r="DD60" i="18"/>
  <c r="DB60" i="18"/>
  <c r="CZ60" i="18"/>
  <c r="CX60" i="18"/>
  <c r="CP60" i="18"/>
  <c r="CN60" i="18"/>
  <c r="CL60" i="18"/>
  <c r="CJ60" i="18"/>
  <c r="CH60" i="18"/>
  <c r="CF60" i="18"/>
  <c r="CD60" i="18"/>
  <c r="CB60" i="18"/>
  <c r="BZ60" i="18"/>
  <c r="BX60" i="18"/>
  <c r="BV60" i="18"/>
  <c r="BT60" i="18"/>
  <c r="BL60" i="18"/>
  <c r="BJ60" i="18"/>
  <c r="BH60" i="18"/>
  <c r="BF60" i="18"/>
  <c r="BD60" i="18"/>
  <c r="BB60" i="18"/>
  <c r="AZ60" i="18"/>
  <c r="AX60" i="18"/>
  <c r="AV60" i="18"/>
  <c r="AT60" i="18"/>
  <c r="AR60" i="18"/>
  <c r="AP60" i="18"/>
  <c r="AH60" i="18"/>
  <c r="AF60" i="18"/>
  <c r="AD60" i="18"/>
  <c r="AB60" i="18"/>
  <c r="Z60" i="18"/>
  <c r="X60" i="18"/>
  <c r="V60" i="18"/>
  <c r="T60" i="18"/>
  <c r="R60" i="18"/>
  <c r="P60" i="18"/>
  <c r="N60" i="18"/>
  <c r="LV59" i="18"/>
  <c r="LT59" i="18"/>
  <c r="LR59" i="18"/>
  <c r="LP59" i="18"/>
  <c r="LN59" i="18"/>
  <c r="LL59" i="18"/>
  <c r="LJ59" i="18"/>
  <c r="LH59" i="18"/>
  <c r="LF59" i="18"/>
  <c r="LD59" i="18"/>
  <c r="LB59" i="18"/>
  <c r="KZ59" i="18"/>
  <c r="KR59" i="18"/>
  <c r="KP59" i="18"/>
  <c r="KN59" i="18"/>
  <c r="KL59" i="18"/>
  <c r="KJ59" i="18"/>
  <c r="KH59" i="18"/>
  <c r="KF59" i="18"/>
  <c r="KD59" i="18"/>
  <c r="KB59" i="18"/>
  <c r="JZ59" i="18"/>
  <c r="JX59" i="18"/>
  <c r="JV59" i="18"/>
  <c r="JN59" i="18"/>
  <c r="JL59" i="18"/>
  <c r="JJ59" i="18"/>
  <c r="JH59" i="18"/>
  <c r="JF59" i="18"/>
  <c r="JD59" i="18"/>
  <c r="JB59" i="18"/>
  <c r="IZ59" i="18"/>
  <c r="IX59" i="18"/>
  <c r="IV59" i="18"/>
  <c r="IT59" i="18"/>
  <c r="IR59" i="18"/>
  <c r="IJ59" i="18"/>
  <c r="IH59" i="18"/>
  <c r="IF59" i="18"/>
  <c r="ID59" i="18"/>
  <c r="IB59" i="18"/>
  <c r="HZ59" i="18"/>
  <c r="HX59" i="18"/>
  <c r="HV59" i="18"/>
  <c r="HT59" i="18"/>
  <c r="HR59" i="18"/>
  <c r="HP59" i="18"/>
  <c r="HN59" i="18"/>
  <c r="HF59" i="18"/>
  <c r="HD59" i="18"/>
  <c r="HB59" i="18"/>
  <c r="GZ59" i="18"/>
  <c r="GX59" i="18"/>
  <c r="GV59" i="18"/>
  <c r="GT59" i="18"/>
  <c r="GR59" i="18"/>
  <c r="GP59" i="18"/>
  <c r="GN59" i="18"/>
  <c r="GL59" i="18"/>
  <c r="GJ59" i="18"/>
  <c r="GB59" i="18"/>
  <c r="FZ59" i="18"/>
  <c r="FX59" i="18"/>
  <c r="FV59" i="18"/>
  <c r="FT59" i="18"/>
  <c r="FR59" i="18"/>
  <c r="FP59" i="18"/>
  <c r="FN59" i="18"/>
  <c r="FL59" i="18"/>
  <c r="FJ59" i="18"/>
  <c r="FH59" i="18"/>
  <c r="FF59" i="18"/>
  <c r="FE59" i="18"/>
  <c r="DT59" i="18"/>
  <c r="DR59" i="18"/>
  <c r="DP59" i="18"/>
  <c r="DN59" i="18"/>
  <c r="DL59" i="18"/>
  <c r="DJ59" i="18"/>
  <c r="DH59" i="18"/>
  <c r="DF59" i="18"/>
  <c r="DD59" i="18"/>
  <c r="DB59" i="18"/>
  <c r="CZ59" i="18"/>
  <c r="CX59" i="18"/>
  <c r="CP59" i="18"/>
  <c r="CN59" i="18"/>
  <c r="CL59" i="18"/>
  <c r="CJ59" i="18"/>
  <c r="CH59" i="18"/>
  <c r="CF59" i="18"/>
  <c r="CD59" i="18"/>
  <c r="CB59" i="18"/>
  <c r="BZ59" i="18"/>
  <c r="BX59" i="18"/>
  <c r="BV59" i="18"/>
  <c r="BT59" i="18"/>
  <c r="BL59" i="18"/>
  <c r="BJ59" i="18"/>
  <c r="BH59" i="18"/>
  <c r="BF59" i="18"/>
  <c r="BD59" i="18"/>
  <c r="BB59" i="18"/>
  <c r="AZ59" i="18"/>
  <c r="AX59" i="18"/>
  <c r="AV59" i="18"/>
  <c r="AT59" i="18"/>
  <c r="AR59" i="18"/>
  <c r="AP59" i="18"/>
  <c r="AH59" i="18"/>
  <c r="AF59" i="18"/>
  <c r="AD59" i="18"/>
  <c r="AB59" i="18"/>
  <c r="Z59" i="18"/>
  <c r="X59" i="18"/>
  <c r="V59" i="18"/>
  <c r="T59" i="18"/>
  <c r="R59" i="18"/>
  <c r="P59" i="18"/>
  <c r="N59" i="18"/>
  <c r="LV58" i="18"/>
  <c r="LT58" i="18"/>
  <c r="LR58" i="18"/>
  <c r="LP58" i="18"/>
  <c r="LN58" i="18"/>
  <c r="LL58" i="18"/>
  <c r="LJ58" i="18"/>
  <c r="LH58" i="18"/>
  <c r="LF58" i="18"/>
  <c r="LD58" i="18"/>
  <c r="LB58" i="18"/>
  <c r="KZ58" i="18"/>
  <c r="KR58" i="18"/>
  <c r="KP58" i="18"/>
  <c r="KN58" i="18"/>
  <c r="KL58" i="18"/>
  <c r="KJ58" i="18"/>
  <c r="KH58" i="18"/>
  <c r="KF58" i="18"/>
  <c r="KD58" i="18"/>
  <c r="KB58" i="18"/>
  <c r="JZ58" i="18"/>
  <c r="JX58" i="18"/>
  <c r="JV58" i="18"/>
  <c r="JN58" i="18"/>
  <c r="JL58" i="18"/>
  <c r="JJ58" i="18"/>
  <c r="JH58" i="18"/>
  <c r="JF58" i="18"/>
  <c r="JD58" i="18"/>
  <c r="JB58" i="18"/>
  <c r="IZ58" i="18"/>
  <c r="IX58" i="18"/>
  <c r="IV58" i="18"/>
  <c r="IT58" i="18"/>
  <c r="IR58" i="18"/>
  <c r="IJ58" i="18"/>
  <c r="IH58" i="18"/>
  <c r="IF58" i="18"/>
  <c r="ID58" i="18"/>
  <c r="IB58" i="18"/>
  <c r="HZ58" i="18"/>
  <c r="HX58" i="18"/>
  <c r="HV58" i="18"/>
  <c r="HT58" i="18"/>
  <c r="HR58" i="18"/>
  <c r="HP58" i="18"/>
  <c r="HN58" i="18"/>
  <c r="HF58" i="18"/>
  <c r="HD58" i="18"/>
  <c r="HB58" i="18"/>
  <c r="GZ58" i="18"/>
  <c r="GX58" i="18"/>
  <c r="GV58" i="18"/>
  <c r="GT58" i="18"/>
  <c r="GR58" i="18"/>
  <c r="GP58" i="18"/>
  <c r="GN58" i="18"/>
  <c r="GL58" i="18"/>
  <c r="GJ58" i="18"/>
  <c r="GB58" i="18"/>
  <c r="FZ58" i="18"/>
  <c r="FX58" i="18"/>
  <c r="FV58" i="18"/>
  <c r="FT58" i="18"/>
  <c r="FR58" i="18"/>
  <c r="FP58" i="18"/>
  <c r="FN58" i="18"/>
  <c r="FL58" i="18"/>
  <c r="FJ58" i="18"/>
  <c r="FH58" i="18"/>
  <c r="FF58" i="18"/>
  <c r="FE58" i="18"/>
  <c r="DT58" i="18"/>
  <c r="DR58" i="18"/>
  <c r="DP58" i="18"/>
  <c r="DN58" i="18"/>
  <c r="DL58" i="18"/>
  <c r="DJ58" i="18"/>
  <c r="DH58" i="18"/>
  <c r="DF58" i="18"/>
  <c r="DD58" i="18"/>
  <c r="DB58" i="18"/>
  <c r="CZ58" i="18"/>
  <c r="CX58" i="18"/>
  <c r="CP58" i="18"/>
  <c r="CN58" i="18"/>
  <c r="CL58" i="18"/>
  <c r="CJ58" i="18"/>
  <c r="CH58" i="18"/>
  <c r="CF58" i="18"/>
  <c r="CD58" i="18"/>
  <c r="CB58" i="18"/>
  <c r="BZ58" i="18"/>
  <c r="BX58" i="18"/>
  <c r="BV58" i="18"/>
  <c r="BT58" i="18"/>
  <c r="BL58" i="18"/>
  <c r="BJ58" i="18"/>
  <c r="BH58" i="18"/>
  <c r="BF58" i="18"/>
  <c r="BD58" i="18"/>
  <c r="BB58" i="18"/>
  <c r="AZ58" i="18"/>
  <c r="AX58" i="18"/>
  <c r="AV58" i="18"/>
  <c r="AT58" i="18"/>
  <c r="AR58" i="18"/>
  <c r="AP58" i="18"/>
  <c r="AH58" i="18"/>
  <c r="AF58" i="18"/>
  <c r="AD58" i="18"/>
  <c r="AB58" i="18"/>
  <c r="Z58" i="18"/>
  <c r="X58" i="18"/>
  <c r="V58" i="18"/>
  <c r="T58" i="18"/>
  <c r="R58" i="18"/>
  <c r="P58" i="18"/>
  <c r="N58" i="18"/>
  <c r="LV57" i="18"/>
  <c r="LT57" i="18"/>
  <c r="LR57" i="18"/>
  <c r="LP57" i="18"/>
  <c r="LN57" i="18"/>
  <c r="LL57" i="18"/>
  <c r="LJ57" i="18"/>
  <c r="LH57" i="18"/>
  <c r="LF57" i="18"/>
  <c r="LD57" i="18"/>
  <c r="LB57" i="18"/>
  <c r="KZ57" i="18"/>
  <c r="KR57" i="18"/>
  <c r="KP57" i="18"/>
  <c r="KN57" i="18"/>
  <c r="KL57" i="18"/>
  <c r="KJ57" i="18"/>
  <c r="KH57" i="18"/>
  <c r="KF57" i="18"/>
  <c r="KD57" i="18"/>
  <c r="KB57" i="18"/>
  <c r="JZ57" i="18"/>
  <c r="JX57" i="18"/>
  <c r="JV57" i="18"/>
  <c r="JN57" i="18"/>
  <c r="JL57" i="18"/>
  <c r="JJ57" i="18"/>
  <c r="JH57" i="18"/>
  <c r="JF57" i="18"/>
  <c r="JD57" i="18"/>
  <c r="JB57" i="18"/>
  <c r="IZ57" i="18"/>
  <c r="IX57" i="18"/>
  <c r="IV57" i="18"/>
  <c r="IT57" i="18"/>
  <c r="IR57" i="18"/>
  <c r="IJ57" i="18"/>
  <c r="IH57" i="18"/>
  <c r="IF57" i="18"/>
  <c r="ID57" i="18"/>
  <c r="IB57" i="18"/>
  <c r="HZ57" i="18"/>
  <c r="HX57" i="18"/>
  <c r="HV57" i="18"/>
  <c r="HT57" i="18"/>
  <c r="HR57" i="18"/>
  <c r="HP57" i="18"/>
  <c r="HN57" i="18"/>
  <c r="HF57" i="18"/>
  <c r="HD57" i="18"/>
  <c r="HB57" i="18"/>
  <c r="GZ57" i="18"/>
  <c r="GX57" i="18"/>
  <c r="GV57" i="18"/>
  <c r="GT57" i="18"/>
  <c r="GR57" i="18"/>
  <c r="GP57" i="18"/>
  <c r="GN57" i="18"/>
  <c r="GL57" i="18"/>
  <c r="GJ57" i="18"/>
  <c r="GB57" i="18"/>
  <c r="FZ57" i="18"/>
  <c r="FX57" i="18"/>
  <c r="FV57" i="18"/>
  <c r="FT57" i="18"/>
  <c r="FR57" i="18"/>
  <c r="FP57" i="18"/>
  <c r="FN57" i="18"/>
  <c r="FL57" i="18"/>
  <c r="FJ57" i="18"/>
  <c r="FH57" i="18"/>
  <c r="FF57" i="18"/>
  <c r="FE57" i="18"/>
  <c r="DT57" i="18"/>
  <c r="DR57" i="18"/>
  <c r="DP57" i="18"/>
  <c r="DN57" i="18"/>
  <c r="DL57" i="18"/>
  <c r="DJ57" i="18"/>
  <c r="DH57" i="18"/>
  <c r="DF57" i="18"/>
  <c r="DD57" i="18"/>
  <c r="DB57" i="18"/>
  <c r="CZ57" i="18"/>
  <c r="CX57" i="18"/>
  <c r="CP57" i="18"/>
  <c r="CN57" i="18"/>
  <c r="CL57" i="18"/>
  <c r="CJ57" i="18"/>
  <c r="CH57" i="18"/>
  <c r="CF57" i="18"/>
  <c r="CD57" i="18"/>
  <c r="CB57" i="18"/>
  <c r="BZ57" i="18"/>
  <c r="BX57" i="18"/>
  <c r="BV57" i="18"/>
  <c r="BT57" i="18"/>
  <c r="BL57" i="18"/>
  <c r="BJ57" i="18"/>
  <c r="BH57" i="18"/>
  <c r="BF57" i="18"/>
  <c r="BD57" i="18"/>
  <c r="BB57" i="18"/>
  <c r="AZ57" i="18"/>
  <c r="AX57" i="18"/>
  <c r="AV57" i="18"/>
  <c r="AT57" i="18"/>
  <c r="AR57" i="18"/>
  <c r="AP57" i="18"/>
  <c r="AH57" i="18"/>
  <c r="AF57" i="18"/>
  <c r="AD57" i="18"/>
  <c r="AB57" i="18"/>
  <c r="Z57" i="18"/>
  <c r="X57" i="18"/>
  <c r="V57" i="18"/>
  <c r="T57" i="18"/>
  <c r="R57" i="18"/>
  <c r="P57" i="18"/>
  <c r="N57" i="18"/>
  <c r="LV56" i="18"/>
  <c r="LT56" i="18"/>
  <c r="LR56" i="18"/>
  <c r="LP56" i="18"/>
  <c r="LN56" i="18"/>
  <c r="LL56" i="18"/>
  <c r="LJ56" i="18"/>
  <c r="LH56" i="18"/>
  <c r="LF56" i="18"/>
  <c r="LD56" i="18"/>
  <c r="LB56" i="18"/>
  <c r="KZ56" i="18"/>
  <c r="KR56" i="18"/>
  <c r="KP56" i="18"/>
  <c r="KN56" i="18"/>
  <c r="KL56" i="18"/>
  <c r="KJ56" i="18"/>
  <c r="KH56" i="18"/>
  <c r="KF56" i="18"/>
  <c r="KD56" i="18"/>
  <c r="KB56" i="18"/>
  <c r="JZ56" i="18"/>
  <c r="JX56" i="18"/>
  <c r="JV56" i="18"/>
  <c r="JN56" i="18"/>
  <c r="JL56" i="18"/>
  <c r="JJ56" i="18"/>
  <c r="JH56" i="18"/>
  <c r="JF56" i="18"/>
  <c r="JD56" i="18"/>
  <c r="JB56" i="18"/>
  <c r="IZ56" i="18"/>
  <c r="IX56" i="18"/>
  <c r="IV56" i="18"/>
  <c r="IT56" i="18"/>
  <c r="IR56" i="18"/>
  <c r="IJ56" i="18"/>
  <c r="IH56" i="18"/>
  <c r="IF56" i="18"/>
  <c r="ID56" i="18"/>
  <c r="IB56" i="18"/>
  <c r="HZ56" i="18"/>
  <c r="HX56" i="18"/>
  <c r="HV56" i="18"/>
  <c r="HT56" i="18"/>
  <c r="HR56" i="18"/>
  <c r="HP56" i="18"/>
  <c r="HN56" i="18"/>
  <c r="HF56" i="18"/>
  <c r="HD56" i="18"/>
  <c r="HB56" i="18"/>
  <c r="GZ56" i="18"/>
  <c r="GX56" i="18"/>
  <c r="GV56" i="18"/>
  <c r="GT56" i="18"/>
  <c r="GR56" i="18"/>
  <c r="GP56" i="18"/>
  <c r="GN56" i="18"/>
  <c r="GL56" i="18"/>
  <c r="GJ56" i="18"/>
  <c r="GB56" i="18"/>
  <c r="FZ56" i="18"/>
  <c r="FX56" i="18"/>
  <c r="FV56" i="18"/>
  <c r="FT56" i="18"/>
  <c r="FR56" i="18"/>
  <c r="FP56" i="18"/>
  <c r="FN56" i="18"/>
  <c r="FL56" i="18"/>
  <c r="FJ56" i="18"/>
  <c r="FH56" i="18"/>
  <c r="FF56" i="18"/>
  <c r="FE56" i="18"/>
  <c r="DT56" i="18"/>
  <c r="DR56" i="18"/>
  <c r="DP56" i="18"/>
  <c r="DN56" i="18"/>
  <c r="DL56" i="18"/>
  <c r="DJ56" i="18"/>
  <c r="DH56" i="18"/>
  <c r="DF56" i="18"/>
  <c r="DD56" i="18"/>
  <c r="DB56" i="18"/>
  <c r="CZ56" i="18"/>
  <c r="CX56" i="18"/>
  <c r="CP56" i="18"/>
  <c r="CN56" i="18"/>
  <c r="CL56" i="18"/>
  <c r="CJ56" i="18"/>
  <c r="CH56" i="18"/>
  <c r="CF56" i="18"/>
  <c r="CD56" i="18"/>
  <c r="CB56" i="18"/>
  <c r="BZ56" i="18"/>
  <c r="BX56" i="18"/>
  <c r="BV56" i="18"/>
  <c r="BT56" i="18"/>
  <c r="BL56" i="18"/>
  <c r="BJ56" i="18"/>
  <c r="BH56" i="18"/>
  <c r="BF56" i="18"/>
  <c r="BD56" i="18"/>
  <c r="BB56" i="18"/>
  <c r="AZ56" i="18"/>
  <c r="AX56" i="18"/>
  <c r="AV56" i="18"/>
  <c r="AT56" i="18"/>
  <c r="AR56" i="18"/>
  <c r="AP56" i="18"/>
  <c r="AH56" i="18"/>
  <c r="AF56" i="18"/>
  <c r="AD56" i="18"/>
  <c r="AB56" i="18"/>
  <c r="Z56" i="18"/>
  <c r="X56" i="18"/>
  <c r="V56" i="18"/>
  <c r="T56" i="18"/>
  <c r="R56" i="18"/>
  <c r="P56" i="18"/>
  <c r="N56" i="18"/>
  <c r="LV55" i="18"/>
  <c r="LT55" i="18"/>
  <c r="LR55" i="18"/>
  <c r="LP55" i="18"/>
  <c r="LN55" i="18"/>
  <c r="LL55" i="18"/>
  <c r="LJ55" i="18"/>
  <c r="LH55" i="18"/>
  <c r="LF55" i="18"/>
  <c r="LD55" i="18"/>
  <c r="LB55" i="18"/>
  <c r="KZ55" i="18"/>
  <c r="KR55" i="18"/>
  <c r="KP55" i="18"/>
  <c r="KN55" i="18"/>
  <c r="KL55" i="18"/>
  <c r="KJ55" i="18"/>
  <c r="KH55" i="18"/>
  <c r="KF55" i="18"/>
  <c r="KD55" i="18"/>
  <c r="KB55" i="18"/>
  <c r="JZ55" i="18"/>
  <c r="JX55" i="18"/>
  <c r="JV55" i="18"/>
  <c r="JN55" i="18"/>
  <c r="JL55" i="18"/>
  <c r="JJ55" i="18"/>
  <c r="JH55" i="18"/>
  <c r="JF55" i="18"/>
  <c r="JD55" i="18"/>
  <c r="JB55" i="18"/>
  <c r="IZ55" i="18"/>
  <c r="IX55" i="18"/>
  <c r="IV55" i="18"/>
  <c r="IT55" i="18"/>
  <c r="IR55" i="18"/>
  <c r="IJ55" i="18"/>
  <c r="IH55" i="18"/>
  <c r="IF55" i="18"/>
  <c r="ID55" i="18"/>
  <c r="IB55" i="18"/>
  <c r="HZ55" i="18"/>
  <c r="HX55" i="18"/>
  <c r="HV55" i="18"/>
  <c r="HT55" i="18"/>
  <c r="HR55" i="18"/>
  <c r="HP55" i="18"/>
  <c r="HN55" i="18"/>
  <c r="HF55" i="18"/>
  <c r="HD55" i="18"/>
  <c r="HB55" i="18"/>
  <c r="GZ55" i="18"/>
  <c r="GX55" i="18"/>
  <c r="GV55" i="18"/>
  <c r="GT55" i="18"/>
  <c r="GR55" i="18"/>
  <c r="GP55" i="18"/>
  <c r="GN55" i="18"/>
  <c r="GL55" i="18"/>
  <c r="GJ55" i="18"/>
  <c r="GB55" i="18"/>
  <c r="FZ55" i="18"/>
  <c r="FX55" i="18"/>
  <c r="FV55" i="18"/>
  <c r="FT55" i="18"/>
  <c r="FR55" i="18"/>
  <c r="FP55" i="18"/>
  <c r="FN55" i="18"/>
  <c r="FL55" i="18"/>
  <c r="FJ55" i="18"/>
  <c r="FH55" i="18"/>
  <c r="FF55" i="18"/>
  <c r="FE55" i="18"/>
  <c r="DT55" i="18"/>
  <c r="DR55" i="18"/>
  <c r="DP55" i="18"/>
  <c r="DN55" i="18"/>
  <c r="DL55" i="18"/>
  <c r="DJ55" i="18"/>
  <c r="DH55" i="18"/>
  <c r="DF55" i="18"/>
  <c r="DD55" i="18"/>
  <c r="DB55" i="18"/>
  <c r="CZ55" i="18"/>
  <c r="CX55" i="18"/>
  <c r="CP55" i="18"/>
  <c r="CN55" i="18"/>
  <c r="CL55" i="18"/>
  <c r="CJ55" i="18"/>
  <c r="CH55" i="18"/>
  <c r="CF55" i="18"/>
  <c r="CD55" i="18"/>
  <c r="CB55" i="18"/>
  <c r="BZ55" i="18"/>
  <c r="BX55" i="18"/>
  <c r="BV55" i="18"/>
  <c r="BT55" i="18"/>
  <c r="BL55" i="18"/>
  <c r="BJ55" i="18"/>
  <c r="BH55" i="18"/>
  <c r="BF55" i="18"/>
  <c r="BD55" i="18"/>
  <c r="BB55" i="18"/>
  <c r="AZ55" i="18"/>
  <c r="AX55" i="18"/>
  <c r="AV55" i="18"/>
  <c r="AT55" i="18"/>
  <c r="AR55" i="18"/>
  <c r="AP55" i="18"/>
  <c r="AH55" i="18"/>
  <c r="AF55" i="18"/>
  <c r="AD55" i="18"/>
  <c r="AB55" i="18"/>
  <c r="Z55" i="18"/>
  <c r="X55" i="18"/>
  <c r="V55" i="18"/>
  <c r="T55" i="18"/>
  <c r="R55" i="18"/>
  <c r="P55" i="18"/>
  <c r="N55" i="18"/>
  <c r="LV54" i="18"/>
  <c r="LT54" i="18"/>
  <c r="LR54" i="18"/>
  <c r="LP54" i="18"/>
  <c r="LN54" i="18"/>
  <c r="LL54" i="18"/>
  <c r="LJ54" i="18"/>
  <c r="LH54" i="18"/>
  <c r="LF54" i="18"/>
  <c r="LD54" i="18"/>
  <c r="LB54" i="18"/>
  <c r="KZ54" i="18"/>
  <c r="JV54" i="18"/>
  <c r="JN54" i="18"/>
  <c r="JL54" i="18"/>
  <c r="JJ54" i="18"/>
  <c r="JH54" i="18"/>
  <c r="JF54" i="18"/>
  <c r="JD54" i="18"/>
  <c r="JB54" i="18"/>
  <c r="IZ54" i="18"/>
  <c r="IX54" i="18"/>
  <c r="IV54" i="18"/>
  <c r="IT54" i="18"/>
  <c r="IR54" i="18"/>
  <c r="IH54" i="18"/>
  <c r="IF54" i="18"/>
  <c r="ID54" i="18"/>
  <c r="IB54" i="18"/>
  <c r="HZ54" i="18"/>
  <c r="HV54" i="18"/>
  <c r="HT54" i="18"/>
  <c r="HR54" i="18"/>
  <c r="HP54" i="18"/>
  <c r="HN54" i="18"/>
  <c r="HF54" i="18"/>
  <c r="HD54" i="18"/>
  <c r="HB54" i="18"/>
  <c r="GZ54" i="18"/>
  <c r="GX54" i="18"/>
  <c r="GV54" i="18"/>
  <c r="GT54" i="18"/>
  <c r="GR54" i="18"/>
  <c r="GP54" i="18"/>
  <c r="GN54" i="18"/>
  <c r="GL54" i="18"/>
  <c r="GJ54" i="18"/>
  <c r="DT54" i="18"/>
  <c r="DR54" i="18"/>
  <c r="DP54" i="18"/>
  <c r="DN54" i="18"/>
  <c r="DL54" i="18"/>
  <c r="DJ54" i="18"/>
  <c r="DH54" i="18"/>
  <c r="DF54" i="18"/>
  <c r="DD54" i="18"/>
  <c r="DB54" i="18"/>
  <c r="CZ54" i="18"/>
  <c r="CX54" i="18"/>
  <c r="CP54" i="18"/>
  <c r="CN54" i="18"/>
  <c r="CL54" i="18"/>
  <c r="CJ54" i="18"/>
  <c r="CH54" i="18"/>
  <c r="CF54" i="18"/>
  <c r="CD54" i="18"/>
  <c r="CB54" i="18"/>
  <c r="BZ54" i="18"/>
  <c r="BX54" i="18"/>
  <c r="BV54" i="18"/>
  <c r="BT54" i="18"/>
  <c r="BJ54" i="18"/>
  <c r="BH54" i="18"/>
  <c r="BF54" i="18"/>
  <c r="BD54" i="18"/>
  <c r="BB54" i="18"/>
  <c r="AZ54" i="18"/>
  <c r="AX54" i="18"/>
  <c r="AV54" i="18"/>
  <c r="AT54" i="18"/>
  <c r="AR54" i="18"/>
  <c r="AP54" i="18"/>
  <c r="AH54" i="18"/>
  <c r="AF54" i="18"/>
  <c r="AD54" i="18"/>
  <c r="AB54" i="18"/>
  <c r="Z54" i="18"/>
  <c r="X54" i="18"/>
  <c r="V54" i="18"/>
  <c r="T54" i="18"/>
  <c r="R54" i="18"/>
  <c r="P54" i="18"/>
  <c r="N54" i="18"/>
  <c r="LV52" i="18"/>
  <c r="LT52" i="18"/>
  <c r="LR52" i="18"/>
  <c r="LP52" i="18"/>
  <c r="LN52" i="18"/>
  <c r="LL52" i="18"/>
  <c r="LJ52" i="18"/>
  <c r="LH52" i="18"/>
  <c r="LF52" i="18"/>
  <c r="LD52" i="18"/>
  <c r="LB52" i="18"/>
  <c r="KZ52" i="18"/>
  <c r="JV52" i="18"/>
  <c r="JN52" i="18"/>
  <c r="JL52" i="18"/>
  <c r="JJ52" i="18"/>
  <c r="JH52" i="18"/>
  <c r="JF52" i="18"/>
  <c r="JD52" i="18"/>
  <c r="JB52" i="18"/>
  <c r="IZ52" i="18"/>
  <c r="IX52" i="18"/>
  <c r="IV52" i="18"/>
  <c r="IT52" i="18"/>
  <c r="IR52" i="18"/>
  <c r="IJ52" i="18"/>
  <c r="IH52" i="18"/>
  <c r="IF52" i="18"/>
  <c r="ID52" i="18"/>
  <c r="IB52" i="18"/>
  <c r="HZ52" i="18"/>
  <c r="HX52" i="18"/>
  <c r="HV52" i="18"/>
  <c r="HT52" i="18"/>
  <c r="HR52" i="18"/>
  <c r="HP52" i="18"/>
  <c r="HN52" i="18"/>
  <c r="HF52" i="18"/>
  <c r="HD52" i="18"/>
  <c r="HB52" i="18"/>
  <c r="GZ52" i="18"/>
  <c r="GX52" i="18"/>
  <c r="GV52" i="18"/>
  <c r="GT52" i="18"/>
  <c r="GR52" i="18"/>
  <c r="GP52" i="18"/>
  <c r="GN52" i="18"/>
  <c r="GL52" i="18"/>
  <c r="GJ52" i="18"/>
  <c r="GB52" i="18"/>
  <c r="FZ52" i="18"/>
  <c r="FX52" i="18"/>
  <c r="FV52" i="18"/>
  <c r="FT52" i="18"/>
  <c r="FR52" i="18"/>
  <c r="FP52" i="18"/>
  <c r="FN52" i="18"/>
  <c r="FL52" i="18"/>
  <c r="FJ52" i="18"/>
  <c r="FH52" i="18"/>
  <c r="FF52" i="18"/>
  <c r="DT52" i="18"/>
  <c r="DR52" i="18"/>
  <c r="DP52" i="18"/>
  <c r="DN52" i="18"/>
  <c r="DL52" i="18"/>
  <c r="DJ52" i="18"/>
  <c r="DH52" i="18"/>
  <c r="DF52" i="18"/>
  <c r="DD52" i="18"/>
  <c r="DB52" i="18"/>
  <c r="CZ52" i="18"/>
  <c r="CX52" i="18"/>
  <c r="CP52" i="18"/>
  <c r="CN52" i="18"/>
  <c r="CL52" i="18"/>
  <c r="CJ52" i="18"/>
  <c r="CH52" i="18"/>
  <c r="CF52" i="18"/>
  <c r="CD52" i="18"/>
  <c r="CB52" i="18"/>
  <c r="BZ52" i="18"/>
  <c r="BX52" i="18"/>
  <c r="BV52" i="18"/>
  <c r="BT52" i="18"/>
  <c r="BJ52" i="18"/>
  <c r="BH52" i="18"/>
  <c r="BF52" i="18"/>
  <c r="BD52" i="18"/>
  <c r="BB52" i="18"/>
  <c r="AZ52" i="18"/>
  <c r="AX52" i="18"/>
  <c r="AV52" i="18"/>
  <c r="AT52" i="18"/>
  <c r="AR52" i="18"/>
  <c r="AP52" i="18"/>
  <c r="AH52" i="18"/>
  <c r="AF52" i="18"/>
  <c r="AD52" i="18"/>
  <c r="AB52" i="18"/>
  <c r="Z52" i="18"/>
  <c r="X52" i="18"/>
  <c r="V52" i="18"/>
  <c r="T52" i="18"/>
  <c r="R52" i="18"/>
  <c r="P52" i="18"/>
  <c r="N52" i="18"/>
  <c r="LV51" i="18"/>
  <c r="LT51" i="18"/>
  <c r="LR51" i="18"/>
  <c r="LP51" i="18"/>
  <c r="LN51" i="18"/>
  <c r="LL51" i="18"/>
  <c r="LJ51" i="18"/>
  <c r="LH51" i="18"/>
  <c r="LF51" i="18"/>
  <c r="LD51" i="18"/>
  <c r="LB51" i="18"/>
  <c r="KZ51" i="18"/>
  <c r="JV51" i="18"/>
  <c r="JN51" i="18"/>
  <c r="JL51" i="18"/>
  <c r="JJ51" i="18"/>
  <c r="JH51" i="18"/>
  <c r="JF51" i="18"/>
  <c r="JD51" i="18"/>
  <c r="JB51" i="18"/>
  <c r="IZ51" i="18"/>
  <c r="IX51" i="18"/>
  <c r="IV51" i="18"/>
  <c r="IT51" i="18"/>
  <c r="IR51" i="18"/>
  <c r="IJ51" i="18"/>
  <c r="IH51" i="18"/>
  <c r="IF51" i="18"/>
  <c r="ID51" i="18"/>
  <c r="IB51" i="18"/>
  <c r="HZ51" i="18"/>
  <c r="HX51" i="18"/>
  <c r="HV51" i="18"/>
  <c r="HT51" i="18"/>
  <c r="HR51" i="18"/>
  <c r="HP51" i="18"/>
  <c r="HN51" i="18"/>
  <c r="HF51" i="18"/>
  <c r="HD51" i="18"/>
  <c r="HB51" i="18"/>
  <c r="GZ51" i="18"/>
  <c r="GX51" i="18"/>
  <c r="GV51" i="18"/>
  <c r="GT51" i="18"/>
  <c r="GR51" i="18"/>
  <c r="GP51" i="18"/>
  <c r="GN51" i="18"/>
  <c r="GL51" i="18"/>
  <c r="GJ51" i="18"/>
  <c r="GB51" i="18"/>
  <c r="FZ51" i="18"/>
  <c r="FX51" i="18"/>
  <c r="FV51" i="18"/>
  <c r="FT51" i="18"/>
  <c r="FR51" i="18"/>
  <c r="FP51" i="18"/>
  <c r="FN51" i="18"/>
  <c r="FL51" i="18"/>
  <c r="FJ51" i="18"/>
  <c r="FH51" i="18"/>
  <c r="FF51" i="18"/>
  <c r="DT51" i="18"/>
  <c r="DR51" i="18"/>
  <c r="DP51" i="18"/>
  <c r="DN51" i="18"/>
  <c r="DL51" i="18"/>
  <c r="DJ51" i="18"/>
  <c r="DH51" i="18"/>
  <c r="DF51" i="18"/>
  <c r="DD51" i="18"/>
  <c r="DB51" i="18"/>
  <c r="CZ51" i="18"/>
  <c r="CX51" i="18"/>
  <c r="CP51" i="18"/>
  <c r="CN51" i="18"/>
  <c r="CL51" i="18"/>
  <c r="CJ51" i="18"/>
  <c r="CH51" i="18"/>
  <c r="CF51" i="18"/>
  <c r="CD51" i="18"/>
  <c r="CB51" i="18"/>
  <c r="BZ51" i="18"/>
  <c r="BX51" i="18"/>
  <c r="BV51" i="18"/>
  <c r="BT51" i="18"/>
  <c r="BJ51" i="18"/>
  <c r="BH51" i="18"/>
  <c r="BF51" i="18"/>
  <c r="BD51" i="18"/>
  <c r="BB51" i="18"/>
  <c r="AZ51" i="18"/>
  <c r="AX51" i="18"/>
  <c r="AV51" i="18"/>
  <c r="AT51" i="18"/>
  <c r="AR51" i="18"/>
  <c r="AP51" i="18"/>
  <c r="AH51" i="18"/>
  <c r="AF51" i="18"/>
  <c r="AD51" i="18"/>
  <c r="AB51" i="18"/>
  <c r="Z51" i="18"/>
  <c r="X51" i="18"/>
  <c r="V51" i="18"/>
  <c r="T51" i="18"/>
  <c r="R51" i="18"/>
  <c r="P51" i="18"/>
  <c r="N51" i="18"/>
  <c r="LV50" i="18"/>
  <c r="LT50" i="18"/>
  <c r="LR50" i="18"/>
  <c r="LP50" i="18"/>
  <c r="LN50" i="18"/>
  <c r="LL50" i="18"/>
  <c r="LJ50" i="18"/>
  <c r="LH50" i="18"/>
  <c r="LF50" i="18"/>
  <c r="LD50" i="18"/>
  <c r="LB50" i="18"/>
  <c r="KZ50" i="18"/>
  <c r="JV50" i="18"/>
  <c r="JN50" i="18"/>
  <c r="JL50" i="18"/>
  <c r="JJ50" i="18"/>
  <c r="JH50" i="18"/>
  <c r="JF50" i="18"/>
  <c r="JD50" i="18"/>
  <c r="JB50" i="18"/>
  <c r="IZ50" i="18"/>
  <c r="IX50" i="18"/>
  <c r="IV50" i="18"/>
  <c r="IT50" i="18"/>
  <c r="IR50" i="18"/>
  <c r="HT50" i="18"/>
  <c r="HR50" i="18"/>
  <c r="HP50" i="18"/>
  <c r="HN50" i="18"/>
  <c r="HF50" i="18"/>
  <c r="GZ50" i="18"/>
  <c r="GR50" i="18"/>
  <c r="GP50" i="18"/>
  <c r="GD50" i="18"/>
  <c r="DV50" i="18"/>
  <c r="CR50" i="18"/>
  <c r="BJ50" i="18"/>
  <c r="BH50" i="18"/>
  <c r="BF50" i="18"/>
  <c r="BD50" i="18"/>
  <c r="BB50" i="18"/>
  <c r="AZ50" i="18"/>
  <c r="AX50" i="18"/>
  <c r="AV50" i="18"/>
  <c r="AT50" i="18"/>
  <c r="AR50" i="18"/>
  <c r="AP50" i="18"/>
  <c r="AJ50" i="18"/>
  <c r="LV49" i="18"/>
  <c r="LT49" i="18"/>
  <c r="LR49" i="18"/>
  <c r="LP49" i="18"/>
  <c r="LN49" i="18"/>
  <c r="LL49" i="18"/>
  <c r="LJ49" i="18"/>
  <c r="LH49" i="18"/>
  <c r="LF49" i="18"/>
  <c r="LD49" i="18"/>
  <c r="LB49" i="18"/>
  <c r="KZ49" i="18"/>
  <c r="JV49" i="18"/>
  <c r="JN49" i="18"/>
  <c r="JL49" i="18"/>
  <c r="JJ49" i="18"/>
  <c r="JH49" i="18"/>
  <c r="JF49" i="18"/>
  <c r="JD49" i="18"/>
  <c r="JB49" i="18"/>
  <c r="IZ49" i="18"/>
  <c r="IX49" i="18"/>
  <c r="IV49" i="18"/>
  <c r="IT49" i="18"/>
  <c r="IR49" i="18"/>
  <c r="IJ49" i="18"/>
  <c r="IH49" i="18"/>
  <c r="IF49" i="18"/>
  <c r="ID49" i="18"/>
  <c r="IB49" i="18"/>
  <c r="HZ49" i="18"/>
  <c r="HX49" i="18"/>
  <c r="HV49" i="18"/>
  <c r="HT49" i="18"/>
  <c r="HR49" i="18"/>
  <c r="HP49" i="18"/>
  <c r="HN49" i="18"/>
  <c r="HF49" i="18"/>
  <c r="HD49" i="18"/>
  <c r="HB49" i="18"/>
  <c r="GZ49" i="18"/>
  <c r="GX49" i="18"/>
  <c r="GV49" i="18"/>
  <c r="GT49" i="18"/>
  <c r="GR49" i="18"/>
  <c r="GP49" i="18"/>
  <c r="GN49" i="18"/>
  <c r="GL49" i="18"/>
  <c r="GJ49" i="18"/>
  <c r="GB49" i="18"/>
  <c r="FZ49" i="18"/>
  <c r="FX49" i="18"/>
  <c r="FV49" i="18"/>
  <c r="FT49" i="18"/>
  <c r="FR49" i="18"/>
  <c r="FP49" i="18"/>
  <c r="FN49" i="18"/>
  <c r="FL49" i="18"/>
  <c r="FJ49" i="18"/>
  <c r="FH49" i="18"/>
  <c r="FF49" i="18"/>
  <c r="DT49" i="18"/>
  <c r="DR49" i="18"/>
  <c r="DP49" i="18"/>
  <c r="DN49" i="18"/>
  <c r="DL49" i="18"/>
  <c r="DJ49" i="18"/>
  <c r="DH49" i="18"/>
  <c r="DF49" i="18"/>
  <c r="DD49" i="18"/>
  <c r="DB49" i="18"/>
  <c r="CZ49" i="18"/>
  <c r="CX49" i="18"/>
  <c r="CP49" i="18"/>
  <c r="CN49" i="18"/>
  <c r="CL49" i="18"/>
  <c r="CJ49" i="18"/>
  <c r="CH49" i="18"/>
  <c r="CF49" i="18"/>
  <c r="CD49" i="18"/>
  <c r="CB49" i="18"/>
  <c r="BZ49" i="18"/>
  <c r="BX49" i="18"/>
  <c r="BV49" i="18"/>
  <c r="BT49" i="18"/>
  <c r="BJ49" i="18"/>
  <c r="BH49" i="18"/>
  <c r="BF49" i="18"/>
  <c r="BD49" i="18"/>
  <c r="BB49" i="18"/>
  <c r="AZ49" i="18"/>
  <c r="AX49" i="18"/>
  <c r="AV49" i="18"/>
  <c r="AT49" i="18"/>
  <c r="AR49" i="18"/>
  <c r="AP49" i="18"/>
  <c r="AH49" i="18"/>
  <c r="AF49" i="18"/>
  <c r="AD49" i="18"/>
  <c r="AB49" i="18"/>
  <c r="Z49" i="18"/>
  <c r="X49" i="18"/>
  <c r="V49" i="18"/>
  <c r="T49" i="18"/>
  <c r="R49" i="18"/>
  <c r="P49" i="18"/>
  <c r="N49" i="18"/>
  <c r="LV48" i="18"/>
  <c r="LT48" i="18"/>
  <c r="LR48" i="18"/>
  <c r="LP48" i="18"/>
  <c r="LN48" i="18"/>
  <c r="LL48" i="18"/>
  <c r="LJ48" i="18"/>
  <c r="LH48" i="18"/>
  <c r="LF48" i="18"/>
  <c r="LD48" i="18"/>
  <c r="LB48" i="18"/>
  <c r="KZ48" i="18"/>
  <c r="JV48" i="18"/>
  <c r="JN48" i="18"/>
  <c r="JL48" i="18"/>
  <c r="JJ48" i="18"/>
  <c r="JH48" i="18"/>
  <c r="JF48" i="18"/>
  <c r="JD48" i="18"/>
  <c r="JB48" i="18"/>
  <c r="IZ48" i="18"/>
  <c r="IX48" i="18"/>
  <c r="IV48" i="18"/>
  <c r="IT48" i="18"/>
  <c r="IR48" i="18"/>
  <c r="IJ48" i="18"/>
  <c r="IH48" i="18"/>
  <c r="IF48" i="18"/>
  <c r="ID48" i="18"/>
  <c r="IB48" i="18"/>
  <c r="HZ48" i="18"/>
  <c r="HX48" i="18"/>
  <c r="HV48" i="18"/>
  <c r="HT48" i="18"/>
  <c r="HR48" i="18"/>
  <c r="HP48" i="18"/>
  <c r="HN48" i="18"/>
  <c r="HF48" i="18"/>
  <c r="HD48" i="18"/>
  <c r="HB48" i="18"/>
  <c r="GZ48" i="18"/>
  <c r="GX48" i="18"/>
  <c r="GV48" i="18"/>
  <c r="GT48" i="18"/>
  <c r="GR48" i="18"/>
  <c r="GP48" i="18"/>
  <c r="GN48" i="18"/>
  <c r="GL48" i="18"/>
  <c r="GJ48" i="18"/>
  <c r="GB48" i="18"/>
  <c r="FZ48" i="18"/>
  <c r="FX48" i="18"/>
  <c r="FV48" i="18"/>
  <c r="FT48" i="18"/>
  <c r="FR48" i="18"/>
  <c r="FP48" i="18"/>
  <c r="FN48" i="18"/>
  <c r="FL48" i="18"/>
  <c r="FJ48" i="18"/>
  <c r="FH48" i="18"/>
  <c r="FF48" i="18"/>
  <c r="DT48" i="18"/>
  <c r="DR48" i="18"/>
  <c r="DP48" i="18"/>
  <c r="DN48" i="18"/>
  <c r="DL48" i="18"/>
  <c r="DJ48" i="18"/>
  <c r="DH48" i="18"/>
  <c r="DF48" i="18"/>
  <c r="DD48" i="18"/>
  <c r="DB48" i="18"/>
  <c r="CZ48" i="18"/>
  <c r="CX48" i="18"/>
  <c r="CP48" i="18"/>
  <c r="CN48" i="18"/>
  <c r="CL48" i="18"/>
  <c r="CJ48" i="18"/>
  <c r="CH48" i="18"/>
  <c r="CF48" i="18"/>
  <c r="CD48" i="18"/>
  <c r="CB48" i="18"/>
  <c r="BZ48" i="18"/>
  <c r="BX48" i="18"/>
  <c r="BV48" i="18"/>
  <c r="BT48" i="18"/>
  <c r="BJ48" i="18"/>
  <c r="BH48" i="18"/>
  <c r="BF48" i="18"/>
  <c r="BD48" i="18"/>
  <c r="BB48" i="18"/>
  <c r="AZ48" i="18"/>
  <c r="AX48" i="18"/>
  <c r="AV48" i="18"/>
  <c r="AT48" i="18"/>
  <c r="AR48" i="18"/>
  <c r="AP48" i="18"/>
  <c r="AH48" i="18"/>
  <c r="AF48" i="18"/>
  <c r="AD48" i="18"/>
  <c r="AB48" i="18"/>
  <c r="Z48" i="18"/>
  <c r="X48" i="18"/>
  <c r="V48" i="18"/>
  <c r="T48" i="18"/>
  <c r="R48" i="18"/>
  <c r="P48" i="18"/>
  <c r="N48" i="18"/>
  <c r="L48" i="18"/>
  <c r="LV47" i="18"/>
  <c r="LT47" i="18"/>
  <c r="LR47" i="18"/>
  <c r="LP47" i="18"/>
  <c r="LN47" i="18"/>
  <c r="LL47" i="18"/>
  <c r="LJ47" i="18"/>
  <c r="LH47" i="18"/>
  <c r="LF47" i="18"/>
  <c r="LD47" i="18"/>
  <c r="LB47" i="18"/>
  <c r="KZ47" i="18"/>
  <c r="JV47" i="18"/>
  <c r="JN47" i="18"/>
  <c r="JL47" i="18"/>
  <c r="JJ47" i="18"/>
  <c r="JH47" i="18"/>
  <c r="JF47" i="18"/>
  <c r="JD47" i="18"/>
  <c r="JB47" i="18"/>
  <c r="IZ47" i="18"/>
  <c r="IX47" i="18"/>
  <c r="IV47" i="18"/>
  <c r="IT47" i="18"/>
  <c r="IR47" i="18"/>
  <c r="IJ47" i="18"/>
  <c r="IH47" i="18"/>
  <c r="IF47" i="18"/>
  <c r="ID47" i="18"/>
  <c r="IB47" i="18"/>
  <c r="HZ47" i="18"/>
  <c r="HX47" i="18"/>
  <c r="HV47" i="18"/>
  <c r="HT47" i="18"/>
  <c r="HR47" i="18"/>
  <c r="HF47" i="18"/>
  <c r="HD47" i="18"/>
  <c r="HB47" i="18"/>
  <c r="GZ47" i="18"/>
  <c r="GX47" i="18"/>
  <c r="GV47" i="18"/>
  <c r="GT47" i="18"/>
  <c r="GR47" i="18"/>
  <c r="GP47" i="18"/>
  <c r="GN47" i="18"/>
  <c r="GL47" i="18"/>
  <c r="FC47" i="18"/>
  <c r="FP47" i="18" s="1"/>
  <c r="DT47" i="18"/>
  <c r="DR47" i="18"/>
  <c r="DP47" i="18"/>
  <c r="DN47" i="18"/>
  <c r="DL47" i="18"/>
  <c r="DJ47" i="18"/>
  <c r="DH47" i="18"/>
  <c r="DF47" i="18"/>
  <c r="DD47" i="18"/>
  <c r="DB47" i="18"/>
  <c r="CZ47" i="18"/>
  <c r="CX47" i="18"/>
  <c r="CP47" i="18"/>
  <c r="CN47" i="18"/>
  <c r="CL47" i="18"/>
  <c r="CJ47" i="18"/>
  <c r="CH47" i="18"/>
  <c r="CF47" i="18"/>
  <c r="CD47" i="18"/>
  <c r="CB47" i="18"/>
  <c r="BZ47" i="18"/>
  <c r="BX47" i="18"/>
  <c r="BV47" i="18"/>
  <c r="BT47" i="18"/>
  <c r="BJ47" i="18"/>
  <c r="BH47" i="18"/>
  <c r="BF47" i="18"/>
  <c r="BD47" i="18"/>
  <c r="BB47" i="18"/>
  <c r="AZ47" i="18"/>
  <c r="AX47" i="18"/>
  <c r="AV47" i="18"/>
  <c r="AT47" i="18"/>
  <c r="AR47" i="18"/>
  <c r="AP47" i="18"/>
  <c r="AH47" i="18"/>
  <c r="AF47" i="18"/>
  <c r="AD47" i="18"/>
  <c r="AB47" i="18"/>
  <c r="Z47" i="18"/>
  <c r="X47" i="18"/>
  <c r="V47" i="18"/>
  <c r="T47" i="18"/>
  <c r="R47" i="18"/>
  <c r="P47" i="18"/>
  <c r="N47" i="18"/>
  <c r="L47" i="18"/>
  <c r="KO47" i="18"/>
  <c r="LV46" i="18"/>
  <c r="LT46" i="18"/>
  <c r="LR46" i="18"/>
  <c r="LP46" i="18"/>
  <c r="LN46" i="18"/>
  <c r="LL46" i="18"/>
  <c r="LJ46" i="18"/>
  <c r="LH46" i="18"/>
  <c r="LF46" i="18"/>
  <c r="LD46" i="18"/>
  <c r="LB46" i="18"/>
  <c r="KZ46" i="18"/>
  <c r="JV46" i="18"/>
  <c r="JN46" i="18"/>
  <c r="JL46" i="18"/>
  <c r="JJ46" i="18"/>
  <c r="JH46" i="18"/>
  <c r="JF46" i="18"/>
  <c r="JD46" i="18"/>
  <c r="JB46" i="18"/>
  <c r="IZ46" i="18"/>
  <c r="IX46" i="18"/>
  <c r="IV46" i="18"/>
  <c r="IT46" i="18"/>
  <c r="IR46" i="18"/>
  <c r="IJ46" i="18"/>
  <c r="IH46" i="18"/>
  <c r="IF46" i="18"/>
  <c r="ID46" i="18"/>
  <c r="IB46" i="18"/>
  <c r="HZ46" i="18"/>
  <c r="HX46" i="18"/>
  <c r="HV46" i="18"/>
  <c r="HT46" i="18"/>
  <c r="HR46" i="18"/>
  <c r="HP46" i="18"/>
  <c r="HN46" i="18"/>
  <c r="HF46" i="18"/>
  <c r="HD46" i="18"/>
  <c r="HB46" i="18"/>
  <c r="GZ46" i="18"/>
  <c r="GX46" i="18"/>
  <c r="GV46" i="18"/>
  <c r="GT46" i="18"/>
  <c r="GR46" i="18"/>
  <c r="GP46" i="18"/>
  <c r="GN46" i="18"/>
  <c r="GL46" i="18"/>
  <c r="GJ46" i="18"/>
  <c r="GB46" i="18"/>
  <c r="FZ46" i="18"/>
  <c r="FX46" i="18"/>
  <c r="FV46" i="18"/>
  <c r="FT46" i="18"/>
  <c r="FR46" i="18"/>
  <c r="FP46" i="18"/>
  <c r="FN46" i="18"/>
  <c r="FL46" i="18"/>
  <c r="FJ46" i="18"/>
  <c r="FH46" i="18"/>
  <c r="FF46" i="18"/>
  <c r="DT46" i="18"/>
  <c r="DR46" i="18"/>
  <c r="DP46" i="18"/>
  <c r="DN46" i="18"/>
  <c r="DL46" i="18"/>
  <c r="DJ46" i="18"/>
  <c r="DH46" i="18"/>
  <c r="DF46" i="18"/>
  <c r="DD46" i="18"/>
  <c r="DB46" i="18"/>
  <c r="CZ46" i="18"/>
  <c r="CX46" i="18"/>
  <c r="CP46" i="18"/>
  <c r="CN46" i="18"/>
  <c r="CL46" i="18"/>
  <c r="CJ46" i="18"/>
  <c r="CH46" i="18"/>
  <c r="CF46" i="18"/>
  <c r="CD46" i="18"/>
  <c r="CB46" i="18"/>
  <c r="BZ46" i="18"/>
  <c r="BX46" i="18"/>
  <c r="BV46" i="18"/>
  <c r="BT46" i="18"/>
  <c r="BL46" i="18"/>
  <c r="BJ46" i="18"/>
  <c r="BH46" i="18"/>
  <c r="BF46" i="18"/>
  <c r="BD46" i="18"/>
  <c r="BB46" i="18"/>
  <c r="AZ46" i="18"/>
  <c r="AX46" i="18"/>
  <c r="AV46" i="18"/>
  <c r="AT46" i="18"/>
  <c r="AR46" i="18"/>
  <c r="AP46" i="18"/>
  <c r="AH46" i="18"/>
  <c r="AF46" i="18"/>
  <c r="AD46" i="18"/>
  <c r="AB46" i="18"/>
  <c r="Z46" i="18"/>
  <c r="X46" i="18"/>
  <c r="V46" i="18"/>
  <c r="T46" i="18"/>
  <c r="R46" i="18"/>
  <c r="P46" i="18"/>
  <c r="N46" i="18"/>
  <c r="L46" i="18"/>
  <c r="LV45" i="18"/>
  <c r="LT45" i="18"/>
  <c r="LR45" i="18"/>
  <c r="LP45" i="18"/>
  <c r="LN45" i="18"/>
  <c r="LL45" i="18"/>
  <c r="LJ45" i="18"/>
  <c r="LH45" i="18"/>
  <c r="LF45" i="18"/>
  <c r="LD45" i="18"/>
  <c r="LB45" i="18"/>
  <c r="KZ45" i="18"/>
  <c r="JV45" i="18"/>
  <c r="JN45" i="18"/>
  <c r="JL45" i="18"/>
  <c r="JJ45" i="18"/>
  <c r="JH45" i="18"/>
  <c r="JF45" i="18"/>
  <c r="JD45" i="18"/>
  <c r="JB45" i="18"/>
  <c r="IZ45" i="18"/>
  <c r="IX45" i="18"/>
  <c r="IV45" i="18"/>
  <c r="IT45" i="18"/>
  <c r="IR45" i="18"/>
  <c r="IJ45" i="18"/>
  <c r="IH45" i="18"/>
  <c r="IF45" i="18"/>
  <c r="ID45" i="18"/>
  <c r="IB45" i="18"/>
  <c r="HZ45" i="18"/>
  <c r="HX45" i="18"/>
  <c r="HV45" i="18"/>
  <c r="HT45" i="18"/>
  <c r="HR45" i="18"/>
  <c r="HF45" i="18"/>
  <c r="HD45" i="18"/>
  <c r="HB45" i="18"/>
  <c r="GZ45" i="18"/>
  <c r="GX45" i="18"/>
  <c r="GV45" i="18"/>
  <c r="GT45" i="18"/>
  <c r="GR45" i="18"/>
  <c r="GP45" i="18"/>
  <c r="GN45" i="18"/>
  <c r="GL45" i="18"/>
  <c r="GJ45" i="18"/>
  <c r="GB45" i="18"/>
  <c r="FZ45" i="18"/>
  <c r="FX45" i="18"/>
  <c r="FV45" i="18"/>
  <c r="FT45" i="18"/>
  <c r="FR45" i="18"/>
  <c r="FP45" i="18"/>
  <c r="FN45" i="18"/>
  <c r="FL45" i="18"/>
  <c r="FJ45" i="18"/>
  <c r="FH45" i="18"/>
  <c r="FF45" i="18"/>
  <c r="DT45" i="18"/>
  <c r="DR45" i="18"/>
  <c r="DP45" i="18"/>
  <c r="DN45" i="18"/>
  <c r="DL45" i="18"/>
  <c r="DJ45" i="18"/>
  <c r="DH45" i="18"/>
  <c r="DF45" i="18"/>
  <c r="DD45" i="18"/>
  <c r="DB45" i="18"/>
  <c r="CZ45" i="18"/>
  <c r="CX45" i="18"/>
  <c r="CP45" i="18"/>
  <c r="CN45" i="18"/>
  <c r="CL45" i="18"/>
  <c r="CJ45" i="18"/>
  <c r="CH45" i="18"/>
  <c r="CF45" i="18"/>
  <c r="CD45" i="18"/>
  <c r="CB45" i="18"/>
  <c r="BZ45" i="18"/>
  <c r="BX45" i="18"/>
  <c r="BV45" i="18"/>
  <c r="BT45" i="18"/>
  <c r="BL45" i="18"/>
  <c r="BJ45" i="18"/>
  <c r="BH45" i="18"/>
  <c r="BF45" i="18"/>
  <c r="BD45" i="18"/>
  <c r="BB45" i="18"/>
  <c r="AZ45" i="18"/>
  <c r="AX45" i="18"/>
  <c r="AV45" i="18"/>
  <c r="AT45" i="18"/>
  <c r="AR45" i="18"/>
  <c r="AP45" i="18"/>
  <c r="I45" i="18"/>
  <c r="K45" i="18" s="1"/>
  <c r="LV44" i="18"/>
  <c r="LT44" i="18"/>
  <c r="LR44" i="18"/>
  <c r="LP44" i="18"/>
  <c r="LN44" i="18"/>
  <c r="LL44" i="18"/>
  <c r="LJ44" i="18"/>
  <c r="LH44" i="18"/>
  <c r="LF44" i="18"/>
  <c r="LD44" i="18"/>
  <c r="LB44" i="18"/>
  <c r="KZ44" i="18"/>
  <c r="JS44" i="18"/>
  <c r="JN44" i="18"/>
  <c r="JL44" i="18"/>
  <c r="JJ44" i="18"/>
  <c r="JH44" i="18"/>
  <c r="JF44" i="18"/>
  <c r="JD44" i="18"/>
  <c r="JB44" i="18"/>
  <c r="IZ44" i="18"/>
  <c r="IX44" i="18"/>
  <c r="IV44" i="18"/>
  <c r="IT44" i="18"/>
  <c r="IR44" i="18"/>
  <c r="IJ44" i="18"/>
  <c r="IH44" i="18"/>
  <c r="IF44" i="18"/>
  <c r="ID44" i="18"/>
  <c r="IB44" i="18"/>
  <c r="HZ44" i="18"/>
  <c r="HX44" i="18"/>
  <c r="HV44" i="18"/>
  <c r="HT44" i="18"/>
  <c r="HR44" i="18"/>
  <c r="HF44" i="18"/>
  <c r="HD44" i="18"/>
  <c r="HB44" i="18"/>
  <c r="GZ44" i="18"/>
  <c r="GX44" i="18"/>
  <c r="GV44" i="18"/>
  <c r="GT44" i="18"/>
  <c r="GR44" i="18"/>
  <c r="GP44" i="18"/>
  <c r="GN44" i="18"/>
  <c r="GL44" i="18"/>
  <c r="GJ44" i="18"/>
  <c r="FC44" i="18"/>
  <c r="FV44" i="18" s="1"/>
  <c r="CU44" i="18"/>
  <c r="DL44" i="18" s="1"/>
  <c r="CP44" i="18"/>
  <c r="CN44" i="18"/>
  <c r="CL44" i="18"/>
  <c r="CJ44" i="18"/>
  <c r="CH44" i="18"/>
  <c r="CF44" i="18"/>
  <c r="CD44" i="18"/>
  <c r="CB44" i="18"/>
  <c r="BZ44" i="18"/>
  <c r="BX44" i="18"/>
  <c r="BV44" i="18"/>
  <c r="BT44" i="18"/>
  <c r="BL44" i="18"/>
  <c r="BJ44" i="18"/>
  <c r="BH44" i="18"/>
  <c r="BF44" i="18"/>
  <c r="BD44" i="18"/>
  <c r="BB44" i="18"/>
  <c r="AZ44" i="18"/>
  <c r="AX44" i="18"/>
  <c r="AV44" i="18"/>
  <c r="AT44" i="18"/>
  <c r="AR44" i="18"/>
  <c r="AP44" i="18"/>
  <c r="I44" i="18"/>
  <c r="K44" i="18" s="1"/>
  <c r="LV43" i="18"/>
  <c r="LT43" i="18"/>
  <c r="LR43" i="18"/>
  <c r="LP43" i="18"/>
  <c r="LN43" i="18"/>
  <c r="LL43" i="18"/>
  <c r="LJ43" i="18"/>
  <c r="LH43" i="18"/>
  <c r="LF43" i="18"/>
  <c r="LD43" i="18"/>
  <c r="LB43" i="18"/>
  <c r="KZ43" i="18"/>
  <c r="JV43" i="18"/>
  <c r="JN43" i="18"/>
  <c r="JL43" i="18"/>
  <c r="JJ43" i="18"/>
  <c r="JH43" i="18"/>
  <c r="JF43" i="18"/>
  <c r="JD43" i="18"/>
  <c r="JB43" i="18"/>
  <c r="IZ43" i="18"/>
  <c r="IX43" i="18"/>
  <c r="IV43" i="18"/>
  <c r="IT43" i="18"/>
  <c r="IR43" i="18"/>
  <c r="IJ43" i="18"/>
  <c r="IH43" i="18"/>
  <c r="IF43" i="18"/>
  <c r="ID43" i="18"/>
  <c r="IB43" i="18"/>
  <c r="HZ43" i="18"/>
  <c r="HX43" i="18"/>
  <c r="HV43" i="18"/>
  <c r="HT43" i="18"/>
  <c r="HR43" i="18"/>
  <c r="HF43" i="18"/>
  <c r="HD43" i="18"/>
  <c r="HB43" i="18"/>
  <c r="GZ43" i="18"/>
  <c r="GX43" i="18"/>
  <c r="GV43" i="18"/>
  <c r="GT43" i="18"/>
  <c r="GR43" i="18"/>
  <c r="GP43" i="18"/>
  <c r="GN43" i="18"/>
  <c r="GL43" i="18"/>
  <c r="FC43" i="18"/>
  <c r="FX43" i="18" s="1"/>
  <c r="DT43" i="18"/>
  <c r="DR43" i="18"/>
  <c r="DP43" i="18"/>
  <c r="DN43" i="18"/>
  <c r="DL43" i="18"/>
  <c r="DJ43" i="18"/>
  <c r="DH43" i="18"/>
  <c r="DF43" i="18"/>
  <c r="DD43" i="18"/>
  <c r="DB43" i="18"/>
  <c r="CZ43" i="18"/>
  <c r="CX43" i="18"/>
  <c r="CP43" i="18"/>
  <c r="CN43" i="18"/>
  <c r="CL43" i="18"/>
  <c r="CJ43" i="18"/>
  <c r="CH43" i="18"/>
  <c r="CF43" i="18"/>
  <c r="CD43" i="18"/>
  <c r="CB43" i="18"/>
  <c r="BZ43" i="18"/>
  <c r="BX43" i="18"/>
  <c r="BV43" i="18"/>
  <c r="BT43" i="18"/>
  <c r="BL43" i="18"/>
  <c r="BJ43" i="18"/>
  <c r="BH43" i="18"/>
  <c r="BF43" i="18"/>
  <c r="BD43" i="18"/>
  <c r="BB43" i="18"/>
  <c r="AZ43" i="18"/>
  <c r="AX43" i="18"/>
  <c r="AV43" i="18"/>
  <c r="AT43" i="18"/>
  <c r="AR43" i="18"/>
  <c r="AP43" i="18"/>
  <c r="I43" i="18"/>
  <c r="K43" i="18" s="1"/>
  <c r="LV42" i="18"/>
  <c r="LT42" i="18"/>
  <c r="LR42" i="18"/>
  <c r="LP42" i="18"/>
  <c r="LN42" i="18"/>
  <c r="LL42" i="18"/>
  <c r="LJ42" i="18"/>
  <c r="LH42" i="18"/>
  <c r="LF42" i="18"/>
  <c r="LD42" i="18"/>
  <c r="LB42" i="18"/>
  <c r="KZ42" i="18"/>
  <c r="JV42" i="18"/>
  <c r="JN42" i="18"/>
  <c r="JL42" i="18"/>
  <c r="JJ42" i="18"/>
  <c r="JH42" i="18"/>
  <c r="JF42" i="18"/>
  <c r="JD42" i="18"/>
  <c r="JB42" i="18"/>
  <c r="IZ42" i="18"/>
  <c r="IX42" i="18"/>
  <c r="IV42" i="18"/>
  <c r="IT42" i="18"/>
  <c r="IR42" i="18"/>
  <c r="IJ42" i="18"/>
  <c r="IH42" i="18"/>
  <c r="IF42" i="18"/>
  <c r="ID42" i="18"/>
  <c r="IB42" i="18"/>
  <c r="HZ42" i="18"/>
  <c r="HX42" i="18"/>
  <c r="HV42" i="18"/>
  <c r="HT42" i="18"/>
  <c r="HR42" i="18"/>
  <c r="HF42" i="18"/>
  <c r="HD42" i="18"/>
  <c r="HB42" i="18"/>
  <c r="GZ42" i="18"/>
  <c r="GX42" i="18"/>
  <c r="GV42" i="18"/>
  <c r="GT42" i="18"/>
  <c r="GR42" i="18"/>
  <c r="GP42" i="18"/>
  <c r="GN42" i="18"/>
  <c r="GL42" i="18"/>
  <c r="GB42" i="18"/>
  <c r="FZ42" i="18"/>
  <c r="FX42" i="18"/>
  <c r="FV42" i="18"/>
  <c r="FT42" i="18"/>
  <c r="FR42" i="18"/>
  <c r="FP42" i="18"/>
  <c r="FN42" i="18"/>
  <c r="FL42" i="18"/>
  <c r="FJ42" i="18"/>
  <c r="FH42" i="18"/>
  <c r="FF42" i="18"/>
  <c r="DT42" i="18"/>
  <c r="DR42" i="18"/>
  <c r="DP42" i="18"/>
  <c r="DN42" i="18"/>
  <c r="DL42" i="18"/>
  <c r="DJ42" i="18"/>
  <c r="DH42" i="18"/>
  <c r="DF42" i="18"/>
  <c r="DD42" i="18"/>
  <c r="DB42" i="18"/>
  <c r="CZ42" i="18"/>
  <c r="CX42" i="18"/>
  <c r="CP42" i="18"/>
  <c r="CN42" i="18"/>
  <c r="CL42" i="18"/>
  <c r="CJ42" i="18"/>
  <c r="CH42" i="18"/>
  <c r="CF42" i="18"/>
  <c r="CD42" i="18"/>
  <c r="CB42" i="18"/>
  <c r="BZ42" i="18"/>
  <c r="BX42" i="18"/>
  <c r="BV42" i="18"/>
  <c r="BT42" i="18"/>
  <c r="BL42" i="18"/>
  <c r="BJ42" i="18"/>
  <c r="BH42" i="18"/>
  <c r="BF42" i="18"/>
  <c r="BD42" i="18"/>
  <c r="BB42" i="18"/>
  <c r="AZ42" i="18"/>
  <c r="AX42" i="18"/>
  <c r="AV42" i="18"/>
  <c r="AT42" i="18"/>
  <c r="AR42" i="18"/>
  <c r="AP42" i="18"/>
  <c r="I42" i="18"/>
  <c r="K42" i="18" s="1"/>
  <c r="LV41" i="18"/>
  <c r="LT41" i="18"/>
  <c r="LR41" i="18"/>
  <c r="LP41" i="18"/>
  <c r="LN41" i="18"/>
  <c r="LL41" i="18"/>
  <c r="LJ41" i="18"/>
  <c r="LH41" i="18"/>
  <c r="LF41" i="18"/>
  <c r="LD41" i="18"/>
  <c r="LB41" i="18"/>
  <c r="KZ41" i="18"/>
  <c r="JV41" i="18"/>
  <c r="JN41" i="18"/>
  <c r="JL41" i="18"/>
  <c r="JJ41" i="18"/>
  <c r="JH41" i="18"/>
  <c r="JF41" i="18"/>
  <c r="JD41" i="18"/>
  <c r="JB41" i="18"/>
  <c r="IZ41" i="18"/>
  <c r="IX41" i="18"/>
  <c r="IV41" i="18"/>
  <c r="IT41" i="18"/>
  <c r="IR41" i="18"/>
  <c r="IJ41" i="18"/>
  <c r="IH41" i="18"/>
  <c r="IF41" i="18"/>
  <c r="ID41" i="18"/>
  <c r="IB41" i="18"/>
  <c r="HZ41" i="18"/>
  <c r="HX41" i="18"/>
  <c r="HV41" i="18"/>
  <c r="HT41" i="18"/>
  <c r="HR41" i="18"/>
  <c r="HF41" i="18"/>
  <c r="HD41" i="18"/>
  <c r="HB41" i="18"/>
  <c r="GZ41" i="18"/>
  <c r="GX41" i="18"/>
  <c r="GV41" i="18"/>
  <c r="GT41" i="18"/>
  <c r="GR41" i="18"/>
  <c r="GP41" i="18"/>
  <c r="GN41" i="18"/>
  <c r="GL41" i="18"/>
  <c r="GJ41" i="18"/>
  <c r="GB41" i="18"/>
  <c r="FZ41" i="18"/>
  <c r="FX41" i="18"/>
  <c r="FV41" i="18"/>
  <c r="FT41" i="18"/>
  <c r="FR41" i="18"/>
  <c r="FP41" i="18"/>
  <c r="FN41" i="18"/>
  <c r="FL41" i="18"/>
  <c r="FJ41" i="18"/>
  <c r="FH41" i="18"/>
  <c r="FF41" i="18"/>
  <c r="DT41" i="18"/>
  <c r="DR41" i="18"/>
  <c r="DP41" i="18"/>
  <c r="DN41" i="18"/>
  <c r="DL41" i="18"/>
  <c r="DJ41" i="18"/>
  <c r="DH41" i="18"/>
  <c r="DF41" i="18"/>
  <c r="DD41" i="18"/>
  <c r="DB41" i="18"/>
  <c r="CZ41" i="18"/>
  <c r="CX41" i="18"/>
  <c r="CP41" i="18"/>
  <c r="CN41" i="18"/>
  <c r="CL41" i="18"/>
  <c r="CJ41" i="18"/>
  <c r="CH41" i="18"/>
  <c r="CF41" i="18"/>
  <c r="CD41" i="18"/>
  <c r="CB41" i="18"/>
  <c r="BZ41" i="18"/>
  <c r="BX41" i="18"/>
  <c r="BV41" i="18"/>
  <c r="BT41" i="18"/>
  <c r="BL41" i="18"/>
  <c r="BJ41" i="18"/>
  <c r="BH41" i="18"/>
  <c r="BF41" i="18"/>
  <c r="BD41" i="18"/>
  <c r="BB41" i="18"/>
  <c r="AZ41" i="18"/>
  <c r="AX41" i="18"/>
  <c r="AV41" i="18"/>
  <c r="AT41" i="18"/>
  <c r="AR41" i="18"/>
  <c r="AP41" i="18"/>
  <c r="AH41" i="18"/>
  <c r="AF41" i="18"/>
  <c r="AD41" i="18"/>
  <c r="AB41" i="18"/>
  <c r="Z41" i="18"/>
  <c r="X41" i="18"/>
  <c r="V41" i="18"/>
  <c r="T41" i="18"/>
  <c r="R41" i="18"/>
  <c r="P41" i="18"/>
  <c r="N41" i="18"/>
  <c r="L41" i="18"/>
  <c r="LV40" i="18"/>
  <c r="LT40" i="18"/>
  <c r="LR40" i="18"/>
  <c r="LP40" i="18"/>
  <c r="LN40" i="18"/>
  <c r="LL40" i="18"/>
  <c r="LJ40" i="18"/>
  <c r="LH40" i="18"/>
  <c r="LF40" i="18"/>
  <c r="LD40" i="18"/>
  <c r="LB40" i="18"/>
  <c r="KZ40" i="18"/>
  <c r="JV40" i="18"/>
  <c r="JN40" i="18"/>
  <c r="JL40" i="18"/>
  <c r="JJ40" i="18"/>
  <c r="JH40" i="18"/>
  <c r="JF40" i="18"/>
  <c r="JD40" i="18"/>
  <c r="JB40" i="18"/>
  <c r="IZ40" i="18"/>
  <c r="IX40" i="18"/>
  <c r="IV40" i="18"/>
  <c r="IT40" i="18"/>
  <c r="IR40" i="18"/>
  <c r="IJ40" i="18"/>
  <c r="IH40" i="18"/>
  <c r="IF40" i="18"/>
  <c r="ID40" i="18"/>
  <c r="IB40" i="18"/>
  <c r="HZ40" i="18"/>
  <c r="HX40" i="18"/>
  <c r="HV40" i="18"/>
  <c r="HT40" i="18"/>
  <c r="HR40" i="18"/>
  <c r="HP40" i="18"/>
  <c r="HN40" i="18"/>
  <c r="HF40" i="18"/>
  <c r="HD40" i="18"/>
  <c r="HB40" i="18"/>
  <c r="GZ40" i="18"/>
  <c r="GX40" i="18"/>
  <c r="GV40" i="18"/>
  <c r="GT40" i="18"/>
  <c r="GR40" i="18"/>
  <c r="GP40" i="18"/>
  <c r="GN40" i="18"/>
  <c r="GL40" i="18"/>
  <c r="GJ40" i="18"/>
  <c r="DT40" i="18"/>
  <c r="DR40" i="18"/>
  <c r="DP40" i="18"/>
  <c r="DN40" i="18"/>
  <c r="DL40" i="18"/>
  <c r="DJ40" i="18"/>
  <c r="DH40" i="18"/>
  <c r="DF40" i="18"/>
  <c r="DD40" i="18"/>
  <c r="DB40" i="18"/>
  <c r="CZ40" i="18"/>
  <c r="CX40" i="18"/>
  <c r="CP40" i="18"/>
  <c r="CN40" i="18"/>
  <c r="CL40" i="18"/>
  <c r="CJ40" i="18"/>
  <c r="CH40" i="18"/>
  <c r="CF40" i="18"/>
  <c r="CD40" i="18"/>
  <c r="CB40" i="18"/>
  <c r="BZ40" i="18"/>
  <c r="BX40" i="18"/>
  <c r="BV40" i="18"/>
  <c r="BT40" i="18"/>
  <c r="BJ40" i="18"/>
  <c r="BH40" i="18"/>
  <c r="BF40" i="18"/>
  <c r="BD40" i="18"/>
  <c r="BB40" i="18"/>
  <c r="AZ40" i="18"/>
  <c r="AX40" i="18"/>
  <c r="AV40" i="18"/>
  <c r="AT40" i="18"/>
  <c r="AR40" i="18"/>
  <c r="AP40" i="18"/>
  <c r="AH40" i="18"/>
  <c r="AF40" i="18"/>
  <c r="AD40" i="18"/>
  <c r="AB40" i="18"/>
  <c r="Z40" i="18"/>
  <c r="X40" i="18"/>
  <c r="V40" i="18"/>
  <c r="T40" i="18"/>
  <c r="R40" i="18"/>
  <c r="P40" i="18"/>
  <c r="N40" i="18"/>
  <c r="L40" i="18"/>
  <c r="LV39" i="18"/>
  <c r="LT39" i="18"/>
  <c r="LR39" i="18"/>
  <c r="LP39" i="18"/>
  <c r="LN39" i="18"/>
  <c r="LL39" i="18"/>
  <c r="LJ39" i="18"/>
  <c r="LH39" i="18"/>
  <c r="LF39" i="18"/>
  <c r="LD39" i="18"/>
  <c r="LB39" i="18"/>
  <c r="KZ39" i="18"/>
  <c r="JV39" i="18"/>
  <c r="JN39" i="18"/>
  <c r="JL39" i="18"/>
  <c r="JJ39" i="18"/>
  <c r="JH39" i="18"/>
  <c r="JF39" i="18"/>
  <c r="JD39" i="18"/>
  <c r="JB39" i="18"/>
  <c r="IZ39" i="18"/>
  <c r="IX39" i="18"/>
  <c r="IV39" i="18"/>
  <c r="IT39" i="18"/>
  <c r="IR39" i="18"/>
  <c r="IJ39" i="18"/>
  <c r="IH39" i="18"/>
  <c r="IF39" i="18"/>
  <c r="ID39" i="18"/>
  <c r="IB39" i="18"/>
  <c r="HZ39" i="18"/>
  <c r="HX39" i="18"/>
  <c r="HV39" i="18"/>
  <c r="HT39" i="18"/>
  <c r="HR39" i="18"/>
  <c r="HP39" i="18"/>
  <c r="HN39" i="18"/>
  <c r="HF39" i="18"/>
  <c r="HD39" i="18"/>
  <c r="HB39" i="18"/>
  <c r="GZ39" i="18"/>
  <c r="GX39" i="18"/>
  <c r="GV39" i="18"/>
  <c r="GT39" i="18"/>
  <c r="GR39" i="18"/>
  <c r="GP39" i="18"/>
  <c r="GN39" i="18"/>
  <c r="GL39" i="18"/>
  <c r="GJ39" i="18"/>
  <c r="DT39" i="18"/>
  <c r="DR39" i="18"/>
  <c r="DP39" i="18"/>
  <c r="DN39" i="18"/>
  <c r="DL39" i="18"/>
  <c r="DJ39" i="18"/>
  <c r="DH39" i="18"/>
  <c r="DF39" i="18"/>
  <c r="DD39" i="18"/>
  <c r="DB39" i="18"/>
  <c r="CZ39" i="18"/>
  <c r="CX39" i="18"/>
  <c r="CP39" i="18"/>
  <c r="CN39" i="18"/>
  <c r="CL39" i="18"/>
  <c r="CJ39" i="18"/>
  <c r="CH39" i="18"/>
  <c r="CF39" i="18"/>
  <c r="CD39" i="18"/>
  <c r="CB39" i="18"/>
  <c r="BZ39" i="18"/>
  <c r="BX39" i="18"/>
  <c r="BV39" i="18"/>
  <c r="BT39" i="18"/>
  <c r="BJ39" i="18"/>
  <c r="BH39" i="18"/>
  <c r="BF39" i="18"/>
  <c r="BD39" i="18"/>
  <c r="BB39" i="18"/>
  <c r="AZ39" i="18"/>
  <c r="AX39" i="18"/>
  <c r="AV39" i="18"/>
  <c r="AT39" i="18"/>
  <c r="AR39" i="18"/>
  <c r="AP39" i="18"/>
  <c r="AH39" i="18"/>
  <c r="AF39" i="18"/>
  <c r="AD39" i="18"/>
  <c r="AB39" i="18"/>
  <c r="Z39" i="18"/>
  <c r="X39" i="18"/>
  <c r="V39" i="18"/>
  <c r="T39" i="18"/>
  <c r="R39" i="18"/>
  <c r="P39" i="18"/>
  <c r="N39" i="18"/>
  <c r="L39" i="18"/>
  <c r="LV38" i="18"/>
  <c r="LT38" i="18"/>
  <c r="LR38" i="18"/>
  <c r="LP38" i="18"/>
  <c r="LN38" i="18"/>
  <c r="LL38" i="18"/>
  <c r="LJ38" i="18"/>
  <c r="LH38" i="18"/>
  <c r="LF38" i="18"/>
  <c r="LD38" i="18"/>
  <c r="LB38" i="18"/>
  <c r="KZ38" i="18"/>
  <c r="JV38" i="18"/>
  <c r="JN38" i="18"/>
  <c r="JL38" i="18"/>
  <c r="JJ38" i="18"/>
  <c r="JH38" i="18"/>
  <c r="JF38" i="18"/>
  <c r="JD38" i="18"/>
  <c r="JB38" i="18"/>
  <c r="IZ38" i="18"/>
  <c r="IX38" i="18"/>
  <c r="IV38" i="18"/>
  <c r="IT38" i="18"/>
  <c r="IR38" i="18"/>
  <c r="IJ38" i="18"/>
  <c r="IH38" i="18"/>
  <c r="IF38" i="18"/>
  <c r="ID38" i="18"/>
  <c r="IB38" i="18"/>
  <c r="HZ38" i="18"/>
  <c r="HX38" i="18"/>
  <c r="HV38" i="18"/>
  <c r="HT38" i="18"/>
  <c r="HR38" i="18"/>
  <c r="HP38" i="18"/>
  <c r="HN38" i="18"/>
  <c r="HF38" i="18"/>
  <c r="HD38" i="18"/>
  <c r="HB38" i="18"/>
  <c r="GZ38" i="18"/>
  <c r="GX38" i="18"/>
  <c r="GV38" i="18"/>
  <c r="GT38" i="18"/>
  <c r="GR38" i="18"/>
  <c r="GP38" i="18"/>
  <c r="GN38" i="18"/>
  <c r="GL38" i="18"/>
  <c r="GJ38" i="18"/>
  <c r="GB38" i="18"/>
  <c r="FZ38" i="18"/>
  <c r="FX38" i="18"/>
  <c r="FV38" i="18"/>
  <c r="FT38" i="18"/>
  <c r="FR38" i="18"/>
  <c r="FP38" i="18"/>
  <c r="FN38" i="18"/>
  <c r="FL38" i="18"/>
  <c r="FJ38" i="18"/>
  <c r="FH38" i="18"/>
  <c r="FF38" i="18"/>
  <c r="DT38" i="18"/>
  <c r="DR38" i="18"/>
  <c r="DP38" i="18"/>
  <c r="DN38" i="18"/>
  <c r="DL38" i="18"/>
  <c r="DJ38" i="18"/>
  <c r="DH38" i="18"/>
  <c r="DF38" i="18"/>
  <c r="DD38" i="18"/>
  <c r="DB38" i="18"/>
  <c r="CZ38" i="18"/>
  <c r="CX38" i="18"/>
  <c r="CP38" i="18"/>
  <c r="CN38" i="18"/>
  <c r="CL38" i="18"/>
  <c r="CJ38" i="18"/>
  <c r="CH38" i="18"/>
  <c r="CF38" i="18"/>
  <c r="CD38" i="18"/>
  <c r="CB38" i="18"/>
  <c r="BZ38" i="18"/>
  <c r="BX38" i="18"/>
  <c r="BV38" i="18"/>
  <c r="BT38" i="18"/>
  <c r="BJ38" i="18"/>
  <c r="BH38" i="18"/>
  <c r="BF38" i="18"/>
  <c r="BD38" i="18"/>
  <c r="BB38" i="18"/>
  <c r="AZ38" i="18"/>
  <c r="AX38" i="18"/>
  <c r="AV38" i="18"/>
  <c r="AT38" i="18"/>
  <c r="AR38" i="18"/>
  <c r="AP38" i="18"/>
  <c r="AH38" i="18"/>
  <c r="AF38" i="18"/>
  <c r="AD38" i="18"/>
  <c r="AB38" i="18"/>
  <c r="Z38" i="18"/>
  <c r="X38" i="18"/>
  <c r="V38" i="18"/>
  <c r="T38" i="18"/>
  <c r="R38" i="18"/>
  <c r="P38" i="18"/>
  <c r="N38" i="18"/>
  <c r="L38" i="18"/>
  <c r="LV37" i="18"/>
  <c r="LT37" i="18"/>
  <c r="LR37" i="18"/>
  <c r="LP37" i="18"/>
  <c r="LN37" i="18"/>
  <c r="LL37" i="18"/>
  <c r="LJ37" i="18"/>
  <c r="LH37" i="18"/>
  <c r="LF37" i="18"/>
  <c r="LD37" i="18"/>
  <c r="LB37" i="18"/>
  <c r="KZ37" i="18"/>
  <c r="JV37" i="18"/>
  <c r="JN37" i="18"/>
  <c r="JL37" i="18"/>
  <c r="JJ37" i="18"/>
  <c r="JH37" i="18"/>
  <c r="JF37" i="18"/>
  <c r="JD37" i="18"/>
  <c r="JB37" i="18"/>
  <c r="IZ37" i="18"/>
  <c r="IX37" i="18"/>
  <c r="IV37" i="18"/>
  <c r="IT37" i="18"/>
  <c r="IR37" i="18"/>
  <c r="IJ37" i="18"/>
  <c r="IH37" i="18"/>
  <c r="IF37" i="18"/>
  <c r="ID37" i="18"/>
  <c r="IB37" i="18"/>
  <c r="HZ37" i="18"/>
  <c r="HX37" i="18"/>
  <c r="HV37" i="18"/>
  <c r="HT37" i="18"/>
  <c r="HR37" i="18"/>
  <c r="HP37" i="18"/>
  <c r="HN37" i="18"/>
  <c r="HF37" i="18"/>
  <c r="HD37" i="18"/>
  <c r="HB37" i="18"/>
  <c r="GZ37" i="18"/>
  <c r="GX37" i="18"/>
  <c r="GV37" i="18"/>
  <c r="GT37" i="18"/>
  <c r="GR37" i="18"/>
  <c r="GP37" i="18"/>
  <c r="GN37" i="18"/>
  <c r="GL37" i="18"/>
  <c r="GJ37" i="18"/>
  <c r="GB37" i="18"/>
  <c r="FZ37" i="18"/>
  <c r="FX37" i="18"/>
  <c r="FV37" i="18"/>
  <c r="FT37" i="18"/>
  <c r="FR37" i="18"/>
  <c r="FP37" i="18"/>
  <c r="FN37" i="18"/>
  <c r="FL37" i="18"/>
  <c r="FJ37" i="18"/>
  <c r="FH37" i="18"/>
  <c r="FF37" i="18"/>
  <c r="DT37" i="18"/>
  <c r="DR37" i="18"/>
  <c r="DP37" i="18"/>
  <c r="DN37" i="18"/>
  <c r="DL37" i="18"/>
  <c r="DJ37" i="18"/>
  <c r="DH37" i="18"/>
  <c r="DF37" i="18"/>
  <c r="DD37" i="18"/>
  <c r="DB37" i="18"/>
  <c r="CZ37" i="18"/>
  <c r="CX37" i="18"/>
  <c r="CP37" i="18"/>
  <c r="CN37" i="18"/>
  <c r="CL37" i="18"/>
  <c r="CJ37" i="18"/>
  <c r="CH37" i="18"/>
  <c r="CF37" i="18"/>
  <c r="CD37" i="18"/>
  <c r="CB37" i="18"/>
  <c r="BZ37" i="18"/>
  <c r="BX37" i="18"/>
  <c r="BV37" i="18"/>
  <c r="BT37" i="18"/>
  <c r="BJ37" i="18"/>
  <c r="BH37" i="18"/>
  <c r="BF37" i="18"/>
  <c r="BD37" i="18"/>
  <c r="BB37" i="18"/>
  <c r="AZ37" i="18"/>
  <c r="AX37" i="18"/>
  <c r="AV37" i="18"/>
  <c r="AT37" i="18"/>
  <c r="AR37" i="18"/>
  <c r="AP37" i="18"/>
  <c r="AH37" i="18"/>
  <c r="AF37" i="18"/>
  <c r="AD37" i="18"/>
  <c r="AB37" i="18"/>
  <c r="Z37" i="18"/>
  <c r="X37" i="18"/>
  <c r="V37" i="18"/>
  <c r="T37" i="18"/>
  <c r="R37" i="18"/>
  <c r="P37" i="18"/>
  <c r="N37" i="18"/>
  <c r="L37" i="18"/>
  <c r="LV36" i="18"/>
  <c r="LT36" i="18"/>
  <c r="LR36" i="18"/>
  <c r="LP36" i="18"/>
  <c r="LN36" i="18"/>
  <c r="LL36" i="18"/>
  <c r="LJ36" i="18"/>
  <c r="LH36" i="18"/>
  <c r="LF36" i="18"/>
  <c r="LD36" i="18"/>
  <c r="LB36" i="18"/>
  <c r="KZ36" i="18"/>
  <c r="JV36" i="18"/>
  <c r="JN36" i="18"/>
  <c r="JL36" i="18"/>
  <c r="JJ36" i="18"/>
  <c r="JH36" i="18"/>
  <c r="JF36" i="18"/>
  <c r="JD36" i="18"/>
  <c r="JB36" i="18"/>
  <c r="IZ36" i="18"/>
  <c r="IX36" i="18"/>
  <c r="IV36" i="18"/>
  <c r="IT36" i="18"/>
  <c r="IR36" i="18"/>
  <c r="HF36" i="18"/>
  <c r="HD36" i="18"/>
  <c r="HB36" i="18"/>
  <c r="GZ36" i="18"/>
  <c r="GX36" i="18"/>
  <c r="GV36" i="18"/>
  <c r="GT36" i="18"/>
  <c r="GR36" i="18"/>
  <c r="GP36" i="18"/>
  <c r="GN36" i="18"/>
  <c r="GL36" i="18"/>
  <c r="FC36" i="18"/>
  <c r="FT36" i="18" s="1"/>
  <c r="CU36" i="18"/>
  <c r="DN36" i="18" s="1"/>
  <c r="BQ36" i="18"/>
  <c r="BX36" i="18" s="1"/>
  <c r="AM36" i="18"/>
  <c r="BF36" i="18" s="1"/>
  <c r="LV35" i="18"/>
  <c r="LT35" i="18"/>
  <c r="LR35" i="18"/>
  <c r="LP35" i="18"/>
  <c r="LN35" i="18"/>
  <c r="LL35" i="18"/>
  <c r="LJ35" i="18"/>
  <c r="LH35" i="18"/>
  <c r="LF35" i="18"/>
  <c r="LD35" i="18"/>
  <c r="LB35" i="18"/>
  <c r="KZ35" i="18"/>
  <c r="JV35" i="18"/>
  <c r="IJ35" i="18"/>
  <c r="IH35" i="18"/>
  <c r="IF35" i="18"/>
  <c r="ID35" i="18"/>
  <c r="IB35" i="18"/>
  <c r="HZ35" i="18"/>
  <c r="HX35" i="18"/>
  <c r="HV35" i="18"/>
  <c r="HT35" i="18"/>
  <c r="HR35" i="18"/>
  <c r="HP35" i="18"/>
  <c r="HN35" i="18"/>
  <c r="GB35" i="18"/>
  <c r="FZ35" i="18"/>
  <c r="FX35" i="18"/>
  <c r="FV35" i="18"/>
  <c r="FT35" i="18"/>
  <c r="FR35" i="18"/>
  <c r="FP35" i="18"/>
  <c r="FN35" i="18"/>
  <c r="FL35" i="18"/>
  <c r="FJ35" i="18"/>
  <c r="FH35" i="18"/>
  <c r="FF35" i="18"/>
  <c r="BL35" i="18"/>
  <c r="BJ35" i="18"/>
  <c r="BF35" i="18"/>
  <c r="BD35" i="18"/>
  <c r="BB35" i="18"/>
  <c r="AV35" i="18"/>
  <c r="AP35" i="18"/>
  <c r="AH35" i="18"/>
  <c r="AF35" i="18"/>
  <c r="AD35" i="18"/>
  <c r="AB35" i="18"/>
  <c r="Z35" i="18"/>
  <c r="X35" i="18"/>
  <c r="N35" i="18"/>
  <c r="L35" i="18"/>
  <c r="LV34" i="18"/>
  <c r="LT34" i="18"/>
  <c r="LR34" i="18"/>
  <c r="LP34" i="18"/>
  <c r="LN34" i="18"/>
  <c r="LL34" i="18"/>
  <c r="LJ34" i="18"/>
  <c r="LH34" i="18"/>
  <c r="LF34" i="18"/>
  <c r="LD34" i="18"/>
  <c r="LB34" i="18"/>
  <c r="KZ34" i="18"/>
  <c r="JV34" i="18"/>
  <c r="JN34" i="18"/>
  <c r="JL34" i="18"/>
  <c r="JJ34" i="18"/>
  <c r="JH34" i="18"/>
  <c r="JF34" i="18"/>
  <c r="JD34" i="18"/>
  <c r="JB34" i="18"/>
  <c r="IZ34" i="18"/>
  <c r="IX34" i="18"/>
  <c r="IV34" i="18"/>
  <c r="IT34" i="18"/>
  <c r="IR34" i="18"/>
  <c r="IF34" i="18"/>
  <c r="HF34" i="18"/>
  <c r="HD34" i="18"/>
  <c r="HB34" i="18"/>
  <c r="GZ34" i="18"/>
  <c r="GX34" i="18"/>
  <c r="GV34" i="18"/>
  <c r="GT34" i="18"/>
  <c r="GR34" i="18"/>
  <c r="GP34" i="18"/>
  <c r="GN34" i="18"/>
  <c r="GL34" i="18"/>
  <c r="FC34" i="18"/>
  <c r="FZ34" i="18" s="1"/>
  <c r="CU34" i="18"/>
  <c r="DT34" i="18" s="1"/>
  <c r="CP34" i="18"/>
  <c r="CN34" i="18"/>
  <c r="CL34" i="18"/>
  <c r="CJ34" i="18"/>
  <c r="CH34" i="18"/>
  <c r="CF34" i="18"/>
  <c r="CD34" i="18"/>
  <c r="CB34" i="18"/>
  <c r="BZ34" i="18"/>
  <c r="BX34" i="18"/>
  <c r="BV34" i="18"/>
  <c r="BT34" i="18"/>
  <c r="BL34" i="18"/>
  <c r="BJ34" i="18"/>
  <c r="BH34" i="18"/>
  <c r="BF34" i="18"/>
  <c r="BD34" i="18"/>
  <c r="BB34" i="18"/>
  <c r="AZ34" i="18"/>
  <c r="AX34" i="18"/>
  <c r="AV34" i="18"/>
  <c r="AT34" i="18"/>
  <c r="AR34" i="18"/>
  <c r="AP34" i="18"/>
  <c r="LV33" i="18"/>
  <c r="LT33" i="18"/>
  <c r="LR33" i="18"/>
  <c r="LP33" i="18"/>
  <c r="LN33" i="18"/>
  <c r="LL33" i="18"/>
  <c r="LJ33" i="18"/>
  <c r="LH33" i="18"/>
  <c r="LF33" i="18"/>
  <c r="LD33" i="18"/>
  <c r="LB33" i="18"/>
  <c r="KZ33" i="18"/>
  <c r="JV33" i="18"/>
  <c r="JN33" i="18"/>
  <c r="JL33" i="18"/>
  <c r="JJ33" i="18"/>
  <c r="JH33" i="18"/>
  <c r="JF33" i="18"/>
  <c r="JD33" i="18"/>
  <c r="JB33" i="18"/>
  <c r="IZ33" i="18"/>
  <c r="IX33" i="18"/>
  <c r="IV33" i="18"/>
  <c r="IT33" i="18"/>
  <c r="IR33" i="18"/>
  <c r="IJ33" i="18"/>
  <c r="HF33" i="18"/>
  <c r="HD33" i="18"/>
  <c r="HB33" i="18"/>
  <c r="GZ33" i="18"/>
  <c r="GX33" i="18"/>
  <c r="GV33" i="18"/>
  <c r="GT33" i="18"/>
  <c r="GR33" i="18"/>
  <c r="GP33" i="18"/>
  <c r="GN33" i="18"/>
  <c r="GL33" i="18"/>
  <c r="FC33" i="18"/>
  <c r="FR33" i="18" s="1"/>
  <c r="DT33" i="18"/>
  <c r="DR33" i="18"/>
  <c r="DP33" i="18"/>
  <c r="DN33" i="18"/>
  <c r="DL33" i="18"/>
  <c r="DJ33" i="18"/>
  <c r="DH33" i="18"/>
  <c r="DF33" i="18"/>
  <c r="DD33" i="18"/>
  <c r="DB33" i="18"/>
  <c r="CZ33" i="18"/>
  <c r="CX33" i="18"/>
  <c r="CP33" i="18"/>
  <c r="CN33" i="18"/>
  <c r="CL33" i="18"/>
  <c r="CJ33" i="18"/>
  <c r="CH33" i="18"/>
  <c r="CF33" i="18"/>
  <c r="CD33" i="18"/>
  <c r="CB33" i="18"/>
  <c r="BZ33" i="18"/>
  <c r="BX33" i="18"/>
  <c r="BV33" i="18"/>
  <c r="BT33" i="18"/>
  <c r="BL33" i="18"/>
  <c r="BJ33" i="18"/>
  <c r="BH33" i="18"/>
  <c r="BF33" i="18"/>
  <c r="BD33" i="18"/>
  <c r="BB33" i="18"/>
  <c r="AZ33" i="18"/>
  <c r="AX33" i="18"/>
  <c r="AV33" i="18"/>
  <c r="AT33" i="18"/>
  <c r="AR33" i="18"/>
  <c r="AP33" i="18"/>
  <c r="LV32" i="18"/>
  <c r="LT32" i="18"/>
  <c r="LR32" i="18"/>
  <c r="LP32" i="18"/>
  <c r="LN32" i="18"/>
  <c r="LL32" i="18"/>
  <c r="LJ32" i="18"/>
  <c r="LH32" i="18"/>
  <c r="LF32" i="18"/>
  <c r="LD32" i="18"/>
  <c r="LB32" i="18"/>
  <c r="KZ32" i="18"/>
  <c r="JV32" i="18"/>
  <c r="JL32" i="18"/>
  <c r="JH32" i="18"/>
  <c r="JD32" i="18"/>
  <c r="IZ32" i="18"/>
  <c r="IV32" i="18"/>
  <c r="IR32" i="18"/>
  <c r="FC32" i="18"/>
  <c r="FV32" i="18" s="1"/>
  <c r="DR32" i="18"/>
  <c r="DN32" i="18"/>
  <c r="DJ32" i="18"/>
  <c r="DF32" i="18"/>
  <c r="DB32" i="18"/>
  <c r="CX32" i="18"/>
  <c r="CN32" i="18"/>
  <c r="CJ32" i="18"/>
  <c r="CF32" i="18"/>
  <c r="CB32" i="18"/>
  <c r="BX32" i="18"/>
  <c r="BT32" i="18"/>
  <c r="BL32" i="18"/>
  <c r="BJ32" i="18"/>
  <c r="BH32" i="18"/>
  <c r="BF32" i="18"/>
  <c r="BD32" i="18"/>
  <c r="BB32" i="18"/>
  <c r="AZ32" i="18"/>
  <c r="AX32" i="18"/>
  <c r="AV32" i="18"/>
  <c r="AT32" i="18"/>
  <c r="AR32" i="18"/>
  <c r="AP32" i="18"/>
  <c r="W32" i="18"/>
  <c r="LV31" i="18"/>
  <c r="LT31" i="18"/>
  <c r="LR31" i="18"/>
  <c r="LP31" i="18"/>
  <c r="LN31" i="18"/>
  <c r="LL31" i="18"/>
  <c r="LJ31" i="18"/>
  <c r="LH31" i="18"/>
  <c r="LF31" i="18"/>
  <c r="LD31" i="18"/>
  <c r="LB31" i="18"/>
  <c r="KZ31" i="18"/>
  <c r="JV31" i="18"/>
  <c r="JN31" i="18"/>
  <c r="JL31" i="18"/>
  <c r="JJ31" i="18"/>
  <c r="JH31" i="18"/>
  <c r="JF31" i="18"/>
  <c r="JD31" i="18"/>
  <c r="JB31" i="18"/>
  <c r="IZ31" i="18"/>
  <c r="IX31" i="18"/>
  <c r="IV31" i="18"/>
  <c r="IT31" i="18"/>
  <c r="IR31" i="18"/>
  <c r="IJ31" i="18"/>
  <c r="IH31" i="18"/>
  <c r="IF31" i="18"/>
  <c r="ID31" i="18"/>
  <c r="IB31" i="18"/>
  <c r="HZ31" i="18"/>
  <c r="HX31" i="18"/>
  <c r="HV31" i="18"/>
  <c r="HT31" i="18"/>
  <c r="HR31" i="18"/>
  <c r="HF31" i="18"/>
  <c r="HD31" i="18"/>
  <c r="HB31" i="18"/>
  <c r="GZ31" i="18"/>
  <c r="GX31" i="18"/>
  <c r="GV31" i="18"/>
  <c r="GT31" i="18"/>
  <c r="GR31" i="18"/>
  <c r="GP31" i="18"/>
  <c r="GN31" i="18"/>
  <c r="FC31" i="18"/>
  <c r="FT31" i="18" s="1"/>
  <c r="DT31" i="18"/>
  <c r="DR31" i="18"/>
  <c r="DP31" i="18"/>
  <c r="DN31" i="18"/>
  <c r="DL31" i="18"/>
  <c r="DJ31" i="18"/>
  <c r="DH31" i="18"/>
  <c r="DF31" i="18"/>
  <c r="DD31" i="18"/>
  <c r="DB31" i="18"/>
  <c r="CZ31" i="18"/>
  <c r="CX31" i="18"/>
  <c r="CP31" i="18"/>
  <c r="CN31" i="18"/>
  <c r="CL31" i="18"/>
  <c r="CJ31" i="18"/>
  <c r="CH31" i="18"/>
  <c r="CF31" i="18"/>
  <c r="CD31" i="18"/>
  <c r="CB31" i="18"/>
  <c r="BZ31" i="18"/>
  <c r="BX31" i="18"/>
  <c r="BV31" i="18"/>
  <c r="BT31" i="18"/>
  <c r="BL31" i="18"/>
  <c r="BJ31" i="18"/>
  <c r="BH31" i="18"/>
  <c r="BF31" i="18"/>
  <c r="BD31" i="18"/>
  <c r="BB31" i="18"/>
  <c r="AZ31" i="18"/>
  <c r="AX31" i="18"/>
  <c r="AV31" i="18"/>
  <c r="AT31" i="18"/>
  <c r="AR31" i="18"/>
  <c r="AP31" i="18"/>
  <c r="LV30" i="18"/>
  <c r="LT30" i="18"/>
  <c r="LR30" i="18"/>
  <c r="LP30" i="18"/>
  <c r="LN30" i="18"/>
  <c r="LL30" i="18"/>
  <c r="LJ30" i="18"/>
  <c r="LH30" i="18"/>
  <c r="LF30" i="18"/>
  <c r="LD30" i="18"/>
  <c r="LB30" i="18"/>
  <c r="KZ30" i="18"/>
  <c r="JV30" i="18"/>
  <c r="JN30" i="18"/>
  <c r="JL30" i="18"/>
  <c r="JJ30" i="18"/>
  <c r="JH30" i="18"/>
  <c r="JF30" i="18"/>
  <c r="JD30" i="18"/>
  <c r="JB30" i="18"/>
  <c r="IZ30" i="18"/>
  <c r="IX30" i="18"/>
  <c r="IV30" i="18"/>
  <c r="IT30" i="18"/>
  <c r="IR30" i="18"/>
  <c r="IJ30" i="18"/>
  <c r="IH30" i="18"/>
  <c r="IF30" i="18"/>
  <c r="ID30" i="18"/>
  <c r="IB30" i="18"/>
  <c r="HZ30" i="18"/>
  <c r="HX30" i="18"/>
  <c r="HV30" i="18"/>
  <c r="HT30" i="18"/>
  <c r="HR30" i="18"/>
  <c r="HF30" i="18"/>
  <c r="HD30" i="18"/>
  <c r="HB30" i="18"/>
  <c r="GZ30" i="18"/>
  <c r="GX30" i="18"/>
  <c r="GV30" i="18"/>
  <c r="GT30" i="18"/>
  <c r="GR30" i="18"/>
  <c r="GP30" i="18"/>
  <c r="GN30" i="18"/>
  <c r="FC30" i="18"/>
  <c r="FT30" i="18" s="1"/>
  <c r="DT30" i="18"/>
  <c r="DR30" i="18"/>
  <c r="DP30" i="18"/>
  <c r="DN30" i="18"/>
  <c r="DL30" i="18"/>
  <c r="DJ30" i="18"/>
  <c r="DH30" i="18"/>
  <c r="DF30" i="18"/>
  <c r="DD30" i="18"/>
  <c r="DB30" i="18"/>
  <c r="CZ30" i="18"/>
  <c r="CX30" i="18"/>
  <c r="CP30" i="18"/>
  <c r="CN30" i="18"/>
  <c r="CL30" i="18"/>
  <c r="CJ30" i="18"/>
  <c r="CH30" i="18"/>
  <c r="CF30" i="18"/>
  <c r="CD30" i="18"/>
  <c r="CB30" i="18"/>
  <c r="BZ30" i="18"/>
  <c r="BX30" i="18"/>
  <c r="BV30" i="18"/>
  <c r="BT30" i="18"/>
  <c r="AM30" i="18"/>
  <c r="BJ30" i="18" s="1"/>
  <c r="LV29" i="18"/>
  <c r="LT29" i="18"/>
  <c r="LR29" i="18"/>
  <c r="LP29" i="18"/>
  <c r="LN29" i="18"/>
  <c r="LL29" i="18"/>
  <c r="LJ29" i="18"/>
  <c r="LH29" i="18"/>
  <c r="LF29" i="18"/>
  <c r="LD29" i="18"/>
  <c r="LB29" i="18"/>
  <c r="KZ29" i="18"/>
  <c r="JV29" i="18"/>
  <c r="JL29" i="18"/>
  <c r="JF29" i="18"/>
  <c r="IZ29" i="18"/>
  <c r="IT29" i="18"/>
  <c r="IP29" i="18"/>
  <c r="FC29" i="18"/>
  <c r="FZ29" i="18" s="1"/>
  <c r="DR29" i="18"/>
  <c r="DL29" i="18"/>
  <c r="DF29" i="18"/>
  <c r="CZ29" i="18"/>
  <c r="CN29" i="18"/>
  <c r="CH29" i="18"/>
  <c r="CB29" i="18"/>
  <c r="BV29" i="18"/>
  <c r="BL29" i="18"/>
  <c r="BJ29" i="18"/>
  <c r="BH29" i="18"/>
  <c r="BF29" i="18"/>
  <c r="BD29" i="18"/>
  <c r="BB29" i="18"/>
  <c r="AZ29" i="18"/>
  <c r="AX29" i="18"/>
  <c r="AV29" i="18"/>
  <c r="AT29" i="18"/>
  <c r="AR29" i="18"/>
  <c r="AP29" i="18"/>
  <c r="LV28" i="18"/>
  <c r="LT28" i="18"/>
  <c r="LR28" i="18"/>
  <c r="LP28" i="18"/>
  <c r="LN28" i="18"/>
  <c r="LL28" i="18"/>
  <c r="LJ28" i="18"/>
  <c r="LH28" i="18"/>
  <c r="LF28" i="18"/>
  <c r="LD28" i="18"/>
  <c r="LB28" i="18"/>
  <c r="KZ28" i="18"/>
  <c r="JL28" i="18"/>
  <c r="JF28" i="18"/>
  <c r="IZ28" i="18"/>
  <c r="IT28" i="18"/>
  <c r="IP28" i="18"/>
  <c r="FC28" i="18"/>
  <c r="FN28" i="18" s="1"/>
  <c r="DR28" i="18"/>
  <c r="DL28" i="18"/>
  <c r="DF28" i="18"/>
  <c r="CZ28" i="18"/>
  <c r="CX28" i="18"/>
  <c r="CN28" i="18"/>
  <c r="CH28" i="18"/>
  <c r="CB28" i="18"/>
  <c r="BV28" i="18"/>
  <c r="BL28" i="18"/>
  <c r="BJ28" i="18"/>
  <c r="BH28" i="18"/>
  <c r="BF28" i="18"/>
  <c r="BD28" i="18"/>
  <c r="BB28" i="18"/>
  <c r="AZ28" i="18"/>
  <c r="AX28" i="18"/>
  <c r="AV28" i="18"/>
  <c r="AT28" i="18"/>
  <c r="AR28" i="18"/>
  <c r="AP28" i="18"/>
  <c r="LV27" i="18"/>
  <c r="LT27" i="18"/>
  <c r="LR27" i="18"/>
  <c r="LP27" i="18"/>
  <c r="LN27" i="18"/>
  <c r="LL27" i="18"/>
  <c r="LJ27" i="18"/>
  <c r="LH27" i="18"/>
  <c r="LF27" i="18"/>
  <c r="LD27" i="18"/>
  <c r="LB27" i="18"/>
  <c r="KZ27" i="18"/>
  <c r="JL27" i="18"/>
  <c r="JF27" i="18"/>
  <c r="IZ27" i="18"/>
  <c r="IT27" i="18"/>
  <c r="IP27" i="18"/>
  <c r="FC27" i="18"/>
  <c r="FZ27" i="18" s="1"/>
  <c r="DR27" i="18"/>
  <c r="DL27" i="18"/>
  <c r="DF27" i="18"/>
  <c r="CZ27" i="18"/>
  <c r="CN27" i="18"/>
  <c r="CH27" i="18"/>
  <c r="CB27" i="18"/>
  <c r="BV27" i="18"/>
  <c r="AM27" i="18"/>
  <c r="LV26" i="18"/>
  <c r="LT26" i="18"/>
  <c r="LR26" i="18"/>
  <c r="LP26" i="18"/>
  <c r="LN26" i="18"/>
  <c r="LL26" i="18"/>
  <c r="LJ26" i="18"/>
  <c r="LH26" i="18"/>
  <c r="LF26" i="18"/>
  <c r="LD26" i="18"/>
  <c r="LB26" i="18"/>
  <c r="KZ26" i="18"/>
  <c r="JV26" i="18"/>
  <c r="JL26" i="18"/>
  <c r="JH26" i="18"/>
  <c r="JD26" i="18"/>
  <c r="IZ26" i="18"/>
  <c r="IV26" i="18"/>
  <c r="IR26" i="18"/>
  <c r="FC26" i="18"/>
  <c r="FN26" i="18" s="1"/>
  <c r="DR26" i="18"/>
  <c r="DN26" i="18"/>
  <c r="DJ26" i="18"/>
  <c r="DF26" i="18"/>
  <c r="DB26" i="18"/>
  <c r="CX26" i="18"/>
  <c r="CN26" i="18"/>
  <c r="CJ26" i="18"/>
  <c r="CF26" i="18"/>
  <c r="CB26" i="18"/>
  <c r="BX26" i="18"/>
  <c r="BT26" i="18"/>
  <c r="BL26" i="18"/>
  <c r="BJ26" i="18"/>
  <c r="BH26" i="18"/>
  <c r="BF26" i="18"/>
  <c r="BD26" i="18"/>
  <c r="BB26" i="18"/>
  <c r="AZ26" i="18"/>
  <c r="AX26" i="18"/>
  <c r="AV26" i="18"/>
  <c r="AT26" i="18"/>
  <c r="AR26" i="18"/>
  <c r="AP26" i="18"/>
  <c r="LV25" i="18"/>
  <c r="LT25" i="18"/>
  <c r="LR25" i="18"/>
  <c r="LP25" i="18"/>
  <c r="LN25" i="18"/>
  <c r="LL25" i="18"/>
  <c r="LJ25" i="18"/>
  <c r="LH25" i="18"/>
  <c r="LF25" i="18"/>
  <c r="LD25" i="18"/>
  <c r="LB25" i="18"/>
  <c r="KZ25" i="18"/>
  <c r="JV25" i="18"/>
  <c r="JL25" i="18"/>
  <c r="JH25" i="18"/>
  <c r="JD25" i="18"/>
  <c r="IZ25" i="18"/>
  <c r="IV25" i="18"/>
  <c r="IR25" i="18"/>
  <c r="FC25" i="18"/>
  <c r="FR25" i="18" s="1"/>
  <c r="DR25" i="18"/>
  <c r="DN25" i="18"/>
  <c r="DJ25" i="18"/>
  <c r="DF25" i="18"/>
  <c r="DB25" i="18"/>
  <c r="CX25" i="18"/>
  <c r="CN25" i="18"/>
  <c r="CJ25" i="18"/>
  <c r="CF25" i="18"/>
  <c r="CB25" i="18"/>
  <c r="BX25" i="18"/>
  <c r="BT25" i="18"/>
  <c r="BL25" i="18"/>
  <c r="BJ25" i="18"/>
  <c r="BH25" i="18"/>
  <c r="BF25" i="18"/>
  <c r="BD25" i="18"/>
  <c r="BB25" i="18"/>
  <c r="AZ25" i="18"/>
  <c r="AX25" i="18"/>
  <c r="AV25" i="18"/>
  <c r="AT25" i="18"/>
  <c r="AR25" i="18"/>
  <c r="AP25" i="18"/>
  <c r="AE25" i="18"/>
  <c r="LV24" i="18"/>
  <c r="LT24" i="18"/>
  <c r="LR24" i="18"/>
  <c r="LP24" i="18"/>
  <c r="LN24" i="18"/>
  <c r="LL24" i="18"/>
  <c r="LJ24" i="18"/>
  <c r="LH24" i="18"/>
  <c r="LF24" i="18"/>
  <c r="LD24" i="18"/>
  <c r="LB24" i="18"/>
  <c r="KZ24" i="18"/>
  <c r="JV24" i="18"/>
  <c r="JL24" i="18"/>
  <c r="JH24" i="18"/>
  <c r="JD24" i="18"/>
  <c r="IZ24" i="18"/>
  <c r="IV24" i="18"/>
  <c r="IR24" i="18"/>
  <c r="FC24" i="18"/>
  <c r="DR24" i="18"/>
  <c r="DN24" i="18"/>
  <c r="DJ24" i="18"/>
  <c r="DF24" i="18"/>
  <c r="DB24" i="18"/>
  <c r="CX24" i="18"/>
  <c r="CN24" i="18"/>
  <c r="CJ24" i="18"/>
  <c r="CF24" i="18"/>
  <c r="CB24" i="18"/>
  <c r="BX24" i="18"/>
  <c r="BT24" i="18"/>
  <c r="AM24" i="18"/>
  <c r="BJ24" i="18" s="1"/>
  <c r="LV23" i="18"/>
  <c r="LT23" i="18"/>
  <c r="LR23" i="18"/>
  <c r="LP23" i="18"/>
  <c r="LN23" i="18"/>
  <c r="LL23" i="18"/>
  <c r="LJ23" i="18"/>
  <c r="LH23" i="18"/>
  <c r="LF23" i="18"/>
  <c r="LD23" i="18"/>
  <c r="LB23" i="18"/>
  <c r="KZ23" i="18"/>
  <c r="JV23" i="18"/>
  <c r="JL23" i="18"/>
  <c r="JH23" i="18"/>
  <c r="JD23" i="18"/>
  <c r="IZ23" i="18"/>
  <c r="IV23" i="18"/>
  <c r="IR23" i="18"/>
  <c r="FC23" i="18"/>
  <c r="FZ23" i="18" s="1"/>
  <c r="DR23" i="18"/>
  <c r="DN23" i="18"/>
  <c r="DJ23" i="18"/>
  <c r="DF23" i="18"/>
  <c r="DB23" i="18"/>
  <c r="CX23" i="18"/>
  <c r="CN23" i="18"/>
  <c r="CJ23" i="18"/>
  <c r="CF23" i="18"/>
  <c r="CB23" i="18"/>
  <c r="BX23" i="18"/>
  <c r="BT23" i="18"/>
  <c r="BL23" i="18"/>
  <c r="BJ23" i="18"/>
  <c r="BH23" i="18"/>
  <c r="BF23" i="18"/>
  <c r="BD23" i="18"/>
  <c r="BB23" i="18"/>
  <c r="AZ23" i="18"/>
  <c r="AX23" i="18"/>
  <c r="AV23" i="18"/>
  <c r="AT23" i="18"/>
  <c r="AR23" i="18"/>
  <c r="AP23" i="18"/>
  <c r="LV22" i="18"/>
  <c r="LT22" i="18"/>
  <c r="LR22" i="18"/>
  <c r="LP22" i="18"/>
  <c r="LN22" i="18"/>
  <c r="LL22" i="18"/>
  <c r="LJ22" i="18"/>
  <c r="LH22" i="18"/>
  <c r="LF22" i="18"/>
  <c r="LD22" i="18"/>
  <c r="LB22" i="18"/>
  <c r="KZ22" i="18"/>
  <c r="JV22" i="18"/>
  <c r="JL22" i="18"/>
  <c r="JH22" i="18"/>
  <c r="JD22" i="18"/>
  <c r="IZ22" i="18"/>
  <c r="IV22" i="18"/>
  <c r="IR22" i="18"/>
  <c r="FC22" i="18"/>
  <c r="FZ22" i="18" s="1"/>
  <c r="DT22" i="18"/>
  <c r="DR22" i="18"/>
  <c r="DP22" i="18"/>
  <c r="DN22" i="18"/>
  <c r="DL22" i="18"/>
  <c r="DJ22" i="18"/>
  <c r="DH22" i="18"/>
  <c r="DF22" i="18"/>
  <c r="DD22" i="18"/>
  <c r="DB22" i="18"/>
  <c r="CZ22" i="18"/>
  <c r="CX22" i="18"/>
  <c r="CN22" i="18"/>
  <c r="CJ22" i="18"/>
  <c r="CF22" i="18"/>
  <c r="CB22" i="18"/>
  <c r="BX22" i="18"/>
  <c r="BT22" i="18"/>
  <c r="BL22" i="18"/>
  <c r="BJ22" i="18"/>
  <c r="BH22" i="18"/>
  <c r="BF22" i="18"/>
  <c r="BD22" i="18"/>
  <c r="BB22" i="18"/>
  <c r="AZ22" i="18"/>
  <c r="AX22" i="18"/>
  <c r="AV22" i="18"/>
  <c r="AT22" i="18"/>
  <c r="AR22" i="18"/>
  <c r="AP22" i="18"/>
  <c r="LV21" i="18"/>
  <c r="LT21" i="18"/>
  <c r="LR21" i="18"/>
  <c r="LP21" i="18"/>
  <c r="LN21" i="18"/>
  <c r="LL21" i="18"/>
  <c r="LJ21" i="18"/>
  <c r="LH21" i="18"/>
  <c r="LF21" i="18"/>
  <c r="LD21" i="18"/>
  <c r="LB21" i="18"/>
  <c r="KZ21" i="18"/>
  <c r="JV21" i="18"/>
  <c r="JN21" i="18"/>
  <c r="JL21" i="18"/>
  <c r="JJ21" i="18"/>
  <c r="JH21" i="18"/>
  <c r="JF21" i="18"/>
  <c r="JD21" i="18"/>
  <c r="JB21" i="18"/>
  <c r="IZ21" i="18"/>
  <c r="IX21" i="18"/>
  <c r="IV21" i="18"/>
  <c r="IT21" i="18"/>
  <c r="IR21" i="18"/>
  <c r="IJ21" i="18"/>
  <c r="IH21" i="18"/>
  <c r="IF21" i="18"/>
  <c r="ID21" i="18"/>
  <c r="IB21" i="18"/>
  <c r="HZ21" i="18"/>
  <c r="HX21" i="18"/>
  <c r="HV21" i="18"/>
  <c r="HT21" i="18"/>
  <c r="HR21" i="18"/>
  <c r="HF21" i="18"/>
  <c r="HD21" i="18"/>
  <c r="HB21" i="18"/>
  <c r="GZ21" i="18"/>
  <c r="GX21" i="18"/>
  <c r="GV21" i="18"/>
  <c r="GB21" i="18"/>
  <c r="FZ21" i="18"/>
  <c r="FX21" i="18"/>
  <c r="FV21" i="18"/>
  <c r="FT21" i="18"/>
  <c r="FR21" i="18"/>
  <c r="FP21" i="18"/>
  <c r="FN21" i="18"/>
  <c r="FL21" i="18"/>
  <c r="FJ21" i="18"/>
  <c r="FH21" i="18"/>
  <c r="FF21" i="18"/>
  <c r="DT21" i="18"/>
  <c r="DR21" i="18"/>
  <c r="DP21" i="18"/>
  <c r="DN21" i="18"/>
  <c r="DL21" i="18"/>
  <c r="DJ21" i="18"/>
  <c r="DH21" i="18"/>
  <c r="DF21" i="18"/>
  <c r="DD21" i="18"/>
  <c r="DB21" i="18"/>
  <c r="CZ21" i="18"/>
  <c r="CX21" i="18"/>
  <c r="CP21" i="18"/>
  <c r="CN21" i="18"/>
  <c r="CL21" i="18"/>
  <c r="CJ21" i="18"/>
  <c r="CH21" i="18"/>
  <c r="CF21" i="18"/>
  <c r="CD21" i="18"/>
  <c r="CB21" i="18"/>
  <c r="BZ21" i="18"/>
  <c r="BX21" i="18"/>
  <c r="BV21" i="18"/>
  <c r="BT21" i="18"/>
  <c r="BL21" i="18"/>
  <c r="BJ21" i="18"/>
  <c r="BH21" i="18"/>
  <c r="BF21" i="18"/>
  <c r="BD21" i="18"/>
  <c r="BB21" i="18"/>
  <c r="AZ21" i="18"/>
  <c r="AX21" i="18"/>
  <c r="AV21" i="18"/>
  <c r="AT21" i="18"/>
  <c r="AR21" i="18"/>
  <c r="AP21" i="18"/>
  <c r="LV20" i="18"/>
  <c r="LT20" i="18"/>
  <c r="LR20" i="18"/>
  <c r="LP20" i="18"/>
  <c r="LN20" i="18"/>
  <c r="LL20" i="18"/>
  <c r="LJ20" i="18"/>
  <c r="LH20" i="18"/>
  <c r="LF20" i="18"/>
  <c r="LD20" i="18"/>
  <c r="LB20" i="18"/>
  <c r="KZ20" i="18"/>
  <c r="JV20" i="18"/>
  <c r="JN20" i="18"/>
  <c r="JL20" i="18"/>
  <c r="JJ20" i="18"/>
  <c r="JH20" i="18"/>
  <c r="JF20" i="18"/>
  <c r="JD20" i="18"/>
  <c r="JB20" i="18"/>
  <c r="IZ20" i="18"/>
  <c r="IX20" i="18"/>
  <c r="IV20" i="18"/>
  <c r="IT20" i="18"/>
  <c r="IR20" i="18"/>
  <c r="IJ20" i="18"/>
  <c r="IH20" i="18"/>
  <c r="IF20" i="18"/>
  <c r="ID20" i="18"/>
  <c r="IB20" i="18"/>
  <c r="HZ20" i="18"/>
  <c r="HX20" i="18"/>
  <c r="HV20" i="18"/>
  <c r="HT20" i="18"/>
  <c r="HR20" i="18"/>
  <c r="HF20" i="18"/>
  <c r="HD20" i="18"/>
  <c r="HB20" i="18"/>
  <c r="GZ20" i="18"/>
  <c r="GX20" i="18"/>
  <c r="GV20" i="18"/>
  <c r="GT20" i="18"/>
  <c r="GR20" i="18"/>
  <c r="GP20" i="18"/>
  <c r="GB20" i="18"/>
  <c r="FZ20" i="18"/>
  <c r="FX20" i="18"/>
  <c r="FV20" i="18"/>
  <c r="FT20" i="18"/>
  <c r="FR20" i="18"/>
  <c r="FP20" i="18"/>
  <c r="FN20" i="18"/>
  <c r="FL20" i="18"/>
  <c r="FJ20" i="18"/>
  <c r="FH20" i="18"/>
  <c r="FF20" i="18"/>
  <c r="DT20" i="18"/>
  <c r="DR20" i="18"/>
  <c r="DP20" i="18"/>
  <c r="DN20" i="18"/>
  <c r="DL20" i="18"/>
  <c r="DJ20" i="18"/>
  <c r="DH20" i="18"/>
  <c r="DF20" i="18"/>
  <c r="DD20" i="18"/>
  <c r="DB20" i="18"/>
  <c r="CZ20" i="18"/>
  <c r="CX20" i="18"/>
  <c r="CP20" i="18"/>
  <c r="CN20" i="18"/>
  <c r="CL20" i="18"/>
  <c r="CJ20" i="18"/>
  <c r="CH20" i="18"/>
  <c r="CF20" i="18"/>
  <c r="CD20" i="18"/>
  <c r="CB20" i="18"/>
  <c r="BZ20" i="18"/>
  <c r="BX20" i="18"/>
  <c r="BV20" i="18"/>
  <c r="BT20" i="18"/>
  <c r="BL20" i="18"/>
  <c r="BJ20" i="18"/>
  <c r="BH20" i="18"/>
  <c r="BF20" i="18"/>
  <c r="BD20" i="18"/>
  <c r="BB20" i="18"/>
  <c r="AZ20" i="18"/>
  <c r="AX20" i="18"/>
  <c r="AV20" i="18"/>
  <c r="AT20" i="18"/>
  <c r="AR20" i="18"/>
  <c r="AP20" i="18"/>
  <c r="LV19" i="18"/>
  <c r="LT19" i="18"/>
  <c r="LR19" i="18"/>
  <c r="LP19" i="18"/>
  <c r="LN19" i="18"/>
  <c r="LL19" i="18"/>
  <c r="LJ19" i="18"/>
  <c r="LH19" i="18"/>
  <c r="LF19" i="18"/>
  <c r="LD19" i="18"/>
  <c r="LB19" i="18"/>
  <c r="KZ19" i="18"/>
  <c r="JV19" i="18"/>
  <c r="JN19" i="18"/>
  <c r="JL19" i="18"/>
  <c r="JJ19" i="18"/>
  <c r="JH19" i="18"/>
  <c r="JF19" i="18"/>
  <c r="JD19" i="18"/>
  <c r="JB19" i="18"/>
  <c r="IZ19" i="18"/>
  <c r="IX19" i="18"/>
  <c r="IV19" i="18"/>
  <c r="IT19" i="18"/>
  <c r="IR19" i="18"/>
  <c r="IJ19" i="18"/>
  <c r="IH19" i="18"/>
  <c r="IF19" i="18"/>
  <c r="ID19" i="18"/>
  <c r="IB19" i="18"/>
  <c r="HZ19" i="18"/>
  <c r="HX19" i="18"/>
  <c r="HV19" i="18"/>
  <c r="HT19" i="18"/>
  <c r="HR19" i="18"/>
  <c r="HF19" i="18"/>
  <c r="HD19" i="18"/>
  <c r="HB19" i="18"/>
  <c r="GZ19" i="18"/>
  <c r="GX19" i="18"/>
  <c r="GV19" i="18"/>
  <c r="GT19" i="18"/>
  <c r="GR19" i="18"/>
  <c r="GP19" i="18"/>
  <c r="GB19" i="18"/>
  <c r="FZ19" i="18"/>
  <c r="FX19" i="18"/>
  <c r="FV19" i="18"/>
  <c r="FT19" i="18"/>
  <c r="FR19" i="18"/>
  <c r="FP19" i="18"/>
  <c r="FN19" i="18"/>
  <c r="FL19" i="18"/>
  <c r="FJ19" i="18"/>
  <c r="FH19" i="18"/>
  <c r="FF19" i="18"/>
  <c r="DT19" i="18"/>
  <c r="DR19" i="18"/>
  <c r="DP19" i="18"/>
  <c r="DN19" i="18"/>
  <c r="DL19" i="18"/>
  <c r="DJ19" i="18"/>
  <c r="DH19" i="18"/>
  <c r="DF19" i="18"/>
  <c r="DD19" i="18"/>
  <c r="DB19" i="18"/>
  <c r="CZ19" i="18"/>
  <c r="CX19" i="18"/>
  <c r="CP19" i="18"/>
  <c r="CN19" i="18"/>
  <c r="CL19" i="18"/>
  <c r="CJ19" i="18"/>
  <c r="CH19" i="18"/>
  <c r="CF19" i="18"/>
  <c r="CD19" i="18"/>
  <c r="CB19" i="18"/>
  <c r="BZ19" i="18"/>
  <c r="BX19" i="18"/>
  <c r="BV19" i="18"/>
  <c r="BT19" i="18"/>
  <c r="BL19" i="18"/>
  <c r="BJ19" i="18"/>
  <c r="BH19" i="18"/>
  <c r="BF19" i="18"/>
  <c r="BD19" i="18"/>
  <c r="BB19" i="18"/>
  <c r="AZ19" i="18"/>
  <c r="AX19" i="18"/>
  <c r="AV19" i="18"/>
  <c r="AT19" i="18"/>
  <c r="AR19" i="18"/>
  <c r="AP19" i="18"/>
  <c r="KW18" i="18"/>
  <c r="KR18" i="18"/>
  <c r="KP18" i="18"/>
  <c r="KN18" i="18"/>
  <c r="KL18" i="18"/>
  <c r="KJ18" i="18"/>
  <c r="KH18" i="18"/>
  <c r="KF18" i="18"/>
  <c r="KD18" i="18"/>
  <c r="KB18" i="18"/>
  <c r="JZ18" i="18"/>
  <c r="JX18" i="18"/>
  <c r="JV18" i="18"/>
  <c r="JN18" i="18"/>
  <c r="JL18" i="18"/>
  <c r="JJ18" i="18"/>
  <c r="JH18" i="18"/>
  <c r="JF18" i="18"/>
  <c r="JD18" i="18"/>
  <c r="JB18" i="18"/>
  <c r="IZ18" i="18"/>
  <c r="IX18" i="18"/>
  <c r="IV18" i="18"/>
  <c r="IT18" i="18"/>
  <c r="IR18" i="18"/>
  <c r="IJ18" i="18"/>
  <c r="IH18" i="18"/>
  <c r="IF18" i="18"/>
  <c r="ID18" i="18"/>
  <c r="IB18" i="18"/>
  <c r="HZ18" i="18"/>
  <c r="HX18" i="18"/>
  <c r="HV18" i="18"/>
  <c r="HT18" i="18"/>
  <c r="HR18" i="18"/>
  <c r="HP18" i="18"/>
  <c r="HN18" i="18"/>
  <c r="HF18" i="18"/>
  <c r="HD18" i="18"/>
  <c r="HB18" i="18"/>
  <c r="GZ18" i="18"/>
  <c r="GX18" i="18"/>
  <c r="GV18" i="18"/>
  <c r="GT18" i="18"/>
  <c r="GR18" i="18"/>
  <c r="GP18" i="18"/>
  <c r="GN18" i="18"/>
  <c r="GL18" i="18"/>
  <c r="GB18" i="18"/>
  <c r="FZ18" i="18"/>
  <c r="FX18" i="18"/>
  <c r="FV18" i="18"/>
  <c r="FT18" i="18"/>
  <c r="FR18" i="18"/>
  <c r="FP18" i="18"/>
  <c r="FN18" i="18"/>
  <c r="FL18" i="18"/>
  <c r="FJ18" i="18"/>
  <c r="FH18" i="18"/>
  <c r="FF18" i="18"/>
  <c r="FE18" i="18"/>
  <c r="DT18" i="18"/>
  <c r="DR18" i="18"/>
  <c r="DP18" i="18"/>
  <c r="DN18" i="18"/>
  <c r="DL18" i="18"/>
  <c r="DJ18" i="18"/>
  <c r="DH18" i="18"/>
  <c r="DF18" i="18"/>
  <c r="DD18" i="18"/>
  <c r="DB18" i="18"/>
  <c r="CZ18" i="18"/>
  <c r="CX18" i="18"/>
  <c r="CP18" i="18"/>
  <c r="CN18" i="18"/>
  <c r="CL18" i="18"/>
  <c r="CJ18" i="18"/>
  <c r="CH18" i="18"/>
  <c r="CF18" i="18"/>
  <c r="CD18" i="18"/>
  <c r="CB18" i="18"/>
  <c r="BZ18" i="18"/>
  <c r="BX18" i="18"/>
  <c r="BV18" i="18"/>
  <c r="BT18" i="18"/>
  <c r="BL18" i="18"/>
  <c r="BJ18" i="18"/>
  <c r="BH18" i="18"/>
  <c r="BF18" i="18"/>
  <c r="BD18" i="18"/>
  <c r="BB18" i="18"/>
  <c r="AZ18" i="18"/>
  <c r="AX18" i="18"/>
  <c r="AV18" i="18"/>
  <c r="AT18" i="18"/>
  <c r="AR18" i="18"/>
  <c r="AP18" i="18"/>
  <c r="AF18" i="18"/>
  <c r="AD18" i="18"/>
  <c r="AB18" i="18"/>
  <c r="Z18" i="18"/>
  <c r="X18" i="18"/>
  <c r="V18" i="18"/>
  <c r="T18" i="18"/>
  <c r="R18" i="18"/>
  <c r="P18" i="18"/>
  <c r="N18" i="18"/>
  <c r="L18" i="18"/>
  <c r="LV17" i="18"/>
  <c r="LP17" i="18"/>
  <c r="LL17" i="18"/>
  <c r="LJ17" i="18"/>
  <c r="LH17" i="18"/>
  <c r="LF17" i="18"/>
  <c r="LD17" i="18"/>
  <c r="KZ17" i="18"/>
  <c r="KR17" i="18"/>
  <c r="KP17" i="18"/>
  <c r="KN17" i="18"/>
  <c r="KL17" i="18"/>
  <c r="KJ17" i="18"/>
  <c r="KH17" i="18"/>
  <c r="KF17" i="18"/>
  <c r="KD17" i="18"/>
  <c r="KB17" i="18"/>
  <c r="JZ17" i="18"/>
  <c r="JX17" i="18"/>
  <c r="JV17" i="18"/>
  <c r="JN17" i="18"/>
  <c r="JL17" i="18"/>
  <c r="JJ17" i="18"/>
  <c r="JH17" i="18"/>
  <c r="JF17" i="18"/>
  <c r="JD17" i="18"/>
  <c r="JB17" i="18"/>
  <c r="IZ17" i="18"/>
  <c r="IX17" i="18"/>
  <c r="IV17" i="18"/>
  <c r="IT17" i="18"/>
  <c r="IR17" i="18"/>
  <c r="IJ17" i="18"/>
  <c r="IH17" i="18"/>
  <c r="IF17" i="18"/>
  <c r="ID17" i="18"/>
  <c r="IB17" i="18"/>
  <c r="HZ17" i="18"/>
  <c r="HX17" i="18"/>
  <c r="HV17" i="18"/>
  <c r="HT17" i="18"/>
  <c r="HR17" i="18"/>
  <c r="HP17" i="18"/>
  <c r="HN17" i="18"/>
  <c r="GB17" i="18"/>
  <c r="FZ17" i="18"/>
  <c r="FX17" i="18"/>
  <c r="FV17" i="18"/>
  <c r="FT17" i="18"/>
  <c r="FR17" i="18"/>
  <c r="FP17" i="18"/>
  <c r="FN17" i="18"/>
  <c r="FL17" i="18"/>
  <c r="FJ17" i="18"/>
  <c r="FH17" i="18"/>
  <c r="FF17" i="18"/>
  <c r="FE17" i="18"/>
  <c r="DP17" i="18"/>
  <c r="DJ17" i="18"/>
  <c r="DD17" i="18"/>
  <c r="CX17" i="18"/>
  <c r="CL17" i="18"/>
  <c r="AB17" i="18"/>
  <c r="T17" i="18"/>
  <c r="L17" i="18"/>
  <c r="DM17" i="18"/>
  <c r="LV16" i="18"/>
  <c r="LP16" i="18"/>
  <c r="LJ16" i="18"/>
  <c r="LD16" i="18"/>
  <c r="KR16" i="18"/>
  <c r="KP16" i="18"/>
  <c r="KN16" i="18"/>
  <c r="KL16" i="18"/>
  <c r="KJ16" i="18"/>
  <c r="KH16" i="18"/>
  <c r="KF16" i="18"/>
  <c r="KD16" i="18"/>
  <c r="KB16" i="18"/>
  <c r="JZ16" i="18"/>
  <c r="JX16" i="18"/>
  <c r="JV16" i="18"/>
  <c r="JN16" i="18"/>
  <c r="JL16" i="18"/>
  <c r="JJ16" i="18"/>
  <c r="JH16" i="18"/>
  <c r="JF16" i="18"/>
  <c r="JD16" i="18"/>
  <c r="JB16" i="18"/>
  <c r="IZ16" i="18"/>
  <c r="IX16" i="18"/>
  <c r="IV16" i="18"/>
  <c r="IT16" i="18"/>
  <c r="IR16" i="18"/>
  <c r="IJ16" i="18"/>
  <c r="IH16" i="18"/>
  <c r="IF16" i="18"/>
  <c r="ID16" i="18"/>
  <c r="IB16" i="18"/>
  <c r="HZ16" i="18"/>
  <c r="HX16" i="18"/>
  <c r="HV16" i="18"/>
  <c r="HT16" i="18"/>
  <c r="HR16" i="18"/>
  <c r="HP16" i="18"/>
  <c r="HN16" i="18"/>
  <c r="HF16" i="18"/>
  <c r="HD16" i="18"/>
  <c r="HB16" i="18"/>
  <c r="GZ16" i="18"/>
  <c r="GX16" i="18"/>
  <c r="GV16" i="18"/>
  <c r="GT16" i="18"/>
  <c r="GR16" i="18"/>
  <c r="GP16" i="18"/>
  <c r="GN16" i="18"/>
  <c r="GL16" i="18"/>
  <c r="GJ16" i="18"/>
  <c r="GB16" i="18"/>
  <c r="FZ16" i="18"/>
  <c r="FX16" i="18"/>
  <c r="FV16" i="18"/>
  <c r="FT16" i="18"/>
  <c r="FR16" i="18"/>
  <c r="FP16" i="18"/>
  <c r="FN16" i="18"/>
  <c r="FL16" i="18"/>
  <c r="FJ16" i="18"/>
  <c r="FH16" i="18"/>
  <c r="FF16" i="18"/>
  <c r="FE16" i="18"/>
  <c r="DT16" i="18"/>
  <c r="DR16" i="18"/>
  <c r="DP16" i="18"/>
  <c r="DN16" i="18"/>
  <c r="DL16" i="18"/>
  <c r="DJ16" i="18"/>
  <c r="DH16" i="18"/>
  <c r="DF16" i="18"/>
  <c r="DD16" i="18"/>
  <c r="DB16" i="18"/>
  <c r="CZ16" i="18"/>
  <c r="CX16" i="18"/>
  <c r="CP16" i="18"/>
  <c r="CN16" i="18"/>
  <c r="CL16" i="18"/>
  <c r="CJ16" i="18"/>
  <c r="CH16" i="18"/>
  <c r="CF16" i="18"/>
  <c r="CD16" i="18"/>
  <c r="CB16" i="18"/>
  <c r="BZ16" i="18"/>
  <c r="BX16" i="18"/>
  <c r="BV16" i="18"/>
  <c r="BT16" i="18"/>
  <c r="BL16" i="18"/>
  <c r="BJ16" i="18"/>
  <c r="BH16" i="18"/>
  <c r="BF16" i="18"/>
  <c r="BD16" i="18"/>
  <c r="BB16" i="18"/>
  <c r="AZ16" i="18"/>
  <c r="AX16" i="18"/>
  <c r="AV16" i="18"/>
  <c r="AT16" i="18"/>
  <c r="AR16" i="18"/>
  <c r="AP16" i="18"/>
  <c r="AH16" i="18"/>
  <c r="AF16" i="18"/>
  <c r="AD16" i="18"/>
  <c r="AB16" i="18"/>
  <c r="Z16" i="18"/>
  <c r="X16" i="18"/>
  <c r="V16" i="18"/>
  <c r="T16" i="18"/>
  <c r="R16" i="18"/>
  <c r="P16" i="18"/>
  <c r="N16" i="18"/>
  <c r="L16" i="18"/>
  <c r="LV15" i="18"/>
  <c r="LP15" i="18"/>
  <c r="LJ15" i="18"/>
  <c r="LD15" i="18"/>
  <c r="KR15" i="18"/>
  <c r="KP15" i="18"/>
  <c r="KN15" i="18"/>
  <c r="KL15" i="18"/>
  <c r="KJ15" i="18"/>
  <c r="KH15" i="18"/>
  <c r="KF15" i="18"/>
  <c r="KD15" i="18"/>
  <c r="KB15" i="18"/>
  <c r="JZ15" i="18"/>
  <c r="JX15" i="18"/>
  <c r="JV15" i="18"/>
  <c r="JN15" i="18"/>
  <c r="JL15" i="18"/>
  <c r="JJ15" i="18"/>
  <c r="JH15" i="18"/>
  <c r="JF15" i="18"/>
  <c r="JD15" i="18"/>
  <c r="JB15" i="18"/>
  <c r="IZ15" i="18"/>
  <c r="IX15" i="18"/>
  <c r="IV15" i="18"/>
  <c r="IT15" i="18"/>
  <c r="IR15" i="18"/>
  <c r="IJ15" i="18"/>
  <c r="IH15" i="18"/>
  <c r="IF15" i="18"/>
  <c r="ID15" i="18"/>
  <c r="IB15" i="18"/>
  <c r="HZ15" i="18"/>
  <c r="HX15" i="18"/>
  <c r="HV15" i="18"/>
  <c r="HT15" i="18"/>
  <c r="HR15" i="18"/>
  <c r="HP15" i="18"/>
  <c r="HN15" i="18"/>
  <c r="HF15" i="18"/>
  <c r="HD15" i="18"/>
  <c r="HB15" i="18"/>
  <c r="GZ15" i="18"/>
  <c r="GX15" i="18"/>
  <c r="GV15" i="18"/>
  <c r="GT15" i="18"/>
  <c r="GR15" i="18"/>
  <c r="GP15" i="18"/>
  <c r="GN15" i="18"/>
  <c r="GL15" i="18"/>
  <c r="GJ15" i="18"/>
  <c r="GB15" i="18"/>
  <c r="FZ15" i="18"/>
  <c r="FX15" i="18"/>
  <c r="FV15" i="18"/>
  <c r="FT15" i="18"/>
  <c r="FR15" i="18"/>
  <c r="FP15" i="18"/>
  <c r="FN15" i="18"/>
  <c r="FL15" i="18"/>
  <c r="FJ15" i="18"/>
  <c r="FH15" i="18"/>
  <c r="FF15" i="18"/>
  <c r="FE15" i="18"/>
  <c r="DT15" i="18"/>
  <c r="DR15" i="18"/>
  <c r="DP15" i="18"/>
  <c r="DN15" i="18"/>
  <c r="DL15" i="18"/>
  <c r="DJ15" i="18"/>
  <c r="DH15" i="18"/>
  <c r="DF15" i="18"/>
  <c r="DD15" i="18"/>
  <c r="DB15" i="18"/>
  <c r="CZ15" i="18"/>
  <c r="CX15" i="18"/>
  <c r="CP15" i="18"/>
  <c r="CN15" i="18"/>
  <c r="CL15" i="18"/>
  <c r="CJ15" i="18"/>
  <c r="CH15" i="18"/>
  <c r="CF15" i="18"/>
  <c r="CD15" i="18"/>
  <c r="CB15" i="18"/>
  <c r="BZ15" i="18"/>
  <c r="BX15" i="18"/>
  <c r="BV15" i="18"/>
  <c r="BT15" i="18"/>
  <c r="BL15" i="18"/>
  <c r="BJ15" i="18"/>
  <c r="BH15" i="18"/>
  <c r="BF15" i="18"/>
  <c r="BD15" i="18"/>
  <c r="BB15" i="18"/>
  <c r="AZ15" i="18"/>
  <c r="AX15" i="18"/>
  <c r="AV15" i="18"/>
  <c r="AT15" i="18"/>
  <c r="AR15" i="18"/>
  <c r="AP15" i="18"/>
  <c r="AH15" i="18"/>
  <c r="AF15" i="18"/>
  <c r="AD15" i="18"/>
  <c r="AB15" i="18"/>
  <c r="Z15" i="18"/>
  <c r="X15" i="18"/>
  <c r="V15" i="18"/>
  <c r="T15" i="18"/>
  <c r="R15" i="18"/>
  <c r="P15" i="18"/>
  <c r="N15" i="18"/>
  <c r="L15" i="18"/>
  <c r="KW14" i="18"/>
  <c r="KR14" i="18"/>
  <c r="KP14" i="18"/>
  <c r="KN14" i="18"/>
  <c r="KL14" i="18"/>
  <c r="KJ14" i="18"/>
  <c r="KH14" i="18"/>
  <c r="KF14" i="18"/>
  <c r="KD14" i="18"/>
  <c r="KB14" i="18"/>
  <c r="JZ14" i="18"/>
  <c r="JX14" i="18"/>
  <c r="JV14" i="18"/>
  <c r="JN14" i="18"/>
  <c r="JL14" i="18"/>
  <c r="JJ14" i="18"/>
  <c r="JH14" i="18"/>
  <c r="JF14" i="18"/>
  <c r="JD14" i="18"/>
  <c r="JB14" i="18"/>
  <c r="IZ14" i="18"/>
  <c r="IX14" i="18"/>
  <c r="IV14" i="18"/>
  <c r="IT14" i="18"/>
  <c r="IR14" i="18"/>
  <c r="IJ14" i="18"/>
  <c r="IH14" i="18"/>
  <c r="IF14" i="18"/>
  <c r="ID14" i="18"/>
  <c r="IB14" i="18"/>
  <c r="HZ14" i="18"/>
  <c r="HX14" i="18"/>
  <c r="HV14" i="18"/>
  <c r="HT14" i="18"/>
  <c r="HR14" i="18"/>
  <c r="HP14" i="18"/>
  <c r="HN14" i="18"/>
  <c r="GX14" i="18"/>
  <c r="GB14" i="18"/>
  <c r="FZ14" i="18"/>
  <c r="FX14" i="18"/>
  <c r="FV14" i="18"/>
  <c r="FT14" i="18"/>
  <c r="FR14" i="18"/>
  <c r="FP14" i="18"/>
  <c r="FN14" i="18"/>
  <c r="FL14" i="18"/>
  <c r="FJ14" i="18"/>
  <c r="FH14" i="18"/>
  <c r="FF14" i="18"/>
  <c r="FE14" i="18"/>
  <c r="DL14" i="18"/>
  <c r="BX14" i="18"/>
  <c r="AM14" i="18"/>
  <c r="BF14" i="18" s="1"/>
  <c r="AH14" i="18"/>
  <c r="LP13" i="18"/>
  <c r="KR13" i="18"/>
  <c r="KP13" i="18"/>
  <c r="KN13" i="18"/>
  <c r="KL13" i="18"/>
  <c r="KJ13" i="18"/>
  <c r="KH13" i="18"/>
  <c r="KF13" i="18"/>
  <c r="KD13" i="18"/>
  <c r="KB13" i="18"/>
  <c r="JZ13" i="18"/>
  <c r="JX13" i="18"/>
  <c r="JV13" i="18"/>
  <c r="JN13" i="18"/>
  <c r="JL13" i="18"/>
  <c r="JJ13" i="18"/>
  <c r="JH13" i="18"/>
  <c r="JF13" i="18"/>
  <c r="JD13" i="18"/>
  <c r="JB13" i="18"/>
  <c r="IZ13" i="18"/>
  <c r="IX13" i="18"/>
  <c r="IV13" i="18"/>
  <c r="IT13" i="18"/>
  <c r="IR13" i="18"/>
  <c r="IJ13" i="18"/>
  <c r="IH13" i="18"/>
  <c r="IF13" i="18"/>
  <c r="ID13" i="18"/>
  <c r="IB13" i="18"/>
  <c r="HZ13" i="18"/>
  <c r="HX13" i="18"/>
  <c r="HV13" i="18"/>
  <c r="HT13" i="18"/>
  <c r="HR13" i="18"/>
  <c r="HP13" i="18"/>
  <c r="HN13" i="18"/>
  <c r="GG13" i="18"/>
  <c r="GB13" i="18"/>
  <c r="FZ13" i="18"/>
  <c r="FX13" i="18"/>
  <c r="FV13" i="18"/>
  <c r="FT13" i="18"/>
  <c r="FR13" i="18"/>
  <c r="FP13" i="18"/>
  <c r="FN13" i="18"/>
  <c r="FL13" i="18"/>
  <c r="FJ13" i="18"/>
  <c r="FH13" i="18"/>
  <c r="FF13" i="18"/>
  <c r="FE13" i="18"/>
  <c r="CU13" i="18"/>
  <c r="DR13" i="18" s="1"/>
  <c r="BQ13" i="18"/>
  <c r="CF13" i="18" s="1"/>
  <c r="BF13" i="18"/>
  <c r="I13" i="18"/>
  <c r="K13" i="18" s="1"/>
  <c r="LV12" i="18"/>
  <c r="LP12" i="18"/>
  <c r="LJ12" i="18"/>
  <c r="LD12" i="18"/>
  <c r="KR12" i="18"/>
  <c r="KP12" i="18"/>
  <c r="KN12" i="18"/>
  <c r="KL12" i="18"/>
  <c r="KJ12" i="18"/>
  <c r="KH12" i="18"/>
  <c r="KF12" i="18"/>
  <c r="KD12" i="18"/>
  <c r="KB12" i="18"/>
  <c r="JZ12" i="18"/>
  <c r="JX12" i="18"/>
  <c r="JV12" i="18"/>
  <c r="JN12" i="18"/>
  <c r="JL12" i="18"/>
  <c r="JJ12" i="18"/>
  <c r="JH12" i="18"/>
  <c r="JF12" i="18"/>
  <c r="JD12" i="18"/>
  <c r="JB12" i="18"/>
  <c r="IZ12" i="18"/>
  <c r="IX12" i="18"/>
  <c r="IV12" i="18"/>
  <c r="IT12" i="18"/>
  <c r="IR12" i="18"/>
  <c r="IJ12" i="18"/>
  <c r="IH12" i="18"/>
  <c r="IF12" i="18"/>
  <c r="ID12" i="18"/>
  <c r="IB12" i="18"/>
  <c r="HZ12" i="18"/>
  <c r="HX12" i="18"/>
  <c r="HV12" i="18"/>
  <c r="HT12" i="18"/>
  <c r="HR12" i="18"/>
  <c r="HP12" i="18"/>
  <c r="HN12" i="18"/>
  <c r="HF12" i="18"/>
  <c r="HD12" i="18"/>
  <c r="HB12" i="18"/>
  <c r="GZ12" i="18"/>
  <c r="GX12" i="18"/>
  <c r="GV12" i="18"/>
  <c r="GT12" i="18"/>
  <c r="GR12" i="18"/>
  <c r="GP12" i="18"/>
  <c r="GN12" i="18"/>
  <c r="GL12" i="18"/>
  <c r="GJ12" i="18"/>
  <c r="GB12" i="18"/>
  <c r="FZ12" i="18"/>
  <c r="FX12" i="18"/>
  <c r="FV12" i="18"/>
  <c r="FT12" i="18"/>
  <c r="FR12" i="18"/>
  <c r="FP12" i="18"/>
  <c r="FN12" i="18"/>
  <c r="FL12" i="18"/>
  <c r="FJ12" i="18"/>
  <c r="FH12" i="18"/>
  <c r="FF12" i="18"/>
  <c r="FE12" i="18"/>
  <c r="DT12" i="18"/>
  <c r="DR12" i="18"/>
  <c r="DP12" i="18"/>
  <c r="DN12" i="18"/>
  <c r="DL12" i="18"/>
  <c r="DJ12" i="18"/>
  <c r="DH12" i="18"/>
  <c r="DF12" i="18"/>
  <c r="DD12" i="18"/>
  <c r="DB12" i="18"/>
  <c r="CZ12" i="18"/>
  <c r="CX12" i="18"/>
  <c r="CP12" i="18"/>
  <c r="CN12" i="18"/>
  <c r="CL12" i="18"/>
  <c r="CJ12" i="18"/>
  <c r="CH12" i="18"/>
  <c r="CF12" i="18"/>
  <c r="CD12" i="18"/>
  <c r="CB12" i="18"/>
  <c r="BZ12" i="18"/>
  <c r="BX12" i="18"/>
  <c r="BV12" i="18"/>
  <c r="BT12" i="18"/>
  <c r="BL12" i="18"/>
  <c r="BJ12" i="18"/>
  <c r="BH12" i="18"/>
  <c r="BF12" i="18"/>
  <c r="BD12" i="18"/>
  <c r="BB12" i="18"/>
  <c r="AZ12" i="18"/>
  <c r="AX12" i="18"/>
  <c r="AV12" i="18"/>
  <c r="AT12" i="18"/>
  <c r="AR12" i="18"/>
  <c r="AP12" i="18"/>
  <c r="AH12" i="18"/>
  <c r="AF12" i="18"/>
  <c r="AD12" i="18"/>
  <c r="AB12" i="18"/>
  <c r="Z12" i="18"/>
  <c r="X12" i="18"/>
  <c r="V12" i="18"/>
  <c r="T12" i="18"/>
  <c r="R12" i="18"/>
  <c r="P12" i="18"/>
  <c r="N12" i="18"/>
  <c r="L12" i="18"/>
  <c r="LV11" i="18"/>
  <c r="LT11" i="18"/>
  <c r="LR11" i="18"/>
  <c r="LP11" i="18"/>
  <c r="LN11" i="18"/>
  <c r="LL11" i="18"/>
  <c r="LJ11" i="18"/>
  <c r="LH11" i="18"/>
  <c r="LF11" i="18"/>
  <c r="LD11" i="18"/>
  <c r="LB11" i="18"/>
  <c r="KZ11" i="18"/>
  <c r="KR11" i="18"/>
  <c r="KP11" i="18"/>
  <c r="KN11" i="18"/>
  <c r="KL11" i="18"/>
  <c r="KJ11" i="18"/>
  <c r="KH11" i="18"/>
  <c r="KF11" i="18"/>
  <c r="KD11" i="18"/>
  <c r="KB11" i="18"/>
  <c r="JZ11" i="18"/>
  <c r="JX11" i="18"/>
  <c r="JV11" i="18"/>
  <c r="JN11" i="18"/>
  <c r="JL11" i="18"/>
  <c r="JJ11" i="18"/>
  <c r="JH11" i="18"/>
  <c r="JF11" i="18"/>
  <c r="JD11" i="18"/>
  <c r="JB11" i="18"/>
  <c r="IZ11" i="18"/>
  <c r="IX11" i="18"/>
  <c r="IV11" i="18"/>
  <c r="IT11" i="18"/>
  <c r="IR11" i="18"/>
  <c r="IJ11" i="18"/>
  <c r="IH11" i="18"/>
  <c r="IF11" i="18"/>
  <c r="ID11" i="18"/>
  <c r="IB11" i="18"/>
  <c r="HZ11" i="18"/>
  <c r="HX11" i="18"/>
  <c r="HV11" i="18"/>
  <c r="HT11" i="18"/>
  <c r="HR11" i="18"/>
  <c r="HP11" i="18"/>
  <c r="HN11" i="18"/>
  <c r="HF11" i="18"/>
  <c r="HD11" i="18"/>
  <c r="HB11" i="18"/>
  <c r="GZ11" i="18"/>
  <c r="GX11" i="18"/>
  <c r="GV11" i="18"/>
  <c r="GT11" i="18"/>
  <c r="GR11" i="18"/>
  <c r="GP11" i="18"/>
  <c r="GN11" i="18"/>
  <c r="GL11" i="18"/>
  <c r="GJ11" i="18"/>
  <c r="GB11" i="18"/>
  <c r="FZ11" i="18"/>
  <c r="FX11" i="18"/>
  <c r="FV11" i="18"/>
  <c r="FT11" i="18"/>
  <c r="FR11" i="18"/>
  <c r="FP11" i="18"/>
  <c r="FN11" i="18"/>
  <c r="FL11" i="18"/>
  <c r="FJ11" i="18"/>
  <c r="FH11" i="18"/>
  <c r="FF11" i="18"/>
  <c r="FE11" i="18"/>
  <c r="DT11" i="18"/>
  <c r="DR11" i="18"/>
  <c r="DP11" i="18"/>
  <c r="DN11" i="18"/>
  <c r="DL11" i="18"/>
  <c r="DJ11" i="18"/>
  <c r="DH11" i="18"/>
  <c r="DF11" i="18"/>
  <c r="DD11" i="18"/>
  <c r="DB11" i="18"/>
  <c r="CZ11" i="18"/>
  <c r="CX11" i="18"/>
  <c r="CP11" i="18"/>
  <c r="CN11" i="18"/>
  <c r="CL11" i="18"/>
  <c r="CJ11" i="18"/>
  <c r="CH11" i="18"/>
  <c r="CF11" i="18"/>
  <c r="CD11" i="18"/>
  <c r="CB11" i="18"/>
  <c r="BZ11" i="18"/>
  <c r="BX11" i="18"/>
  <c r="BV11" i="18"/>
  <c r="BT11" i="18"/>
  <c r="BL11" i="18"/>
  <c r="BJ11" i="18"/>
  <c r="BH11" i="18"/>
  <c r="BF11" i="18"/>
  <c r="BD11" i="18"/>
  <c r="BB11" i="18"/>
  <c r="AZ11" i="18"/>
  <c r="AX11" i="18"/>
  <c r="AV11" i="18"/>
  <c r="AT11" i="18"/>
  <c r="AR11" i="18"/>
  <c r="AP11" i="18"/>
  <c r="AH11" i="18"/>
  <c r="AF11" i="18"/>
  <c r="AD11" i="18"/>
  <c r="AB11" i="18"/>
  <c r="Z11" i="18"/>
  <c r="X11" i="18"/>
  <c r="V11" i="18"/>
  <c r="T11" i="18"/>
  <c r="R11" i="18"/>
  <c r="P11" i="18"/>
  <c r="N11" i="18"/>
  <c r="L11" i="18"/>
  <c r="LV10" i="18"/>
  <c r="LT10" i="18"/>
  <c r="LR10" i="18"/>
  <c r="LP10" i="18"/>
  <c r="LN10" i="18"/>
  <c r="LL10" i="18"/>
  <c r="LJ10" i="18"/>
  <c r="LH10" i="18"/>
  <c r="LF10" i="18"/>
  <c r="LD10" i="18"/>
  <c r="LB10" i="18"/>
  <c r="KZ10" i="18"/>
  <c r="KR10" i="18"/>
  <c r="KP10" i="18"/>
  <c r="KN10" i="18"/>
  <c r="KL10" i="18"/>
  <c r="KJ10" i="18"/>
  <c r="KH10" i="18"/>
  <c r="KF10" i="18"/>
  <c r="KD10" i="18"/>
  <c r="KB10" i="18"/>
  <c r="JZ10" i="18"/>
  <c r="JX10" i="18"/>
  <c r="JV10" i="18"/>
  <c r="JN10" i="18"/>
  <c r="JL10" i="18"/>
  <c r="JJ10" i="18"/>
  <c r="JH10" i="18"/>
  <c r="JF10" i="18"/>
  <c r="JD10" i="18"/>
  <c r="JB10" i="18"/>
  <c r="IZ10" i="18"/>
  <c r="IX10" i="18"/>
  <c r="IV10" i="18"/>
  <c r="IT10" i="18"/>
  <c r="IR10" i="18"/>
  <c r="IJ10" i="18"/>
  <c r="IH10" i="18"/>
  <c r="IF10" i="18"/>
  <c r="ID10" i="18"/>
  <c r="IB10" i="18"/>
  <c r="HZ10" i="18"/>
  <c r="HX10" i="18"/>
  <c r="HV10" i="18"/>
  <c r="HT10" i="18"/>
  <c r="HR10" i="18"/>
  <c r="HP10" i="18"/>
  <c r="HN10" i="18"/>
  <c r="HF10" i="18"/>
  <c r="HD10" i="18"/>
  <c r="HB10" i="18"/>
  <c r="GZ10" i="18"/>
  <c r="GX10" i="18"/>
  <c r="GV10" i="18"/>
  <c r="GT10" i="18"/>
  <c r="GR10" i="18"/>
  <c r="GP10" i="18"/>
  <c r="GN10" i="18"/>
  <c r="GL10" i="18"/>
  <c r="GJ10" i="18"/>
  <c r="GB10" i="18"/>
  <c r="FZ10" i="18"/>
  <c r="FX10" i="18"/>
  <c r="FV10" i="18"/>
  <c r="FT10" i="18"/>
  <c r="FR10" i="18"/>
  <c r="FP10" i="18"/>
  <c r="FN10" i="18"/>
  <c r="FL10" i="18"/>
  <c r="FJ10" i="18"/>
  <c r="FH10" i="18"/>
  <c r="FF10" i="18"/>
  <c r="FE10" i="18"/>
  <c r="DT10" i="18"/>
  <c r="DR10" i="18"/>
  <c r="DP10" i="18"/>
  <c r="DN10" i="18"/>
  <c r="DL10" i="18"/>
  <c r="DJ10" i="18"/>
  <c r="DH10" i="18"/>
  <c r="DF10" i="18"/>
  <c r="DD10" i="18"/>
  <c r="DB10" i="18"/>
  <c r="CZ10" i="18"/>
  <c r="CX10" i="18"/>
  <c r="CP10" i="18"/>
  <c r="CN10" i="18"/>
  <c r="CL10" i="18"/>
  <c r="CJ10" i="18"/>
  <c r="CH10" i="18"/>
  <c r="CF10" i="18"/>
  <c r="CD10" i="18"/>
  <c r="CB10" i="18"/>
  <c r="BZ10" i="18"/>
  <c r="BX10" i="18"/>
  <c r="BV10" i="18"/>
  <c r="BT10" i="18"/>
  <c r="BL10" i="18"/>
  <c r="BJ10" i="18"/>
  <c r="BH10" i="18"/>
  <c r="BF10" i="18"/>
  <c r="BD10" i="18"/>
  <c r="BB10" i="18"/>
  <c r="AZ10" i="18"/>
  <c r="AX10" i="18"/>
  <c r="AV10" i="18"/>
  <c r="AT10" i="18"/>
  <c r="AR10" i="18"/>
  <c r="AP10" i="18"/>
  <c r="AH10" i="18"/>
  <c r="AF10" i="18"/>
  <c r="AD10" i="18"/>
  <c r="AB10" i="18"/>
  <c r="Z10" i="18"/>
  <c r="X10" i="18"/>
  <c r="V10" i="18"/>
  <c r="T10" i="18"/>
  <c r="R10" i="18"/>
  <c r="P10" i="18"/>
  <c r="N10" i="18"/>
  <c r="L10" i="18"/>
  <c r="LV9" i="18"/>
  <c r="LT9" i="18"/>
  <c r="LR9" i="18"/>
  <c r="LP9" i="18"/>
  <c r="LN9" i="18"/>
  <c r="LL9" i="18"/>
  <c r="LJ9" i="18"/>
  <c r="LH9" i="18"/>
  <c r="LF9" i="18"/>
  <c r="LD9" i="18"/>
  <c r="LB9" i="18"/>
  <c r="KZ9" i="18"/>
  <c r="KR9" i="18"/>
  <c r="KP9" i="18"/>
  <c r="KN9" i="18"/>
  <c r="KL9" i="18"/>
  <c r="KJ9" i="18"/>
  <c r="KH9" i="18"/>
  <c r="KF9" i="18"/>
  <c r="KD9" i="18"/>
  <c r="KB9" i="18"/>
  <c r="JZ9" i="18"/>
  <c r="JX9" i="18"/>
  <c r="JV9" i="18"/>
  <c r="JN9" i="18"/>
  <c r="JL9" i="18"/>
  <c r="JJ9" i="18"/>
  <c r="JH9" i="18"/>
  <c r="JF9" i="18"/>
  <c r="JD9" i="18"/>
  <c r="JB9" i="18"/>
  <c r="IZ9" i="18"/>
  <c r="IX9" i="18"/>
  <c r="IV9" i="18"/>
  <c r="IT9" i="18"/>
  <c r="IR9" i="18"/>
  <c r="IJ9" i="18"/>
  <c r="IH9" i="18"/>
  <c r="IF9" i="18"/>
  <c r="ID9" i="18"/>
  <c r="IB9" i="18"/>
  <c r="HZ9" i="18"/>
  <c r="HX9" i="18"/>
  <c r="HV9" i="18"/>
  <c r="HT9" i="18"/>
  <c r="HR9" i="18"/>
  <c r="HP9" i="18"/>
  <c r="HN9" i="18"/>
  <c r="HF9" i="18"/>
  <c r="HD9" i="18"/>
  <c r="HB9" i="18"/>
  <c r="GZ9" i="18"/>
  <c r="GX9" i="18"/>
  <c r="GV9" i="18"/>
  <c r="GT9" i="18"/>
  <c r="GR9" i="18"/>
  <c r="GP9" i="18"/>
  <c r="GN9" i="18"/>
  <c r="GL9" i="18"/>
  <c r="GJ9" i="18"/>
  <c r="GB9" i="18"/>
  <c r="FZ9" i="18"/>
  <c r="FX9" i="18"/>
  <c r="FV9" i="18"/>
  <c r="FT9" i="18"/>
  <c r="FR9" i="18"/>
  <c r="FP9" i="18"/>
  <c r="FN9" i="18"/>
  <c r="FL9" i="18"/>
  <c r="FJ9" i="18"/>
  <c r="FH9" i="18"/>
  <c r="FF9" i="18"/>
  <c r="FE9" i="18"/>
  <c r="DT9" i="18"/>
  <c r="DR9" i="18"/>
  <c r="DP9" i="18"/>
  <c r="DN9" i="18"/>
  <c r="DL9" i="18"/>
  <c r="DJ9" i="18"/>
  <c r="DH9" i="18"/>
  <c r="DF9" i="18"/>
  <c r="DD9" i="18"/>
  <c r="DB9" i="18"/>
  <c r="CZ9" i="18"/>
  <c r="CX9" i="18"/>
  <c r="CP9" i="18"/>
  <c r="CN9" i="18"/>
  <c r="CL9" i="18"/>
  <c r="CJ9" i="18"/>
  <c r="CH9" i="18"/>
  <c r="CF9" i="18"/>
  <c r="CD9" i="18"/>
  <c r="CB9" i="18"/>
  <c r="BZ9" i="18"/>
  <c r="BX9" i="18"/>
  <c r="BV9" i="18"/>
  <c r="BT9" i="18"/>
  <c r="BL9" i="18"/>
  <c r="BJ9" i="18"/>
  <c r="BH9" i="18"/>
  <c r="BF9" i="18"/>
  <c r="BD9" i="18"/>
  <c r="BB9" i="18"/>
  <c r="AZ9" i="18"/>
  <c r="AX9" i="18"/>
  <c r="AV9" i="18"/>
  <c r="AT9" i="18"/>
  <c r="AR9" i="18"/>
  <c r="AP9" i="18"/>
  <c r="AH9" i="18"/>
  <c r="AF9" i="18"/>
  <c r="AD9" i="18"/>
  <c r="AB9" i="18"/>
  <c r="Z9" i="18"/>
  <c r="X9" i="18"/>
  <c r="V9" i="18"/>
  <c r="T9" i="18"/>
  <c r="R9" i="18"/>
  <c r="P9" i="18"/>
  <c r="N9" i="18"/>
  <c r="L9" i="18"/>
  <c r="LV8" i="18"/>
  <c r="LT8" i="18"/>
  <c r="LR8" i="18"/>
  <c r="LP8" i="18"/>
  <c r="LN8" i="18"/>
  <c r="LL8" i="18"/>
  <c r="LJ8" i="18"/>
  <c r="LH8" i="18"/>
  <c r="LF8" i="18"/>
  <c r="LD8" i="18"/>
  <c r="LB8" i="18"/>
  <c r="KZ8" i="18"/>
  <c r="KR8" i="18"/>
  <c r="KP8" i="18"/>
  <c r="KN8" i="18"/>
  <c r="KL8" i="18"/>
  <c r="KJ8" i="18"/>
  <c r="KH8" i="18"/>
  <c r="KF8" i="18"/>
  <c r="KD8" i="18"/>
  <c r="KB8" i="18"/>
  <c r="JZ8" i="18"/>
  <c r="JX8" i="18"/>
  <c r="JV8" i="18"/>
  <c r="JN8" i="18"/>
  <c r="JL8" i="18"/>
  <c r="JJ8" i="18"/>
  <c r="JH8" i="18"/>
  <c r="JF8" i="18"/>
  <c r="JD8" i="18"/>
  <c r="JB8" i="18"/>
  <c r="IZ8" i="18"/>
  <c r="IX8" i="18"/>
  <c r="IV8" i="18"/>
  <c r="IT8" i="18"/>
  <c r="IR8" i="18"/>
  <c r="IJ8" i="18"/>
  <c r="IH8" i="18"/>
  <c r="IF8" i="18"/>
  <c r="ID8" i="18"/>
  <c r="IB8" i="18"/>
  <c r="HZ8" i="18"/>
  <c r="HX8" i="18"/>
  <c r="HV8" i="18"/>
  <c r="HT8" i="18"/>
  <c r="HR8" i="18"/>
  <c r="HP8" i="18"/>
  <c r="HN8" i="18"/>
  <c r="HF8" i="18"/>
  <c r="HD8" i="18"/>
  <c r="HB8" i="18"/>
  <c r="GZ8" i="18"/>
  <c r="GX8" i="18"/>
  <c r="GV8" i="18"/>
  <c r="GT8" i="18"/>
  <c r="GR8" i="18"/>
  <c r="GP8" i="18"/>
  <c r="GN8" i="18"/>
  <c r="GL8" i="18"/>
  <c r="GJ8" i="18"/>
  <c r="GB8" i="18"/>
  <c r="FZ8" i="18"/>
  <c r="FX8" i="18"/>
  <c r="FV8" i="18"/>
  <c r="FT8" i="18"/>
  <c r="FR8" i="18"/>
  <c r="FP8" i="18"/>
  <c r="FN8" i="18"/>
  <c r="FL8" i="18"/>
  <c r="FJ8" i="18"/>
  <c r="FH8" i="18"/>
  <c r="FF8" i="18"/>
  <c r="FE8" i="18"/>
  <c r="DT8" i="18"/>
  <c r="DR8" i="18"/>
  <c r="DP8" i="18"/>
  <c r="DN8" i="18"/>
  <c r="DL8" i="18"/>
  <c r="DJ8" i="18"/>
  <c r="DH8" i="18"/>
  <c r="DF8" i="18"/>
  <c r="DD8" i="18"/>
  <c r="DB8" i="18"/>
  <c r="CZ8" i="18"/>
  <c r="CX8" i="18"/>
  <c r="CP8" i="18"/>
  <c r="CN8" i="18"/>
  <c r="CL8" i="18"/>
  <c r="CJ8" i="18"/>
  <c r="CH8" i="18"/>
  <c r="CF8" i="18"/>
  <c r="CD8" i="18"/>
  <c r="CB8" i="18"/>
  <c r="BZ8" i="18"/>
  <c r="BX8" i="18"/>
  <c r="BV8" i="18"/>
  <c r="BT8" i="18"/>
  <c r="BL8" i="18"/>
  <c r="BJ8" i="18"/>
  <c r="BH8" i="18"/>
  <c r="BF8" i="18"/>
  <c r="BD8" i="18"/>
  <c r="BB8" i="18"/>
  <c r="AZ8" i="18"/>
  <c r="AX8" i="18"/>
  <c r="AV8" i="18"/>
  <c r="AT8" i="18"/>
  <c r="AR8" i="18"/>
  <c r="AP8" i="18"/>
  <c r="AH8" i="18"/>
  <c r="AF8" i="18"/>
  <c r="AD8" i="18"/>
  <c r="AB8" i="18"/>
  <c r="Z8" i="18"/>
  <c r="X8" i="18"/>
  <c r="V8" i="18"/>
  <c r="T8" i="18"/>
  <c r="R8" i="18"/>
  <c r="P8" i="18"/>
  <c r="N8" i="18"/>
  <c r="L8" i="18"/>
  <c r="LV7" i="18"/>
  <c r="LT7" i="18"/>
  <c r="LR7" i="18"/>
  <c r="LP7" i="18"/>
  <c r="LN7" i="18"/>
  <c r="LL7" i="18"/>
  <c r="LJ7" i="18"/>
  <c r="LH7" i="18"/>
  <c r="LF7" i="18"/>
  <c r="LD7" i="18"/>
  <c r="LB7" i="18"/>
  <c r="KZ7" i="18"/>
  <c r="KR7" i="18"/>
  <c r="KP7" i="18"/>
  <c r="KN7" i="18"/>
  <c r="KL7" i="18"/>
  <c r="KJ7" i="18"/>
  <c r="KH7" i="18"/>
  <c r="KF7" i="18"/>
  <c r="KD7" i="18"/>
  <c r="KB7" i="18"/>
  <c r="JZ7" i="18"/>
  <c r="JX7" i="18"/>
  <c r="JV7" i="18"/>
  <c r="JN7" i="18"/>
  <c r="JL7" i="18"/>
  <c r="JJ7" i="18"/>
  <c r="JH7" i="18"/>
  <c r="JF7" i="18"/>
  <c r="JD7" i="18"/>
  <c r="JB7" i="18"/>
  <c r="IZ7" i="18"/>
  <c r="IX7" i="18"/>
  <c r="IV7" i="18"/>
  <c r="IT7" i="18"/>
  <c r="IR7" i="18"/>
  <c r="IJ7" i="18"/>
  <c r="IH7" i="18"/>
  <c r="IF7" i="18"/>
  <c r="ID7" i="18"/>
  <c r="IB7" i="18"/>
  <c r="HZ7" i="18"/>
  <c r="HX7" i="18"/>
  <c r="HV7" i="18"/>
  <c r="HT7" i="18"/>
  <c r="HR7" i="18"/>
  <c r="HP7" i="18"/>
  <c r="HN7" i="18"/>
  <c r="HF7" i="18"/>
  <c r="HD7" i="18"/>
  <c r="HB7" i="18"/>
  <c r="GZ7" i="18"/>
  <c r="GX7" i="18"/>
  <c r="GV7" i="18"/>
  <c r="GT7" i="18"/>
  <c r="GR7" i="18"/>
  <c r="GP7" i="18"/>
  <c r="GN7" i="18"/>
  <c r="GL7" i="18"/>
  <c r="GB7" i="18"/>
  <c r="FZ7" i="18"/>
  <c r="FX7" i="18"/>
  <c r="FV7" i="18"/>
  <c r="FT7" i="18"/>
  <c r="FR7" i="18"/>
  <c r="FP7" i="18"/>
  <c r="FN7" i="18"/>
  <c r="FL7" i="18"/>
  <c r="FJ7" i="18"/>
  <c r="FH7" i="18"/>
  <c r="FF7" i="18"/>
  <c r="FE7" i="18"/>
  <c r="DT7" i="18"/>
  <c r="DR7" i="18"/>
  <c r="DP7" i="18"/>
  <c r="DN7" i="18"/>
  <c r="DL7" i="18"/>
  <c r="DJ7" i="18"/>
  <c r="DH7" i="18"/>
  <c r="DF7" i="18"/>
  <c r="DD7" i="18"/>
  <c r="DB7" i="18"/>
  <c r="CZ7" i="18"/>
  <c r="CX7" i="18"/>
  <c r="CP7" i="18"/>
  <c r="CN7" i="18"/>
  <c r="CL7" i="18"/>
  <c r="CJ7" i="18"/>
  <c r="CH7" i="18"/>
  <c r="CF7" i="18"/>
  <c r="CD7" i="18"/>
  <c r="CB7" i="18"/>
  <c r="BZ7" i="18"/>
  <c r="BX7" i="18"/>
  <c r="BV7" i="18"/>
  <c r="BT7" i="18"/>
  <c r="BL7" i="18"/>
  <c r="BJ7" i="18"/>
  <c r="BH7" i="18"/>
  <c r="BF7" i="18"/>
  <c r="BD7" i="18"/>
  <c r="BB7" i="18"/>
  <c r="AZ7" i="18"/>
  <c r="AX7" i="18"/>
  <c r="AV7" i="18"/>
  <c r="AT7" i="18"/>
  <c r="AR7" i="18"/>
  <c r="AP7" i="18"/>
  <c r="AH7" i="18"/>
  <c r="AF7" i="18"/>
  <c r="AD7" i="18"/>
  <c r="AB7" i="18"/>
  <c r="Z7" i="18"/>
  <c r="X7" i="18"/>
  <c r="V7" i="18"/>
  <c r="T7" i="18"/>
  <c r="R7" i="18"/>
  <c r="P7" i="18"/>
  <c r="N7" i="18"/>
  <c r="L7" i="18"/>
  <c r="LV6" i="18"/>
  <c r="LT6" i="18"/>
  <c r="LR6" i="18"/>
  <c r="LP6" i="18"/>
  <c r="LN6" i="18"/>
  <c r="LL6" i="18"/>
  <c r="LJ6" i="18"/>
  <c r="LH6" i="18"/>
  <c r="LF6" i="18"/>
  <c r="LD6" i="18"/>
  <c r="LB6" i="18"/>
  <c r="KZ6" i="18"/>
  <c r="KR6" i="18"/>
  <c r="KP6" i="18"/>
  <c r="KN6" i="18"/>
  <c r="KL6" i="18"/>
  <c r="KJ6" i="18"/>
  <c r="KH6" i="18"/>
  <c r="KF6" i="18"/>
  <c r="KD6" i="18"/>
  <c r="KB6" i="18"/>
  <c r="JZ6" i="18"/>
  <c r="JX6" i="18"/>
  <c r="JV6" i="18"/>
  <c r="JN6" i="18"/>
  <c r="JL6" i="18"/>
  <c r="JJ6" i="18"/>
  <c r="JH6" i="18"/>
  <c r="JF6" i="18"/>
  <c r="JD6" i="18"/>
  <c r="JB6" i="18"/>
  <c r="IZ6" i="18"/>
  <c r="IX6" i="18"/>
  <c r="IV6" i="18"/>
  <c r="IT6" i="18"/>
  <c r="IR6" i="18"/>
  <c r="IJ6" i="18"/>
  <c r="IH6" i="18"/>
  <c r="IF6" i="18"/>
  <c r="ID6" i="18"/>
  <c r="IB6" i="18"/>
  <c r="HZ6" i="18"/>
  <c r="HX6" i="18"/>
  <c r="HV6" i="18"/>
  <c r="HT6" i="18"/>
  <c r="HR6" i="18"/>
  <c r="HP6" i="18"/>
  <c r="HN6" i="18"/>
  <c r="FE6" i="18"/>
  <c r="BL6" i="18"/>
  <c r="BJ6" i="18"/>
  <c r="BH6" i="18"/>
  <c r="BF6" i="18"/>
  <c r="BD6" i="18"/>
  <c r="BB6" i="18"/>
  <c r="AZ6" i="18"/>
  <c r="AX6" i="18"/>
  <c r="AV6" i="18"/>
  <c r="AT6" i="18"/>
  <c r="AR6" i="18"/>
  <c r="AP6" i="18"/>
  <c r="AJ6" i="18"/>
  <c r="LV5" i="18"/>
  <c r="LR5" i="18"/>
  <c r="LP5" i="18"/>
  <c r="LN5" i="18"/>
  <c r="LL5" i="18"/>
  <c r="LJ5" i="18"/>
  <c r="LH5" i="18"/>
  <c r="LF5" i="18"/>
  <c r="LD5" i="18"/>
  <c r="LB5" i="18"/>
  <c r="KZ5" i="18"/>
  <c r="KR5" i="18"/>
  <c r="KP5" i="18"/>
  <c r="KN5" i="18"/>
  <c r="KL5" i="18"/>
  <c r="KJ5" i="18"/>
  <c r="KH5" i="18"/>
  <c r="KF5" i="18"/>
  <c r="KD5" i="18"/>
  <c r="KB5" i="18"/>
  <c r="JZ5" i="18"/>
  <c r="JX5" i="18"/>
  <c r="JV5" i="18"/>
  <c r="JN5" i="18"/>
  <c r="JL5" i="18"/>
  <c r="JJ5" i="18"/>
  <c r="JH5" i="18"/>
  <c r="JF5" i="18"/>
  <c r="JD5" i="18"/>
  <c r="JB5" i="18"/>
  <c r="IZ5" i="18"/>
  <c r="IX5" i="18"/>
  <c r="IV5" i="18"/>
  <c r="IT5" i="18"/>
  <c r="IR5" i="18"/>
  <c r="IJ5" i="18"/>
  <c r="IH5" i="18"/>
  <c r="IF5" i="18"/>
  <c r="ID5" i="18"/>
  <c r="IB5" i="18"/>
  <c r="HZ5" i="18"/>
  <c r="HX5" i="18"/>
  <c r="HV5" i="18"/>
  <c r="HT5" i="18"/>
  <c r="HR5" i="18"/>
  <c r="HP5" i="18"/>
  <c r="HN5" i="18"/>
  <c r="HF5" i="18"/>
  <c r="HD5" i="18"/>
  <c r="HB5" i="18"/>
  <c r="GZ5" i="18"/>
  <c r="GX5" i="18"/>
  <c r="GV5" i="18"/>
  <c r="GT5" i="18"/>
  <c r="GR5" i="18"/>
  <c r="GP5" i="18"/>
  <c r="GN5" i="18"/>
  <c r="GL5" i="18"/>
  <c r="GJ5" i="18"/>
  <c r="GB5" i="18"/>
  <c r="FZ5" i="18"/>
  <c r="FX5" i="18"/>
  <c r="FV5" i="18"/>
  <c r="FT5" i="18"/>
  <c r="FR5" i="18"/>
  <c r="FP5" i="18"/>
  <c r="FN5" i="18"/>
  <c r="FL5" i="18"/>
  <c r="FJ5" i="18"/>
  <c r="FH5" i="18"/>
  <c r="FF5" i="18"/>
  <c r="FE5" i="18"/>
  <c r="DT5" i="18"/>
  <c r="DR5" i="18"/>
  <c r="DP5" i="18"/>
  <c r="DN5" i="18"/>
  <c r="DL5" i="18"/>
  <c r="DJ5" i="18"/>
  <c r="DH5" i="18"/>
  <c r="DF5" i="18"/>
  <c r="DD5" i="18"/>
  <c r="DB5" i="18"/>
  <c r="CZ5" i="18"/>
  <c r="CX5" i="18"/>
  <c r="CP5" i="18"/>
  <c r="CN5" i="18"/>
  <c r="CL5" i="18"/>
  <c r="CJ5" i="18"/>
  <c r="CH5" i="18"/>
  <c r="CF5" i="18"/>
  <c r="CD5" i="18"/>
  <c r="CB5" i="18"/>
  <c r="BZ5" i="18"/>
  <c r="BX5" i="18"/>
  <c r="BV5" i="18"/>
  <c r="BT5" i="18"/>
  <c r="BL5" i="18"/>
  <c r="BJ5" i="18"/>
  <c r="BH5" i="18"/>
  <c r="BF5" i="18"/>
  <c r="BD5" i="18"/>
  <c r="BB5" i="18"/>
  <c r="AZ5" i="18"/>
  <c r="AX5" i="18"/>
  <c r="AV5" i="18"/>
  <c r="AT5" i="18"/>
  <c r="AR5" i="18"/>
  <c r="AP5" i="18"/>
  <c r="AH5" i="18"/>
  <c r="AF5" i="18"/>
  <c r="AD5" i="18"/>
  <c r="AB5" i="18"/>
  <c r="Z5" i="18"/>
  <c r="X5" i="18"/>
  <c r="V5" i="18"/>
  <c r="T5" i="18"/>
  <c r="R5" i="18"/>
  <c r="P5" i="18"/>
  <c r="N5" i="18"/>
  <c r="L5" i="18"/>
  <c r="KR4" i="18"/>
  <c r="KP4" i="18"/>
  <c r="KN4" i="18"/>
  <c r="KL4" i="18"/>
  <c r="KJ4" i="18"/>
  <c r="KH4" i="18"/>
  <c r="KF4" i="18"/>
  <c r="KD4" i="18"/>
  <c r="KB4" i="18"/>
  <c r="JZ4" i="18"/>
  <c r="JX4" i="18"/>
  <c r="JV4" i="18"/>
  <c r="JN4" i="18"/>
  <c r="JL4" i="18"/>
  <c r="JJ4" i="18"/>
  <c r="JH4" i="18"/>
  <c r="JF4" i="18"/>
  <c r="JD4" i="18"/>
  <c r="JB4" i="18"/>
  <c r="IZ4" i="18"/>
  <c r="IX4" i="18"/>
  <c r="IV4" i="18"/>
  <c r="IT4" i="18"/>
  <c r="IR4" i="18"/>
  <c r="IJ4" i="18"/>
  <c r="IH4" i="18"/>
  <c r="IF4" i="18"/>
  <c r="ID4" i="18"/>
  <c r="IB4" i="18"/>
  <c r="HZ4" i="18"/>
  <c r="HX4" i="18"/>
  <c r="HV4" i="18"/>
  <c r="HT4" i="18"/>
  <c r="HR4" i="18"/>
  <c r="HP4" i="18"/>
  <c r="HN4" i="18"/>
  <c r="HF4" i="18"/>
  <c r="HD4" i="18"/>
  <c r="HB4" i="18"/>
  <c r="GZ4" i="18"/>
  <c r="GX4" i="18"/>
  <c r="GV4" i="18"/>
  <c r="GT4" i="18"/>
  <c r="GR4" i="18"/>
  <c r="GP4" i="18"/>
  <c r="GN4" i="18"/>
  <c r="GL4" i="18"/>
  <c r="GJ4" i="18"/>
  <c r="GB4" i="18"/>
  <c r="FZ4" i="18"/>
  <c r="FX4" i="18"/>
  <c r="FV4" i="18"/>
  <c r="FT4" i="18"/>
  <c r="FR4" i="18"/>
  <c r="FP4" i="18"/>
  <c r="FN4" i="18"/>
  <c r="FL4" i="18"/>
  <c r="FJ4" i="18"/>
  <c r="FH4" i="18"/>
  <c r="FF4" i="18"/>
  <c r="FE4" i="18"/>
  <c r="DT4" i="18"/>
  <c r="DR4" i="18"/>
  <c r="DP4" i="18"/>
  <c r="DN4" i="18"/>
  <c r="DL4" i="18"/>
  <c r="DJ4" i="18"/>
  <c r="DH4" i="18"/>
  <c r="DF4" i="18"/>
  <c r="DD4" i="18"/>
  <c r="DB4" i="18"/>
  <c r="CZ4" i="18"/>
  <c r="CX4" i="18"/>
  <c r="CP4" i="18"/>
  <c r="CN4" i="18"/>
  <c r="CL4" i="18"/>
  <c r="CJ4" i="18"/>
  <c r="CH4" i="18"/>
  <c r="CF4" i="18"/>
  <c r="CD4" i="18"/>
  <c r="CB4" i="18"/>
  <c r="BZ4" i="18"/>
  <c r="BX4" i="18"/>
  <c r="BV4" i="18"/>
  <c r="BT4" i="18"/>
  <c r="BL4" i="18"/>
  <c r="BJ4" i="18"/>
  <c r="BH4" i="18"/>
  <c r="BF4" i="18"/>
  <c r="BD4" i="18"/>
  <c r="BB4" i="18"/>
  <c r="AZ4" i="18"/>
  <c r="AX4" i="18"/>
  <c r="AV4" i="18"/>
  <c r="AT4" i="18"/>
  <c r="AR4" i="18"/>
  <c r="AP4" i="18"/>
  <c r="AH4" i="18"/>
  <c r="AF4" i="18"/>
  <c r="AD4" i="18"/>
  <c r="AB4" i="18"/>
  <c r="Z4" i="18"/>
  <c r="X4" i="18"/>
  <c r="V4" i="18"/>
  <c r="T4" i="18"/>
  <c r="R4" i="18"/>
  <c r="P4" i="18"/>
  <c r="N4" i="18"/>
  <c r="L4" i="18"/>
  <c r="GV13" i="18" l="1"/>
  <c r="GJ13" i="18"/>
  <c r="AD42" i="18"/>
  <c r="AH30" i="18"/>
  <c r="AH43" i="18"/>
  <c r="AD31" i="18"/>
  <c r="T44" i="18"/>
  <c r="Z28" i="18"/>
  <c r="AB25" i="18"/>
  <c r="AB22" i="18"/>
  <c r="X24" i="18"/>
  <c r="X32" i="18"/>
  <c r="Y32" i="18" s="1"/>
  <c r="AH33" i="18"/>
  <c r="AI33" i="18" s="1"/>
  <c r="V20" i="18"/>
  <c r="AF13" i="18"/>
  <c r="Z19" i="18"/>
  <c r="AK50" i="18"/>
  <c r="MG90" i="18"/>
  <c r="MH90" i="18" s="1"/>
  <c r="MI105" i="18"/>
  <c r="MC74" i="18"/>
  <c r="MG24" i="18"/>
  <c r="DQ66" i="18"/>
  <c r="ME38" i="18"/>
  <c r="MF38" i="18" s="1"/>
  <c r="MW25" i="18"/>
  <c r="MX25" i="18" s="1"/>
  <c r="MW35" i="18"/>
  <c r="MX35" i="18" s="1"/>
  <c r="AE103" i="18"/>
  <c r="MA46" i="18"/>
  <c r="MB46" i="18" s="1"/>
  <c r="ME78" i="18"/>
  <c r="MF78" i="18" s="1"/>
  <c r="MU106" i="18"/>
  <c r="MV106" i="18" s="1"/>
  <c r="MO46" i="18"/>
  <c r="MP46" i="18" s="1"/>
  <c r="MS61" i="18"/>
  <c r="MT61" i="18" s="1"/>
  <c r="MK82" i="18"/>
  <c r="ML82" i="18" s="1"/>
  <c r="MG100" i="18"/>
  <c r="ME101" i="18"/>
  <c r="MF101" i="18" s="1"/>
  <c r="FR26" i="18"/>
  <c r="FS26" i="18" s="1"/>
  <c r="MS78" i="18"/>
  <c r="MT78" i="18" s="1"/>
  <c r="BK109" i="18"/>
  <c r="MW4" i="18"/>
  <c r="MX4" i="18" s="1"/>
  <c r="FS21" i="18"/>
  <c r="FV31" i="18"/>
  <c r="FW31" i="18" s="1"/>
  <c r="ME48" i="18"/>
  <c r="MF48" i="18" s="1"/>
  <c r="GM50" i="18"/>
  <c r="MI77" i="18"/>
  <c r="MJ77" i="18" s="1"/>
  <c r="MA81" i="18"/>
  <c r="MB81" i="18" s="1"/>
  <c r="FJ22" i="18"/>
  <c r="FK22" i="18" s="1"/>
  <c r="MM41" i="18"/>
  <c r="MN41" i="18" s="1"/>
  <c r="MO95" i="18"/>
  <c r="MP95" i="18" s="1"/>
  <c r="MM96" i="18"/>
  <c r="MN96" i="18" s="1"/>
  <c r="AY64" i="18"/>
  <c r="MS107" i="18"/>
  <c r="MT107" i="18" s="1"/>
  <c r="BI61" i="18"/>
  <c r="FO91" i="18"/>
  <c r="S93" i="18"/>
  <c r="MS100" i="18"/>
  <c r="MT100" i="18" s="1"/>
  <c r="FQ47" i="18"/>
  <c r="IY64" i="18"/>
  <c r="BI20" i="18"/>
  <c r="FL47" i="18"/>
  <c r="FM47" i="18" s="1"/>
  <c r="JI61" i="18"/>
  <c r="CC65" i="18"/>
  <c r="DK84" i="18"/>
  <c r="LG86" i="18"/>
  <c r="FK99" i="18"/>
  <c r="IG26" i="18"/>
  <c r="DP36" i="18"/>
  <c r="DQ36" i="18" s="1"/>
  <c r="O47" i="18"/>
  <c r="FX47" i="18"/>
  <c r="FY47" i="18" s="1"/>
  <c r="MW104" i="18"/>
  <c r="MX104" i="18" s="1"/>
  <c r="MS23" i="18"/>
  <c r="MT23" i="18" s="1"/>
  <c r="IY31" i="18"/>
  <c r="IU47" i="18"/>
  <c r="FG21" i="18"/>
  <c r="FV25" i="18"/>
  <c r="FW25" i="18" s="1"/>
  <c r="BU84" i="18"/>
  <c r="CC103" i="18"/>
  <c r="CA48" i="18"/>
  <c r="MC4" i="18"/>
  <c r="MD4" i="18" s="1"/>
  <c r="MG11" i="18"/>
  <c r="MH11" i="18" s="1"/>
  <c r="IG77" i="18"/>
  <c r="GK84" i="18"/>
  <c r="MU8" i="18"/>
  <c r="MV8" i="18" s="1"/>
  <c r="MG23" i="18"/>
  <c r="MH23" i="18" s="1"/>
  <c r="MK25" i="18"/>
  <c r="ML25" i="18" s="1"/>
  <c r="ME41" i="18"/>
  <c r="MF41" i="18" s="1"/>
  <c r="MU6" i="18"/>
  <c r="MV6" i="18" s="1"/>
  <c r="AD14" i="18"/>
  <c r="AE14" i="18" s="1"/>
  <c r="CL13" i="18"/>
  <c r="CM13" i="18" s="1"/>
  <c r="MK4" i="18"/>
  <c r="ML4" i="18" s="1"/>
  <c r="LP18" i="18"/>
  <c r="LQ18" i="18" s="1"/>
  <c r="LN18" i="18"/>
  <c r="LO18" i="18" s="1"/>
  <c r="LL18" i="18"/>
  <c r="MM18" i="18" s="1"/>
  <c r="MN18" i="18" s="1"/>
  <c r="LJ18" i="18"/>
  <c r="MK18" i="18" s="1"/>
  <c r="ML18" i="18" s="1"/>
  <c r="LD18" i="18"/>
  <c r="ME18" i="18" s="1"/>
  <c r="MF18" i="18" s="1"/>
  <c r="LH18" i="18"/>
  <c r="LI18" i="18" s="1"/>
  <c r="KZ18" i="18"/>
  <c r="MA18" i="18" s="1"/>
  <c r="LF18" i="18"/>
  <c r="LG18" i="18" s="1"/>
  <c r="LB18" i="18"/>
  <c r="LC18" i="18" s="1"/>
  <c r="LV18" i="18"/>
  <c r="LW18" i="18" s="1"/>
  <c r="LT18" i="18"/>
  <c r="LU18" i="18" s="1"/>
  <c r="LR18" i="18"/>
  <c r="LS18" i="18" s="1"/>
  <c r="DA17" i="18"/>
  <c r="AW18" i="18"/>
  <c r="CO8" i="18"/>
  <c r="EK49" i="18"/>
  <c r="EW49" i="18"/>
  <c r="EE49" i="18"/>
  <c r="EG49" i="18"/>
  <c r="EQ49" i="18"/>
  <c r="EU49" i="18"/>
  <c r="EO49" i="18"/>
  <c r="EI49" i="18"/>
  <c r="EM49" i="18"/>
  <c r="EC49" i="18"/>
  <c r="EY49" i="18"/>
  <c r="ES49" i="18"/>
  <c r="EK52" i="18"/>
  <c r="EW52" i="18"/>
  <c r="EI52" i="18"/>
  <c r="EY52" i="18"/>
  <c r="EM52" i="18"/>
  <c r="EQ52" i="18"/>
  <c r="ES52" i="18"/>
  <c r="EE52" i="18"/>
  <c r="EG52" i="18"/>
  <c r="EO52" i="18"/>
  <c r="EU52" i="18"/>
  <c r="EC52" i="18"/>
  <c r="KK57" i="18"/>
  <c r="EM57" i="18"/>
  <c r="EQ57" i="18"/>
  <c r="EA57" i="18"/>
  <c r="EW57" i="18"/>
  <c r="EY57" i="18"/>
  <c r="EK57" i="18"/>
  <c r="EG57" i="18"/>
  <c r="EI57" i="18"/>
  <c r="EE57" i="18"/>
  <c r="EO57" i="18"/>
  <c r="ES57" i="18"/>
  <c r="EU57" i="18"/>
  <c r="EC57" i="18"/>
  <c r="FA57" i="18"/>
  <c r="CC5" i="18"/>
  <c r="BA11" i="18"/>
  <c r="CE11" i="18"/>
  <c r="MA15" i="18"/>
  <c r="MB15" i="18" s="1"/>
  <c r="HS27" i="18"/>
  <c r="EA30" i="18"/>
  <c r="EQ30" i="18"/>
  <c r="EM30" i="18"/>
  <c r="EU30" i="18"/>
  <c r="EE30" i="18"/>
  <c r="EO30" i="18"/>
  <c r="EK30" i="18"/>
  <c r="ES30" i="18"/>
  <c r="EI30" i="18"/>
  <c r="EC30" i="18"/>
  <c r="EY30" i="18"/>
  <c r="EW30" i="18"/>
  <c r="EG30" i="18"/>
  <c r="FA30" i="18"/>
  <c r="EM32" i="18"/>
  <c r="EE32" i="18"/>
  <c r="EU32" i="18"/>
  <c r="EI32" i="18"/>
  <c r="EY32" i="18"/>
  <c r="EQ32" i="18"/>
  <c r="EA32" i="18"/>
  <c r="EG32" i="18"/>
  <c r="ES32" i="18"/>
  <c r="EO32" i="18"/>
  <c r="EC32" i="18"/>
  <c r="EW32" i="18"/>
  <c r="FA32" i="18"/>
  <c r="EK32" i="18"/>
  <c r="FN44" i="18"/>
  <c r="FO44" i="18" s="1"/>
  <c r="EO54" i="18"/>
  <c r="ES54" i="18"/>
  <c r="EG54" i="18"/>
  <c r="EI54" i="18"/>
  <c r="EU54" i="18"/>
  <c r="EY54" i="18"/>
  <c r="EC54" i="18"/>
  <c r="EQ54" i="18"/>
  <c r="EW54" i="18"/>
  <c r="EE54" i="18"/>
  <c r="EK54" i="18"/>
  <c r="EM54" i="18"/>
  <c r="EA56" i="18"/>
  <c r="EM56" i="18"/>
  <c r="EY56" i="18"/>
  <c r="EG56" i="18"/>
  <c r="ES56" i="18"/>
  <c r="EQ56" i="18"/>
  <c r="EO56" i="18"/>
  <c r="EK56" i="18"/>
  <c r="EC56" i="18"/>
  <c r="EI56" i="18"/>
  <c r="EE56" i="18"/>
  <c r="EU56" i="18"/>
  <c r="EW56" i="18"/>
  <c r="FA56" i="18"/>
  <c r="MU68" i="18"/>
  <c r="MV68" i="18" s="1"/>
  <c r="LK72" i="18"/>
  <c r="DI73" i="18"/>
  <c r="MG75" i="18"/>
  <c r="MH75" i="18" s="1"/>
  <c r="ME76" i="18"/>
  <c r="MF76" i="18" s="1"/>
  <c r="EA78" i="18"/>
  <c r="ES78" i="18"/>
  <c r="EM78" i="18"/>
  <c r="EU78" i="18"/>
  <c r="EG78" i="18"/>
  <c r="EK78" i="18"/>
  <c r="EY78" i="18"/>
  <c r="EI78" i="18"/>
  <c r="EC78" i="18"/>
  <c r="EE78" i="18"/>
  <c r="EO78" i="18"/>
  <c r="EQ78" i="18"/>
  <c r="EW78" i="18"/>
  <c r="FA78" i="18"/>
  <c r="MQ82" i="18"/>
  <c r="MR82" i="18" s="1"/>
  <c r="LG84" i="18"/>
  <c r="AU86" i="18"/>
  <c r="FK88" i="18"/>
  <c r="ES88" i="18"/>
  <c r="EA88" i="18"/>
  <c r="EC88" i="18"/>
  <c r="FA88" i="18"/>
  <c r="EO88" i="18"/>
  <c r="EU88" i="18"/>
  <c r="EG88" i="18"/>
  <c r="EQ88" i="18"/>
  <c r="EE88" i="18"/>
  <c r="EY88" i="18"/>
  <c r="EK88" i="18"/>
  <c r="EM88" i="18"/>
  <c r="EI88" i="18"/>
  <c r="EW88" i="18"/>
  <c r="ME98" i="18"/>
  <c r="MF98" i="18" s="1"/>
  <c r="BC100" i="18"/>
  <c r="EA100" i="18"/>
  <c r="EG100" i="18"/>
  <c r="EW100" i="18"/>
  <c r="EK100" i="18"/>
  <c r="ES100" i="18"/>
  <c r="EE100" i="18"/>
  <c r="EY100" i="18"/>
  <c r="EM100" i="18"/>
  <c r="EU100" i="18"/>
  <c r="EQ100" i="18"/>
  <c r="EO100" i="18"/>
  <c r="EC100" i="18"/>
  <c r="EI100" i="18"/>
  <c r="FA100" i="18"/>
  <c r="EA19" i="18"/>
  <c r="EY19" i="18"/>
  <c r="EE19" i="18"/>
  <c r="EI19" i="18"/>
  <c r="EC19" i="18"/>
  <c r="EQ19" i="18"/>
  <c r="EU19" i="18"/>
  <c r="EM19" i="18"/>
  <c r="ES19" i="18"/>
  <c r="EW19" i="18"/>
  <c r="EO19" i="18"/>
  <c r="EG19" i="18"/>
  <c r="EK19" i="18"/>
  <c r="FA19" i="18"/>
  <c r="LM41" i="18"/>
  <c r="EA41" i="18"/>
  <c r="EM41" i="18"/>
  <c r="EY41" i="18"/>
  <c r="EG41" i="18"/>
  <c r="EU41" i="18"/>
  <c r="EI41" i="18"/>
  <c r="EO41" i="18"/>
  <c r="ES41" i="18"/>
  <c r="EQ41" i="18"/>
  <c r="EE41" i="18"/>
  <c r="EW41" i="18"/>
  <c r="EC41" i="18"/>
  <c r="EK41" i="18"/>
  <c r="FA41" i="18"/>
  <c r="EA67" i="18"/>
  <c r="EM67" i="18"/>
  <c r="EY67" i="18"/>
  <c r="ES67" i="18"/>
  <c r="EG67" i="18"/>
  <c r="EU67" i="18"/>
  <c r="EK67" i="18"/>
  <c r="EW67" i="18"/>
  <c r="EC67" i="18"/>
  <c r="EI67" i="18"/>
  <c r="EO67" i="18"/>
  <c r="EE67" i="18"/>
  <c r="EQ67" i="18"/>
  <c r="FA67" i="18"/>
  <c r="EA79" i="18"/>
  <c r="EM79" i="18"/>
  <c r="EY79" i="18"/>
  <c r="EW79" i="18"/>
  <c r="EK79" i="18"/>
  <c r="EO79" i="18"/>
  <c r="EG79" i="18"/>
  <c r="EI79" i="18"/>
  <c r="EQ79" i="18"/>
  <c r="EC79" i="18"/>
  <c r="ES79" i="18"/>
  <c r="EE79" i="18"/>
  <c r="EU79" i="18"/>
  <c r="FA79" i="18"/>
  <c r="EC89" i="18"/>
  <c r="EA89" i="18"/>
  <c r="EW89" i="18"/>
  <c r="EY89" i="18"/>
  <c r="EK89" i="18"/>
  <c r="EM89" i="18"/>
  <c r="EE89" i="18"/>
  <c r="EQ89" i="18"/>
  <c r="EG89" i="18"/>
  <c r="ES89" i="18"/>
  <c r="EI89" i="18"/>
  <c r="EO89" i="18"/>
  <c r="EU89" i="18"/>
  <c r="FA89" i="18"/>
  <c r="JW13" i="18"/>
  <c r="EE13" i="18"/>
  <c r="EG13" i="18"/>
  <c r="EC13" i="18"/>
  <c r="EQ13" i="18"/>
  <c r="EA13" i="18"/>
  <c r="EK13" i="18"/>
  <c r="EW13" i="18"/>
  <c r="EM13" i="18"/>
  <c r="ES13" i="18"/>
  <c r="EO13" i="18"/>
  <c r="EY13" i="18"/>
  <c r="EI13" i="18"/>
  <c r="EU13" i="18"/>
  <c r="FA13" i="18"/>
  <c r="GQ34" i="18"/>
  <c r="EA34" i="18"/>
  <c r="EC34" i="18"/>
  <c r="EQ34" i="18"/>
  <c r="EK34" i="18"/>
  <c r="EM34" i="18"/>
  <c r="ES34" i="18"/>
  <c r="EU34" i="18"/>
  <c r="EW34" i="18"/>
  <c r="EI34" i="18"/>
  <c r="EO34" i="18"/>
  <c r="EY34" i="18"/>
  <c r="EE34" i="18"/>
  <c r="EG34" i="18"/>
  <c r="FA34" i="18"/>
  <c r="IA42" i="18"/>
  <c r="EC42" i="18"/>
  <c r="EG42" i="18"/>
  <c r="EA42" i="18"/>
  <c r="EE42" i="18"/>
  <c r="EY42" i="18"/>
  <c r="EI42" i="18"/>
  <c r="EM42" i="18"/>
  <c r="EW42" i="18"/>
  <c r="ES42" i="18"/>
  <c r="EQ42" i="18"/>
  <c r="EO42" i="18"/>
  <c r="EK42" i="18"/>
  <c r="EU42" i="18"/>
  <c r="FA42" i="18"/>
  <c r="HG45" i="18"/>
  <c r="EA45" i="18"/>
  <c r="EG45" i="18"/>
  <c r="EC45" i="18"/>
  <c r="EE45" i="18"/>
  <c r="ES45" i="18"/>
  <c r="EK45" i="18"/>
  <c r="EQ45" i="18"/>
  <c r="EI45" i="18"/>
  <c r="EM45" i="18"/>
  <c r="EW45" i="18"/>
  <c r="EY45" i="18"/>
  <c r="EU45" i="18"/>
  <c r="EO45" i="18"/>
  <c r="FA45" i="18"/>
  <c r="EI51" i="18"/>
  <c r="EW51" i="18"/>
  <c r="EU51" i="18"/>
  <c r="EK51" i="18"/>
  <c r="EM51" i="18"/>
  <c r="EG51" i="18"/>
  <c r="EO51" i="18"/>
  <c r="EY51" i="18"/>
  <c r="EQ51" i="18"/>
  <c r="EC51" i="18"/>
  <c r="ES51" i="18"/>
  <c r="EE51" i="18"/>
  <c r="EA58" i="18"/>
  <c r="EM58" i="18"/>
  <c r="EY58" i="18"/>
  <c r="ES58" i="18"/>
  <c r="EG58" i="18"/>
  <c r="EU58" i="18"/>
  <c r="EI58" i="18"/>
  <c r="EO58" i="18"/>
  <c r="EK58" i="18"/>
  <c r="EQ58" i="18"/>
  <c r="EC58" i="18"/>
  <c r="EW58" i="18"/>
  <c r="EE58" i="18"/>
  <c r="FA58" i="18"/>
  <c r="EA68" i="18"/>
  <c r="EY68" i="18"/>
  <c r="EI68" i="18"/>
  <c r="EM68" i="18"/>
  <c r="EQ68" i="18"/>
  <c r="EG68" i="18"/>
  <c r="ES68" i="18"/>
  <c r="EC68" i="18"/>
  <c r="EU68" i="18"/>
  <c r="EE68" i="18"/>
  <c r="EO68" i="18"/>
  <c r="EW68" i="18"/>
  <c r="EK68" i="18"/>
  <c r="FA68" i="18"/>
  <c r="IQ80" i="18"/>
  <c r="EA80" i="18"/>
  <c r="EY80" i="18"/>
  <c r="EM80" i="18"/>
  <c r="EQ80" i="18"/>
  <c r="EU80" i="18"/>
  <c r="EG80" i="18"/>
  <c r="ES80" i="18"/>
  <c r="FA80" i="18"/>
  <c r="EO80" i="18"/>
  <c r="EW80" i="18"/>
  <c r="EE80" i="18"/>
  <c r="EC80" i="18"/>
  <c r="EK80" i="18"/>
  <c r="EI80" i="18"/>
  <c r="EI90" i="18"/>
  <c r="EW90" i="18"/>
  <c r="EY90" i="18"/>
  <c r="EA90" i="18"/>
  <c r="EQ90" i="18"/>
  <c r="EE90" i="18"/>
  <c r="EM90" i="18"/>
  <c r="EU90" i="18"/>
  <c r="EG90" i="18"/>
  <c r="ES90" i="18"/>
  <c r="EK90" i="18"/>
  <c r="EC90" i="18"/>
  <c r="EO90" i="18"/>
  <c r="FA90" i="18"/>
  <c r="EY102" i="18"/>
  <c r="EA102" i="18"/>
  <c r="EE102" i="18"/>
  <c r="EQ102" i="18"/>
  <c r="EU102" i="18"/>
  <c r="EW102" i="18"/>
  <c r="EI102" i="18"/>
  <c r="EM102" i="18"/>
  <c r="EK102" i="18"/>
  <c r="EG102" i="18"/>
  <c r="ES102" i="18"/>
  <c r="EC102" i="18"/>
  <c r="EO102" i="18"/>
  <c r="FA102" i="18"/>
  <c r="HM20" i="18"/>
  <c r="EA20" i="18"/>
  <c r="EM20" i="18"/>
  <c r="EU20" i="18"/>
  <c r="EY20" i="18"/>
  <c r="ES20" i="18"/>
  <c r="EW20" i="18"/>
  <c r="EI20" i="18"/>
  <c r="EE20" i="18"/>
  <c r="EK20" i="18"/>
  <c r="EQ20" i="18"/>
  <c r="EO20" i="18"/>
  <c r="EG20" i="18"/>
  <c r="EC20" i="18"/>
  <c r="FA20" i="18"/>
  <c r="AR30" i="18"/>
  <c r="AS30" i="18" s="1"/>
  <c r="EG37" i="18"/>
  <c r="ES37" i="18"/>
  <c r="EY37" i="18"/>
  <c r="EK37" i="18"/>
  <c r="EQ37" i="18"/>
  <c r="EC37" i="18"/>
  <c r="EW37" i="18"/>
  <c r="EU37" i="18"/>
  <c r="EO37" i="18"/>
  <c r="EI37" i="18"/>
  <c r="EM37" i="18"/>
  <c r="EE37" i="18"/>
  <c r="AY38" i="18"/>
  <c r="EE38" i="18"/>
  <c r="EQ38" i="18"/>
  <c r="EW38" i="18"/>
  <c r="EI38" i="18"/>
  <c r="EK38" i="18"/>
  <c r="EM38" i="18"/>
  <c r="EU38" i="18"/>
  <c r="EY38" i="18"/>
  <c r="ES38" i="18"/>
  <c r="EO38" i="18"/>
  <c r="EG38" i="18"/>
  <c r="EC38" i="18"/>
  <c r="CY39" i="18"/>
  <c r="EE39" i="18"/>
  <c r="EQ39" i="18"/>
  <c r="EI39" i="18"/>
  <c r="EY39" i="18"/>
  <c r="EC39" i="18"/>
  <c r="EO39" i="18"/>
  <c r="EU39" i="18"/>
  <c r="ES39" i="18"/>
  <c r="EM39" i="18"/>
  <c r="EW39" i="18"/>
  <c r="EG39" i="18"/>
  <c r="EK39" i="18"/>
  <c r="ME40" i="18"/>
  <c r="MF40" i="18" s="1"/>
  <c r="BG43" i="18"/>
  <c r="EA43" i="18"/>
  <c r="EE43" i="18"/>
  <c r="EC43" i="18"/>
  <c r="EG43" i="18"/>
  <c r="EY43" i="18"/>
  <c r="EU43" i="18"/>
  <c r="EQ43" i="18"/>
  <c r="EM43" i="18"/>
  <c r="EW43" i="18"/>
  <c r="EI43" i="18"/>
  <c r="EK43" i="18"/>
  <c r="EO43" i="18"/>
  <c r="ES43" i="18"/>
  <c r="FA43" i="18"/>
  <c r="EG59" i="18"/>
  <c r="ES59" i="18"/>
  <c r="EA59" i="18"/>
  <c r="EE59" i="18"/>
  <c r="EC59" i="18"/>
  <c r="EY59" i="18"/>
  <c r="EK59" i="18"/>
  <c r="EU59" i="18"/>
  <c r="EW59" i="18"/>
  <c r="EI59" i="18"/>
  <c r="EO59" i="18"/>
  <c r="EQ59" i="18"/>
  <c r="EM59" i="18"/>
  <c r="FA59" i="18"/>
  <c r="HY64" i="18"/>
  <c r="EG69" i="18"/>
  <c r="ES69" i="18"/>
  <c r="EM69" i="18"/>
  <c r="EA69" i="18"/>
  <c r="EO69" i="18"/>
  <c r="EC69" i="18"/>
  <c r="EQ69" i="18"/>
  <c r="EU69" i="18"/>
  <c r="EK69" i="18"/>
  <c r="EE69" i="18"/>
  <c r="EY69" i="18"/>
  <c r="EI69" i="18"/>
  <c r="EW69" i="18"/>
  <c r="FA69" i="18"/>
  <c r="EG81" i="18"/>
  <c r="ES81" i="18"/>
  <c r="EU81" i="18"/>
  <c r="EC81" i="18"/>
  <c r="EM81" i="18"/>
  <c r="EA81" i="18"/>
  <c r="EQ81" i="18"/>
  <c r="EE81" i="18"/>
  <c r="EI81" i="18"/>
  <c r="EY81" i="18"/>
  <c r="FA81" i="18"/>
  <c r="EO81" i="18"/>
  <c r="EK81" i="18"/>
  <c r="EW81" i="18"/>
  <c r="KO91" i="18"/>
  <c r="EA91" i="18"/>
  <c r="EQ91" i="18"/>
  <c r="EE91" i="18"/>
  <c r="EG91" i="18"/>
  <c r="EO91" i="18"/>
  <c r="EM91" i="18"/>
  <c r="EY91" i="18"/>
  <c r="EU91" i="18"/>
  <c r="EC91" i="18"/>
  <c r="EK91" i="18"/>
  <c r="EI91" i="18"/>
  <c r="ES91" i="18"/>
  <c r="EW91" i="18"/>
  <c r="FA91" i="18"/>
  <c r="GI103" i="18"/>
  <c r="EA103" i="18"/>
  <c r="EE103" i="18"/>
  <c r="EQ103" i="18"/>
  <c r="FA103" i="18"/>
  <c r="EG103" i="18"/>
  <c r="EO103" i="18"/>
  <c r="ES103" i="18"/>
  <c r="EY103" i="18"/>
  <c r="EU103" i="18"/>
  <c r="EK103" i="18"/>
  <c r="EC103" i="18"/>
  <c r="EW103" i="18"/>
  <c r="EI103" i="18"/>
  <c r="EM103" i="18"/>
  <c r="MM6" i="18"/>
  <c r="MN6" i="18" s="1"/>
  <c r="EE10" i="18"/>
  <c r="EQ10" i="18"/>
  <c r="EK10" i="18"/>
  <c r="EW10" i="18"/>
  <c r="EA10" i="18"/>
  <c r="EO10" i="18"/>
  <c r="ES10" i="18"/>
  <c r="EG10" i="18"/>
  <c r="EI10" i="18"/>
  <c r="EY10" i="18"/>
  <c r="EU10" i="18"/>
  <c r="EC10" i="18"/>
  <c r="EM10" i="18"/>
  <c r="FA10" i="18"/>
  <c r="BG14" i="18"/>
  <c r="LS21" i="18"/>
  <c r="LW28" i="18"/>
  <c r="BB30" i="18"/>
  <c r="BC30" i="18" s="1"/>
  <c r="DB34" i="18"/>
  <c r="DC34" i="18" s="1"/>
  <c r="EA46" i="18"/>
  <c r="ES46" i="18"/>
  <c r="EO46" i="18"/>
  <c r="EG46" i="18"/>
  <c r="EM46" i="18"/>
  <c r="EE46" i="18"/>
  <c r="EU46" i="18"/>
  <c r="EI46" i="18"/>
  <c r="EC46" i="18"/>
  <c r="EY46" i="18"/>
  <c r="EW46" i="18"/>
  <c r="EK46" i="18"/>
  <c r="EQ46" i="18"/>
  <c r="FA46" i="18"/>
  <c r="JU60" i="18"/>
  <c r="LA60" i="18" s="1"/>
  <c r="EG60" i="18"/>
  <c r="ES60" i="18"/>
  <c r="EA60" i="18"/>
  <c r="EM60" i="18"/>
  <c r="EY60" i="18"/>
  <c r="EC60" i="18"/>
  <c r="EU60" i="18"/>
  <c r="EO60" i="18"/>
  <c r="EI60" i="18"/>
  <c r="EW60" i="18"/>
  <c r="EQ60" i="18"/>
  <c r="EE60" i="18"/>
  <c r="EK60" i="18"/>
  <c r="FA60" i="18"/>
  <c r="EA70" i="18"/>
  <c r="EI70" i="18"/>
  <c r="EW70" i="18"/>
  <c r="EM70" i="18"/>
  <c r="ES70" i="18"/>
  <c r="EO70" i="18"/>
  <c r="EQ70" i="18"/>
  <c r="EE70" i="18"/>
  <c r="EC70" i="18"/>
  <c r="EG70" i="18"/>
  <c r="EU70" i="18"/>
  <c r="EK70" i="18"/>
  <c r="EY70" i="18"/>
  <c r="FA70" i="18"/>
  <c r="EA82" i="18"/>
  <c r="ES82" i="18"/>
  <c r="EG82" i="18"/>
  <c r="EU82" i="18"/>
  <c r="EO82" i="18"/>
  <c r="EC82" i="18"/>
  <c r="EI82" i="18"/>
  <c r="EE82" i="18"/>
  <c r="EM82" i="18"/>
  <c r="EQ82" i="18"/>
  <c r="EK82" i="18"/>
  <c r="EY82" i="18"/>
  <c r="EW82" i="18"/>
  <c r="FA82" i="18"/>
  <c r="JO92" i="18"/>
  <c r="EA92" i="18"/>
  <c r="EQ92" i="18"/>
  <c r="EC92" i="18"/>
  <c r="ES92" i="18"/>
  <c r="EW92" i="18"/>
  <c r="EG92" i="18"/>
  <c r="EK92" i="18"/>
  <c r="FA92" i="18"/>
  <c r="EU92" i="18"/>
  <c r="EY92" i="18"/>
  <c r="EO92" i="18"/>
  <c r="EI92" i="18"/>
  <c r="EE92" i="18"/>
  <c r="EM92" i="18"/>
  <c r="EA104" i="18"/>
  <c r="ES104" i="18"/>
  <c r="EW104" i="18"/>
  <c r="EC104" i="18"/>
  <c r="EG104" i="18"/>
  <c r="EK104" i="18"/>
  <c r="EO104" i="18"/>
  <c r="EQ104" i="18"/>
  <c r="FA104" i="18"/>
  <c r="EU104" i="18"/>
  <c r="EM104" i="18"/>
  <c r="EE104" i="18"/>
  <c r="EI104" i="18"/>
  <c r="EY104" i="18"/>
  <c r="JU4" i="18"/>
  <c r="EA4" i="18"/>
  <c r="EC4" i="18"/>
  <c r="EQ4" i="18"/>
  <c r="EE4" i="18"/>
  <c r="EK4" i="18"/>
  <c r="EW4" i="18"/>
  <c r="EG4" i="18"/>
  <c r="EO4" i="18"/>
  <c r="ES4" i="18"/>
  <c r="EI4" i="18"/>
  <c r="EU4" i="18"/>
  <c r="EY4" i="18"/>
  <c r="EM4" i="18"/>
  <c r="FA4" i="18"/>
  <c r="MK8" i="18"/>
  <c r="ML8" i="18" s="1"/>
  <c r="EC16" i="18"/>
  <c r="EE16" i="18"/>
  <c r="EG16" i="18"/>
  <c r="ES16" i="18"/>
  <c r="EA16" i="18"/>
  <c r="EW16" i="18"/>
  <c r="EY16" i="18"/>
  <c r="EK16" i="18"/>
  <c r="EM16" i="18"/>
  <c r="EO16" i="18"/>
  <c r="EQ16" i="18"/>
  <c r="EU16" i="18"/>
  <c r="EI16" i="18"/>
  <c r="FA16" i="18"/>
  <c r="BY21" i="18"/>
  <c r="EA21" i="18"/>
  <c r="EC21" i="18"/>
  <c r="EW21" i="18"/>
  <c r="EK21" i="18"/>
  <c r="EM21" i="18"/>
  <c r="EY21" i="18"/>
  <c r="EO21" i="18"/>
  <c r="EQ21" i="18"/>
  <c r="EI21" i="18"/>
  <c r="EU21" i="18"/>
  <c r="EG21" i="18"/>
  <c r="EE21" i="18"/>
  <c r="ES21" i="18"/>
  <c r="FA21" i="18"/>
  <c r="FN22" i="18"/>
  <c r="FO22" i="18" s="1"/>
  <c r="BY25" i="18"/>
  <c r="EC29" i="18"/>
  <c r="EU29" i="18"/>
  <c r="EM29" i="18"/>
  <c r="EG29" i="18"/>
  <c r="EI29" i="18"/>
  <c r="EO29" i="18"/>
  <c r="ES29" i="18"/>
  <c r="EY29" i="18"/>
  <c r="EA29" i="18"/>
  <c r="EE29" i="18"/>
  <c r="EQ29" i="18"/>
  <c r="EW29" i="18"/>
  <c r="FA29" i="18"/>
  <c r="EK29" i="18"/>
  <c r="DD34" i="18"/>
  <c r="DE34" i="18" s="1"/>
  <c r="N43" i="18"/>
  <c r="O43" i="18" s="1"/>
  <c r="CM47" i="18"/>
  <c r="EA47" i="18"/>
  <c r="EC47" i="18"/>
  <c r="EO47" i="18"/>
  <c r="EG47" i="18"/>
  <c r="EU47" i="18"/>
  <c r="EW47" i="18"/>
  <c r="EI47" i="18"/>
  <c r="EQ47" i="18"/>
  <c r="ES47" i="18"/>
  <c r="EE47" i="18"/>
  <c r="EY47" i="18"/>
  <c r="EK47" i="18"/>
  <c r="EM47" i="18"/>
  <c r="FA47" i="18"/>
  <c r="EK61" i="18"/>
  <c r="EY61" i="18"/>
  <c r="EM61" i="18"/>
  <c r="EA61" i="18"/>
  <c r="EW61" i="18"/>
  <c r="EE61" i="18"/>
  <c r="EQ61" i="18"/>
  <c r="EC61" i="18"/>
  <c r="ES61" i="18"/>
  <c r="EO61" i="18"/>
  <c r="EU61" i="18"/>
  <c r="EI61" i="18"/>
  <c r="EG61" i="18"/>
  <c r="FA61" i="18"/>
  <c r="EA71" i="18"/>
  <c r="EM71" i="18"/>
  <c r="EY71" i="18"/>
  <c r="EW71" i="18"/>
  <c r="EK71" i="18"/>
  <c r="EO71" i="18"/>
  <c r="EG71" i="18"/>
  <c r="EC71" i="18"/>
  <c r="EU71" i="18"/>
  <c r="EI71" i="18"/>
  <c r="EQ71" i="18"/>
  <c r="ES71" i="18"/>
  <c r="EE71" i="18"/>
  <c r="FA71" i="18"/>
  <c r="EA83" i="18"/>
  <c r="EM83" i="18"/>
  <c r="EY83" i="18"/>
  <c r="EG83" i="18"/>
  <c r="EU83" i="18"/>
  <c r="EO83" i="18"/>
  <c r="EW83" i="18"/>
  <c r="EI83" i="18"/>
  <c r="EK83" i="18"/>
  <c r="ES83" i="18"/>
  <c r="EC83" i="18"/>
  <c r="EE83" i="18"/>
  <c r="EQ83" i="18"/>
  <c r="FA83" i="18"/>
  <c r="CW93" i="18"/>
  <c r="EE93" i="18"/>
  <c r="EY93" i="18"/>
  <c r="EK93" i="18"/>
  <c r="EQ93" i="18"/>
  <c r="EA93" i="18"/>
  <c r="EW93" i="18"/>
  <c r="FA93" i="18"/>
  <c r="EU93" i="18"/>
  <c r="EI93" i="18"/>
  <c r="EO93" i="18"/>
  <c r="EM93" i="18"/>
  <c r="ES93" i="18"/>
  <c r="EG93" i="18"/>
  <c r="EC93" i="18"/>
  <c r="Y99" i="18"/>
  <c r="EW105" i="18"/>
  <c r="EA105" i="18"/>
  <c r="EE105" i="18"/>
  <c r="EY105" i="18"/>
  <c r="EK105" i="18"/>
  <c r="EM105" i="18"/>
  <c r="FA105" i="18"/>
  <c r="ES105" i="18"/>
  <c r="EI105" i="18"/>
  <c r="EO105" i="18"/>
  <c r="EU105" i="18"/>
  <c r="EQ105" i="18"/>
  <c r="EG105" i="18"/>
  <c r="EC105" i="18"/>
  <c r="EA11" i="18"/>
  <c r="EO11" i="18"/>
  <c r="EI11" i="18"/>
  <c r="EU11" i="18"/>
  <c r="EY11" i="18"/>
  <c r="EQ11" i="18"/>
  <c r="EE11" i="18"/>
  <c r="EM11" i="18"/>
  <c r="EC11" i="18"/>
  <c r="EG11" i="18"/>
  <c r="FA11" i="18"/>
  <c r="EW11" i="18"/>
  <c r="EK11" i="18"/>
  <c r="ES11" i="18"/>
  <c r="EM23" i="18"/>
  <c r="EE23" i="18"/>
  <c r="EU23" i="18"/>
  <c r="EI23" i="18"/>
  <c r="EY23" i="18"/>
  <c r="EG23" i="18"/>
  <c r="EQ23" i="18"/>
  <c r="EA23" i="18"/>
  <c r="EC23" i="18"/>
  <c r="EO23" i="18"/>
  <c r="ES23" i="18"/>
  <c r="EK23" i="18"/>
  <c r="EW23" i="18"/>
  <c r="FA23" i="18"/>
  <c r="EE26" i="18"/>
  <c r="EU26" i="18"/>
  <c r="EM26" i="18"/>
  <c r="EA26" i="18"/>
  <c r="EQ26" i="18"/>
  <c r="EY26" i="18"/>
  <c r="EI26" i="18"/>
  <c r="EK26" i="18"/>
  <c r="EW26" i="18"/>
  <c r="EG26" i="18"/>
  <c r="EO26" i="18"/>
  <c r="ES26" i="18"/>
  <c r="EC26" i="18"/>
  <c r="FA26" i="18"/>
  <c r="KE26" i="18"/>
  <c r="EA31" i="18"/>
  <c r="EI31" i="18"/>
  <c r="EQ31" i="18"/>
  <c r="ES31" i="18"/>
  <c r="EY31" i="18"/>
  <c r="EK31" i="18"/>
  <c r="EC31" i="18"/>
  <c r="EU31" i="18"/>
  <c r="EG31" i="18"/>
  <c r="EM31" i="18"/>
  <c r="EE31" i="18"/>
  <c r="EO31" i="18"/>
  <c r="EW31" i="18"/>
  <c r="FA31" i="18"/>
  <c r="EC44" i="18"/>
  <c r="EE44" i="18"/>
  <c r="EW44" i="18"/>
  <c r="EK44" i="18"/>
  <c r="EA44" i="18"/>
  <c r="ES44" i="18"/>
  <c r="EG44" i="18"/>
  <c r="EM44" i="18"/>
  <c r="EQ44" i="18"/>
  <c r="EI44" i="18"/>
  <c r="EY44" i="18"/>
  <c r="EU44" i="18"/>
  <c r="EO44" i="18"/>
  <c r="FA44" i="18"/>
  <c r="BA52" i="18"/>
  <c r="LI57" i="18"/>
  <c r="EK62" i="18"/>
  <c r="EW62" i="18"/>
  <c r="EE62" i="18"/>
  <c r="ES62" i="18"/>
  <c r="EG62" i="18"/>
  <c r="EU62" i="18"/>
  <c r="EI62" i="18"/>
  <c r="EM62" i="18"/>
  <c r="EQ62" i="18"/>
  <c r="EA62" i="18"/>
  <c r="EC62" i="18"/>
  <c r="EY62" i="18"/>
  <c r="EO62" i="18"/>
  <c r="FA62" i="18"/>
  <c r="MS64" i="18"/>
  <c r="MT64" i="18" s="1"/>
  <c r="EA72" i="18"/>
  <c r="EY72" i="18"/>
  <c r="EM72" i="18"/>
  <c r="EK72" i="18"/>
  <c r="EG72" i="18"/>
  <c r="EW72" i="18"/>
  <c r="ES72" i="18"/>
  <c r="EO72" i="18"/>
  <c r="EC72" i="18"/>
  <c r="EQ72" i="18"/>
  <c r="EU72" i="18"/>
  <c r="FA72" i="18"/>
  <c r="EE72" i="18"/>
  <c r="EI72" i="18"/>
  <c r="MW73" i="18"/>
  <c r="MX73" i="18" s="1"/>
  <c r="GI84" i="18"/>
  <c r="EA84" i="18"/>
  <c r="EY84" i="18"/>
  <c r="EE84" i="18"/>
  <c r="EU84" i="18"/>
  <c r="EK84" i="18"/>
  <c r="ES84" i="18"/>
  <c r="EM84" i="18"/>
  <c r="EW84" i="18"/>
  <c r="EC84" i="18"/>
  <c r="EO84" i="18"/>
  <c r="EI84" i="18"/>
  <c r="EQ84" i="18"/>
  <c r="EG84" i="18"/>
  <c r="FA84" i="18"/>
  <c r="IK94" i="18"/>
  <c r="EM94" i="18"/>
  <c r="EA94" i="18"/>
  <c r="EQ94" i="18"/>
  <c r="EE94" i="18"/>
  <c r="EY94" i="18"/>
  <c r="EK94" i="18"/>
  <c r="EU94" i="18"/>
  <c r="ES94" i="18"/>
  <c r="EW94" i="18"/>
  <c r="EI94" i="18"/>
  <c r="EO94" i="18"/>
  <c r="EG94" i="18"/>
  <c r="EC94" i="18"/>
  <c r="FA94" i="18"/>
  <c r="EY106" i="18"/>
  <c r="EA106" i="18"/>
  <c r="EQ106" i="18"/>
  <c r="EE106" i="18"/>
  <c r="EM106" i="18"/>
  <c r="EW106" i="18"/>
  <c r="EK106" i="18"/>
  <c r="EU106" i="18"/>
  <c r="ES106" i="18"/>
  <c r="EC106" i="18"/>
  <c r="EO106" i="18"/>
  <c r="EI106" i="18"/>
  <c r="EG106" i="18"/>
  <c r="FA106" i="18"/>
  <c r="LW5" i="18"/>
  <c r="EA5" i="18"/>
  <c r="EO5" i="18"/>
  <c r="EI5" i="18"/>
  <c r="EU5" i="18"/>
  <c r="EE5" i="18"/>
  <c r="EY5" i="18"/>
  <c r="EM5" i="18"/>
  <c r="EQ5" i="18"/>
  <c r="EC5" i="18"/>
  <c r="EW5" i="18"/>
  <c r="EK5" i="18"/>
  <c r="EG5" i="18"/>
  <c r="ES5" i="18"/>
  <c r="FA5" i="18"/>
  <c r="DN14" i="18"/>
  <c r="DO14" i="18" s="1"/>
  <c r="EM22" i="18"/>
  <c r="EA22" i="18"/>
  <c r="EQ22" i="18"/>
  <c r="EU22" i="18"/>
  <c r="EY22" i="18"/>
  <c r="EE22" i="18"/>
  <c r="EI22" i="18"/>
  <c r="EO22" i="18"/>
  <c r="EC22" i="18"/>
  <c r="EW22" i="18"/>
  <c r="EK22" i="18"/>
  <c r="ES22" i="18"/>
  <c r="EG22" i="18"/>
  <c r="FA22" i="18"/>
  <c r="FQ28" i="18"/>
  <c r="EO28" i="18"/>
  <c r="EG28" i="18"/>
  <c r="EY28" i="18"/>
  <c r="EA28" i="18"/>
  <c r="EC28" i="18"/>
  <c r="EI28" i="18"/>
  <c r="ES28" i="18"/>
  <c r="EU28" i="18"/>
  <c r="EM28" i="18"/>
  <c r="EW28" i="18"/>
  <c r="EE28" i="18"/>
  <c r="EQ28" i="18"/>
  <c r="EK28" i="18"/>
  <c r="FA28" i="18"/>
  <c r="DK51" i="18"/>
  <c r="BC52" i="18"/>
  <c r="EA63" i="18"/>
  <c r="EG63" i="18"/>
  <c r="EM63" i="18"/>
  <c r="EQ63" i="18"/>
  <c r="ES63" i="18"/>
  <c r="EE63" i="18"/>
  <c r="EO63" i="18"/>
  <c r="EK63" i="18"/>
  <c r="EI63" i="18"/>
  <c r="EC63" i="18"/>
  <c r="EY63" i="18"/>
  <c r="EU63" i="18"/>
  <c r="EW63" i="18"/>
  <c r="FA63" i="18"/>
  <c r="FQ67" i="18"/>
  <c r="EG73" i="18"/>
  <c r="ES73" i="18"/>
  <c r="EU73" i="18"/>
  <c r="EI73" i="18"/>
  <c r="EC73" i="18"/>
  <c r="EY73" i="18"/>
  <c r="EO73" i="18"/>
  <c r="EA73" i="18"/>
  <c r="EQ73" i="18"/>
  <c r="EE73" i="18"/>
  <c r="EM73" i="18"/>
  <c r="EW73" i="18"/>
  <c r="FA73" i="18"/>
  <c r="EK73" i="18"/>
  <c r="GY95" i="18"/>
  <c r="EA95" i="18"/>
  <c r="EQ95" i="18"/>
  <c r="EE95" i="18"/>
  <c r="ES95" i="18"/>
  <c r="EW95" i="18"/>
  <c r="EG95" i="18"/>
  <c r="EC95" i="18"/>
  <c r="EO95" i="18"/>
  <c r="EY95" i="18"/>
  <c r="EI95" i="18"/>
  <c r="EM95" i="18"/>
  <c r="FA95" i="18"/>
  <c r="EU95" i="18"/>
  <c r="EK95" i="18"/>
  <c r="JC101" i="18"/>
  <c r="EA107" i="18"/>
  <c r="EQ107" i="18"/>
  <c r="EE107" i="18"/>
  <c r="EW107" i="18"/>
  <c r="EG107" i="18"/>
  <c r="EK107" i="18"/>
  <c r="ES107" i="18"/>
  <c r="EO107" i="18"/>
  <c r="EY107" i="18"/>
  <c r="EU107" i="18"/>
  <c r="EC107" i="18"/>
  <c r="EM107" i="18"/>
  <c r="EI107" i="18"/>
  <c r="FA107" i="18"/>
  <c r="HM9" i="18"/>
  <c r="EG9" i="18"/>
  <c r="ES9" i="18"/>
  <c r="EM9" i="18"/>
  <c r="EY9" i="18"/>
  <c r="EA9" i="18"/>
  <c r="EQ9" i="18"/>
  <c r="EE9" i="18"/>
  <c r="EI9" i="18"/>
  <c r="EU9" i="18"/>
  <c r="EK9" i="18"/>
  <c r="EC9" i="18"/>
  <c r="EO9" i="18"/>
  <c r="EW9" i="18"/>
  <c r="FA9" i="18"/>
  <c r="EW101" i="18"/>
  <c r="EK101" i="18"/>
  <c r="EY101" i="18"/>
  <c r="EM101" i="18"/>
  <c r="EQ101" i="18"/>
  <c r="EA101" i="18"/>
  <c r="ES101" i="18"/>
  <c r="EC101" i="18"/>
  <c r="EU101" i="18"/>
  <c r="EE101" i="18"/>
  <c r="EI101" i="18"/>
  <c r="EG101" i="18"/>
  <c r="EO101" i="18"/>
  <c r="FA101" i="18"/>
  <c r="EM6" i="18"/>
  <c r="EY6" i="18"/>
  <c r="EA6" i="18"/>
  <c r="EE6" i="18"/>
  <c r="EG6" i="18"/>
  <c r="ES6" i="18"/>
  <c r="EO6" i="18"/>
  <c r="EW6" i="18"/>
  <c r="EK6" i="18"/>
  <c r="EQ6" i="18"/>
  <c r="EC6" i="18"/>
  <c r="EU6" i="18"/>
  <c r="FA6" i="18"/>
  <c r="EI6" i="18"/>
  <c r="EO12" i="18"/>
  <c r="EA12" i="18"/>
  <c r="EG12" i="18"/>
  <c r="EI12" i="18"/>
  <c r="EU12" i="18"/>
  <c r="EC12" i="18"/>
  <c r="EE12" i="18"/>
  <c r="EY12" i="18"/>
  <c r="EM12" i="18"/>
  <c r="EQ12" i="18"/>
  <c r="EW12" i="18"/>
  <c r="ES12" i="18"/>
  <c r="EK12" i="18"/>
  <c r="FA12" i="18"/>
  <c r="BK28" i="18"/>
  <c r="EM35" i="18"/>
  <c r="EA35" i="18"/>
  <c r="EU35" i="18"/>
  <c r="EY35" i="18"/>
  <c r="EI35" i="18"/>
  <c r="EE35" i="18"/>
  <c r="EQ35" i="18"/>
  <c r="EO35" i="18"/>
  <c r="EG35" i="18"/>
  <c r="EW35" i="18"/>
  <c r="EK35" i="18"/>
  <c r="ES35" i="18"/>
  <c r="EC35" i="18"/>
  <c r="FA35" i="18"/>
  <c r="FT47" i="18"/>
  <c r="FU47" i="18" s="1"/>
  <c r="LM64" i="18"/>
  <c r="EG64" i="18"/>
  <c r="ES64" i="18"/>
  <c r="EA64" i="18"/>
  <c r="EY64" i="18"/>
  <c r="EM64" i="18"/>
  <c r="EK64" i="18"/>
  <c r="EO64" i="18"/>
  <c r="EU64" i="18"/>
  <c r="EE64" i="18"/>
  <c r="EC64" i="18"/>
  <c r="EQ64" i="18"/>
  <c r="FA64" i="18"/>
  <c r="EW64" i="18"/>
  <c r="EI64" i="18"/>
  <c r="MG70" i="18"/>
  <c r="MH70" i="18" s="1"/>
  <c r="DS74" i="18"/>
  <c r="EA74" i="18"/>
  <c r="ES74" i="18"/>
  <c r="EG74" i="18"/>
  <c r="EY74" i="18"/>
  <c r="EQ74" i="18"/>
  <c r="EM74" i="18"/>
  <c r="EE74" i="18"/>
  <c r="EI74" i="18"/>
  <c r="EC74" i="18"/>
  <c r="EK74" i="18"/>
  <c r="EO74" i="18"/>
  <c r="EU74" i="18"/>
  <c r="EW74" i="18"/>
  <c r="FA74" i="18"/>
  <c r="EA96" i="18"/>
  <c r="EG96" i="18"/>
  <c r="EK96" i="18"/>
  <c r="EO96" i="18"/>
  <c r="ES96" i="18"/>
  <c r="EE96" i="18"/>
  <c r="EW96" i="18"/>
  <c r="EI96" i="18"/>
  <c r="EC96" i="18"/>
  <c r="EY96" i="18"/>
  <c r="EQ96" i="18"/>
  <c r="EM96" i="18"/>
  <c r="EU96" i="18"/>
  <c r="FA96" i="18"/>
  <c r="KM99" i="18"/>
  <c r="LC108" i="18"/>
  <c r="EA108" i="18"/>
  <c r="ES108" i="18"/>
  <c r="EK108" i="18"/>
  <c r="EW108" i="18"/>
  <c r="EG108" i="18"/>
  <c r="EE108" i="18"/>
  <c r="EM108" i="18"/>
  <c r="EO108" i="18"/>
  <c r="EC108" i="18"/>
  <c r="EQ108" i="18"/>
  <c r="EU108" i="18"/>
  <c r="EY108" i="18"/>
  <c r="EI108" i="18"/>
  <c r="FA108" i="18"/>
  <c r="CI9" i="18"/>
  <c r="FQ9" i="18"/>
  <c r="EC18" i="18"/>
  <c r="EE18" i="18"/>
  <c r="EG18" i="18"/>
  <c r="ES18" i="18"/>
  <c r="EM18" i="18"/>
  <c r="EO18" i="18"/>
  <c r="EK18" i="18"/>
  <c r="EY18" i="18"/>
  <c r="EA18" i="18"/>
  <c r="EW18" i="18"/>
  <c r="EU18" i="18"/>
  <c r="EQ18" i="18"/>
  <c r="EI18" i="18"/>
  <c r="FA18" i="18"/>
  <c r="DE24" i="18"/>
  <c r="EI24" i="18"/>
  <c r="EY24" i="18"/>
  <c r="EM24" i="18"/>
  <c r="EA24" i="18"/>
  <c r="EE24" i="18"/>
  <c r="EQ24" i="18"/>
  <c r="EU24" i="18"/>
  <c r="EW24" i="18"/>
  <c r="ES24" i="18"/>
  <c r="EO24" i="18"/>
  <c r="EG24" i="18"/>
  <c r="EC24" i="18"/>
  <c r="EK24" i="18"/>
  <c r="FA24" i="18"/>
  <c r="KS36" i="18"/>
  <c r="EA36" i="18"/>
  <c r="EO36" i="18"/>
  <c r="EG36" i="18"/>
  <c r="EQ36" i="18"/>
  <c r="EW36" i="18"/>
  <c r="EE36" i="18"/>
  <c r="EU36" i="18"/>
  <c r="EI36" i="18"/>
  <c r="EM36" i="18"/>
  <c r="EY36" i="18"/>
  <c r="EC36" i="18"/>
  <c r="ES36" i="18"/>
  <c r="EK36" i="18"/>
  <c r="FA36" i="18"/>
  <c r="EC40" i="18"/>
  <c r="EO40" i="18"/>
  <c r="ES40" i="18"/>
  <c r="EG40" i="18"/>
  <c r="EW40" i="18"/>
  <c r="EI40" i="18"/>
  <c r="EU40" i="18"/>
  <c r="EK40" i="18"/>
  <c r="EM40" i="18"/>
  <c r="EE40" i="18"/>
  <c r="EY40" i="18"/>
  <c r="EQ40" i="18"/>
  <c r="AE75" i="18"/>
  <c r="EA75" i="18"/>
  <c r="EM75" i="18"/>
  <c r="EY75" i="18"/>
  <c r="ES75" i="18"/>
  <c r="EG75" i="18"/>
  <c r="EU75" i="18"/>
  <c r="EO75" i="18"/>
  <c r="EC75" i="18"/>
  <c r="EW75" i="18"/>
  <c r="EI75" i="18"/>
  <c r="EK75" i="18"/>
  <c r="EE75" i="18"/>
  <c r="EQ75" i="18"/>
  <c r="FA75" i="18"/>
  <c r="IU85" i="18"/>
  <c r="EA85" i="18"/>
  <c r="EM85" i="18"/>
  <c r="EY85" i="18"/>
  <c r="EC85" i="18"/>
  <c r="EO85" i="18"/>
  <c r="EI85" i="18"/>
  <c r="EU85" i="18"/>
  <c r="EE85" i="18"/>
  <c r="EG85" i="18"/>
  <c r="EW85" i="18"/>
  <c r="EK85" i="18"/>
  <c r="EQ85" i="18"/>
  <c r="ES85" i="18"/>
  <c r="FA85" i="18"/>
  <c r="HA97" i="18"/>
  <c r="EK97" i="18"/>
  <c r="EA97" i="18"/>
  <c r="EW97" i="18"/>
  <c r="EO97" i="18"/>
  <c r="EY97" i="18"/>
  <c r="EC97" i="18"/>
  <c r="EI97" i="18"/>
  <c r="ES97" i="18"/>
  <c r="EM97" i="18"/>
  <c r="EG97" i="18"/>
  <c r="EE97" i="18"/>
  <c r="EQ97" i="18"/>
  <c r="EU97" i="18"/>
  <c r="FA97" i="18"/>
  <c r="LS99" i="18"/>
  <c r="LW109" i="18"/>
  <c r="EA109" i="18"/>
  <c r="EW109" i="18"/>
  <c r="EK109" i="18"/>
  <c r="FA109" i="18"/>
  <c r="EU109" i="18"/>
  <c r="EQ109" i="18"/>
  <c r="EM109" i="18"/>
  <c r="EY109" i="18"/>
  <c r="EE109" i="18"/>
  <c r="EI109" i="18"/>
  <c r="ES109" i="18"/>
  <c r="EO109" i="18"/>
  <c r="EC109" i="18"/>
  <c r="EG109" i="18"/>
  <c r="EC14" i="18"/>
  <c r="EE14" i="18"/>
  <c r="EG14" i="18"/>
  <c r="EA14" i="18"/>
  <c r="EQ14" i="18"/>
  <c r="EI14" i="18"/>
  <c r="EK14" i="18"/>
  <c r="EM14" i="18"/>
  <c r="EW14" i="18"/>
  <c r="ES14" i="18"/>
  <c r="EO14" i="18"/>
  <c r="EU14" i="18"/>
  <c r="EY14" i="18"/>
  <c r="FA14" i="18"/>
  <c r="W25" i="18"/>
  <c r="EE25" i="18"/>
  <c r="EU25" i="18"/>
  <c r="EI25" i="18"/>
  <c r="EY25" i="18"/>
  <c r="EM25" i="18"/>
  <c r="EQ25" i="18"/>
  <c r="EA25" i="18"/>
  <c r="EK25" i="18"/>
  <c r="EC25" i="18"/>
  <c r="EW25" i="18"/>
  <c r="ES25" i="18"/>
  <c r="EG25" i="18"/>
  <c r="EO25" i="18"/>
  <c r="FA25" i="18"/>
  <c r="GI7" i="18"/>
  <c r="EK7" i="18"/>
  <c r="EW7" i="18"/>
  <c r="EE7" i="18"/>
  <c r="EQ7" i="18"/>
  <c r="EI7" i="18"/>
  <c r="EM7" i="18"/>
  <c r="EY7" i="18"/>
  <c r="EU7" i="18"/>
  <c r="EA7" i="18"/>
  <c r="EC7" i="18"/>
  <c r="ES7" i="18"/>
  <c r="EG7" i="18"/>
  <c r="EO7" i="18"/>
  <c r="FA7" i="18"/>
  <c r="DS8" i="18"/>
  <c r="GL13" i="18"/>
  <c r="GM13" i="18" s="1"/>
  <c r="HU21" i="18"/>
  <c r="KC21" i="18"/>
  <c r="IW27" i="18"/>
  <c r="EI27" i="18"/>
  <c r="EA27" i="18"/>
  <c r="ES27" i="18"/>
  <c r="EC27" i="18"/>
  <c r="EG27" i="18"/>
  <c r="EO27" i="18"/>
  <c r="EY27" i="18"/>
  <c r="EM27" i="18"/>
  <c r="EU27" i="18"/>
  <c r="EW27" i="18"/>
  <c r="EE27" i="18"/>
  <c r="EK27" i="18"/>
  <c r="EQ27" i="18"/>
  <c r="FA27" i="18"/>
  <c r="ME28" i="18"/>
  <c r="MF28" i="18" s="1"/>
  <c r="FZ31" i="18"/>
  <c r="GA31" i="18" s="1"/>
  <c r="JU33" i="18"/>
  <c r="EA33" i="18"/>
  <c r="EI33" i="18"/>
  <c r="ES33" i="18"/>
  <c r="EQ33" i="18"/>
  <c r="EK33" i="18"/>
  <c r="EE33" i="18"/>
  <c r="EO33" i="18"/>
  <c r="EG33" i="18"/>
  <c r="EW33" i="18"/>
  <c r="EM33" i="18"/>
  <c r="EU33" i="18"/>
  <c r="EY33" i="18"/>
  <c r="EC33" i="18"/>
  <c r="FA33" i="18"/>
  <c r="MM38" i="18"/>
  <c r="MN38" i="18" s="1"/>
  <c r="FH44" i="18"/>
  <c r="FI44" i="18" s="1"/>
  <c r="EM48" i="18"/>
  <c r="EA48" i="18"/>
  <c r="EG48" i="18"/>
  <c r="EI48" i="18"/>
  <c r="EY48" i="18"/>
  <c r="EO48" i="18"/>
  <c r="ES48" i="18"/>
  <c r="EW48" i="18"/>
  <c r="EE48" i="18"/>
  <c r="EC48" i="18"/>
  <c r="EU48" i="18"/>
  <c r="EK48" i="18"/>
  <c r="EQ48" i="18"/>
  <c r="FA48" i="18"/>
  <c r="LI50" i="18"/>
  <c r="EI50" i="18"/>
  <c r="EO50" i="18"/>
  <c r="EG50" i="18"/>
  <c r="EU50" i="18"/>
  <c r="EM50" i="18"/>
  <c r="EY50" i="18"/>
  <c r="EE50" i="18"/>
  <c r="EK50" i="18"/>
  <c r="EC50" i="18"/>
  <c r="ES50" i="18"/>
  <c r="EW50" i="18"/>
  <c r="EQ50" i="18"/>
  <c r="KK65" i="18"/>
  <c r="EG65" i="18"/>
  <c r="ES65" i="18"/>
  <c r="EU65" i="18"/>
  <c r="EI65" i="18"/>
  <c r="EA65" i="18"/>
  <c r="EC65" i="18"/>
  <c r="EO65" i="18"/>
  <c r="EE65" i="18"/>
  <c r="FA65" i="18"/>
  <c r="EY65" i="18"/>
  <c r="EM65" i="18"/>
  <c r="EQ65" i="18"/>
  <c r="EW65" i="18"/>
  <c r="EK65" i="18"/>
  <c r="M76" i="18"/>
  <c r="EA76" i="18"/>
  <c r="ES76" i="18"/>
  <c r="EC76" i="18"/>
  <c r="EG76" i="18"/>
  <c r="EE76" i="18"/>
  <c r="EM76" i="18"/>
  <c r="EO76" i="18"/>
  <c r="EK76" i="18"/>
  <c r="EW76" i="18"/>
  <c r="EQ76" i="18"/>
  <c r="EY76" i="18"/>
  <c r="EI76" i="18"/>
  <c r="EU76" i="18"/>
  <c r="FA76" i="18"/>
  <c r="EA86" i="18"/>
  <c r="ES86" i="18"/>
  <c r="EY86" i="18"/>
  <c r="EE86" i="18"/>
  <c r="EO86" i="18"/>
  <c r="EM86" i="18"/>
  <c r="EG86" i="18"/>
  <c r="EW86" i="18"/>
  <c r="EC86" i="18"/>
  <c r="EU86" i="18"/>
  <c r="EI86" i="18"/>
  <c r="EQ86" i="18"/>
  <c r="EK86" i="18"/>
  <c r="FA86" i="18"/>
  <c r="MG95" i="18"/>
  <c r="MH95" i="18" s="1"/>
  <c r="EM98" i="18"/>
  <c r="EQ98" i="18"/>
  <c r="EA98" i="18"/>
  <c r="EE98" i="18"/>
  <c r="EY98" i="18"/>
  <c r="EK98" i="18"/>
  <c r="EO98" i="18"/>
  <c r="ES98" i="18"/>
  <c r="EW98" i="18"/>
  <c r="EC98" i="18"/>
  <c r="EI98" i="18"/>
  <c r="EU98" i="18"/>
  <c r="EG98" i="18"/>
  <c r="FA98" i="18"/>
  <c r="MS101" i="18"/>
  <c r="MT101" i="18" s="1"/>
  <c r="MQ102" i="18"/>
  <c r="MR102" i="18" s="1"/>
  <c r="EM110" i="18"/>
  <c r="EQ110" i="18"/>
  <c r="EY110" i="18"/>
  <c r="EI110" i="18"/>
  <c r="EK110" i="18"/>
  <c r="EA110" i="18"/>
  <c r="EE110" i="18"/>
  <c r="EW110" i="18"/>
  <c r="EG110" i="18"/>
  <c r="EC110" i="18"/>
  <c r="ES110" i="18"/>
  <c r="EO110" i="18"/>
  <c r="EU110" i="18"/>
  <c r="FA110" i="18"/>
  <c r="DE5" i="18"/>
  <c r="JU8" i="18"/>
  <c r="EI8" i="18"/>
  <c r="EU8" i="18"/>
  <c r="EA8" i="18"/>
  <c r="EO8" i="18"/>
  <c r="EC8" i="18"/>
  <c r="EE8" i="18"/>
  <c r="EW8" i="18"/>
  <c r="EG8" i="18"/>
  <c r="EK8" i="18"/>
  <c r="ES8" i="18"/>
  <c r="EY8" i="18"/>
  <c r="EM8" i="18"/>
  <c r="EQ8" i="18"/>
  <c r="FA8" i="18"/>
  <c r="GR13" i="18"/>
  <c r="GS13" i="18" s="1"/>
  <c r="EC15" i="18"/>
  <c r="EE15" i="18"/>
  <c r="EG15" i="18"/>
  <c r="ES15" i="18"/>
  <c r="EM15" i="18"/>
  <c r="EO15" i="18"/>
  <c r="EK15" i="18"/>
  <c r="EW15" i="18"/>
  <c r="EY15" i="18"/>
  <c r="EA15" i="18"/>
  <c r="EU15" i="18"/>
  <c r="EQ15" i="18"/>
  <c r="EI15" i="18"/>
  <c r="FA15" i="18"/>
  <c r="EC17" i="18"/>
  <c r="EE17" i="18"/>
  <c r="EG17" i="18"/>
  <c r="ES17" i="18"/>
  <c r="EY17" i="18"/>
  <c r="EK17" i="18"/>
  <c r="EM17" i="18"/>
  <c r="EO17" i="18"/>
  <c r="EW17" i="18"/>
  <c r="EA17" i="18"/>
  <c r="EI17" i="18"/>
  <c r="EU17" i="18"/>
  <c r="EQ17" i="18"/>
  <c r="FA17" i="18"/>
  <c r="FL44" i="18"/>
  <c r="FM44" i="18" s="1"/>
  <c r="AY47" i="18"/>
  <c r="EA55" i="18"/>
  <c r="EG55" i="18"/>
  <c r="EQ55" i="18"/>
  <c r="EY55" i="18"/>
  <c r="EU55" i="18"/>
  <c r="EI55" i="18"/>
  <c r="EE55" i="18"/>
  <c r="EK55" i="18"/>
  <c r="EO55" i="18"/>
  <c r="ES55" i="18"/>
  <c r="EW55" i="18"/>
  <c r="EM55" i="18"/>
  <c r="EC55" i="18"/>
  <c r="FA55" i="18"/>
  <c r="EA66" i="18"/>
  <c r="EG66" i="18"/>
  <c r="ES66" i="18"/>
  <c r="EO66" i="18"/>
  <c r="EQ66" i="18"/>
  <c r="EU66" i="18"/>
  <c r="EM66" i="18"/>
  <c r="EY66" i="18"/>
  <c r="EE66" i="18"/>
  <c r="EI66" i="18"/>
  <c r="EC66" i="18"/>
  <c r="EK66" i="18"/>
  <c r="EW66" i="18"/>
  <c r="FA66" i="18"/>
  <c r="EG77" i="18"/>
  <c r="ES77" i="18"/>
  <c r="EM77" i="18"/>
  <c r="EA77" i="18"/>
  <c r="EC77" i="18"/>
  <c r="EQ77" i="18"/>
  <c r="EE77" i="18"/>
  <c r="EU77" i="18"/>
  <c r="EI77" i="18"/>
  <c r="EY77" i="18"/>
  <c r="EK77" i="18"/>
  <c r="EO77" i="18"/>
  <c r="EW77" i="18"/>
  <c r="FA77" i="18"/>
  <c r="LM87" i="18"/>
  <c r="EU87" i="18"/>
  <c r="EI87" i="18"/>
  <c r="EM87" i="18"/>
  <c r="EA87" i="18"/>
  <c r="EO87" i="18"/>
  <c r="EC87" i="18"/>
  <c r="EQ87" i="18"/>
  <c r="EE87" i="18"/>
  <c r="EY87" i="18"/>
  <c r="EG87" i="18"/>
  <c r="EW87" i="18"/>
  <c r="EK87" i="18"/>
  <c r="ES87" i="18"/>
  <c r="FA87" i="18"/>
  <c r="LI99" i="18"/>
  <c r="EA99" i="18"/>
  <c r="EK99" i="18"/>
  <c r="EQ99" i="18"/>
  <c r="EE99" i="18"/>
  <c r="EG99" i="18"/>
  <c r="EI99" i="18"/>
  <c r="EW99" i="18"/>
  <c r="EM99" i="18"/>
  <c r="EC99" i="18"/>
  <c r="EO99" i="18"/>
  <c r="EU99" i="18"/>
  <c r="EY99" i="18"/>
  <c r="ES99" i="18"/>
  <c r="FA99" i="18"/>
  <c r="AA63" i="18"/>
  <c r="HS65" i="18"/>
  <c r="KC67" i="18"/>
  <c r="FS72" i="18"/>
  <c r="MI75" i="18"/>
  <c r="MJ75" i="18" s="1"/>
  <c r="MA78" i="18"/>
  <c r="MB78" i="18" s="1"/>
  <c r="AU99" i="18"/>
  <c r="KQ101" i="18"/>
  <c r="MS8" i="18"/>
  <c r="MT8" i="18" s="1"/>
  <c r="CI4" i="18"/>
  <c r="W5" i="18"/>
  <c r="CE5" i="18"/>
  <c r="CZ13" i="18"/>
  <c r="DA13" i="18" s="1"/>
  <c r="HG17" i="18"/>
  <c r="FR22" i="18"/>
  <c r="FS22" i="18" s="1"/>
  <c r="CA27" i="18"/>
  <c r="DJ34" i="18"/>
  <c r="DK34" i="18" s="1"/>
  <c r="DI47" i="18"/>
  <c r="GB47" i="18"/>
  <c r="MW47" i="18" s="1"/>
  <c r="MX47" i="18" s="1"/>
  <c r="MS54" i="18"/>
  <c r="MT54" i="18" s="1"/>
  <c r="FO65" i="18"/>
  <c r="JK71" i="18"/>
  <c r="LS71" i="18"/>
  <c r="DQ81" i="18"/>
  <c r="W86" i="18"/>
  <c r="KE86" i="18"/>
  <c r="DO95" i="18"/>
  <c r="MO10" i="18"/>
  <c r="MP10" i="18" s="1"/>
  <c r="MK11" i="18"/>
  <c r="ML11" i="18" s="1"/>
  <c r="MI11" i="18"/>
  <c r="MJ11" i="18" s="1"/>
  <c r="DJ13" i="18"/>
  <c r="DK13" i="18" s="1"/>
  <c r="HW14" i="18"/>
  <c r="DK20" i="18"/>
  <c r="AW21" i="18"/>
  <c r="IW21" i="18"/>
  <c r="T22" i="18"/>
  <c r="U22" i="18" s="1"/>
  <c r="FF25" i="18"/>
  <c r="FG25" i="18" s="1"/>
  <c r="KT28" i="18"/>
  <c r="KU28" i="18" s="1"/>
  <c r="ME29" i="18"/>
  <c r="MF29" i="18" s="1"/>
  <c r="ME39" i="18"/>
  <c r="MF39" i="18" s="1"/>
  <c r="AS42" i="18"/>
  <c r="L43" i="18"/>
  <c r="BC47" i="18"/>
  <c r="JW47" i="18"/>
  <c r="FS57" i="18"/>
  <c r="IA57" i="18"/>
  <c r="KG57" i="18"/>
  <c r="LE67" i="18"/>
  <c r="FO82" i="18"/>
  <c r="FM88" i="18"/>
  <c r="KQ93" i="18"/>
  <c r="JA104" i="18"/>
  <c r="AW17" i="18"/>
  <c r="DC17" i="18"/>
  <c r="S37" i="18"/>
  <c r="KI5" i="18"/>
  <c r="KQ9" i="18"/>
  <c r="DI18" i="18"/>
  <c r="N19" i="18"/>
  <c r="MC19" i="18" s="1"/>
  <c r="MD19" i="18" s="1"/>
  <c r="LO24" i="18"/>
  <c r="MM27" i="18"/>
  <c r="MN27" i="18" s="1"/>
  <c r="L32" i="18"/>
  <c r="M32" i="18" s="1"/>
  <c r="AD33" i="18"/>
  <c r="AE33" i="18" s="1"/>
  <c r="HE33" i="18"/>
  <c r="MI37" i="18"/>
  <c r="MJ37" i="18" s="1"/>
  <c r="P43" i="18"/>
  <c r="Q43" i="18" s="1"/>
  <c r="HU47" i="18"/>
  <c r="MA50" i="18"/>
  <c r="MB50" i="18" s="1"/>
  <c r="GC52" i="18"/>
  <c r="MW54" i="18"/>
  <c r="MX54" i="18" s="1"/>
  <c r="GY55" i="18"/>
  <c r="MK59" i="18"/>
  <c r="ML59" i="18" s="1"/>
  <c r="LS64" i="18"/>
  <c r="MO66" i="18"/>
  <c r="MP66" i="18" s="1"/>
  <c r="MO77" i="18"/>
  <c r="MP77" i="18" s="1"/>
  <c r="MM78" i="18"/>
  <c r="MN78" i="18" s="1"/>
  <c r="MS85" i="18"/>
  <c r="MT85" i="18" s="1"/>
  <c r="HS91" i="18"/>
  <c r="MU96" i="18"/>
  <c r="MV96" i="18" s="1"/>
  <c r="MQ98" i="18"/>
  <c r="MR98" i="18" s="1"/>
  <c r="MM100" i="18"/>
  <c r="MN100" i="18" s="1"/>
  <c r="AB19" i="18"/>
  <c r="MQ19" i="18" s="1"/>
  <c r="MR19" i="18" s="1"/>
  <c r="LC25" i="18"/>
  <c r="FS37" i="18"/>
  <c r="GS47" i="18"/>
  <c r="FM48" i="18"/>
  <c r="HU49" i="18"/>
  <c r="MG62" i="18"/>
  <c r="MH62" i="18" s="1"/>
  <c r="MA64" i="18"/>
  <c r="MB64" i="18" s="1"/>
  <c r="MC84" i="18"/>
  <c r="MD84" i="18" s="1"/>
  <c r="IA88" i="18"/>
  <c r="CI106" i="18"/>
  <c r="DS5" i="18"/>
  <c r="Y7" i="18"/>
  <c r="HY7" i="18"/>
  <c r="BY10" i="18"/>
  <c r="GP13" i="18"/>
  <c r="GQ13" i="18" s="1"/>
  <c r="GL14" i="18"/>
  <c r="GM14" i="18" s="1"/>
  <c r="MS22" i="18"/>
  <c r="MT22" i="18" s="1"/>
  <c r="MQ27" i="18"/>
  <c r="MR27" i="18" s="1"/>
  <c r="AS43" i="18"/>
  <c r="AG47" i="18"/>
  <c r="CG51" i="18"/>
  <c r="GM52" i="18"/>
  <c r="HQ52" i="18"/>
  <c r="JK5" i="18"/>
  <c r="GW7" i="18"/>
  <c r="GM9" i="18"/>
  <c r="JY9" i="18"/>
  <c r="GN14" i="18"/>
  <c r="GO14" i="18" s="1"/>
  <c r="AA15" i="18"/>
  <c r="AA17" i="18"/>
  <c r="II24" i="18"/>
  <c r="MQ28" i="18"/>
  <c r="MR28" i="18" s="1"/>
  <c r="HS29" i="18"/>
  <c r="IB33" i="18"/>
  <c r="IC33" i="18" s="1"/>
  <c r="AD44" i="18"/>
  <c r="AE44" i="18" s="1"/>
  <c r="CW7" i="18"/>
  <c r="IK5" i="18"/>
  <c r="MI9" i="18"/>
  <c r="MJ9" i="18" s="1"/>
  <c r="IE11" i="18"/>
  <c r="AX13" i="18"/>
  <c r="AY13" i="18" s="1"/>
  <c r="HB14" i="18"/>
  <c r="HC14" i="18" s="1"/>
  <c r="MO17" i="18"/>
  <c r="MP17" i="18" s="1"/>
  <c r="IA17" i="18"/>
  <c r="GY21" i="18"/>
  <c r="DO21" i="18"/>
  <c r="KM21" i="18"/>
  <c r="FV26" i="18"/>
  <c r="FW26" i="18" s="1"/>
  <c r="MQ29" i="18"/>
  <c r="MR29" i="18" s="1"/>
  <c r="ID33" i="18"/>
  <c r="IE33" i="18" s="1"/>
  <c r="AF44" i="18"/>
  <c r="AG44" i="18" s="1"/>
  <c r="LM47" i="18"/>
  <c r="CA52" i="18"/>
  <c r="MS59" i="18"/>
  <c r="MT59" i="18" s="1"/>
  <c r="DM61" i="18"/>
  <c r="CC72" i="18"/>
  <c r="LS86" i="18"/>
  <c r="FO93" i="18"/>
  <c r="GQ94" i="18"/>
  <c r="LG94" i="18"/>
  <c r="FM105" i="18"/>
  <c r="GK108" i="18"/>
  <c r="MQ9" i="18"/>
  <c r="MR9" i="18" s="1"/>
  <c r="GK5" i="18"/>
  <c r="HF14" i="18"/>
  <c r="HG14" i="18" s="1"/>
  <c r="DO17" i="18"/>
  <c r="JP24" i="18"/>
  <c r="JQ24" i="18" s="1"/>
  <c r="MG26" i="18"/>
  <c r="MH26" i="18" s="1"/>
  <c r="BI39" i="18"/>
  <c r="MQ69" i="18"/>
  <c r="MR69" i="18" s="1"/>
  <c r="W72" i="18"/>
  <c r="AQ77" i="18"/>
  <c r="CR99" i="18"/>
  <c r="CS99" i="18" s="1"/>
  <c r="CY99" i="18"/>
  <c r="HG99" i="18"/>
  <c r="MI10" i="18"/>
  <c r="MJ10" i="18" s="1"/>
  <c r="FI5" i="18"/>
  <c r="MC11" i="18"/>
  <c r="MD11" i="18" s="1"/>
  <c r="CH13" i="18"/>
  <c r="CI13" i="18" s="1"/>
  <c r="MU17" i="18"/>
  <c r="MV17" i="18" s="1"/>
  <c r="FF22" i="18"/>
  <c r="FG22" i="18" s="1"/>
  <c r="HQ24" i="18"/>
  <c r="AO28" i="18"/>
  <c r="BM28" i="18"/>
  <c r="KA30" i="18"/>
  <c r="GC38" i="18"/>
  <c r="CM42" i="18"/>
  <c r="Q47" i="18"/>
  <c r="GQ74" i="18"/>
  <c r="DV38" i="18"/>
  <c r="KG4" i="18"/>
  <c r="MU10" i="18"/>
  <c r="MV10" i="18" s="1"/>
  <c r="CO10" i="18"/>
  <c r="CB13" i="18"/>
  <c r="CC13" i="18" s="1"/>
  <c r="GN13" i="18"/>
  <c r="GO13" i="18" s="1"/>
  <c r="X14" i="18"/>
  <c r="Y14" i="18" s="1"/>
  <c r="HD14" i="18"/>
  <c r="HE14" i="18" s="1"/>
  <c r="JC17" i="18"/>
  <c r="LM17" i="18"/>
  <c r="AD19" i="18"/>
  <c r="MS19" i="18" s="1"/>
  <c r="MT19" i="18" s="1"/>
  <c r="FS20" i="18"/>
  <c r="FE21" i="18"/>
  <c r="HA21" i="18"/>
  <c r="IK23" i="18"/>
  <c r="BG26" i="18"/>
  <c r="DM30" i="18"/>
  <c r="Z33" i="18"/>
  <c r="AA33" i="18" s="1"/>
  <c r="HZ33" i="18"/>
  <c r="IA33" i="18" s="1"/>
  <c r="BH36" i="18"/>
  <c r="BI36" i="18" s="1"/>
  <c r="AF43" i="18"/>
  <c r="AG43" i="18" s="1"/>
  <c r="BK43" i="18"/>
  <c r="AB44" i="18"/>
  <c r="AC44" i="18" s="1"/>
  <c r="MA52" i="18"/>
  <c r="MB52" i="18" s="1"/>
  <c r="LX54" i="18"/>
  <c r="LY54" i="18" s="1"/>
  <c r="BM55" i="18"/>
  <c r="GU57" i="18"/>
  <c r="MG58" i="18"/>
  <c r="MH58" i="18" s="1"/>
  <c r="JY64" i="18"/>
  <c r="LI65" i="18"/>
  <c r="IL74" i="18"/>
  <c r="IM74" i="18" s="1"/>
  <c r="JP75" i="18"/>
  <c r="JQ75" i="18" s="1"/>
  <c r="KY75" i="18" s="1"/>
  <c r="MU77" i="18"/>
  <c r="MV77" i="18" s="1"/>
  <c r="MM90" i="18"/>
  <c r="MN90" i="18" s="1"/>
  <c r="GW93" i="18"/>
  <c r="FO94" i="18"/>
  <c r="MI102" i="18"/>
  <c r="MJ102" i="18" s="1"/>
  <c r="LW105" i="18"/>
  <c r="MS106" i="18"/>
  <c r="MT106" i="18" s="1"/>
  <c r="JP108" i="18"/>
  <c r="JQ108" i="18" s="1"/>
  <c r="KY108" i="18" s="1"/>
  <c r="DQ65" i="18"/>
  <c r="IL69" i="18"/>
  <c r="IM69" i="18" s="1"/>
  <c r="JP69" i="18"/>
  <c r="JQ69" i="18" s="1"/>
  <c r="KY69" i="18" s="1"/>
  <c r="KM77" i="18"/>
  <c r="GD105" i="18"/>
  <c r="GE105" i="18" s="1"/>
  <c r="CW88" i="18"/>
  <c r="IK38" i="18"/>
  <c r="MQ7" i="18"/>
  <c r="MR7" i="18" s="1"/>
  <c r="BW10" i="18"/>
  <c r="CN13" i="18"/>
  <c r="CO13" i="18" s="1"/>
  <c r="GX13" i="18"/>
  <c r="GY13" i="18" s="1"/>
  <c r="BY15" i="18"/>
  <c r="GA15" i="18"/>
  <c r="AF20" i="18"/>
  <c r="AG20" i="18" s="1"/>
  <c r="KO20" i="18"/>
  <c r="DG21" i="18"/>
  <c r="FF23" i="18"/>
  <c r="FG23" i="18" s="1"/>
  <c r="FZ28" i="18"/>
  <c r="GA28" i="18" s="1"/>
  <c r="BF30" i="18"/>
  <c r="BG30" i="18" s="1"/>
  <c r="CO30" i="18"/>
  <c r="FH33" i="18"/>
  <c r="FI33" i="18" s="1"/>
  <c r="IH33" i="18"/>
  <c r="II33" i="18" s="1"/>
  <c r="HZ34" i="18"/>
  <c r="IA34" i="18" s="1"/>
  <c r="ME37" i="18"/>
  <c r="MF37" i="18" s="1"/>
  <c r="FN43" i="18"/>
  <c r="IU46" i="18"/>
  <c r="DK47" i="18"/>
  <c r="GQ51" i="18"/>
  <c r="FM52" i="18"/>
  <c r="GQ52" i="18"/>
  <c r="AU69" i="18"/>
  <c r="AA86" i="18"/>
  <c r="O93" i="18"/>
  <c r="CA95" i="18"/>
  <c r="JO95" i="18"/>
  <c r="GK99" i="18"/>
  <c r="BA103" i="18"/>
  <c r="LW38" i="18"/>
  <c r="FK5" i="18"/>
  <c r="FU7" i="18"/>
  <c r="MM8" i="18"/>
  <c r="MN8" i="18" s="1"/>
  <c r="MK9" i="18"/>
  <c r="ML9" i="18" s="1"/>
  <c r="MC10" i="18"/>
  <c r="MD10" i="18" s="1"/>
  <c r="IS10" i="18"/>
  <c r="KT10" i="18"/>
  <c r="KU10" i="18" s="1"/>
  <c r="MS11" i="18"/>
  <c r="MT11" i="18" s="1"/>
  <c r="L13" i="18"/>
  <c r="M13" i="18" s="1"/>
  <c r="HB13" i="18"/>
  <c r="HC13" i="18" s="1"/>
  <c r="AJ17" i="18"/>
  <c r="AK17" i="18" s="1"/>
  <c r="IQ17" i="18" s="1"/>
  <c r="CE21" i="18"/>
  <c r="BN23" i="18"/>
  <c r="BO23" i="18" s="1"/>
  <c r="FJ23" i="18"/>
  <c r="FK23" i="18" s="1"/>
  <c r="MS25" i="18"/>
  <c r="MT25" i="18" s="1"/>
  <c r="AS28" i="18"/>
  <c r="BH30" i="18"/>
  <c r="BI30" i="18" s="1"/>
  <c r="IG30" i="18"/>
  <c r="FJ33" i="18"/>
  <c r="FK33" i="18" s="1"/>
  <c r="IJ34" i="18"/>
  <c r="IK34" i="18" s="1"/>
  <c r="CX36" i="18"/>
  <c r="CY36" i="18" s="1"/>
  <c r="AU37" i="18"/>
  <c r="LG37" i="18"/>
  <c r="LG40" i="18"/>
  <c r="GM41" i="18"/>
  <c r="DC43" i="18"/>
  <c r="FR43" i="18"/>
  <c r="FS43" i="18" s="1"/>
  <c r="KQ43" i="18"/>
  <c r="HW47" i="18"/>
  <c r="JO47" i="18"/>
  <c r="HU56" i="18"/>
  <c r="IL62" i="18"/>
  <c r="IM62" i="18" s="1"/>
  <c r="CW65" i="18"/>
  <c r="DA71" i="18"/>
  <c r="MG84" i="18"/>
  <c r="MH84" i="18" s="1"/>
  <c r="FQ91" i="18"/>
  <c r="BW93" i="18"/>
  <c r="MA93" i="18"/>
  <c r="MB93" i="18" s="1"/>
  <c r="IS95" i="18"/>
  <c r="CA99" i="18"/>
  <c r="JU99" i="18"/>
  <c r="LA99" i="18" s="1"/>
  <c r="GY102" i="18"/>
  <c r="MC106" i="18"/>
  <c r="MD106" i="18" s="1"/>
  <c r="DM109" i="18"/>
  <c r="MQ4" i="18"/>
  <c r="MR4" i="18" s="1"/>
  <c r="BG5" i="18"/>
  <c r="MO5" i="18"/>
  <c r="MP5" i="18" s="1"/>
  <c r="KS6" i="18"/>
  <c r="MW11" i="18"/>
  <c r="MX11" i="18" s="1"/>
  <c r="MU11" i="18"/>
  <c r="MV11" i="18" s="1"/>
  <c r="X13" i="18"/>
  <c r="Y13" i="18" s="1"/>
  <c r="CX13" i="18"/>
  <c r="CY13" i="18" s="1"/>
  <c r="HD13" i="18"/>
  <c r="HE13" i="18" s="1"/>
  <c r="CX14" i="18"/>
  <c r="CY14" i="18" s="1"/>
  <c r="MC17" i="18"/>
  <c r="MD17" i="18" s="1"/>
  <c r="AQ17" i="18"/>
  <c r="KT18" i="18"/>
  <c r="KU18" i="18" s="1"/>
  <c r="LU21" i="18"/>
  <c r="FR23" i="18"/>
  <c r="GU25" i="18"/>
  <c r="JP28" i="18"/>
  <c r="JQ28" i="18" s="1"/>
  <c r="FN33" i="18"/>
  <c r="FO33" i="18" s="1"/>
  <c r="AC35" i="18"/>
  <c r="FV43" i="18"/>
  <c r="FW43" i="18" s="1"/>
  <c r="IL48" i="18"/>
  <c r="IM48" i="18" s="1"/>
  <c r="FQ51" i="18"/>
  <c r="U55" i="18"/>
  <c r="LC55" i="18"/>
  <c r="GD56" i="18"/>
  <c r="GE56" i="18" s="1"/>
  <c r="DV57" i="18"/>
  <c r="DW57" i="18" s="1"/>
  <c r="GQ61" i="18"/>
  <c r="MQ73" i="18"/>
  <c r="MR73" i="18" s="1"/>
  <c r="BM79" i="18"/>
  <c r="BA84" i="18"/>
  <c r="HM84" i="18"/>
  <c r="DG99" i="18"/>
  <c r="IU99" i="18"/>
  <c r="LE105" i="18"/>
  <c r="LX106" i="18"/>
  <c r="LY106" i="18" s="1"/>
  <c r="ME9" i="18"/>
  <c r="MF9" i="18" s="1"/>
  <c r="HX34" i="18"/>
  <c r="HY34" i="18" s="1"/>
  <c r="BN4" i="18"/>
  <c r="BO4" i="18" s="1"/>
  <c r="IY5" i="18"/>
  <c r="FM10" i="18"/>
  <c r="FM21" i="18"/>
  <c r="GQ21" i="18"/>
  <c r="FV23" i="18"/>
  <c r="FW23" i="18" s="1"/>
  <c r="DV24" i="18"/>
  <c r="DW24" i="18" s="1"/>
  <c r="MW26" i="18"/>
  <c r="MX26" i="18" s="1"/>
  <c r="JA28" i="18"/>
  <c r="FJ30" i="18"/>
  <c r="FK30" i="18" s="1"/>
  <c r="FT33" i="18"/>
  <c r="FU33" i="18" s="1"/>
  <c r="JP35" i="18"/>
  <c r="JQ35" i="18" s="1"/>
  <c r="MI38" i="18"/>
  <c r="MJ38" i="18" s="1"/>
  <c r="BN40" i="18"/>
  <c r="BO40" i="18" s="1"/>
  <c r="FZ43" i="18"/>
  <c r="GA43" i="18" s="1"/>
  <c r="AW45" i="18"/>
  <c r="BK50" i="18"/>
  <c r="AJ57" i="18"/>
  <c r="AK57" i="18" s="1"/>
  <c r="AW65" i="18"/>
  <c r="DA65" i="18"/>
  <c r="JM65" i="18"/>
  <c r="GW79" i="18"/>
  <c r="DV79" i="18"/>
  <c r="DW79" i="18" s="1"/>
  <c r="HE80" i="18"/>
  <c r="JY88" i="18"/>
  <c r="BC95" i="18"/>
  <c r="FM95" i="18"/>
  <c r="MW98" i="18"/>
  <c r="MX98" i="18" s="1"/>
  <c r="LC99" i="18"/>
  <c r="IL107" i="18"/>
  <c r="IM107" i="18" s="1"/>
  <c r="AI5" i="18"/>
  <c r="MG15" i="18"/>
  <c r="MH15" i="18" s="1"/>
  <c r="GD17" i="18"/>
  <c r="GE17" i="18" s="1"/>
  <c r="GM20" i="18"/>
  <c r="JY20" i="18"/>
  <c r="GW24" i="18"/>
  <c r="FV33" i="18"/>
  <c r="FW33" i="18" s="1"/>
  <c r="CG55" i="18"/>
  <c r="IY55" i="18"/>
  <c r="KC55" i="18"/>
  <c r="AJ63" i="18"/>
  <c r="AK63" i="18" s="1"/>
  <c r="IK65" i="18"/>
  <c r="IG66" i="18"/>
  <c r="II72" i="18"/>
  <c r="CG98" i="18"/>
  <c r="HU99" i="18"/>
  <c r="IY99" i="18"/>
  <c r="CR101" i="18"/>
  <c r="CS101" i="18" s="1"/>
  <c r="FO105" i="18"/>
  <c r="IL108" i="18"/>
  <c r="IM108" i="18" s="1"/>
  <c r="MO4" i="18"/>
  <c r="MP4" i="18" s="1"/>
  <c r="MI8" i="18"/>
  <c r="MJ8" i="18" s="1"/>
  <c r="MO11" i="18"/>
  <c r="MP11" i="18" s="1"/>
  <c r="CN36" i="18"/>
  <c r="CO36" i="18" s="1"/>
  <c r="CR38" i="18"/>
  <c r="BM5" i="18"/>
  <c r="DQ5" i="18"/>
  <c r="HY5" i="18"/>
  <c r="MW8" i="18"/>
  <c r="MX8" i="18" s="1"/>
  <c r="BJ13" i="18"/>
  <c r="BK13" i="18" s="1"/>
  <c r="DL13" i="18"/>
  <c r="DM13" i="18" s="1"/>
  <c r="GC14" i="18"/>
  <c r="Y24" i="18"/>
  <c r="MO24" i="18"/>
  <c r="MP24" i="18" s="1"/>
  <c r="LM24" i="18"/>
  <c r="LW27" i="18"/>
  <c r="BA28" i="18"/>
  <c r="JM28" i="18"/>
  <c r="P33" i="18"/>
  <c r="Q33" i="18" s="1"/>
  <c r="FZ33" i="18"/>
  <c r="GA33" i="18" s="1"/>
  <c r="AP36" i="18"/>
  <c r="AQ36" i="18" s="1"/>
  <c r="FN36" i="18"/>
  <c r="FO36" i="18" s="1"/>
  <c r="L44" i="18"/>
  <c r="M44" i="18" s="1"/>
  <c r="GW55" i="18"/>
  <c r="Y65" i="18"/>
  <c r="MC65" i="18"/>
  <c r="MD65" i="18" s="1"/>
  <c r="HQ65" i="18"/>
  <c r="IS65" i="18"/>
  <c r="DA72" i="18"/>
  <c r="HG72" i="18"/>
  <c r="KS72" i="18"/>
  <c r="GK80" i="18"/>
  <c r="HM80" i="18"/>
  <c r="MC91" i="18"/>
  <c r="MD91" i="18" s="1"/>
  <c r="CW91" i="18"/>
  <c r="KA93" i="18"/>
  <c r="LI95" i="18"/>
  <c r="DM105" i="18"/>
  <c r="GM108" i="18"/>
  <c r="CQ109" i="18"/>
  <c r="BK5" i="18"/>
  <c r="LE5" i="18"/>
  <c r="AS5" i="18"/>
  <c r="GD7" i="18"/>
  <c r="GE7" i="18" s="1"/>
  <c r="LX26" i="18"/>
  <c r="LY26" i="18" s="1"/>
  <c r="BI31" i="18"/>
  <c r="R33" i="18"/>
  <c r="S33" i="18" s="1"/>
  <c r="DL34" i="18"/>
  <c r="DM34" i="18" s="1"/>
  <c r="AR36" i="18"/>
  <c r="AS36" i="18" s="1"/>
  <c r="FP36" i="18"/>
  <c r="FQ36" i="18" s="1"/>
  <c r="AA37" i="18"/>
  <c r="T43" i="18"/>
  <c r="U43" i="18" s="1"/>
  <c r="N44" i="18"/>
  <c r="O44" i="18" s="1"/>
  <c r="FR44" i="18"/>
  <c r="FS44" i="18" s="1"/>
  <c r="MG49" i="18"/>
  <c r="MH49" i="18" s="1"/>
  <c r="IY49" i="18"/>
  <c r="KQ50" i="18"/>
  <c r="AE52" i="18"/>
  <c r="LC57" i="18"/>
  <c r="KQ64" i="18"/>
  <c r="O91" i="18"/>
  <c r="AC92" i="18"/>
  <c r="BG99" i="18"/>
  <c r="CK99" i="18"/>
  <c r="GW99" i="18"/>
  <c r="HH102" i="18"/>
  <c r="HI102" i="18" s="1"/>
  <c r="LI106" i="18"/>
  <c r="LE108" i="18"/>
  <c r="MG8" i="18"/>
  <c r="MH8" i="18" s="1"/>
  <c r="MO35" i="18"/>
  <c r="MP35" i="18" s="1"/>
  <c r="ME60" i="18"/>
  <c r="MF60" i="18" s="1"/>
  <c r="FT28" i="18"/>
  <c r="FU28" i="18" s="1"/>
  <c r="BN38" i="18"/>
  <c r="BO38" i="18" s="1"/>
  <c r="ME5" i="18"/>
  <c r="MF5" i="18" s="1"/>
  <c r="CW5" i="18"/>
  <c r="GY5" i="18"/>
  <c r="MI6" i="18"/>
  <c r="MJ6" i="18" s="1"/>
  <c r="MG7" i="18"/>
  <c r="MH7" i="18" s="1"/>
  <c r="CA7" i="18"/>
  <c r="MA8" i="18"/>
  <c r="MB8" i="18" s="1"/>
  <c r="DO10" i="18"/>
  <c r="BV13" i="18"/>
  <c r="BW13" i="18" s="1"/>
  <c r="P14" i="18"/>
  <c r="Q14" i="18" s="1"/>
  <c r="IE14" i="18"/>
  <c r="X19" i="18"/>
  <c r="Y19" i="18" s="1"/>
  <c r="HW20" i="18"/>
  <c r="LI20" i="18"/>
  <c r="MW22" i="18"/>
  <c r="MX22" i="18" s="1"/>
  <c r="FV22" i="18"/>
  <c r="FW22" i="18" s="1"/>
  <c r="AO24" i="18"/>
  <c r="FG27" i="18"/>
  <c r="DI28" i="18"/>
  <c r="IA28" i="18"/>
  <c r="T31" i="18"/>
  <c r="U31" i="18" s="1"/>
  <c r="FR32" i="18"/>
  <c r="FS32" i="18" s="1"/>
  <c r="T33" i="18"/>
  <c r="U33" i="18" s="1"/>
  <c r="HR33" i="18"/>
  <c r="HS33" i="18" s="1"/>
  <c r="DN34" i="18"/>
  <c r="DO34" i="18" s="1"/>
  <c r="AV36" i="18"/>
  <c r="AW36" i="18" s="1"/>
  <c r="FV36" i="18"/>
  <c r="FW36" i="18" s="1"/>
  <c r="X43" i="18"/>
  <c r="Y43" i="18" s="1"/>
  <c r="X44" i="18"/>
  <c r="Y44" i="18" s="1"/>
  <c r="FT44" i="18"/>
  <c r="FU44" i="18" s="1"/>
  <c r="KK45" i="18"/>
  <c r="GY47" i="18"/>
  <c r="IL58" i="18"/>
  <c r="IM58" i="18" s="1"/>
  <c r="JP58" i="18"/>
  <c r="JQ58" i="18" s="1"/>
  <c r="KY58" i="18" s="1"/>
  <c r="BN59" i="18"/>
  <c r="BO59" i="18" s="1"/>
  <c r="AC65" i="18"/>
  <c r="AU66" i="18"/>
  <c r="BY66" i="18"/>
  <c r="DO70" i="18"/>
  <c r="GD73" i="18"/>
  <c r="GE73" i="18" s="1"/>
  <c r="LC80" i="18"/>
  <c r="JW81" i="18"/>
  <c r="KO87" i="18"/>
  <c r="MO93" i="18"/>
  <c r="MP93" i="18" s="1"/>
  <c r="BE93" i="18"/>
  <c r="M99" i="18"/>
  <c r="DQ99" i="18"/>
  <c r="JE99" i="18"/>
  <c r="FK101" i="18"/>
  <c r="IW101" i="18"/>
  <c r="HG38" i="18"/>
  <c r="MG5" i="18"/>
  <c r="MH5" i="18" s="1"/>
  <c r="DU5" i="18"/>
  <c r="ME8" i="18"/>
  <c r="MF8" i="18" s="1"/>
  <c r="BX13" i="18"/>
  <c r="BY13" i="18" s="1"/>
  <c r="R14" i="18"/>
  <c r="S14" i="18" s="1"/>
  <c r="MI17" i="18"/>
  <c r="MJ17" i="18" s="1"/>
  <c r="BW21" i="18"/>
  <c r="IA21" i="18"/>
  <c r="AX24" i="18"/>
  <c r="AY24" i="18" s="1"/>
  <c r="MO26" i="18"/>
  <c r="MP26" i="18" s="1"/>
  <c r="HH27" i="18"/>
  <c r="HI27" i="18" s="1"/>
  <c r="ME27" i="18"/>
  <c r="MF27" i="18" s="1"/>
  <c r="Z31" i="18"/>
  <c r="AA31" i="18" s="1"/>
  <c r="FZ32" i="18"/>
  <c r="GA32" i="18" s="1"/>
  <c r="X33" i="18"/>
  <c r="Y33" i="18" s="1"/>
  <c r="HT33" i="18"/>
  <c r="HU33" i="18" s="1"/>
  <c r="DR34" i="18"/>
  <c r="DS34" i="18" s="1"/>
  <c r="BD36" i="18"/>
  <c r="BE36" i="18" s="1"/>
  <c r="FZ36" i="18"/>
  <c r="GA36" i="18" s="1"/>
  <c r="AD43" i="18"/>
  <c r="AE43" i="18" s="1"/>
  <c r="Z44" i="18"/>
  <c r="AA44" i="18" s="1"/>
  <c r="FX44" i="18"/>
  <c r="FY44" i="18" s="1"/>
  <c r="GW49" i="18"/>
  <c r="KG49" i="18"/>
  <c r="JY51" i="18"/>
  <c r="CR54" i="18"/>
  <c r="CS54" i="18" s="1"/>
  <c r="BK55" i="18"/>
  <c r="DV60" i="18"/>
  <c r="DW60" i="18" s="1"/>
  <c r="BI70" i="18"/>
  <c r="JP74" i="18"/>
  <c r="JQ74" i="18" s="1"/>
  <c r="KY74" i="18" s="1"/>
  <c r="LX74" i="18"/>
  <c r="LY74" i="18" s="1"/>
  <c r="GU93" i="18"/>
  <c r="AO99" i="18"/>
  <c r="BK99" i="18"/>
  <c r="IC99" i="18"/>
  <c r="IL103" i="18"/>
  <c r="IM103" i="18" s="1"/>
  <c r="CR104" i="18"/>
  <c r="CE108" i="18"/>
  <c r="MS4" i="18"/>
  <c r="MT4" i="18" s="1"/>
  <c r="MI5" i="18"/>
  <c r="MJ5" i="18" s="1"/>
  <c r="BS5" i="18"/>
  <c r="MQ6" i="18"/>
  <c r="MR6" i="18" s="1"/>
  <c r="MI7" i="18"/>
  <c r="MJ7" i="18" s="1"/>
  <c r="AJ8" i="18"/>
  <c r="AK8" i="18" s="1"/>
  <c r="IQ8" i="18" s="1"/>
  <c r="CR8" i="18"/>
  <c r="CS8" i="18" s="1"/>
  <c r="DV8" i="18"/>
  <c r="DW8" i="18" s="1"/>
  <c r="W9" i="18"/>
  <c r="MS10" i="18"/>
  <c r="MT10" i="18" s="1"/>
  <c r="IW10" i="18"/>
  <c r="MK12" i="18"/>
  <c r="ML12" i="18" s="1"/>
  <c r="BZ13" i="18"/>
  <c r="CA13" i="18" s="1"/>
  <c r="FG13" i="18"/>
  <c r="GW13" i="18"/>
  <c r="HU13" i="18"/>
  <c r="LJ13" i="18"/>
  <c r="LK13" i="18" s="1"/>
  <c r="MQ15" i="18"/>
  <c r="MR15" i="18" s="1"/>
  <c r="MS16" i="18"/>
  <c r="MT16" i="18" s="1"/>
  <c r="O17" i="18"/>
  <c r="JE17" i="18"/>
  <c r="U18" i="18"/>
  <c r="GO18" i="18"/>
  <c r="AF19" i="18"/>
  <c r="AG19" i="18" s="1"/>
  <c r="JO19" i="18"/>
  <c r="FU21" i="18"/>
  <c r="GI21" i="18"/>
  <c r="LG21" i="18"/>
  <c r="AI23" i="18"/>
  <c r="LE26" i="18"/>
  <c r="JO26" i="18"/>
  <c r="CG27" i="18"/>
  <c r="JP27" i="18"/>
  <c r="JQ27" i="18" s="1"/>
  <c r="Q29" i="18"/>
  <c r="DI29" i="18"/>
  <c r="AF31" i="18"/>
  <c r="AG31" i="18" s="1"/>
  <c r="GI33" i="18"/>
  <c r="GS37" i="18"/>
  <c r="JA37" i="18"/>
  <c r="AG39" i="18"/>
  <c r="JC40" i="18"/>
  <c r="N42" i="18"/>
  <c r="O42" i="18" s="1"/>
  <c r="GW42" i="18"/>
  <c r="LX43" i="18"/>
  <c r="LY43" i="18" s="1"/>
  <c r="KT46" i="18"/>
  <c r="KU46" i="18" s="1"/>
  <c r="HM55" i="18"/>
  <c r="GI55" i="18"/>
  <c r="BS55" i="18"/>
  <c r="JI59" i="18"/>
  <c r="KT65" i="18"/>
  <c r="KU65" i="18" s="1"/>
  <c r="GD70" i="18"/>
  <c r="GE70" i="18" s="1"/>
  <c r="IQ71" i="18"/>
  <c r="GM71" i="18"/>
  <c r="CC71" i="18"/>
  <c r="MC88" i="18"/>
  <c r="MD88" i="18" s="1"/>
  <c r="DM39" i="18"/>
  <c r="U5" i="18"/>
  <c r="AU5" i="18"/>
  <c r="MA5" i="18"/>
  <c r="MB5" i="18" s="1"/>
  <c r="FO5" i="18"/>
  <c r="KT5" i="18"/>
  <c r="KU5" i="18" s="1"/>
  <c r="MS6" i="18"/>
  <c r="MT6" i="18" s="1"/>
  <c r="MK7" i="18"/>
  <c r="ML7" i="18" s="1"/>
  <c r="IL8" i="18"/>
  <c r="IM8" i="18" s="1"/>
  <c r="JP8" i="18"/>
  <c r="JQ8" i="18" s="1"/>
  <c r="MM9" i="18"/>
  <c r="MN9" i="18" s="1"/>
  <c r="CM10" i="18"/>
  <c r="DM10" i="18"/>
  <c r="MM12" i="18"/>
  <c r="MN12" i="18" s="1"/>
  <c r="LV13" i="18"/>
  <c r="LW13" i="18" s="1"/>
  <c r="KT14" i="18"/>
  <c r="KU14" i="18" s="1"/>
  <c r="KT19" i="18"/>
  <c r="KU19" i="18" s="1"/>
  <c r="MW23" i="18"/>
  <c r="MX23" i="18" s="1"/>
  <c r="T25" i="18"/>
  <c r="U25" i="18" s="1"/>
  <c r="L25" i="18"/>
  <c r="M25" i="18" s="1"/>
  <c r="T28" i="18"/>
  <c r="U28" i="18" s="1"/>
  <c r="N28" i="18"/>
  <c r="O28" i="18" s="1"/>
  <c r="KA29" i="18"/>
  <c r="CW30" i="18"/>
  <c r="GI30" i="18"/>
  <c r="DV30" i="18"/>
  <c r="DW30" i="18" s="1"/>
  <c r="JC33" i="18"/>
  <c r="JI36" i="18"/>
  <c r="MM37" i="18"/>
  <c r="MN37" i="18" s="1"/>
  <c r="MW39" i="18"/>
  <c r="MX39" i="18" s="1"/>
  <c r="HQ39" i="18"/>
  <c r="DS40" i="18"/>
  <c r="IA40" i="18"/>
  <c r="KI40" i="18"/>
  <c r="R42" i="18"/>
  <c r="MC55" i="18"/>
  <c r="MD55" i="18" s="1"/>
  <c r="DV55" i="18"/>
  <c r="DW55" i="18" s="1"/>
  <c r="MC77" i="18"/>
  <c r="MD77" i="18" s="1"/>
  <c r="LX92" i="18"/>
  <c r="LY92" i="18" s="1"/>
  <c r="ME7" i="18"/>
  <c r="MF7" i="18" s="1"/>
  <c r="MO6" i="18"/>
  <c r="MP6" i="18" s="1"/>
  <c r="CR33" i="18"/>
  <c r="CS33" i="18" s="1"/>
  <c r="MW6" i="18"/>
  <c r="MX6" i="18" s="1"/>
  <c r="MA10" i="18"/>
  <c r="MB10" i="18" s="1"/>
  <c r="MW10" i="18"/>
  <c r="MX10" i="18" s="1"/>
  <c r="JY14" i="18"/>
  <c r="GW16" i="18"/>
  <c r="MW16" i="18"/>
  <c r="MX16" i="18" s="1"/>
  <c r="II16" i="18"/>
  <c r="JK16" i="18"/>
  <c r="DC22" i="18"/>
  <c r="AQ23" i="18"/>
  <c r="MK28" i="18"/>
  <c r="ML28" i="18" s="1"/>
  <c r="HC29" i="18"/>
  <c r="LO30" i="18"/>
  <c r="JK36" i="18"/>
  <c r="Q39" i="18"/>
  <c r="AQ39" i="18"/>
  <c r="FY40" i="18"/>
  <c r="AA40" i="18"/>
  <c r="HA40" i="18"/>
  <c r="MW40" i="18"/>
  <c r="MX40" i="18" s="1"/>
  <c r="DO42" i="18"/>
  <c r="DI59" i="18"/>
  <c r="AC59" i="18"/>
  <c r="BN63" i="18"/>
  <c r="BO63" i="18" s="1"/>
  <c r="X42" i="18"/>
  <c r="MM42" i="18" s="1"/>
  <c r="MN42" i="18" s="1"/>
  <c r="AF42" i="18"/>
  <c r="AG42" i="18" s="1"/>
  <c r="AB42" i="18"/>
  <c r="MQ42" i="18" s="1"/>
  <c r="MR42" i="18" s="1"/>
  <c r="Z42" i="18"/>
  <c r="AA42" i="18" s="1"/>
  <c r="T42" i="18"/>
  <c r="MI42" i="18" s="1"/>
  <c r="MJ42" i="18" s="1"/>
  <c r="P42" i="18"/>
  <c r="Q42" i="18" s="1"/>
  <c r="MC5" i="18"/>
  <c r="MD5" i="18" s="1"/>
  <c r="LX5" i="18"/>
  <c r="LY5" i="18" s="1"/>
  <c r="MA4" i="18"/>
  <c r="MB4" i="18" s="1"/>
  <c r="DV6" i="18"/>
  <c r="DW6" i="18" s="1"/>
  <c r="MO7" i="18"/>
  <c r="MP7" i="18" s="1"/>
  <c r="HW7" i="18"/>
  <c r="CR10" i="18"/>
  <c r="CS10" i="18" s="1"/>
  <c r="MA11" i="18"/>
  <c r="MB11" i="18" s="1"/>
  <c r="BN11" i="18"/>
  <c r="BO11" i="18" s="1"/>
  <c r="DV11" i="18"/>
  <c r="DW11" i="18" s="1"/>
  <c r="MQ12" i="18"/>
  <c r="MR12" i="18" s="1"/>
  <c r="N13" i="18"/>
  <c r="O13" i="18" s="1"/>
  <c r="CJ13" i="18"/>
  <c r="CK13" i="18" s="1"/>
  <c r="DJ14" i="18"/>
  <c r="DK14" i="18" s="1"/>
  <c r="IW14" i="18"/>
  <c r="MW15" i="18"/>
  <c r="MX15" i="18" s="1"/>
  <c r="BN16" i="18"/>
  <c r="BO16" i="18" s="1"/>
  <c r="JC18" i="18"/>
  <c r="L19" i="18"/>
  <c r="MA19" i="18" s="1"/>
  <c r="R20" i="18"/>
  <c r="S20" i="18" s="1"/>
  <c r="AS23" i="18"/>
  <c r="AP24" i="18"/>
  <c r="AQ24" i="18" s="1"/>
  <c r="IA24" i="18"/>
  <c r="DV27" i="18"/>
  <c r="DW27" i="18" s="1"/>
  <c r="LM27" i="18"/>
  <c r="AF28" i="18"/>
  <c r="AG28" i="18" s="1"/>
  <c r="MW29" i="18"/>
  <c r="MX29" i="18" s="1"/>
  <c r="V30" i="18"/>
  <c r="W30" i="18" s="1"/>
  <c r="FV30" i="18"/>
  <c r="FW30" i="18" s="1"/>
  <c r="BK33" i="18"/>
  <c r="DS33" i="18"/>
  <c r="LU36" i="18"/>
  <c r="MO37" i="18"/>
  <c r="MP37" i="18" s="1"/>
  <c r="KK37" i="18"/>
  <c r="LO37" i="18"/>
  <c r="LE39" i="18"/>
  <c r="AJ40" i="18"/>
  <c r="AK40" i="18" s="1"/>
  <c r="MG55" i="18"/>
  <c r="MH55" i="18" s="1"/>
  <c r="DV59" i="18"/>
  <c r="DW59" i="18" s="1"/>
  <c r="CR6" i="18"/>
  <c r="CS6" i="18" s="1"/>
  <c r="GD11" i="18"/>
  <c r="GE11" i="18" s="1"/>
  <c r="JP11" i="18"/>
  <c r="JQ11" i="18" s="1"/>
  <c r="KT11" i="18"/>
  <c r="KU11" i="18" s="1"/>
  <c r="GD16" i="18"/>
  <c r="GE16" i="18" s="1"/>
  <c r="HH16" i="18"/>
  <c r="HI16" i="18" s="1"/>
  <c r="JP16" i="18"/>
  <c r="JQ16" i="18" s="1"/>
  <c r="MK17" i="18"/>
  <c r="ML17" i="18" s="1"/>
  <c r="AQ22" i="18"/>
  <c r="BM22" i="18"/>
  <c r="GY23" i="18"/>
  <c r="BN25" i="18"/>
  <c r="BO25" i="18" s="1"/>
  <c r="MK26" i="18"/>
  <c r="ML26" i="18" s="1"/>
  <c r="JG27" i="18"/>
  <c r="DC27" i="18"/>
  <c r="Q27" i="18"/>
  <c r="LO27" i="18"/>
  <c r="MA29" i="18"/>
  <c r="MB29" i="18" s="1"/>
  <c r="FM29" i="18"/>
  <c r="BL30" i="18"/>
  <c r="BM30" i="18" s="1"/>
  <c r="AX30" i="18"/>
  <c r="AY30" i="18" s="1"/>
  <c r="AV30" i="18"/>
  <c r="AW30" i="18" s="1"/>
  <c r="AT30" i="18"/>
  <c r="AU30" i="18" s="1"/>
  <c r="DE30" i="18"/>
  <c r="HH31" i="18"/>
  <c r="HI31" i="18" s="1"/>
  <c r="MK32" i="18"/>
  <c r="ML32" i="18" s="1"/>
  <c r="MQ37" i="18"/>
  <c r="MR37" i="18" s="1"/>
  <c r="FE39" i="18"/>
  <c r="KC39" i="18"/>
  <c r="KO40" i="18"/>
  <c r="CR42" i="18"/>
  <c r="CS42" i="18" s="1"/>
  <c r="DS42" i="18"/>
  <c r="AE51" i="18"/>
  <c r="BN60" i="18"/>
  <c r="BO60" i="18" s="1"/>
  <c r="LX89" i="18"/>
  <c r="LY89" i="18" s="1"/>
  <c r="JP93" i="18"/>
  <c r="KT96" i="18"/>
  <c r="KU96" i="18" s="1"/>
  <c r="LX7" i="18"/>
  <c r="LY7" i="18" s="1"/>
  <c r="BN6" i="18"/>
  <c r="BO6" i="18" s="1"/>
  <c r="HH6" i="18"/>
  <c r="HI6" i="18" s="1"/>
  <c r="KT4" i="18"/>
  <c r="KU4" i="18" s="1"/>
  <c r="MC6" i="18"/>
  <c r="MD6" i="18" s="1"/>
  <c r="IL6" i="18"/>
  <c r="IM6" i="18" s="1"/>
  <c r="MS7" i="18"/>
  <c r="MT7" i="18" s="1"/>
  <c r="MU9" i="18"/>
  <c r="MV9" i="18" s="1"/>
  <c r="MU12" i="18"/>
  <c r="MV12" i="18" s="1"/>
  <c r="Z13" i="18"/>
  <c r="AA13" i="18" s="1"/>
  <c r="CW15" i="18"/>
  <c r="MG17" i="18"/>
  <c r="MH17" i="18" s="1"/>
  <c r="FU18" i="18"/>
  <c r="P19" i="18"/>
  <c r="Q19" i="18" s="1"/>
  <c r="KE19" i="18"/>
  <c r="BK20" i="18"/>
  <c r="CR23" i="18"/>
  <c r="CS23" i="18" s="1"/>
  <c r="BB24" i="18"/>
  <c r="BC24" i="18" s="1"/>
  <c r="AQ25" i="18"/>
  <c r="MS26" i="18"/>
  <c r="MT26" i="18" s="1"/>
  <c r="AF27" i="18"/>
  <c r="AG27" i="18" s="1"/>
  <c r="T27" i="18"/>
  <c r="U27" i="18" s="1"/>
  <c r="KT27" i="18"/>
  <c r="KU27" i="18" s="1"/>
  <c r="BY29" i="18"/>
  <c r="AO30" i="18"/>
  <c r="KQ30" i="18"/>
  <c r="AY31" i="18"/>
  <c r="DV32" i="18"/>
  <c r="DW32" i="18" s="1"/>
  <c r="IS36" i="18"/>
  <c r="LX36" i="18"/>
  <c r="LY36" i="18" s="1"/>
  <c r="GC37" i="18"/>
  <c r="BM37" i="18"/>
  <c r="CM37" i="18"/>
  <c r="JK37" i="18"/>
  <c r="U39" i="18"/>
  <c r="JA39" i="18"/>
  <c r="BU42" i="18"/>
  <c r="CM43" i="18"/>
  <c r="MI49" i="18"/>
  <c r="MJ49" i="18" s="1"/>
  <c r="DV56" i="18"/>
  <c r="DW56" i="18" s="1"/>
  <c r="HW42" i="18"/>
  <c r="HH7" i="18"/>
  <c r="HI7" i="18" s="1"/>
  <c r="JP7" i="18"/>
  <c r="JQ7" i="18" s="1"/>
  <c r="HE8" i="18"/>
  <c r="KQ8" i="18"/>
  <c r="LD13" i="18"/>
  <c r="LE13" i="18" s="1"/>
  <c r="AG17" i="18"/>
  <c r="MS17" i="18"/>
  <c r="MT17" i="18" s="1"/>
  <c r="DV4" i="18"/>
  <c r="DW4" i="18" s="1"/>
  <c r="ME4" i="18"/>
  <c r="MF4" i="18" s="1"/>
  <c r="JP4" i="18"/>
  <c r="JQ4" i="18" s="1"/>
  <c r="MQ5" i="18"/>
  <c r="MR5" i="18" s="1"/>
  <c r="DV5" i="18"/>
  <c r="DW5" i="18" s="1"/>
  <c r="KE5" i="18"/>
  <c r="LX6" i="18"/>
  <c r="LY6" i="18" s="1"/>
  <c r="MA6" i="18"/>
  <c r="MB6" i="18" s="1"/>
  <c r="MG4" i="18"/>
  <c r="MH4" i="18" s="1"/>
  <c r="MS5" i="18"/>
  <c r="MT5" i="18" s="1"/>
  <c r="DA5" i="18"/>
  <c r="LI5" i="18"/>
  <c r="ME6" i="18"/>
  <c r="MF6" i="18" s="1"/>
  <c r="MU7" i="18"/>
  <c r="MV7" i="18" s="1"/>
  <c r="MA9" i="18"/>
  <c r="MB9" i="18" s="1"/>
  <c r="MW9" i="18"/>
  <c r="MX9" i="18" s="1"/>
  <c r="MS9" i="18"/>
  <c r="MT9" i="18" s="1"/>
  <c r="MG10" i="18"/>
  <c r="MH10" i="18" s="1"/>
  <c r="Y12" i="18"/>
  <c r="MW12" i="18"/>
  <c r="MX12" i="18" s="1"/>
  <c r="GZ13" i="18"/>
  <c r="HA13" i="18" s="1"/>
  <c r="V14" i="18"/>
  <c r="GD14" i="18"/>
  <c r="GE14" i="18" s="1"/>
  <c r="JC14" i="18"/>
  <c r="ME15" i="18"/>
  <c r="MF15" i="18" s="1"/>
  <c r="MG16" i="18"/>
  <c r="MH16" i="18" s="1"/>
  <c r="JW17" i="18"/>
  <c r="R19" i="18"/>
  <c r="MG19" i="18" s="1"/>
  <c r="MH19" i="18" s="1"/>
  <c r="IQ21" i="18"/>
  <c r="FN23" i="18"/>
  <c r="FO23" i="18" s="1"/>
  <c r="BF24" i="18"/>
  <c r="BG24" i="18" s="1"/>
  <c r="MS24" i="18"/>
  <c r="MT24" i="18" s="1"/>
  <c r="KT24" i="18"/>
  <c r="KU24" i="18" s="1"/>
  <c r="CR25" i="18"/>
  <c r="CS25" i="18" s="1"/>
  <c r="AI27" i="18"/>
  <c r="FH28" i="18"/>
  <c r="FI28" i="18" s="1"/>
  <c r="CA29" i="18"/>
  <c r="AP30" i="18"/>
  <c r="AQ30" i="18" s="1"/>
  <c r="LW30" i="18"/>
  <c r="AJ37" i="18"/>
  <c r="AK37" i="18" s="1"/>
  <c r="DC39" i="18"/>
  <c r="FI39" i="18"/>
  <c r="GW39" i="18"/>
  <c r="KG39" i="18"/>
  <c r="FG42" i="18"/>
  <c r="HH44" i="18"/>
  <c r="HI44" i="18" s="1"/>
  <c r="IL44" i="18"/>
  <c r="IM44" i="18" s="1"/>
  <c r="MI48" i="18"/>
  <c r="MJ48" i="18" s="1"/>
  <c r="DE59" i="18"/>
  <c r="IK73" i="18"/>
  <c r="LQ73" i="18"/>
  <c r="MS75" i="18"/>
  <c r="MT75" i="18" s="1"/>
  <c r="BN86" i="18"/>
  <c r="BO86" i="18" s="1"/>
  <c r="MA91" i="18"/>
  <c r="JA42" i="18"/>
  <c r="CR4" i="18"/>
  <c r="CS4" i="18" s="1"/>
  <c r="MU5" i="18"/>
  <c r="MV5" i="18" s="1"/>
  <c r="GA5" i="18"/>
  <c r="HA5" i="18"/>
  <c r="LK5" i="18"/>
  <c r="MG6" i="18"/>
  <c r="MH6" i="18" s="1"/>
  <c r="GO6" i="18"/>
  <c r="MW7" i="18"/>
  <c r="MX7" i="18" s="1"/>
  <c r="DV9" i="18"/>
  <c r="DW9" i="18" s="1"/>
  <c r="U10" i="18"/>
  <c r="MA12" i="18"/>
  <c r="BN12" i="18"/>
  <c r="MI15" i="18"/>
  <c r="MJ15" i="18" s="1"/>
  <c r="LX16" i="18"/>
  <c r="LY16" i="18" s="1"/>
  <c r="T19" i="18"/>
  <c r="U19" i="18" s="1"/>
  <c r="AS20" i="18"/>
  <c r="MK23" i="18"/>
  <c r="ML23" i="18" s="1"/>
  <c r="FN25" i="18"/>
  <c r="FO25" i="18" s="1"/>
  <c r="FZ25" i="18"/>
  <c r="GA25" i="18" s="1"/>
  <c r="KK27" i="18"/>
  <c r="GQ30" i="18"/>
  <c r="HS30" i="18"/>
  <c r="GW31" i="18"/>
  <c r="LC31" i="18"/>
  <c r="T32" i="18"/>
  <c r="U32" i="18" s="1"/>
  <c r="AB32" i="18"/>
  <c r="AC32" i="18" s="1"/>
  <c r="CE39" i="18"/>
  <c r="JE39" i="18"/>
  <c r="JP42" i="18"/>
  <c r="JQ42" i="18" s="1"/>
  <c r="IC43" i="18"/>
  <c r="KT56" i="18"/>
  <c r="KU56" i="18" s="1"/>
  <c r="BN65" i="18"/>
  <c r="BO65" i="18" s="1"/>
  <c r="JP73" i="18"/>
  <c r="JQ73" i="18" s="1"/>
  <c r="KY73" i="18" s="1"/>
  <c r="MA74" i="18"/>
  <c r="MB74" i="18" s="1"/>
  <c r="MS84" i="18"/>
  <c r="MT84" i="18" s="1"/>
  <c r="HO42" i="18"/>
  <c r="GA42" i="18"/>
  <c r="GU42" i="18"/>
  <c r="CI5" i="18"/>
  <c r="IL5" i="18"/>
  <c r="IM5" i="18" s="1"/>
  <c r="IL7" i="18"/>
  <c r="IM7" i="18" s="1"/>
  <c r="GA8" i="18"/>
  <c r="JM8" i="18"/>
  <c r="LU8" i="18"/>
  <c r="MG9" i="18"/>
  <c r="MH9" i="18" s="1"/>
  <c r="LX9" i="18"/>
  <c r="LY9" i="18" s="1"/>
  <c r="MI12" i="18"/>
  <c r="MJ12" i="18" s="1"/>
  <c r="AX14" i="18"/>
  <c r="AY14" i="18" s="1"/>
  <c r="BA25" i="18"/>
  <c r="HG26" i="18"/>
  <c r="CK39" i="18"/>
  <c r="AJ5" i="18"/>
  <c r="AK5" i="18" s="1"/>
  <c r="IQ5" i="18" s="1"/>
  <c r="GD5" i="18"/>
  <c r="GE5" i="18" s="1"/>
  <c r="CR7" i="18"/>
  <c r="CS7" i="18" s="1"/>
  <c r="MQ8" i="18"/>
  <c r="MR8" i="18" s="1"/>
  <c r="GD10" i="18"/>
  <c r="GE10" i="18" s="1"/>
  <c r="GD12" i="18"/>
  <c r="GE12" i="18" s="1"/>
  <c r="HH12" i="18"/>
  <c r="HI12" i="18" s="1"/>
  <c r="KT12" i="18"/>
  <c r="KU12" i="18" s="1"/>
  <c r="LX12" i="18"/>
  <c r="MK15" i="18"/>
  <c r="ML15" i="18" s="1"/>
  <c r="IL22" i="18"/>
  <c r="IM22" i="18" s="1"/>
  <c r="CR26" i="18"/>
  <c r="CS26" i="18" s="1"/>
  <c r="BU26" i="18"/>
  <c r="MW28" i="18"/>
  <c r="MX28" i="18" s="1"/>
  <c r="AY29" i="18"/>
  <c r="CI29" i="18"/>
  <c r="DE33" i="18"/>
  <c r="KT33" i="18"/>
  <c r="KU33" i="18" s="1"/>
  <c r="MU35" i="18"/>
  <c r="MV35" i="18" s="1"/>
  <c r="DG39" i="18"/>
  <c r="AY42" i="18"/>
  <c r="CA42" i="18"/>
  <c r="JW42" i="18"/>
  <c r="IQ43" i="18"/>
  <c r="DG43" i="18"/>
  <c r="KA43" i="18"/>
  <c r="DS43" i="18"/>
  <c r="AU43" i="18"/>
  <c r="ME67" i="18"/>
  <c r="MF67" i="18" s="1"/>
  <c r="MW69" i="18"/>
  <c r="MX69" i="18" s="1"/>
  <c r="MG98" i="18"/>
  <c r="MH98" i="18" s="1"/>
  <c r="AJ98" i="18"/>
  <c r="JK29" i="18"/>
  <c r="M29" i="18"/>
  <c r="JE29" i="18"/>
  <c r="IY42" i="18"/>
  <c r="MK10" i="18"/>
  <c r="ML10" i="18" s="1"/>
  <c r="MM4" i="18"/>
  <c r="MN4" i="18" s="1"/>
  <c r="AQ5" i="18"/>
  <c r="BI5" i="18"/>
  <c r="MM5" i="18"/>
  <c r="MN5" i="18" s="1"/>
  <c r="HH5" i="18"/>
  <c r="HI5" i="18" s="1"/>
  <c r="HE5" i="18"/>
  <c r="MK6" i="18"/>
  <c r="ML6" i="18" s="1"/>
  <c r="DV7" i="18"/>
  <c r="DW7" i="18" s="1"/>
  <c r="HH9" i="18"/>
  <c r="HI9" i="18" s="1"/>
  <c r="MM10" i="18"/>
  <c r="MN10" i="18" s="1"/>
  <c r="IL10" i="18"/>
  <c r="IM10" i="18" s="1"/>
  <c r="JP10" i="18"/>
  <c r="JQ10" i="18" s="1"/>
  <c r="JO10" i="18"/>
  <c r="MM11" i="18"/>
  <c r="MN11" i="18" s="1"/>
  <c r="ME12" i="18"/>
  <c r="MF12" i="18" s="1"/>
  <c r="JP13" i="18"/>
  <c r="JQ13" i="18" s="1"/>
  <c r="KT13" i="18"/>
  <c r="KU13" i="18" s="1"/>
  <c r="AF14" i="18"/>
  <c r="AG14" i="18" s="1"/>
  <c r="MM16" i="18"/>
  <c r="MN16" i="18" s="1"/>
  <c r="GD21" i="18"/>
  <c r="GE21" i="18" s="1"/>
  <c r="LX21" i="18"/>
  <c r="LY21" i="18" s="1"/>
  <c r="LC22" i="18"/>
  <c r="FJ25" i="18"/>
  <c r="FK25" i="18" s="1"/>
  <c r="MC26" i="18"/>
  <c r="MD26" i="18" s="1"/>
  <c r="AS26" i="18"/>
  <c r="BY27" i="18"/>
  <c r="GC27" i="18"/>
  <c r="MW27" i="18"/>
  <c r="MX27" i="18" s="1"/>
  <c r="HH28" i="18"/>
  <c r="HI28" i="18" s="1"/>
  <c r="MK29" i="18"/>
  <c r="ML29" i="18" s="1"/>
  <c r="BD30" i="18"/>
  <c r="BE30" i="18" s="1"/>
  <c r="GU30" i="18"/>
  <c r="N31" i="18"/>
  <c r="O31" i="18" s="1"/>
  <c r="HY31" i="18"/>
  <c r="AJ38" i="18"/>
  <c r="AK38" i="18" s="1"/>
  <c r="MQ39" i="18"/>
  <c r="MR39" i="18" s="1"/>
  <c r="BE39" i="18"/>
  <c r="CI39" i="18"/>
  <c r="DJ44" i="18"/>
  <c r="DK44" i="18" s="1"/>
  <c r="DR44" i="18"/>
  <c r="DS44" i="18" s="1"/>
  <c r="DF44" i="18"/>
  <c r="DG44" i="18" s="1"/>
  <c r="CZ44" i="18"/>
  <c r="DA44" i="18" s="1"/>
  <c r="BN45" i="18"/>
  <c r="BO45" i="18" s="1"/>
  <c r="IL52" i="18"/>
  <c r="IM52" i="18" s="1"/>
  <c r="MM59" i="18"/>
  <c r="MN59" i="18" s="1"/>
  <c r="IQ69" i="18"/>
  <c r="KE69" i="18"/>
  <c r="CY69" i="18"/>
  <c r="AS69" i="18"/>
  <c r="MM72" i="18"/>
  <c r="MN72" i="18" s="1"/>
  <c r="MI61" i="18"/>
  <c r="MJ61" i="18" s="1"/>
  <c r="LX64" i="18"/>
  <c r="LY64" i="18" s="1"/>
  <c r="GS70" i="18"/>
  <c r="MG72" i="18"/>
  <c r="MH72" i="18" s="1"/>
  <c r="MU73" i="18"/>
  <c r="MV73" i="18" s="1"/>
  <c r="AW74" i="18"/>
  <c r="AS77" i="18"/>
  <c r="DV77" i="18"/>
  <c r="DW77" i="18" s="1"/>
  <c r="CR79" i="18"/>
  <c r="CS79" i="18" s="1"/>
  <c r="MU80" i="18"/>
  <c r="MV80" i="18" s="1"/>
  <c r="LK84" i="18"/>
  <c r="AU88" i="18"/>
  <c r="GD88" i="18"/>
  <c r="GE88" i="18" s="1"/>
  <c r="HE88" i="18"/>
  <c r="HH98" i="18"/>
  <c r="HI98" i="18" s="1"/>
  <c r="LX98" i="18"/>
  <c r="LY98" i="18" s="1"/>
  <c r="GD99" i="18"/>
  <c r="GE99" i="18" s="1"/>
  <c r="LX101" i="18"/>
  <c r="LY101" i="18" s="1"/>
  <c r="MS103" i="18"/>
  <c r="MT103" i="18" s="1"/>
  <c r="MA107" i="18"/>
  <c r="MB107" i="18" s="1"/>
  <c r="AG108" i="18"/>
  <c r="DO108" i="18"/>
  <c r="HY108" i="18"/>
  <c r="HS109" i="18"/>
  <c r="AJ105" i="18"/>
  <c r="AK105" i="18" s="1"/>
  <c r="GD71" i="18"/>
  <c r="GE71" i="18" s="1"/>
  <c r="GD77" i="18"/>
  <c r="GE77" i="18" s="1"/>
  <c r="MA80" i="18"/>
  <c r="MB80" i="18" s="1"/>
  <c r="MS81" i="18"/>
  <c r="MT81" i="18" s="1"/>
  <c r="MK85" i="18"/>
  <c r="ML85" i="18" s="1"/>
  <c r="IG86" i="18"/>
  <c r="HM88" i="18"/>
  <c r="W91" i="18"/>
  <c r="IL93" i="18"/>
  <c r="IM93" i="18" s="1"/>
  <c r="DM94" i="18"/>
  <c r="FS94" i="18"/>
  <c r="Q95" i="18"/>
  <c r="DE98" i="18"/>
  <c r="CG99" i="18"/>
  <c r="IS99" i="18"/>
  <c r="JO99" i="18"/>
  <c r="MC102" i="18"/>
  <c r="MD102" i="18" s="1"/>
  <c r="MU103" i="18"/>
  <c r="MV103" i="18" s="1"/>
  <c r="BN105" i="18"/>
  <c r="BO105" i="18" s="1"/>
  <c r="CR105" i="18"/>
  <c r="CS105" i="18" s="1"/>
  <c r="DV105" i="18"/>
  <c r="DW105" i="18" s="1"/>
  <c r="JA109" i="18"/>
  <c r="AB33" i="18"/>
  <c r="AC33" i="18" s="1"/>
  <c r="FX33" i="18"/>
  <c r="FY33" i="18" s="1"/>
  <c r="IF33" i="18"/>
  <c r="IG33" i="18" s="1"/>
  <c r="BI34" i="18"/>
  <c r="DP34" i="18"/>
  <c r="DQ34" i="18" s="1"/>
  <c r="KT34" i="18"/>
  <c r="KU34" i="18" s="1"/>
  <c r="AJ39" i="18"/>
  <c r="AK39" i="18" s="1"/>
  <c r="BG39" i="18"/>
  <c r="DI39" i="18"/>
  <c r="IE39" i="18"/>
  <c r="R43" i="18"/>
  <c r="S43" i="18" s="1"/>
  <c r="FZ44" i="18"/>
  <c r="GA44" i="18" s="1"/>
  <c r="MK46" i="18"/>
  <c r="ML46" i="18" s="1"/>
  <c r="AO47" i="18"/>
  <c r="HQ47" i="18"/>
  <c r="FU49" i="18"/>
  <c r="MS51" i="18"/>
  <c r="MT51" i="18" s="1"/>
  <c r="LE55" i="18"/>
  <c r="MU57" i="18"/>
  <c r="MV57" i="18" s="1"/>
  <c r="CR58" i="18"/>
  <c r="CS58" i="18" s="1"/>
  <c r="MG59" i="18"/>
  <c r="MH59" i="18" s="1"/>
  <c r="DK66" i="18"/>
  <c r="MM68" i="18"/>
  <c r="MN68" i="18" s="1"/>
  <c r="MI71" i="18"/>
  <c r="MJ71" i="18" s="1"/>
  <c r="IS71" i="18"/>
  <c r="JA72" i="18"/>
  <c r="FG77" i="18"/>
  <c r="IL77" i="18"/>
  <c r="IM77" i="18" s="1"/>
  <c r="CR80" i="18"/>
  <c r="CS80" i="18" s="1"/>
  <c r="GD80" i="18"/>
  <c r="GE80" i="18" s="1"/>
  <c r="BY84" i="18"/>
  <c r="HE84" i="18"/>
  <c r="AS86" i="18"/>
  <c r="DV86" i="18"/>
  <c r="DW86" i="18" s="1"/>
  <c r="MA88" i="18"/>
  <c r="MB88" i="18" s="1"/>
  <c r="MU89" i="18"/>
  <c r="MV89" i="18" s="1"/>
  <c r="LQ92" i="18"/>
  <c r="KT93" i="18"/>
  <c r="KU93" i="18" s="1"/>
  <c r="MQ94" i="18"/>
  <c r="MR94" i="18" s="1"/>
  <c r="DK97" i="18"/>
  <c r="ME102" i="18"/>
  <c r="MF102" i="18" s="1"/>
  <c r="KI103" i="18"/>
  <c r="CY105" i="18"/>
  <c r="GW109" i="18"/>
  <c r="IE40" i="18"/>
  <c r="LM40" i="18"/>
  <c r="AW42" i="18"/>
  <c r="CY42" i="18"/>
  <c r="AW43" i="18"/>
  <c r="HW43" i="18"/>
  <c r="LE43" i="18"/>
  <c r="LK46" i="18"/>
  <c r="IC49" i="18"/>
  <c r="IA55" i="18"/>
  <c r="KE55" i="18"/>
  <c r="JP59" i="18"/>
  <c r="JQ59" i="18" s="1"/>
  <c r="KY59" i="18" s="1"/>
  <c r="MO68" i="18"/>
  <c r="MP68" i="18" s="1"/>
  <c r="AQ70" i="18"/>
  <c r="CQ70" i="18"/>
  <c r="ME73" i="18"/>
  <c r="MF73" i="18" s="1"/>
  <c r="CG74" i="18"/>
  <c r="MQ76" i="18"/>
  <c r="MR76" i="18" s="1"/>
  <c r="KT77" i="18"/>
  <c r="KU77" i="18" s="1"/>
  <c r="IL80" i="18"/>
  <c r="IM80" i="18" s="1"/>
  <c r="HH84" i="18"/>
  <c r="HI84" i="18" s="1"/>
  <c r="HG86" i="18"/>
  <c r="GO88" i="18"/>
  <c r="KT88" i="18"/>
  <c r="KU88" i="18" s="1"/>
  <c r="MW89" i="18"/>
  <c r="MX89" i="18" s="1"/>
  <c r="MS96" i="18"/>
  <c r="MT96" i="18" s="1"/>
  <c r="MO97" i="18"/>
  <c r="MP97" i="18" s="1"/>
  <c r="MK98" i="18"/>
  <c r="ML98" i="18" s="1"/>
  <c r="MC99" i="18"/>
  <c r="MD99" i="18" s="1"/>
  <c r="MA100" i="18"/>
  <c r="MB100" i="18" s="1"/>
  <c r="MQ101" i="18"/>
  <c r="MR101" i="18" s="1"/>
  <c r="GA103" i="18"/>
  <c r="MG105" i="18"/>
  <c r="MH105" i="18" s="1"/>
  <c r="FW109" i="18"/>
  <c r="MM110" i="18"/>
  <c r="MN110" i="18" s="1"/>
  <c r="HH66" i="18"/>
  <c r="HI66" i="18" s="1"/>
  <c r="IL66" i="18"/>
  <c r="IM66" i="18" s="1"/>
  <c r="MO71" i="18"/>
  <c r="MP71" i="18" s="1"/>
  <c r="CE71" i="18"/>
  <c r="MK71" i="18"/>
  <c r="ML71" i="18" s="1"/>
  <c r="KQ73" i="18"/>
  <c r="CR81" i="18"/>
  <c r="CS81" i="18" s="1"/>
  <c r="MQ85" i="18"/>
  <c r="MR85" i="18" s="1"/>
  <c r="JP86" i="18"/>
  <c r="JQ86" i="18" s="1"/>
  <c r="KY86" i="18" s="1"/>
  <c r="DV89" i="18"/>
  <c r="DW89" i="18" s="1"/>
  <c r="IL95" i="18"/>
  <c r="IM95" i="18" s="1"/>
  <c r="KT95" i="18"/>
  <c r="KU95" i="18" s="1"/>
  <c r="GD108" i="18"/>
  <c r="GE108" i="18" s="1"/>
  <c r="JI108" i="18"/>
  <c r="KI108" i="18"/>
  <c r="CW109" i="18"/>
  <c r="CC30" i="18"/>
  <c r="IC31" i="18"/>
  <c r="MW32" i="18"/>
  <c r="MX32" i="18" s="1"/>
  <c r="AF33" i="18"/>
  <c r="AG33" i="18" s="1"/>
  <c r="MK38" i="18"/>
  <c r="ML38" i="18" s="1"/>
  <c r="CO39" i="18"/>
  <c r="HH39" i="18"/>
  <c r="HI39" i="18" s="1"/>
  <c r="HH40" i="18"/>
  <c r="HI40" i="18" s="1"/>
  <c r="IL42" i="18"/>
  <c r="IM42" i="18" s="1"/>
  <c r="KE43" i="18"/>
  <c r="P44" i="18"/>
  <c r="Q44" i="18" s="1"/>
  <c r="LX44" i="18"/>
  <c r="LY44" i="18" s="1"/>
  <c r="HH48" i="18"/>
  <c r="HI48" i="18" s="1"/>
  <c r="MU49" i="18"/>
  <c r="MV49" i="18" s="1"/>
  <c r="MA51" i="18"/>
  <c r="MB51" i="18" s="1"/>
  <c r="HA55" i="18"/>
  <c r="MK56" i="18"/>
  <c r="ML56" i="18" s="1"/>
  <c r="MU61" i="18"/>
  <c r="MV61" i="18" s="1"/>
  <c r="KG61" i="18"/>
  <c r="ME63" i="18"/>
  <c r="MF63" i="18" s="1"/>
  <c r="MG65" i="18"/>
  <c r="MH65" i="18" s="1"/>
  <c r="DV65" i="18"/>
  <c r="DW65" i="18" s="1"/>
  <c r="MA67" i="18"/>
  <c r="MB67" i="18" s="1"/>
  <c r="DV67" i="18"/>
  <c r="DW67" i="18" s="1"/>
  <c r="MQ68" i="18"/>
  <c r="MR68" i="18" s="1"/>
  <c r="ME70" i="18"/>
  <c r="MF70" i="18" s="1"/>
  <c r="JM70" i="18"/>
  <c r="AA71" i="18"/>
  <c r="LW72" i="18"/>
  <c r="MU76" i="18"/>
  <c r="MV76" i="18" s="1"/>
  <c r="LE77" i="18"/>
  <c r="U80" i="18"/>
  <c r="MO83" i="18"/>
  <c r="MP83" i="18" s="1"/>
  <c r="KT84" i="18"/>
  <c r="KU84" i="18" s="1"/>
  <c r="IL89" i="18"/>
  <c r="IM89" i="18" s="1"/>
  <c r="GD92" i="18"/>
  <c r="GE92" i="18" s="1"/>
  <c r="MS93" i="18"/>
  <c r="MT93" i="18" s="1"/>
  <c r="MW94" i="18"/>
  <c r="MX94" i="18" s="1"/>
  <c r="BM99" i="18"/>
  <c r="FQ99" i="18"/>
  <c r="KA99" i="18"/>
  <c r="MK102" i="18"/>
  <c r="ML102" i="18" s="1"/>
  <c r="MW106" i="18"/>
  <c r="MX106" i="18" s="1"/>
  <c r="AJ108" i="18"/>
  <c r="AK108" i="18" s="1"/>
  <c r="W109" i="18"/>
  <c r="MG109" i="18"/>
  <c r="MH109" i="18" s="1"/>
  <c r="LW25" i="18"/>
  <c r="MK27" i="18"/>
  <c r="ML27" i="18" s="1"/>
  <c r="BN28" i="18"/>
  <c r="BO28" i="18" s="1"/>
  <c r="DA28" i="18"/>
  <c r="GQ28" i="18"/>
  <c r="MM29" i="18"/>
  <c r="MN29" i="18" s="1"/>
  <c r="DV29" i="18"/>
  <c r="DW29" i="18" s="1"/>
  <c r="FJ31" i="18"/>
  <c r="FK31" i="18" s="1"/>
  <c r="CR32" i="18"/>
  <c r="CS32" i="18" s="1"/>
  <c r="L33" i="18"/>
  <c r="M33" i="18" s="1"/>
  <c r="HO33" i="18"/>
  <c r="LE33" i="18"/>
  <c r="CX34" i="18"/>
  <c r="CY34" i="18" s="1"/>
  <c r="HR34" i="18"/>
  <c r="HS34" i="18" s="1"/>
  <c r="AX36" i="18"/>
  <c r="AY36" i="18" s="1"/>
  <c r="GK40" i="18"/>
  <c r="Z43" i="18"/>
  <c r="AA43" i="18" s="1"/>
  <c r="FF43" i="18"/>
  <c r="FG43" i="18" s="1"/>
  <c r="GY43" i="18"/>
  <c r="R44" i="18"/>
  <c r="S44" i="18" s="1"/>
  <c r="BW47" i="18"/>
  <c r="DV47" i="18"/>
  <c r="DW47" i="18" s="1"/>
  <c r="AJ48" i="18"/>
  <c r="AK48" i="18" s="1"/>
  <c r="LX48" i="18"/>
  <c r="LY48" i="18" s="1"/>
  <c r="DV51" i="18"/>
  <c r="DW51" i="18" s="1"/>
  <c r="IE54" i="18"/>
  <c r="FI55" i="18"/>
  <c r="HH55" i="18"/>
  <c r="HI55" i="18" s="1"/>
  <c r="KT60" i="18"/>
  <c r="KU60" i="18" s="1"/>
  <c r="CI77" i="18"/>
  <c r="DK77" i="18"/>
  <c r="ME81" i="18"/>
  <c r="MF81" i="18" s="1"/>
  <c r="GD81" i="18"/>
  <c r="GE81" i="18" s="1"/>
  <c r="HH81" i="18"/>
  <c r="HI81" i="18" s="1"/>
  <c r="MM84" i="18"/>
  <c r="MN84" i="18" s="1"/>
  <c r="GO84" i="18"/>
  <c r="MU85" i="18"/>
  <c r="MV85" i="18" s="1"/>
  <c r="FW85" i="18"/>
  <c r="DV87" i="18"/>
  <c r="DW87" i="18" s="1"/>
  <c r="MS88" i="18"/>
  <c r="MT88" i="18" s="1"/>
  <c r="DI94" i="18"/>
  <c r="AQ94" i="18"/>
  <c r="BU94" i="18"/>
  <c r="CR96" i="18"/>
  <c r="CS96" i="18" s="1"/>
  <c r="MS98" i="18"/>
  <c r="MT98" i="18" s="1"/>
  <c r="LO98" i="18"/>
  <c r="DQ101" i="18"/>
  <c r="FW101" i="18"/>
  <c r="FI103" i="18"/>
  <c r="CC108" i="18"/>
  <c r="JK108" i="18"/>
  <c r="MM109" i="18"/>
  <c r="MN109" i="18" s="1"/>
  <c r="CA109" i="18"/>
  <c r="LS109" i="18"/>
  <c r="DV25" i="18"/>
  <c r="DW25" i="18" s="1"/>
  <c r="HO25" i="18"/>
  <c r="FF26" i="18"/>
  <c r="FG26" i="18" s="1"/>
  <c r="KT26" i="18"/>
  <c r="KU26" i="18" s="1"/>
  <c r="DG29" i="18"/>
  <c r="BY31" i="18"/>
  <c r="DC31" i="18"/>
  <c r="FN31" i="18"/>
  <c r="FO31" i="18" s="1"/>
  <c r="FJ32" i="18"/>
  <c r="FK32" i="18" s="1"/>
  <c r="N33" i="18"/>
  <c r="O33" i="18" s="1"/>
  <c r="HQ33" i="18"/>
  <c r="CZ34" i="18"/>
  <c r="DA34" i="18" s="1"/>
  <c r="HT34" i="18"/>
  <c r="HU34" i="18" s="1"/>
  <c r="BB36" i="18"/>
  <c r="BC36" i="18" s="1"/>
  <c r="FH36" i="18"/>
  <c r="FI36" i="18" s="1"/>
  <c r="GD37" i="18"/>
  <c r="GE37" i="18" s="1"/>
  <c r="LU39" i="18"/>
  <c r="MO40" i="18"/>
  <c r="MP40" i="18" s="1"/>
  <c r="CG40" i="18"/>
  <c r="LU42" i="18"/>
  <c r="AB43" i="18"/>
  <c r="FJ43" i="18"/>
  <c r="FK43" i="18" s="1"/>
  <c r="FF44" i="18"/>
  <c r="FG44" i="18" s="1"/>
  <c r="DC48" i="18"/>
  <c r="GS50" i="18"/>
  <c r="FI51" i="18"/>
  <c r="GO52" i="18"/>
  <c r="HE52" i="18"/>
  <c r="FK55" i="18"/>
  <c r="GK55" i="18"/>
  <c r="MS58" i="18"/>
  <c r="MT58" i="18" s="1"/>
  <c r="HH63" i="18"/>
  <c r="HI63" i="18" s="1"/>
  <c r="IG65" i="18"/>
  <c r="JI65" i="18"/>
  <c r="KG69" i="18"/>
  <c r="JP70" i="18"/>
  <c r="JQ70" i="18" s="1"/>
  <c r="KY70" i="18" s="1"/>
  <c r="MA70" i="18"/>
  <c r="MB70" i="18" s="1"/>
  <c r="MS71" i="18"/>
  <c r="MT71" i="18" s="1"/>
  <c r="CW72" i="18"/>
  <c r="KE77" i="18"/>
  <c r="LI77" i="18"/>
  <c r="IC78" i="18"/>
  <c r="CR78" i="18"/>
  <c r="CS78" i="18" s="1"/>
  <c r="MS79" i="18"/>
  <c r="MT79" i="18" s="1"/>
  <c r="DA87" i="18"/>
  <c r="MG89" i="18"/>
  <c r="MH89" i="18" s="1"/>
  <c r="HH90" i="18"/>
  <c r="HI90" i="18" s="1"/>
  <c r="LU91" i="18"/>
  <c r="LW93" i="18"/>
  <c r="AJ94" i="18"/>
  <c r="AK94" i="18" s="1"/>
  <c r="JP96" i="18"/>
  <c r="JQ96" i="18" s="1"/>
  <c r="KY96" i="18" s="1"/>
  <c r="MW97" i="18"/>
  <c r="MX97" i="18" s="1"/>
  <c r="IE98" i="18"/>
  <c r="AO101" i="18"/>
  <c r="KT103" i="18"/>
  <c r="KU103" i="18" s="1"/>
  <c r="CC109" i="18"/>
  <c r="DU39" i="18"/>
  <c r="GQ39" i="18"/>
  <c r="BG42" i="18"/>
  <c r="JI49" i="18"/>
  <c r="JP49" i="18"/>
  <c r="JQ49" i="18" s="1"/>
  <c r="MS50" i="18"/>
  <c r="MT50" i="18" s="1"/>
  <c r="JP50" i="18"/>
  <c r="JQ50" i="18" s="1"/>
  <c r="KT51" i="18"/>
  <c r="MO55" i="18"/>
  <c r="MP55" i="18" s="1"/>
  <c r="MI57" i="18"/>
  <c r="MJ57" i="18" s="1"/>
  <c r="KT57" i="18"/>
  <c r="KU57" i="18" s="1"/>
  <c r="MU58" i="18"/>
  <c r="MV58" i="18" s="1"/>
  <c r="LK59" i="18"/>
  <c r="MK63" i="18"/>
  <c r="ML63" i="18" s="1"/>
  <c r="IL65" i="18"/>
  <c r="IM65" i="18" s="1"/>
  <c r="CR68" i="18"/>
  <c r="CS68" i="18" s="1"/>
  <c r="DK73" i="18"/>
  <c r="JP76" i="18"/>
  <c r="JQ76" i="18" s="1"/>
  <c r="KY76" i="18" s="1"/>
  <c r="BK77" i="18"/>
  <c r="CM77" i="18"/>
  <c r="LM88" i="18"/>
  <c r="JC88" i="18"/>
  <c r="MI89" i="18"/>
  <c r="MJ89" i="18" s="1"/>
  <c r="AY92" i="18"/>
  <c r="ME94" i="18"/>
  <c r="MF94" i="18" s="1"/>
  <c r="MA97" i="18"/>
  <c r="MB97" i="18" s="1"/>
  <c r="GD97" i="18"/>
  <c r="GE97" i="18" s="1"/>
  <c r="Q101" i="18"/>
  <c r="BU101" i="18"/>
  <c r="MO103" i="18"/>
  <c r="MS105" i="18"/>
  <c r="MT105" i="18" s="1"/>
  <c r="BG105" i="18"/>
  <c r="BG108" i="18"/>
  <c r="BG109" i="18"/>
  <c r="HO109" i="18"/>
  <c r="JP109" i="18"/>
  <c r="JQ109" i="18" s="1"/>
  <c r="KY109" i="18" s="1"/>
  <c r="KT109" i="18"/>
  <c r="KU109" i="18" s="1"/>
  <c r="KI32" i="18"/>
  <c r="AY33" i="18"/>
  <c r="FL33" i="18"/>
  <c r="FM33" i="18" s="1"/>
  <c r="HV33" i="18"/>
  <c r="HW33" i="18" s="1"/>
  <c r="DF34" i="18"/>
  <c r="DG34" i="18" s="1"/>
  <c r="BJ36" i="18"/>
  <c r="BK36" i="18" s="1"/>
  <c r="MU38" i="18"/>
  <c r="MV38" i="18" s="1"/>
  <c r="HW39" i="18"/>
  <c r="KA39" i="18"/>
  <c r="LC39" i="18"/>
  <c r="LI47" i="18"/>
  <c r="KI47" i="18"/>
  <c r="LE49" i="18"/>
  <c r="BW50" i="18"/>
  <c r="IY51" i="18"/>
  <c r="MS55" i="18"/>
  <c r="MT55" i="18" s="1"/>
  <c r="LU55" i="18"/>
  <c r="HH61" i="18"/>
  <c r="HI61" i="18" s="1"/>
  <c r="MS62" i="18"/>
  <c r="MT62" i="18" s="1"/>
  <c r="JW72" i="18"/>
  <c r="ME74" i="18"/>
  <c r="MF74" i="18" s="1"/>
  <c r="JG77" i="18"/>
  <c r="MG78" i="18"/>
  <c r="MH78" i="18" s="1"/>
  <c r="MS80" i="18"/>
  <c r="MT80" i="18" s="1"/>
  <c r="MM81" i="18"/>
  <c r="MN81" i="18" s="1"/>
  <c r="CR83" i="18"/>
  <c r="CS83" i="18" s="1"/>
  <c r="CO84" i="18"/>
  <c r="ME85" i="18"/>
  <c r="MF85" i="18" s="1"/>
  <c r="HH85" i="18"/>
  <c r="HI85" i="18" s="1"/>
  <c r="ME91" i="18"/>
  <c r="MF91" i="18" s="1"/>
  <c r="MM92" i="18"/>
  <c r="MN92" i="18" s="1"/>
  <c r="DK92" i="18"/>
  <c r="GD93" i="18"/>
  <c r="GE93" i="18" s="1"/>
  <c r="KM95" i="18"/>
  <c r="MC98" i="18"/>
  <c r="MD98" i="18" s="1"/>
  <c r="MO99" i="18"/>
  <c r="MP99" i="18" s="1"/>
  <c r="GA99" i="18"/>
  <c r="HH101" i="18"/>
  <c r="HI101" i="18" s="1"/>
  <c r="JO101" i="18"/>
  <c r="BK102" i="18"/>
  <c r="ME104" i="18"/>
  <c r="MU105" i="18"/>
  <c r="MV105" i="18" s="1"/>
  <c r="GD110" i="18"/>
  <c r="GE110" i="18" s="1"/>
  <c r="HH110" i="18"/>
  <c r="HI110" i="18" s="1"/>
  <c r="LI15" i="18"/>
  <c r="LS15" i="18"/>
  <c r="IE15" i="18"/>
  <c r="HG15" i="18"/>
  <c r="BM15" i="18"/>
  <c r="AU15" i="18"/>
  <c r="FK15" i="18"/>
  <c r="DI15" i="18"/>
  <c r="KA15" i="18"/>
  <c r="IW15" i="18"/>
  <c r="AI15" i="18"/>
  <c r="JU15" i="18"/>
  <c r="GU15" i="18"/>
  <c r="CO16" i="18"/>
  <c r="HC5" i="18"/>
  <c r="IA5" i="18"/>
  <c r="LC5" i="18"/>
  <c r="AK6" i="18"/>
  <c r="JY6" i="18"/>
  <c r="LC6" i="18"/>
  <c r="BC7" i="18"/>
  <c r="DA7" i="18"/>
  <c r="DU7" i="18"/>
  <c r="AQ8" i="18"/>
  <c r="FG8" i="18"/>
  <c r="GK8" i="18"/>
  <c r="JW8" i="18"/>
  <c r="LA8" i="18"/>
  <c r="HU10" i="18"/>
  <c r="LI11" i="18"/>
  <c r="AG12" i="18"/>
  <c r="BI12" i="18"/>
  <c r="IG15" i="18"/>
  <c r="BM16" i="18"/>
  <c r="BS22" i="18"/>
  <c r="CO6" i="18"/>
  <c r="O8" i="18"/>
  <c r="GM8" i="18"/>
  <c r="HQ8" i="18"/>
  <c r="JM12" i="18"/>
  <c r="AE15" i="18"/>
  <c r="HM15" i="18"/>
  <c r="IU16" i="18"/>
  <c r="IG44" i="18"/>
  <c r="KK15" i="18"/>
  <c r="BM4" i="18"/>
  <c r="AC7" i="18"/>
  <c r="LC8" i="18"/>
  <c r="FM5" i="18"/>
  <c r="LG5" i="18"/>
  <c r="CE7" i="18"/>
  <c r="DE7" i="18"/>
  <c r="KI7" i="18"/>
  <c r="LI7" i="18"/>
  <c r="BY8" i="18"/>
  <c r="DC8" i="18"/>
  <c r="IW8" i="18"/>
  <c r="KA9" i="18"/>
  <c r="CQ10" i="18"/>
  <c r="DQ10" i="18"/>
  <c r="S12" i="18"/>
  <c r="AO12" i="18"/>
  <c r="DQ12" i="18"/>
  <c r="CE15" i="18"/>
  <c r="HM21" i="18"/>
  <c r="LQ21" i="18"/>
  <c r="JE21" i="18"/>
  <c r="DM21" i="18"/>
  <c r="CW21" i="18"/>
  <c r="HS21" i="18"/>
  <c r="GU21" i="18"/>
  <c r="CQ21" i="18"/>
  <c r="CC21" i="18"/>
  <c r="BI21" i="18"/>
  <c r="IG21" i="18"/>
  <c r="FI21" i="18"/>
  <c r="DK21" i="18"/>
  <c r="LM21" i="18"/>
  <c r="JW21" i="18"/>
  <c r="JA21" i="18"/>
  <c r="CO21" i="18"/>
  <c r="BG21" i="18"/>
  <c r="KK21" i="18"/>
  <c r="JU21" i="18"/>
  <c r="DU21" i="18"/>
  <c r="CM21" i="18"/>
  <c r="BE21" i="18"/>
  <c r="KI21" i="18"/>
  <c r="JM21" i="18"/>
  <c r="GM21" i="18"/>
  <c r="DS21" i="18"/>
  <c r="CK21" i="18"/>
  <c r="BU21" i="18"/>
  <c r="LE21" i="18"/>
  <c r="IS21" i="18"/>
  <c r="HW21" i="18"/>
  <c r="GK21" i="18"/>
  <c r="DA21" i="18"/>
  <c r="BS21" i="18"/>
  <c r="BA21" i="18"/>
  <c r="DC21" i="18"/>
  <c r="AW22" i="18"/>
  <c r="DI22" i="18"/>
  <c r="DS4" i="18"/>
  <c r="GK4" i="18"/>
  <c r="BU6" i="18"/>
  <c r="JA6" i="18"/>
  <c r="BG7" i="18"/>
  <c r="DG7" i="18"/>
  <c r="KK7" i="18"/>
  <c r="DE8" i="18"/>
  <c r="HU8" i="18"/>
  <c r="IY8" i="18"/>
  <c r="GY10" i="18"/>
  <c r="BM12" i="18"/>
  <c r="JW14" i="18"/>
  <c r="FQ14" i="18"/>
  <c r="LO14" i="18"/>
  <c r="GI14" i="18"/>
  <c r="KM14" i="18"/>
  <c r="IK14" i="18"/>
  <c r="FU14" i="18"/>
  <c r="JE14" i="18"/>
  <c r="KG14" i="18"/>
  <c r="Q15" i="18"/>
  <c r="BG15" i="18"/>
  <c r="GO15" i="18"/>
  <c r="JW15" i="18"/>
  <c r="AU16" i="18"/>
  <c r="LI16" i="18"/>
  <c r="FO54" i="18"/>
  <c r="BE54" i="18"/>
  <c r="CE54" i="18"/>
  <c r="CA54" i="18"/>
  <c r="HG54" i="18"/>
  <c r="KC54" i="18"/>
  <c r="JA54" i="18"/>
  <c r="FY7" i="18"/>
  <c r="HY6" i="18"/>
  <c r="KM7" i="18"/>
  <c r="CC8" i="18"/>
  <c r="DG8" i="18"/>
  <c r="FO8" i="18"/>
  <c r="GS8" i="18"/>
  <c r="JA8" i="18"/>
  <c r="KE8" i="18"/>
  <c r="LI8" i="18"/>
  <c r="BK9" i="18"/>
  <c r="JA9" i="18"/>
  <c r="CW10" i="18"/>
  <c r="KI10" i="18"/>
  <c r="LG10" i="18"/>
  <c r="HC10" i="18"/>
  <c r="FG10" i="18"/>
  <c r="JW10" i="18"/>
  <c r="IU10" i="18"/>
  <c r="BA10" i="18"/>
  <c r="CA10" i="18"/>
  <c r="IA10" i="18"/>
  <c r="AS12" i="18"/>
  <c r="JW12" i="18"/>
  <c r="LC12" i="18"/>
  <c r="AO15" i="18"/>
  <c r="HQ15" i="18"/>
  <c r="LO22" i="18"/>
  <c r="JW6" i="18"/>
  <c r="JI4" i="18"/>
  <c r="DC7" i="18"/>
  <c r="IU8" i="18"/>
  <c r="JE6" i="18"/>
  <c r="AI7" i="18"/>
  <c r="IK7" i="18"/>
  <c r="JK7" i="18"/>
  <c r="LM7" i="18"/>
  <c r="BA8" i="18"/>
  <c r="DI8" i="18"/>
  <c r="GU8" i="18"/>
  <c r="LK8" i="18"/>
  <c r="BC10" i="18"/>
  <c r="FY10" i="18"/>
  <c r="LI10" i="18"/>
  <c r="LO11" i="18"/>
  <c r="KG11" i="18"/>
  <c r="Y11" i="18"/>
  <c r="W12" i="18"/>
  <c r="KE16" i="18"/>
  <c r="KS22" i="18"/>
  <c r="JU22" i="18"/>
  <c r="IA22" i="18"/>
  <c r="W22" i="18"/>
  <c r="CM22" i="18"/>
  <c r="HW22" i="18"/>
  <c r="CG22" i="18"/>
  <c r="KM22" i="18"/>
  <c r="II22" i="18"/>
  <c r="LG7" i="18"/>
  <c r="AW6" i="18"/>
  <c r="HA6" i="18"/>
  <c r="BK7" i="18"/>
  <c r="DC4" i="18"/>
  <c r="FM4" i="18"/>
  <c r="IS5" i="18"/>
  <c r="KM5" i="18"/>
  <c r="CA6" i="18"/>
  <c r="GI6" i="18"/>
  <c r="HC6" i="18"/>
  <c r="LO6" i="18"/>
  <c r="Q7" i="18"/>
  <c r="AQ7" i="18"/>
  <c r="BM7" i="18"/>
  <c r="CK7" i="18"/>
  <c r="HO7" i="18"/>
  <c r="KO7" i="18"/>
  <c r="BC8" i="18"/>
  <c r="FS8" i="18"/>
  <c r="GW8" i="18"/>
  <c r="KI8" i="18"/>
  <c r="LM8" i="18"/>
  <c r="IC9" i="18"/>
  <c r="AG10" i="18"/>
  <c r="BE10" i="18"/>
  <c r="CC10" i="18"/>
  <c r="KK10" i="18"/>
  <c r="GI11" i="18"/>
  <c r="AW12" i="18"/>
  <c r="GQ12" i="18"/>
  <c r="LK12" i="18"/>
  <c r="FU15" i="18"/>
  <c r="LM15" i="18"/>
  <c r="FU16" i="18"/>
  <c r="AO21" i="18"/>
  <c r="DI21" i="18"/>
  <c r="FO21" i="18"/>
  <c r="DS26" i="18"/>
  <c r="FQ6" i="18"/>
  <c r="BA15" i="18"/>
  <c r="LG16" i="18"/>
  <c r="IG16" i="18"/>
  <c r="HG16" i="18"/>
  <c r="DE16" i="18"/>
  <c r="FG16" i="18"/>
  <c r="Y16" i="18"/>
  <c r="LU16" i="18"/>
  <c r="HU16" i="18"/>
  <c r="FS16" i="18"/>
  <c r="CM16" i="18"/>
  <c r="AQ16" i="18"/>
  <c r="BG16" i="18"/>
  <c r="CW44" i="18"/>
  <c r="FE44" i="18"/>
  <c r="CQ44" i="18"/>
  <c r="II44" i="18"/>
  <c r="BK44" i="18"/>
  <c r="JA44" i="18"/>
  <c r="U44" i="18"/>
  <c r="AS8" i="18"/>
  <c r="DI7" i="18"/>
  <c r="LC4" i="18"/>
  <c r="HU5" i="18"/>
  <c r="IU5" i="18"/>
  <c r="JM5" i="18"/>
  <c r="AS7" i="18"/>
  <c r="BS7" i="18"/>
  <c r="GQ7" i="18"/>
  <c r="IS7" i="18"/>
  <c r="JO7" i="18"/>
  <c r="AA8" i="18"/>
  <c r="BE8" i="18"/>
  <c r="GY8" i="18"/>
  <c r="IC8" i="18"/>
  <c r="JG8" i="18"/>
  <c r="LO8" i="18"/>
  <c r="O10" i="18"/>
  <c r="BG10" i="18"/>
  <c r="FI10" i="18"/>
  <c r="GC10" i="18"/>
  <c r="LM10" i="18"/>
  <c r="GK11" i="18"/>
  <c r="W15" i="18"/>
  <c r="GW15" i="18"/>
  <c r="LQ17" i="18"/>
  <c r="KC17" i="18"/>
  <c r="IU17" i="18"/>
  <c r="FU17" i="18"/>
  <c r="CO17" i="18"/>
  <c r="KO17" i="18"/>
  <c r="HQ17" i="18"/>
  <c r="BK17" i="18"/>
  <c r="U17" i="18"/>
  <c r="FO17" i="18"/>
  <c r="S17" i="18"/>
  <c r="HE17" i="18"/>
  <c r="BC17" i="18"/>
  <c r="FQ17" i="18"/>
  <c r="BK19" i="18"/>
  <c r="HE21" i="18"/>
  <c r="LI21" i="18"/>
  <c r="AA4" i="18"/>
  <c r="HW4" i="18"/>
  <c r="DC5" i="18"/>
  <c r="GW5" i="18"/>
  <c r="IW5" i="18"/>
  <c r="JO5" i="18"/>
  <c r="FK6" i="18"/>
  <c r="IG6" i="18"/>
  <c r="GS7" i="18"/>
  <c r="HS7" i="18"/>
  <c r="IU7" i="18"/>
  <c r="JW7" i="18"/>
  <c r="HE9" i="18"/>
  <c r="Q10" i="18"/>
  <c r="AI10" i="18"/>
  <c r="JK10" i="18"/>
  <c r="LO10" i="18"/>
  <c r="CC12" i="18"/>
  <c r="JC12" i="18"/>
  <c r="DO15" i="18"/>
  <c r="LW15" i="18"/>
  <c r="CI16" i="18"/>
  <c r="DM16" i="18"/>
  <c r="KI16" i="18"/>
  <c r="AE17" i="18"/>
  <c r="CG17" i="18"/>
  <c r="GS17" i="18"/>
  <c r="BK21" i="18"/>
  <c r="FQ21" i="18"/>
  <c r="JG21" i="18"/>
  <c r="HM22" i="18"/>
  <c r="DQ26" i="18"/>
  <c r="FQ26" i="18"/>
  <c r="CK26" i="18"/>
  <c r="IW26" i="18"/>
  <c r="HU26" i="18"/>
  <c r="GU26" i="18"/>
  <c r="LM26" i="18"/>
  <c r="KG26" i="18"/>
  <c r="DC26" i="18"/>
  <c r="AI26" i="18"/>
  <c r="BI44" i="18"/>
  <c r="KG54" i="18"/>
  <c r="HM12" i="18"/>
  <c r="HG12" i="18"/>
  <c r="FK12" i="18"/>
  <c r="Q12" i="18"/>
  <c r="KG12" i="18"/>
  <c r="IE12" i="18"/>
  <c r="CA12" i="18"/>
  <c r="LM12" i="18"/>
  <c r="GA12" i="18"/>
  <c r="FG12" i="18"/>
  <c r="BA12" i="18"/>
  <c r="M12" i="18"/>
  <c r="CQ12" i="18"/>
  <c r="BW12" i="18"/>
  <c r="LA12" i="18"/>
  <c r="IW12" i="18"/>
  <c r="GU12" i="18"/>
  <c r="AQ12" i="18"/>
  <c r="HA4" i="18"/>
  <c r="FY5" i="18"/>
  <c r="HW5" i="18"/>
  <c r="HG6" i="18"/>
  <c r="KQ6" i="18"/>
  <c r="BW7" i="18"/>
  <c r="HU7" i="18"/>
  <c r="DQ8" i="18"/>
  <c r="IG8" i="18"/>
  <c r="JK8" i="18"/>
  <c r="DE9" i="18"/>
  <c r="HG9" i="18"/>
  <c r="LO9" i="18"/>
  <c r="AO10" i="18"/>
  <c r="DK10" i="18"/>
  <c r="KO10" i="18"/>
  <c r="FM11" i="18"/>
  <c r="CQ15" i="18"/>
  <c r="GY19" i="18"/>
  <c r="AA19" i="18"/>
  <c r="IS19" i="18"/>
  <c r="CC19" i="18"/>
  <c r="LS19" i="18"/>
  <c r="JI21" i="18"/>
  <c r="DU22" i="18"/>
  <c r="JE54" i="18"/>
  <c r="CY10" i="18"/>
  <c r="GW10" i="18"/>
  <c r="HW10" i="18"/>
  <c r="FK11" i="18"/>
  <c r="DM12" i="18"/>
  <c r="II14" i="18"/>
  <c r="JI14" i="18"/>
  <c r="KK14" i="18"/>
  <c r="CA15" i="18"/>
  <c r="GS16" i="18"/>
  <c r="GK17" i="18"/>
  <c r="IE17" i="18"/>
  <c r="IU20" i="18"/>
  <c r="CI21" i="18"/>
  <c r="DQ21" i="18"/>
  <c r="KG21" i="18"/>
  <c r="DU24" i="18"/>
  <c r="BC25" i="18"/>
  <c r="CC25" i="18"/>
  <c r="GO25" i="18"/>
  <c r="IQ25" i="18"/>
  <c r="FY27" i="18"/>
  <c r="KG27" i="18"/>
  <c r="Y28" i="18"/>
  <c r="GK29" i="18"/>
  <c r="CG30" i="18"/>
  <c r="JM30" i="18"/>
  <c r="JY31" i="18"/>
  <c r="CA33" i="18"/>
  <c r="CY33" i="18"/>
  <c r="HG33" i="18"/>
  <c r="JO33" i="18"/>
  <c r="HG36" i="18"/>
  <c r="LS36" i="18"/>
  <c r="W37" i="18"/>
  <c r="BU37" i="18"/>
  <c r="DU37" i="18"/>
  <c r="GI39" i="18"/>
  <c r="HA39" i="18"/>
  <c r="AE39" i="18"/>
  <c r="AC40" i="18"/>
  <c r="JG40" i="18"/>
  <c r="KK40" i="18"/>
  <c r="AW48" i="18"/>
  <c r="AE54" i="18"/>
  <c r="HW62" i="18"/>
  <c r="CE63" i="18"/>
  <c r="GQ63" i="18"/>
  <c r="HE54" i="18"/>
  <c r="HA10" i="18"/>
  <c r="IY10" i="18"/>
  <c r="DG11" i="18"/>
  <c r="FU12" i="18"/>
  <c r="JY12" i="18"/>
  <c r="Q16" i="18"/>
  <c r="IW16" i="18"/>
  <c r="CW20" i="18"/>
  <c r="KA20" i="18"/>
  <c r="BC21" i="18"/>
  <c r="DE21" i="18"/>
  <c r="AY22" i="18"/>
  <c r="LU22" i="18"/>
  <c r="LE23" i="18"/>
  <c r="CG24" i="18"/>
  <c r="KE24" i="18"/>
  <c r="BE25" i="18"/>
  <c r="HU25" i="18"/>
  <c r="HO26" i="18"/>
  <c r="II26" i="18"/>
  <c r="M27" i="18"/>
  <c r="CI27" i="18"/>
  <c r="KQ27" i="18"/>
  <c r="DM28" i="18"/>
  <c r="KG29" i="18"/>
  <c r="IS30" i="18"/>
  <c r="CY31" i="18"/>
  <c r="KC31" i="18"/>
  <c r="CE33" i="18"/>
  <c r="DC33" i="18"/>
  <c r="GM33" i="18"/>
  <c r="DA37" i="18"/>
  <c r="GY37" i="18"/>
  <c r="KI37" i="18"/>
  <c r="GI40" i="18"/>
  <c r="LW40" i="18"/>
  <c r="HY40" i="18"/>
  <c r="GW40" i="18"/>
  <c r="FW40" i="18"/>
  <c r="KS40" i="18"/>
  <c r="IS40" i="18"/>
  <c r="FS40" i="18"/>
  <c r="DM40" i="18"/>
  <c r="AQ40" i="18"/>
  <c r="HQ40" i="18"/>
  <c r="BG40" i="18"/>
  <c r="LK40" i="18"/>
  <c r="M40" i="18"/>
  <c r="FG40" i="18"/>
  <c r="AE40" i="18"/>
  <c r="GC40" i="18"/>
  <c r="KK63" i="18"/>
  <c r="JK63" i="18"/>
  <c r="KG63" i="18"/>
  <c r="CW63" i="18"/>
  <c r="LC63" i="18"/>
  <c r="DO63" i="18"/>
  <c r="BM63" i="18"/>
  <c r="IW63" i="18"/>
  <c r="AA12" i="18"/>
  <c r="DS12" i="18"/>
  <c r="IA12" i="18"/>
  <c r="JA12" i="18"/>
  <c r="DM14" i="18"/>
  <c r="FI14" i="18"/>
  <c r="LK15" i="18"/>
  <c r="AA18" i="18"/>
  <c r="FU20" i="18"/>
  <c r="HY20" i="18"/>
  <c r="HG21" i="18"/>
  <c r="IC21" i="18"/>
  <c r="LK21" i="18"/>
  <c r="GW23" i="18"/>
  <c r="HY23" i="18"/>
  <c r="JM23" i="18"/>
  <c r="CM24" i="18"/>
  <c r="HO24" i="18"/>
  <c r="IK24" i="18"/>
  <c r="KI24" i="18"/>
  <c r="CW25" i="18"/>
  <c r="FI25" i="18"/>
  <c r="GW25" i="18"/>
  <c r="LE25" i="18"/>
  <c r="AU26" i="18"/>
  <c r="BI33" i="18"/>
  <c r="CG33" i="18"/>
  <c r="LG33" i="18"/>
  <c r="BC37" i="18"/>
  <c r="LU83" i="18"/>
  <c r="LK83" i="18"/>
  <c r="GK83" i="18"/>
  <c r="DG83" i="18"/>
  <c r="IC83" i="18"/>
  <c r="Y83" i="18"/>
  <c r="JA83" i="18"/>
  <c r="IY83" i="18"/>
  <c r="AS83" i="18"/>
  <c r="JM83" i="18"/>
  <c r="FO83" i="18"/>
  <c r="KK83" i="18"/>
  <c r="CI83" i="18"/>
  <c r="GM83" i="18"/>
  <c r="BS83" i="18"/>
  <c r="GK10" i="18"/>
  <c r="DA12" i="18"/>
  <c r="FM14" i="18"/>
  <c r="GY14" i="18"/>
  <c r="HY14" i="18"/>
  <c r="KA14" i="18"/>
  <c r="JE15" i="18"/>
  <c r="GA16" i="18"/>
  <c r="DQ17" i="18"/>
  <c r="CC20" i="18"/>
  <c r="JG20" i="18"/>
  <c r="LK20" i="18"/>
  <c r="AQ21" i="18"/>
  <c r="FW21" i="18"/>
  <c r="GS21" i="18"/>
  <c r="HQ21" i="18"/>
  <c r="KO21" i="18"/>
  <c r="HA22" i="18"/>
  <c r="JI22" i="18"/>
  <c r="IW24" i="18"/>
  <c r="AU25" i="18"/>
  <c r="DE27" i="18"/>
  <c r="AU28" i="18"/>
  <c r="LQ29" i="18"/>
  <c r="BU30" i="18"/>
  <c r="KC30" i="18"/>
  <c r="DK33" i="18"/>
  <c r="FS33" i="18"/>
  <c r="KG33" i="18"/>
  <c r="CG37" i="18"/>
  <c r="DI37" i="18"/>
  <c r="JM37" i="18"/>
  <c r="DQ39" i="18"/>
  <c r="FY39" i="18"/>
  <c r="BU40" i="18"/>
  <c r="KK41" i="18"/>
  <c r="LG44" i="18"/>
  <c r="KO48" i="18"/>
  <c r="BG59" i="18"/>
  <c r="KI61" i="18"/>
  <c r="LK73" i="18"/>
  <c r="GI73" i="18"/>
  <c r="BA73" i="18"/>
  <c r="AY73" i="18"/>
  <c r="KA73" i="18"/>
  <c r="BS73" i="18"/>
  <c r="BM73" i="18"/>
  <c r="KS73" i="18"/>
  <c r="HU73" i="18"/>
  <c r="FQ73" i="18"/>
  <c r="AG73" i="18"/>
  <c r="GM10" i="18"/>
  <c r="JI10" i="18"/>
  <c r="JG11" i="18"/>
  <c r="CM15" i="18"/>
  <c r="GC16" i="18"/>
  <c r="JG16" i="18"/>
  <c r="IW17" i="18"/>
  <c r="FE20" i="18"/>
  <c r="HA20" i="18"/>
  <c r="FY21" i="18"/>
  <c r="JC21" i="18"/>
  <c r="JY21" i="18"/>
  <c r="KQ21" i="18"/>
  <c r="LO21" i="18"/>
  <c r="BI22" i="18"/>
  <c r="CO22" i="18"/>
  <c r="DQ22" i="18"/>
  <c r="HC22" i="18"/>
  <c r="LO23" i="18"/>
  <c r="JM25" i="18"/>
  <c r="LK25" i="18"/>
  <c r="GW26" i="18"/>
  <c r="AW27" i="18"/>
  <c r="HC28" i="18"/>
  <c r="KM28" i="18"/>
  <c r="LQ28" i="18"/>
  <c r="GW29" i="18"/>
  <c r="KQ29" i="18"/>
  <c r="DU30" i="18"/>
  <c r="BC31" i="18"/>
  <c r="II31" i="18"/>
  <c r="JK31" i="18"/>
  <c r="LO31" i="18"/>
  <c r="AQ33" i="18"/>
  <c r="CK33" i="18"/>
  <c r="LM33" i="18"/>
  <c r="KE36" i="18"/>
  <c r="O37" i="18"/>
  <c r="BG37" i="18"/>
  <c r="DK37" i="18"/>
  <c r="FM37" i="18"/>
  <c r="GM37" i="18"/>
  <c r="AU39" i="18"/>
  <c r="BW39" i="18"/>
  <c r="AU40" i="18"/>
  <c r="FE40" i="18"/>
  <c r="HG51" i="18"/>
  <c r="GA51" i="18"/>
  <c r="CC51" i="18"/>
  <c r="DA51" i="18"/>
  <c r="U51" i="18"/>
  <c r="KC51" i="18"/>
  <c r="JA51" i="18"/>
  <c r="DO51" i="18"/>
  <c r="LE59" i="18"/>
  <c r="LG59" i="18"/>
  <c r="CE59" i="18"/>
  <c r="FW59" i="18"/>
  <c r="DU59" i="18"/>
  <c r="HU59" i="18"/>
  <c r="GU59" i="18"/>
  <c r="KO59" i="18"/>
  <c r="IK59" i="18"/>
  <c r="GQ59" i="18"/>
  <c r="HO59" i="18"/>
  <c r="AQ59" i="18"/>
  <c r="CK59" i="18"/>
  <c r="JU61" i="18"/>
  <c r="LA61" i="18" s="1"/>
  <c r="LG61" i="18"/>
  <c r="IC61" i="18"/>
  <c r="HE61" i="18"/>
  <c r="CC61" i="18"/>
  <c r="IY61" i="18"/>
  <c r="Y61" i="18"/>
  <c r="LU61" i="18"/>
  <c r="IA61" i="18"/>
  <c r="IW61" i="18"/>
  <c r="CQ61" i="18"/>
  <c r="JK61" i="18"/>
  <c r="IU61" i="18"/>
  <c r="AS61" i="18"/>
  <c r="KK61" i="18"/>
  <c r="KY18" i="18"/>
  <c r="HC20" i="18"/>
  <c r="II21" i="18"/>
  <c r="KA21" i="18"/>
  <c r="KS21" i="18"/>
  <c r="GA22" i="18"/>
  <c r="AA23" i="18"/>
  <c r="IG23" i="18"/>
  <c r="KI23" i="18"/>
  <c r="AY25" i="18"/>
  <c r="BW25" i="18"/>
  <c r="DG25" i="18"/>
  <c r="BA27" i="18"/>
  <c r="DM27" i="18"/>
  <c r="CI28" i="18"/>
  <c r="HE28" i="18"/>
  <c r="II28" i="18"/>
  <c r="KO28" i="18"/>
  <c r="IA29" i="18"/>
  <c r="FU30" i="18"/>
  <c r="JE30" i="18"/>
  <c r="DI31" i="18"/>
  <c r="HO31" i="18"/>
  <c r="BU33" i="18"/>
  <c r="DO33" i="18"/>
  <c r="JG33" i="18"/>
  <c r="DM37" i="18"/>
  <c r="HQ37" i="18"/>
  <c r="IU37" i="18"/>
  <c r="BW40" i="18"/>
  <c r="IY40" i="18"/>
  <c r="IW41" i="18"/>
  <c r="DM41" i="18"/>
  <c r="HG41" i="18"/>
  <c r="CO41" i="18"/>
  <c r="Q48" i="18"/>
  <c r="KK48" i="18"/>
  <c r="GI48" i="18"/>
  <c r="IA48" i="18"/>
  <c r="GY48" i="18"/>
  <c r="HO48" i="18"/>
  <c r="HE63" i="18"/>
  <c r="LS63" i="18"/>
  <c r="JM10" i="18"/>
  <c r="LK10" i="18"/>
  <c r="HE11" i="18"/>
  <c r="BG12" i="18"/>
  <c r="GQ15" i="18"/>
  <c r="KK16" i="18"/>
  <c r="FG17" i="18"/>
  <c r="GC21" i="18"/>
  <c r="GW21" i="18"/>
  <c r="IK21" i="18"/>
  <c r="HG22" i="18"/>
  <c r="BI23" i="18"/>
  <c r="GA23" i="18"/>
  <c r="BE24" i="18"/>
  <c r="IG25" i="18"/>
  <c r="KA25" i="18"/>
  <c r="CO26" i="18"/>
  <c r="M28" i="18"/>
  <c r="GC28" i="18"/>
  <c r="FK29" i="18"/>
  <c r="DC30" i="18"/>
  <c r="HC30" i="18"/>
  <c r="JG30" i="18"/>
  <c r="KG30" i="18"/>
  <c r="CI31" i="18"/>
  <c r="CM33" i="18"/>
  <c r="BI37" i="18"/>
  <c r="CK37" i="18"/>
  <c r="GQ37" i="18"/>
  <c r="HS37" i="18"/>
  <c r="JY37" i="18"/>
  <c r="AW39" i="18"/>
  <c r="CA39" i="18"/>
  <c r="AW40" i="18"/>
  <c r="DC40" i="18"/>
  <c r="FK40" i="18"/>
  <c r="BS41" i="18"/>
  <c r="JG44" i="18"/>
  <c r="GM48" i="18"/>
  <c r="GK51" i="18"/>
  <c r="KQ51" i="18"/>
  <c r="LS51" i="18"/>
  <c r="O59" i="18"/>
  <c r="JE59" i="18"/>
  <c r="FS39" i="18"/>
  <c r="IA39" i="18"/>
  <c r="CC40" i="18"/>
  <c r="DG40" i="18"/>
  <c r="HG40" i="18"/>
  <c r="BU41" i="18"/>
  <c r="JM41" i="18"/>
  <c r="BC42" i="18"/>
  <c r="FI42" i="18"/>
  <c r="HC42" i="18"/>
  <c r="JC42" i="18"/>
  <c r="JY42" i="18"/>
  <c r="AY43" i="18"/>
  <c r="BS43" i="18"/>
  <c r="DI43" i="18"/>
  <c r="HC43" i="18"/>
  <c r="GK44" i="18"/>
  <c r="LQ44" i="18"/>
  <c r="CO46" i="18"/>
  <c r="JK46" i="18"/>
  <c r="U47" i="18"/>
  <c r="BE47" i="18"/>
  <c r="CA47" i="18"/>
  <c r="CQ47" i="18"/>
  <c r="DQ47" i="18"/>
  <c r="HY47" i="18"/>
  <c r="IW47" i="18"/>
  <c r="BI49" i="18"/>
  <c r="DQ50" i="18"/>
  <c r="BW51" i="18"/>
  <c r="HW51" i="18"/>
  <c r="DK52" i="18"/>
  <c r="BY54" i="18"/>
  <c r="FO55" i="18"/>
  <c r="LO59" i="18"/>
  <c r="BM61" i="18"/>
  <c r="DO61" i="18"/>
  <c r="GY64" i="18"/>
  <c r="JA64" i="18"/>
  <c r="CE65" i="18"/>
  <c r="DC65" i="18"/>
  <c r="FW65" i="18"/>
  <c r="GW65" i="18"/>
  <c r="HU65" i="18"/>
  <c r="IQ66" i="18"/>
  <c r="W69" i="18"/>
  <c r="HE69" i="18"/>
  <c r="CW70" i="18"/>
  <c r="FY70" i="18"/>
  <c r="IY70" i="18"/>
  <c r="IU71" i="18"/>
  <c r="LU71" i="18"/>
  <c r="IE72" i="18"/>
  <c r="O73" i="18"/>
  <c r="DQ106" i="18"/>
  <c r="FW39" i="18"/>
  <c r="LI39" i="18"/>
  <c r="BE40" i="18"/>
  <c r="DI40" i="18"/>
  <c r="JK40" i="18"/>
  <c r="CE42" i="18"/>
  <c r="DE42" i="18"/>
  <c r="GI42" i="18"/>
  <c r="HE42" i="18"/>
  <c r="BU43" i="18"/>
  <c r="FY43" i="18"/>
  <c r="BM44" i="18"/>
  <c r="AQ47" i="18"/>
  <c r="GK47" i="18"/>
  <c r="LO47" i="18"/>
  <c r="CG48" i="18"/>
  <c r="JK49" i="18"/>
  <c r="AW50" i="18"/>
  <c r="BY51" i="18"/>
  <c r="CK52" i="18"/>
  <c r="FQ52" i="18"/>
  <c r="CQ55" i="18"/>
  <c r="DO55" i="18"/>
  <c r="JI55" i="18"/>
  <c r="KI55" i="18"/>
  <c r="LI55" i="18"/>
  <c r="CQ57" i="18"/>
  <c r="DU57" i="18"/>
  <c r="JI57" i="18"/>
  <c r="JM59" i="18"/>
  <c r="FU61" i="18"/>
  <c r="KE62" i="18"/>
  <c r="CM64" i="18"/>
  <c r="DQ64" i="18"/>
  <c r="AO65" i="18"/>
  <c r="CG65" i="18"/>
  <c r="DE65" i="18"/>
  <c r="LO65" i="18"/>
  <c r="CE66" i="18"/>
  <c r="GM66" i="18"/>
  <c r="HQ66" i="18"/>
  <c r="CE69" i="18"/>
  <c r="FG69" i="18"/>
  <c r="HG69" i="18"/>
  <c r="GA70" i="18"/>
  <c r="BI71" i="18"/>
  <c r="HE72" i="18"/>
  <c r="CM73" i="18"/>
  <c r="FS73" i="18"/>
  <c r="JA82" i="18"/>
  <c r="GK42" i="18"/>
  <c r="HG42" i="18"/>
  <c r="IG42" i="18"/>
  <c r="JE42" i="18"/>
  <c r="BA43" i="18"/>
  <c r="BW43" i="18"/>
  <c r="CQ43" i="18"/>
  <c r="HG43" i="18"/>
  <c r="KI43" i="18"/>
  <c r="HQ44" i="18"/>
  <c r="JO44" i="18"/>
  <c r="FK45" i="18"/>
  <c r="W47" i="18"/>
  <c r="BI47" i="18"/>
  <c r="CY47" i="18"/>
  <c r="DS47" i="18"/>
  <c r="HC47" i="18"/>
  <c r="IA47" i="18"/>
  <c r="JA47" i="18"/>
  <c r="KS47" i="18"/>
  <c r="LQ47" i="18"/>
  <c r="GC49" i="18"/>
  <c r="DS51" i="18"/>
  <c r="GW51" i="18"/>
  <c r="JC51" i="18"/>
  <c r="DO52" i="18"/>
  <c r="DA54" i="18"/>
  <c r="GM54" i="18"/>
  <c r="DQ55" i="18"/>
  <c r="KK55" i="18"/>
  <c r="HC57" i="18"/>
  <c r="FS59" i="18"/>
  <c r="DS61" i="18"/>
  <c r="FW61" i="18"/>
  <c r="HY61" i="18"/>
  <c r="GW62" i="18"/>
  <c r="O65" i="18"/>
  <c r="BI65" i="18"/>
  <c r="CI65" i="18"/>
  <c r="GY65" i="18"/>
  <c r="KQ65" i="18"/>
  <c r="LQ65" i="18"/>
  <c r="JM69" i="18"/>
  <c r="FS71" i="18"/>
  <c r="CO73" i="18"/>
  <c r="HW73" i="18"/>
  <c r="DM82" i="18"/>
  <c r="AC106" i="18"/>
  <c r="BC106" i="18"/>
  <c r="JG106" i="18"/>
  <c r="HW106" i="18"/>
  <c r="FQ106" i="18"/>
  <c r="BI106" i="18"/>
  <c r="HE39" i="18"/>
  <c r="IG39" i="18"/>
  <c r="Q40" i="18"/>
  <c r="GS40" i="18"/>
  <c r="JO40" i="18"/>
  <c r="GO41" i="18"/>
  <c r="BI42" i="18"/>
  <c r="CG42" i="18"/>
  <c r="DG42" i="18"/>
  <c r="DM43" i="18"/>
  <c r="JM43" i="18"/>
  <c r="HQ46" i="18"/>
  <c r="CE47" i="18"/>
  <c r="GM47" i="18"/>
  <c r="IC47" i="18"/>
  <c r="KC47" i="18"/>
  <c r="KE51" i="18"/>
  <c r="LI51" i="18"/>
  <c r="CM52" i="18"/>
  <c r="BA54" i="18"/>
  <c r="AA55" i="18"/>
  <c r="CC55" i="18"/>
  <c r="CY55" i="18"/>
  <c r="DS55" i="18"/>
  <c r="IS55" i="18"/>
  <c r="GA57" i="18"/>
  <c r="FU59" i="18"/>
  <c r="JO61" i="18"/>
  <c r="AU63" i="18"/>
  <c r="IA63" i="18"/>
  <c r="DU64" i="18"/>
  <c r="CK65" i="18"/>
  <c r="GA65" i="18"/>
  <c r="HA65" i="18"/>
  <c r="JA65" i="18"/>
  <c r="LS65" i="18"/>
  <c r="HU66" i="18"/>
  <c r="GM69" i="18"/>
  <c r="JO69" i="18"/>
  <c r="CC70" i="18"/>
  <c r="FG70" i="18"/>
  <c r="DO71" i="18"/>
  <c r="LE71" i="18"/>
  <c r="CQ73" i="18"/>
  <c r="HG39" i="18"/>
  <c r="CK40" i="18"/>
  <c r="JW40" i="18"/>
  <c r="W41" i="18"/>
  <c r="AO42" i="18"/>
  <c r="BK42" i="18"/>
  <c r="DI42" i="18"/>
  <c r="FO42" i="18"/>
  <c r="LI42" i="18"/>
  <c r="AO43" i="18"/>
  <c r="DO43" i="18"/>
  <c r="IK43" i="18"/>
  <c r="LM43" i="18"/>
  <c r="GS44" i="18"/>
  <c r="HU44" i="18"/>
  <c r="AU47" i="18"/>
  <c r="BK47" i="18"/>
  <c r="CG47" i="18"/>
  <c r="KE47" i="18"/>
  <c r="LS47" i="18"/>
  <c r="FI49" i="18"/>
  <c r="HQ49" i="18"/>
  <c r="JG50" i="18"/>
  <c r="AW52" i="18"/>
  <c r="CO52" i="18"/>
  <c r="DS52" i="18"/>
  <c r="IU55" i="18"/>
  <c r="JM55" i="18"/>
  <c r="AU57" i="18"/>
  <c r="CO60" i="18"/>
  <c r="FW63" i="18"/>
  <c r="BK65" i="18"/>
  <c r="KC65" i="18"/>
  <c r="KS65" i="18"/>
  <c r="BG66" i="18"/>
  <c r="BG69" i="18"/>
  <c r="GO69" i="18"/>
  <c r="IS69" i="18"/>
  <c r="LS69" i="18"/>
  <c r="IE70" i="18"/>
  <c r="LK70" i="18"/>
  <c r="HY71" i="18"/>
  <c r="M72" i="18"/>
  <c r="LM72" i="18"/>
  <c r="BU73" i="18"/>
  <c r="LI81" i="18"/>
  <c r="KO81" i="18"/>
  <c r="AC81" i="18"/>
  <c r="LM81" i="18"/>
  <c r="HE81" i="18"/>
  <c r="AW81" i="18"/>
  <c r="JC81" i="18"/>
  <c r="IA81" i="18"/>
  <c r="CQ81" i="18"/>
  <c r="IY81" i="18"/>
  <c r="CO81" i="18"/>
  <c r="GM39" i="18"/>
  <c r="JK39" i="18"/>
  <c r="KM39" i="18"/>
  <c r="LQ39" i="18"/>
  <c r="AS40" i="18"/>
  <c r="CM40" i="18"/>
  <c r="DO40" i="18"/>
  <c r="HU40" i="18"/>
  <c r="JY40" i="18"/>
  <c r="LS40" i="18"/>
  <c r="AQ42" i="18"/>
  <c r="BM42" i="18"/>
  <c r="IQ42" i="18"/>
  <c r="BE43" i="18"/>
  <c r="CA43" i="18"/>
  <c r="DA43" i="18"/>
  <c r="GO43" i="18"/>
  <c r="IS43" i="18"/>
  <c r="JO43" i="18"/>
  <c r="KM43" i="18"/>
  <c r="CA44" i="18"/>
  <c r="IY44" i="18"/>
  <c r="LC44" i="18"/>
  <c r="DE46" i="18"/>
  <c r="AW47" i="18"/>
  <c r="BM47" i="18"/>
  <c r="DE47" i="18"/>
  <c r="HG47" i="18"/>
  <c r="IG47" i="18"/>
  <c r="LC47" i="18"/>
  <c r="LU47" i="18"/>
  <c r="LW49" i="18"/>
  <c r="II50" i="18"/>
  <c r="BY52" i="18"/>
  <c r="HA52" i="18"/>
  <c r="CE55" i="18"/>
  <c r="GU55" i="18"/>
  <c r="HS55" i="18"/>
  <c r="U57" i="18"/>
  <c r="CA57" i="18"/>
  <c r="DC59" i="18"/>
  <c r="FY63" i="18"/>
  <c r="BY64" i="18"/>
  <c r="AU65" i="18"/>
  <c r="DK65" i="18"/>
  <c r="FM65" i="18"/>
  <c r="GC65" i="18"/>
  <c r="IC65" i="18"/>
  <c r="LU65" i="18"/>
  <c r="FS66" i="18"/>
  <c r="DM69" i="18"/>
  <c r="IU69" i="18"/>
  <c r="LU69" i="18"/>
  <c r="HG70" i="18"/>
  <c r="GQ72" i="18"/>
  <c r="JO72" i="18"/>
  <c r="KQ72" i="18"/>
  <c r="JY75" i="18"/>
  <c r="FQ83" i="18"/>
  <c r="CO40" i="18"/>
  <c r="HW40" i="18"/>
  <c r="IW40" i="18"/>
  <c r="DM42" i="18"/>
  <c r="FS42" i="18"/>
  <c r="LQ43" i="18"/>
  <c r="GW44" i="18"/>
  <c r="AC47" i="18"/>
  <c r="BS47" i="18"/>
  <c r="CI47" i="18"/>
  <c r="GQ47" i="18"/>
  <c r="JI47" i="18"/>
  <c r="KG47" i="18"/>
  <c r="LC49" i="18"/>
  <c r="KO50" i="18"/>
  <c r="BC51" i="18"/>
  <c r="DG51" i="18"/>
  <c r="HE51" i="18"/>
  <c r="LO51" i="18"/>
  <c r="AY52" i="18"/>
  <c r="CY52" i="18"/>
  <c r="IG52" i="18"/>
  <c r="DC55" i="18"/>
  <c r="HU55" i="18"/>
  <c r="LS55" i="18"/>
  <c r="AE56" i="18"/>
  <c r="CM56" i="18"/>
  <c r="DQ56" i="18"/>
  <c r="GK65" i="18"/>
  <c r="JG65" i="18"/>
  <c r="KE65" i="18"/>
  <c r="KS69" i="18"/>
  <c r="BG70" i="18"/>
  <c r="HM70" i="18"/>
  <c r="KM70" i="18"/>
  <c r="AU71" i="18"/>
  <c r="KG71" i="18"/>
  <c r="AQ72" i="18"/>
  <c r="DQ72" i="18"/>
  <c r="GS72" i="18"/>
  <c r="JU72" i="18"/>
  <c r="LA72" i="18" s="1"/>
  <c r="HC73" i="18"/>
  <c r="JG73" i="18"/>
  <c r="HU75" i="18"/>
  <c r="JU102" i="18"/>
  <c r="LA102" i="18" s="1"/>
  <c r="IK102" i="18"/>
  <c r="DK102" i="18"/>
  <c r="LQ102" i="18"/>
  <c r="HM102" i="18"/>
  <c r="DU102" i="18"/>
  <c r="AU102" i="18"/>
  <c r="HU102" i="18"/>
  <c r="FU102" i="18"/>
  <c r="GS102" i="18"/>
  <c r="BI102" i="18"/>
  <c r="GW75" i="18"/>
  <c r="HQ82" i="18"/>
  <c r="KQ82" i="18"/>
  <c r="BY82" i="18"/>
  <c r="CW82" i="18"/>
  <c r="DQ82" i="18"/>
  <c r="CQ82" i="18"/>
  <c r="AS82" i="18"/>
  <c r="LM110" i="18"/>
  <c r="CG110" i="18"/>
  <c r="DE110" i="18"/>
  <c r="JK110" i="18"/>
  <c r="HG110" i="18"/>
  <c r="DC110" i="18"/>
  <c r="JI110" i="18"/>
  <c r="LK110" i="18"/>
  <c r="AU110" i="18"/>
  <c r="IW39" i="18"/>
  <c r="JW39" i="18"/>
  <c r="CY40" i="18"/>
  <c r="LE40" i="18"/>
  <c r="AU42" i="18"/>
  <c r="CO42" i="18"/>
  <c r="DQ42" i="18"/>
  <c r="HY42" i="18"/>
  <c r="JO42" i="18"/>
  <c r="LQ42" i="18"/>
  <c r="CG43" i="18"/>
  <c r="GU43" i="18"/>
  <c r="KS43" i="18"/>
  <c r="LS43" i="18"/>
  <c r="IC44" i="18"/>
  <c r="JC44" i="18"/>
  <c r="IE45" i="18"/>
  <c r="IQ47" i="18"/>
  <c r="JM47" i="18"/>
  <c r="LG47" i="18"/>
  <c r="BI50" i="18"/>
  <c r="IS50" i="18"/>
  <c r="LW50" i="18"/>
  <c r="GM51" i="18"/>
  <c r="AA52" i="18"/>
  <c r="FI52" i="18"/>
  <c r="HG52" i="18"/>
  <c r="AO55" i="18"/>
  <c r="FG55" i="18"/>
  <c r="GC55" i="18"/>
  <c r="HY55" i="18"/>
  <c r="LQ56" i="18"/>
  <c r="Y64" i="18"/>
  <c r="JO64" i="18"/>
  <c r="BY65" i="18"/>
  <c r="DO65" i="18"/>
  <c r="JK65" i="18"/>
  <c r="KG65" i="18"/>
  <c r="AO70" i="18"/>
  <c r="BK70" i="18"/>
  <c r="DM70" i="18"/>
  <c r="HE71" i="18"/>
  <c r="FU72" i="18"/>
  <c r="IY72" i="18"/>
  <c r="HY75" i="18"/>
  <c r="KC103" i="18"/>
  <c r="GU103" i="18"/>
  <c r="BU103" i="18"/>
  <c r="AQ103" i="18"/>
  <c r="BI103" i="18"/>
  <c r="S103" i="18"/>
  <c r="KK103" i="18"/>
  <c r="AO103" i="18"/>
  <c r="FG103" i="18"/>
  <c r="M103" i="18"/>
  <c r="GW103" i="18"/>
  <c r="FY103" i="18"/>
  <c r="BW103" i="18"/>
  <c r="AG103" i="18"/>
  <c r="IA103" i="18"/>
  <c r="BU107" i="18"/>
  <c r="FU69" i="18"/>
  <c r="IA69" i="18"/>
  <c r="GK73" i="18"/>
  <c r="GI75" i="18"/>
  <c r="LM75" i="18"/>
  <c r="HS75" i="18"/>
  <c r="DQ75" i="18"/>
  <c r="DO75" i="18"/>
  <c r="IG75" i="18"/>
  <c r="BS75" i="18"/>
  <c r="AU75" i="18"/>
  <c r="KE75" i="18"/>
  <c r="FK75" i="18"/>
  <c r="BK75" i="18"/>
  <c r="KC75" i="18"/>
  <c r="GA75" i="18"/>
  <c r="CG75" i="18"/>
  <c r="BI75" i="18"/>
  <c r="KQ75" i="18"/>
  <c r="FY75" i="18"/>
  <c r="DC75" i="18"/>
  <c r="KO75" i="18"/>
  <c r="DA75" i="18"/>
  <c r="GY75" i="18"/>
  <c r="KM83" i="18"/>
  <c r="AC75" i="18"/>
  <c r="DS75" i="18"/>
  <c r="DG77" i="18"/>
  <c r="W79" i="18"/>
  <c r="CI80" i="18"/>
  <c r="FG80" i="18"/>
  <c r="IA80" i="18"/>
  <c r="LW80" i="18"/>
  <c r="JY82" i="18"/>
  <c r="LM83" i="18"/>
  <c r="CM84" i="18"/>
  <c r="HC84" i="18"/>
  <c r="JC84" i="18"/>
  <c r="FM86" i="18"/>
  <c r="IE86" i="18"/>
  <c r="LK87" i="18"/>
  <c r="GC88" i="18"/>
  <c r="HC88" i="18"/>
  <c r="CC90" i="18"/>
  <c r="AS91" i="18"/>
  <c r="DK91" i="18"/>
  <c r="LQ91" i="18"/>
  <c r="CA93" i="18"/>
  <c r="DU93" i="18"/>
  <c r="LQ93" i="18"/>
  <c r="HS94" i="18"/>
  <c r="AG95" i="18"/>
  <c r="BG95" i="18"/>
  <c r="IK95" i="18"/>
  <c r="JM95" i="18"/>
  <c r="FO97" i="18"/>
  <c r="HU97" i="18"/>
  <c r="IY97" i="18"/>
  <c r="IC98" i="18"/>
  <c r="AQ99" i="18"/>
  <c r="CE99" i="18"/>
  <c r="DC99" i="18"/>
  <c r="DS99" i="18"/>
  <c r="FO99" i="18"/>
  <c r="GO99" i="18"/>
  <c r="AY100" i="18"/>
  <c r="CC100" i="18"/>
  <c r="CI101" i="18"/>
  <c r="HS101" i="18"/>
  <c r="FS102" i="18"/>
  <c r="DA103" i="18"/>
  <c r="BG106" i="18"/>
  <c r="DK106" i="18"/>
  <c r="FO106" i="18"/>
  <c r="LG108" i="18"/>
  <c r="JY109" i="18"/>
  <c r="CE75" i="18"/>
  <c r="KA75" i="18"/>
  <c r="BA76" i="18"/>
  <c r="BI77" i="18"/>
  <c r="CK77" i="18"/>
  <c r="LG77" i="18"/>
  <c r="BK80" i="18"/>
  <c r="GC80" i="18"/>
  <c r="HG80" i="18"/>
  <c r="LE80" i="18"/>
  <c r="KO83" i="18"/>
  <c r="BW84" i="18"/>
  <c r="CQ84" i="18"/>
  <c r="FM84" i="18"/>
  <c r="GM84" i="18"/>
  <c r="HG84" i="18"/>
  <c r="IE84" i="18"/>
  <c r="LI84" i="18"/>
  <c r="DQ86" i="18"/>
  <c r="HM86" i="18"/>
  <c r="LI86" i="18"/>
  <c r="DC87" i="18"/>
  <c r="HE87" i="18"/>
  <c r="Y88" i="18"/>
  <c r="CQ88" i="18"/>
  <c r="DO88" i="18"/>
  <c r="GM88" i="18"/>
  <c r="HG88" i="18"/>
  <c r="JA88" i="18"/>
  <c r="AE89" i="18"/>
  <c r="AU91" i="18"/>
  <c r="CQ91" i="18"/>
  <c r="FQ94" i="18"/>
  <c r="AO95" i="18"/>
  <c r="IU95" i="18"/>
  <c r="HE98" i="18"/>
  <c r="LQ98" i="18"/>
  <c r="AS99" i="18"/>
  <c r="BI99" i="18"/>
  <c r="CI99" i="18"/>
  <c r="DE99" i="18"/>
  <c r="DU99" i="18"/>
  <c r="JM99" i="18"/>
  <c r="LQ99" i="18"/>
  <c r="Y100" i="18"/>
  <c r="CM101" i="18"/>
  <c r="HW101" i="18"/>
  <c r="KC101" i="18"/>
  <c r="BM102" i="18"/>
  <c r="CQ102" i="18"/>
  <c r="HS105" i="18"/>
  <c r="GU106" i="18"/>
  <c r="IG107" i="18"/>
  <c r="LI110" i="18"/>
  <c r="DG75" i="18"/>
  <c r="U77" i="18"/>
  <c r="AU77" i="18"/>
  <c r="CO77" i="18"/>
  <c r="HQ77" i="18"/>
  <c r="JI77" i="18"/>
  <c r="KI77" i="18"/>
  <c r="LK77" i="18"/>
  <c r="HS79" i="18"/>
  <c r="DO80" i="18"/>
  <c r="GM80" i="18"/>
  <c r="KG80" i="18"/>
  <c r="DS81" i="18"/>
  <c r="GU82" i="18"/>
  <c r="JW83" i="18"/>
  <c r="KK84" i="18"/>
  <c r="BY85" i="18"/>
  <c r="DS86" i="18"/>
  <c r="GS86" i="18"/>
  <c r="HQ86" i="18"/>
  <c r="JK86" i="18"/>
  <c r="Y87" i="18"/>
  <c r="JO87" i="18"/>
  <c r="BY88" i="18"/>
  <c r="DS88" i="18"/>
  <c r="IE88" i="18"/>
  <c r="CA91" i="18"/>
  <c r="HU91" i="18"/>
  <c r="DO94" i="18"/>
  <c r="S95" i="18"/>
  <c r="HU95" i="18"/>
  <c r="DG98" i="18"/>
  <c r="KQ98" i="18"/>
  <c r="IA100" i="18"/>
  <c r="LM100" i="18"/>
  <c r="BW102" i="18"/>
  <c r="CE103" i="18"/>
  <c r="LM103" i="18"/>
  <c r="Q106" i="18"/>
  <c r="CI75" i="18"/>
  <c r="HC75" i="18"/>
  <c r="JE75" i="18"/>
  <c r="LM76" i="18"/>
  <c r="W77" i="18"/>
  <c r="BU77" i="18"/>
  <c r="GO77" i="18"/>
  <c r="II77" i="18"/>
  <c r="JK77" i="18"/>
  <c r="LM77" i="18"/>
  <c r="DO79" i="18"/>
  <c r="FQ79" i="18"/>
  <c r="AU80" i="18"/>
  <c r="GO80" i="18"/>
  <c r="KI80" i="18"/>
  <c r="BY81" i="18"/>
  <c r="GW82" i="18"/>
  <c r="CA84" i="18"/>
  <c r="FQ84" i="18"/>
  <c r="GQ84" i="18"/>
  <c r="JM84" i="18"/>
  <c r="KM84" i="18"/>
  <c r="DE85" i="18"/>
  <c r="CY88" i="18"/>
  <c r="FQ88" i="18"/>
  <c r="GQ88" i="18"/>
  <c r="HO88" i="18"/>
  <c r="Y91" i="18"/>
  <c r="KA91" i="18"/>
  <c r="CI92" i="18"/>
  <c r="IY92" i="18"/>
  <c r="LC92" i="18"/>
  <c r="BG93" i="18"/>
  <c r="DI93" i="18"/>
  <c r="GA93" i="18"/>
  <c r="JE93" i="18"/>
  <c r="KC93" i="18"/>
  <c r="BK94" i="18"/>
  <c r="CM94" i="18"/>
  <c r="DQ94" i="18"/>
  <c r="KI94" i="18"/>
  <c r="DQ95" i="18"/>
  <c r="LE95" i="18"/>
  <c r="GO98" i="18"/>
  <c r="JW98" i="18"/>
  <c r="KS98" i="18"/>
  <c r="AW99" i="18"/>
  <c r="BS99" i="18"/>
  <c r="CM99" i="18"/>
  <c r="FW99" i="18"/>
  <c r="GY99" i="18"/>
  <c r="JW99" i="18"/>
  <c r="KS99" i="18"/>
  <c r="LU99" i="18"/>
  <c r="BW101" i="18"/>
  <c r="CQ101" i="18"/>
  <c r="DK103" i="18"/>
  <c r="JK103" i="18"/>
  <c r="CQ105" i="18"/>
  <c r="CQ106" i="18"/>
  <c r="FW106" i="18"/>
  <c r="JG75" i="18"/>
  <c r="JG76" i="18"/>
  <c r="AW77" i="18"/>
  <c r="GQ77" i="18"/>
  <c r="KK77" i="18"/>
  <c r="GU79" i="18"/>
  <c r="HW79" i="18"/>
  <c r="AW80" i="18"/>
  <c r="DQ80" i="18"/>
  <c r="FQ80" i="18"/>
  <c r="IK80" i="18"/>
  <c r="IE81" i="18"/>
  <c r="FU82" i="18"/>
  <c r="AW83" i="18"/>
  <c r="IA83" i="18"/>
  <c r="AE84" i="18"/>
  <c r="BE84" i="18"/>
  <c r="JO84" i="18"/>
  <c r="BA85" i="18"/>
  <c r="CC85" i="18"/>
  <c r="LU85" i="18"/>
  <c r="CA86" i="18"/>
  <c r="DA86" i="18"/>
  <c r="GU86" i="18"/>
  <c r="JM86" i="18"/>
  <c r="CG87" i="18"/>
  <c r="BC88" i="18"/>
  <c r="CA88" i="18"/>
  <c r="DU88" i="18"/>
  <c r="LG88" i="18"/>
  <c r="CC91" i="18"/>
  <c r="JA91" i="18"/>
  <c r="AG92" i="18"/>
  <c r="BI92" i="18"/>
  <c r="HY92" i="18"/>
  <c r="KC92" i="18"/>
  <c r="JG93" i="18"/>
  <c r="BM94" i="18"/>
  <c r="KK94" i="18"/>
  <c r="DA95" i="18"/>
  <c r="HY95" i="18"/>
  <c r="LG95" i="18"/>
  <c r="GQ98" i="18"/>
  <c r="JY98" i="18"/>
  <c r="AY99" i="18"/>
  <c r="FY99" i="18"/>
  <c r="HA99" i="18"/>
  <c r="HW99" i="18"/>
  <c r="HC101" i="18"/>
  <c r="KI102" i="18"/>
  <c r="LM102" i="18"/>
  <c r="FO103" i="18"/>
  <c r="CK104" i="18"/>
  <c r="BU105" i="18"/>
  <c r="KK106" i="18"/>
  <c r="LS108" i="18"/>
  <c r="CM75" i="18"/>
  <c r="FM75" i="18"/>
  <c r="JI75" i="18"/>
  <c r="AA77" i="18"/>
  <c r="GS77" i="18"/>
  <c r="HU77" i="18"/>
  <c r="JO77" i="18"/>
  <c r="CO79" i="18"/>
  <c r="DS79" i="18"/>
  <c r="W80" i="18"/>
  <c r="DA80" i="18"/>
  <c r="IS80" i="18"/>
  <c r="JM80" i="18"/>
  <c r="GC81" i="18"/>
  <c r="DS82" i="18"/>
  <c r="M84" i="18"/>
  <c r="DU84" i="18"/>
  <c r="IU84" i="18"/>
  <c r="JU84" i="18"/>
  <c r="LA84" i="18" s="1"/>
  <c r="JO86" i="18"/>
  <c r="FO87" i="18"/>
  <c r="BE88" i="18"/>
  <c r="CC88" i="18"/>
  <c r="KK88" i="18"/>
  <c r="LI88" i="18"/>
  <c r="JC91" i="18"/>
  <c r="BK92" i="18"/>
  <c r="GY92" i="18"/>
  <c r="IA92" i="18"/>
  <c r="JA92" i="18"/>
  <c r="IE93" i="18"/>
  <c r="CI98" i="18"/>
  <c r="FY100" i="18"/>
  <c r="BA102" i="18"/>
  <c r="U103" i="18"/>
  <c r="JO103" i="18"/>
  <c r="BI104" i="18"/>
  <c r="IK110" i="18"/>
  <c r="DS77" i="18"/>
  <c r="FS77" i="18"/>
  <c r="GU77" i="18"/>
  <c r="IS77" i="18"/>
  <c r="AS79" i="18"/>
  <c r="Y80" i="18"/>
  <c r="FS80" i="18"/>
  <c r="JO80" i="18"/>
  <c r="BA81" i="18"/>
  <c r="HG81" i="18"/>
  <c r="DE83" i="18"/>
  <c r="AI84" i="18"/>
  <c r="BG84" i="18"/>
  <c r="IW84" i="18"/>
  <c r="HS85" i="18"/>
  <c r="JY85" i="18"/>
  <c r="CC86" i="18"/>
  <c r="GA86" i="18"/>
  <c r="IY86" i="18"/>
  <c r="LU86" i="18"/>
  <c r="FQ87" i="18"/>
  <c r="IY87" i="18"/>
  <c r="O88" i="18"/>
  <c r="AO88" i="18"/>
  <c r="CE88" i="18"/>
  <c r="LK88" i="18"/>
  <c r="JM90" i="18"/>
  <c r="HA91" i="18"/>
  <c r="JE91" i="18"/>
  <c r="AI92" i="18"/>
  <c r="BM92" i="18"/>
  <c r="IC92" i="18"/>
  <c r="AQ93" i="18"/>
  <c r="FM93" i="18"/>
  <c r="JK94" i="18"/>
  <c r="CC95" i="18"/>
  <c r="DC95" i="18"/>
  <c r="HA95" i="18"/>
  <c r="KG95" i="18"/>
  <c r="DO99" i="18"/>
  <c r="FI99" i="18"/>
  <c r="GC99" i="18"/>
  <c r="HC99" i="18"/>
  <c r="HY99" i="18"/>
  <c r="JA99" i="18"/>
  <c r="LE99" i="18"/>
  <c r="CY100" i="18"/>
  <c r="BC101" i="18"/>
  <c r="GI101" i="18"/>
  <c r="KO101" i="18"/>
  <c r="LS101" i="18"/>
  <c r="KM102" i="18"/>
  <c r="BY105" i="18"/>
  <c r="HM109" i="18"/>
  <c r="LO109" i="18"/>
  <c r="AW75" i="18"/>
  <c r="II75" i="18"/>
  <c r="LK75" i="18"/>
  <c r="GW77" i="18"/>
  <c r="HW77" i="18"/>
  <c r="IU77" i="18"/>
  <c r="JW77" i="18"/>
  <c r="AU79" i="18"/>
  <c r="BW79" i="18"/>
  <c r="CE80" i="18"/>
  <c r="DC80" i="18"/>
  <c r="IU80" i="18"/>
  <c r="JU80" i="18"/>
  <c r="LA80" i="18" s="1"/>
  <c r="LS80" i="18"/>
  <c r="AY82" i="18"/>
  <c r="HC83" i="18"/>
  <c r="Q84" i="18"/>
  <c r="AO84" i="18"/>
  <c r="DG84" i="18"/>
  <c r="HY84" i="18"/>
  <c r="HU85" i="18"/>
  <c r="BE86" i="18"/>
  <c r="CE86" i="18"/>
  <c r="BK87" i="18"/>
  <c r="BG88" i="18"/>
  <c r="IS88" i="18"/>
  <c r="JM88" i="18"/>
  <c r="KM88" i="18"/>
  <c r="BG91" i="18"/>
  <c r="HC91" i="18"/>
  <c r="GA92" i="18"/>
  <c r="HA92" i="18"/>
  <c r="AS93" i="18"/>
  <c r="CQ93" i="18"/>
  <c r="II93" i="18"/>
  <c r="S94" i="18"/>
  <c r="CE95" i="18"/>
  <c r="GA95" i="18"/>
  <c r="BC99" i="18"/>
  <c r="CW99" i="18"/>
  <c r="GI99" i="18"/>
  <c r="HE99" i="18"/>
  <c r="IA99" i="18"/>
  <c r="JC99" i="18"/>
  <c r="BW100" i="18"/>
  <c r="DA100" i="18"/>
  <c r="II102" i="18"/>
  <c r="JK102" i="18"/>
  <c r="CO103" i="18"/>
  <c r="JY103" i="18"/>
  <c r="AY105" i="18"/>
  <c r="DC105" i="18"/>
  <c r="HC105" i="18"/>
  <c r="JI105" i="18"/>
  <c r="AA106" i="18"/>
  <c r="IK106" i="18"/>
  <c r="KQ106" i="18"/>
  <c r="S108" i="18"/>
  <c r="IA108" i="18"/>
  <c r="DI109" i="18"/>
  <c r="FK109" i="18"/>
  <c r="GO109" i="18"/>
  <c r="KO109" i="18"/>
  <c r="GO110" i="18"/>
  <c r="Y75" i="18"/>
  <c r="CE77" i="18"/>
  <c r="DE77" i="18"/>
  <c r="FU77" i="18"/>
  <c r="CG80" i="18"/>
  <c r="HY80" i="18"/>
  <c r="FK81" i="18"/>
  <c r="Y82" i="18"/>
  <c r="IY84" i="18"/>
  <c r="FI86" i="18"/>
  <c r="GC86" i="18"/>
  <c r="JA86" i="18"/>
  <c r="IA87" i="18"/>
  <c r="AQ88" i="18"/>
  <c r="IU88" i="18"/>
  <c r="JO88" i="18"/>
  <c r="BY90" i="18"/>
  <c r="DI91" i="18"/>
  <c r="GC91" i="18"/>
  <c r="IE91" i="18"/>
  <c r="LM91" i="18"/>
  <c r="GC92" i="18"/>
  <c r="LM93" i="18"/>
  <c r="JW97" i="18"/>
  <c r="CI102" i="18"/>
  <c r="CQ103" i="18"/>
  <c r="DG106" i="18"/>
  <c r="HQ106" i="18"/>
  <c r="JO106" i="18"/>
  <c r="AA75" i="18"/>
  <c r="IS75" i="18"/>
  <c r="BE77" i="18"/>
  <c r="CG77" i="18"/>
  <c r="HA77" i="18"/>
  <c r="LU80" i="18"/>
  <c r="LW82" i="18"/>
  <c r="S84" i="18"/>
  <c r="DI84" i="18"/>
  <c r="IA84" i="18"/>
  <c r="JA84" i="18"/>
  <c r="BG86" i="18"/>
  <c r="FK86" i="18"/>
  <c r="LE86" i="18"/>
  <c r="IC87" i="18"/>
  <c r="LI87" i="18"/>
  <c r="AS88" i="18"/>
  <c r="BI88" i="18"/>
  <c r="HY88" i="18"/>
  <c r="IW88" i="18"/>
  <c r="JU88" i="18"/>
  <c r="LA88" i="18" s="1"/>
  <c r="KO88" i="18"/>
  <c r="LO88" i="18"/>
  <c r="GI91" i="18"/>
  <c r="IG91" i="18"/>
  <c r="LO91" i="18"/>
  <c r="U92" i="18"/>
  <c r="BY93" i="18"/>
  <c r="HQ93" i="18"/>
  <c r="LO93" i="18"/>
  <c r="U94" i="18"/>
  <c r="HQ94" i="18"/>
  <c r="FK95" i="18"/>
  <c r="IW97" i="18"/>
  <c r="BE99" i="18"/>
  <c r="CC99" i="18"/>
  <c r="DA99" i="18"/>
  <c r="FM99" i="18"/>
  <c r="GM99" i="18"/>
  <c r="HM99" i="18"/>
  <c r="IE99" i="18"/>
  <c r="AW100" i="18"/>
  <c r="DC100" i="18"/>
  <c r="BI101" i="18"/>
  <c r="DI101" i="18"/>
  <c r="IU101" i="18"/>
  <c r="JW101" i="18"/>
  <c r="LW101" i="18"/>
  <c r="HQ102" i="18"/>
  <c r="IY103" i="18"/>
  <c r="CE105" i="18"/>
  <c r="CG106" i="18"/>
  <c r="IU106" i="18"/>
  <c r="U108" i="18"/>
  <c r="HC108" i="18"/>
  <c r="KG108" i="18"/>
  <c r="GS109" i="18"/>
  <c r="KQ109" i="18"/>
  <c r="AY4" i="18"/>
  <c r="LU4" i="18"/>
  <c r="BS4" i="18"/>
  <c r="CM4" i="18"/>
  <c r="FQ4" i="18"/>
  <c r="GM4" i="18"/>
  <c r="HY4" i="18"/>
  <c r="GM6" i="18"/>
  <c r="IC6" i="18"/>
  <c r="KY6" i="18"/>
  <c r="LQ6" i="18"/>
  <c r="AU9" i="18"/>
  <c r="BM9" i="18"/>
  <c r="CK9" i="18"/>
  <c r="FS9" i="18"/>
  <c r="GQ9" i="18"/>
  <c r="HO9" i="18"/>
  <c r="IE9" i="18"/>
  <c r="JE9" i="18"/>
  <c r="KC9" i="18"/>
  <c r="KS9" i="18"/>
  <c r="BE11" i="18"/>
  <c r="CG11" i="18"/>
  <c r="HG11" i="18"/>
  <c r="DU4" i="18"/>
  <c r="JK4" i="18"/>
  <c r="AC4" i="18"/>
  <c r="BA4" i="18"/>
  <c r="DG4" i="18"/>
  <c r="FS4" i="18"/>
  <c r="GO4" i="18"/>
  <c r="HE4" i="18"/>
  <c r="IA4" i="18"/>
  <c r="IW4" i="18"/>
  <c r="JM4" i="18"/>
  <c r="KK4" i="18"/>
  <c r="LW4" i="18"/>
  <c r="BY6" i="18"/>
  <c r="FO6" i="18"/>
  <c r="IE6" i="18"/>
  <c r="JC6" i="18"/>
  <c r="KA6" i="18"/>
  <c r="LS6" i="18"/>
  <c r="Y9" i="18"/>
  <c r="BU9" i="18"/>
  <c r="DI9" i="18"/>
  <c r="FU9" i="18"/>
  <c r="IG9" i="18"/>
  <c r="LS9" i="18"/>
  <c r="AC11" i="18"/>
  <c r="CI11" i="18"/>
  <c r="HO11" i="18"/>
  <c r="AG4" i="18"/>
  <c r="IC4" i="18"/>
  <c r="AA9" i="18"/>
  <c r="AY9" i="18"/>
  <c r="BW9" i="18"/>
  <c r="CM9" i="18"/>
  <c r="FW9" i="18"/>
  <c r="GS9" i="18"/>
  <c r="HQ9" i="18"/>
  <c r="II9" i="18"/>
  <c r="JG9" i="18"/>
  <c r="KE9" i="18"/>
  <c r="AE11" i="18"/>
  <c r="CK11" i="18"/>
  <c r="FQ11" i="18"/>
  <c r="HQ11" i="18"/>
  <c r="IK11" i="18"/>
  <c r="KM11" i="18"/>
  <c r="KI4" i="18"/>
  <c r="CO4" i="18"/>
  <c r="LI4" i="18"/>
  <c r="BC6" i="18"/>
  <c r="CC6" i="18"/>
  <c r="FS6" i="18"/>
  <c r="GQ6" i="18"/>
  <c r="HM6" i="18"/>
  <c r="II6" i="18"/>
  <c r="KE6" i="18"/>
  <c r="AC9" i="18"/>
  <c r="CO9" i="18"/>
  <c r="DM9" i="18"/>
  <c r="GU9" i="18"/>
  <c r="IK9" i="18"/>
  <c r="JI9" i="18"/>
  <c r="LC9" i="18"/>
  <c r="LU9" i="18"/>
  <c r="AG11" i="18"/>
  <c r="DO11" i="18"/>
  <c r="GS11" i="18"/>
  <c r="KO11" i="18"/>
  <c r="JC68" i="18"/>
  <c r="CM68" i="18"/>
  <c r="O4" i="18"/>
  <c r="Q4" i="18"/>
  <c r="AO4" i="18"/>
  <c r="BE4" i="18"/>
  <c r="CA4" i="18"/>
  <c r="CQ4" i="18"/>
  <c r="GS4" i="18"/>
  <c r="HM4" i="18"/>
  <c r="IG4" i="18"/>
  <c r="JA4" i="18"/>
  <c r="KO4" i="18"/>
  <c r="LK4" i="18"/>
  <c r="AA5" i="18"/>
  <c r="AW5" i="18"/>
  <c r="CK5" i="18"/>
  <c r="DG5" i="18"/>
  <c r="GM5" i="18"/>
  <c r="HG5" i="18"/>
  <c r="IC5" i="18"/>
  <c r="JW5" i="18"/>
  <c r="AA6" i="18"/>
  <c r="KG6" i="18"/>
  <c r="LE6" i="18"/>
  <c r="LW6" i="18"/>
  <c r="W7" i="18"/>
  <c r="AU7" i="18"/>
  <c r="CM7" i="18"/>
  <c r="FI7" i="18"/>
  <c r="GA7" i="18"/>
  <c r="HA7" i="18"/>
  <c r="IY7" i="18"/>
  <c r="JY7" i="18"/>
  <c r="KS7" i="18"/>
  <c r="LQ7" i="18"/>
  <c r="AE9" i="18"/>
  <c r="BA9" i="18"/>
  <c r="BY9" i="18"/>
  <c r="CQ9" i="18"/>
  <c r="FG9" i="18"/>
  <c r="HS9" i="18"/>
  <c r="IS9" i="18"/>
  <c r="KG9" i="18"/>
  <c r="LW9" i="18"/>
  <c r="AQ10" i="18"/>
  <c r="CE10" i="18"/>
  <c r="DA10" i="18"/>
  <c r="DS10" i="18"/>
  <c r="GO10" i="18"/>
  <c r="HE10" i="18"/>
  <c r="JA10" i="18"/>
  <c r="JY10" i="18"/>
  <c r="LQ10" i="18"/>
  <c r="M11" i="18"/>
  <c r="BM11" i="18"/>
  <c r="CM11" i="18"/>
  <c r="FU11" i="18"/>
  <c r="HS11" i="18"/>
  <c r="IU11" i="18"/>
  <c r="JU11" i="18"/>
  <c r="KQ11" i="18"/>
  <c r="IU4" i="18"/>
  <c r="IY4" i="18"/>
  <c r="BG4" i="18"/>
  <c r="DM4" i="18"/>
  <c r="FW4" i="18"/>
  <c r="HO4" i="18"/>
  <c r="JC4" i="18"/>
  <c r="KQ4" i="18"/>
  <c r="LM4" i="18"/>
  <c r="AY5" i="18"/>
  <c r="FS5" i="18"/>
  <c r="GO5" i="18"/>
  <c r="JA5" i="18"/>
  <c r="KO5" i="18"/>
  <c r="LM5" i="18"/>
  <c r="AG6" i="18"/>
  <c r="HQ6" i="18"/>
  <c r="IK6" i="18"/>
  <c r="JI6" i="18"/>
  <c r="KI6" i="18"/>
  <c r="LG6" i="18"/>
  <c r="DM7" i="18"/>
  <c r="GC7" i="18"/>
  <c r="IA7" i="18"/>
  <c r="KA7" i="18"/>
  <c r="M9" i="18"/>
  <c r="BC9" i="18"/>
  <c r="CW9" i="18"/>
  <c r="DO9" i="18"/>
  <c r="FI9" i="18"/>
  <c r="GA9" i="18"/>
  <c r="HU9" i="18"/>
  <c r="KI9" i="18"/>
  <c r="LG9" i="18"/>
  <c r="W10" i="18"/>
  <c r="AS10" i="18"/>
  <c r="BK10" i="18"/>
  <c r="DU10" i="18"/>
  <c r="FQ10" i="18"/>
  <c r="HG10" i="18"/>
  <c r="IE10" i="18"/>
  <c r="JC10" i="18"/>
  <c r="KS10" i="18"/>
  <c r="BU11" i="18"/>
  <c r="DS11" i="18"/>
  <c r="FW11" i="18"/>
  <c r="GU11" i="18"/>
  <c r="DE4" i="18"/>
  <c r="LE4" i="18"/>
  <c r="BC4" i="18"/>
  <c r="JO4" i="18"/>
  <c r="IE4" i="18"/>
  <c r="CW4" i="18"/>
  <c r="FG4" i="18"/>
  <c r="JY4" i="18"/>
  <c r="U4" i="18"/>
  <c r="CC4" i="18"/>
  <c r="FY4" i="18"/>
  <c r="GU4" i="18"/>
  <c r="HQ4" i="18"/>
  <c r="II4" i="18"/>
  <c r="KS4" i="18"/>
  <c r="AC5" i="18"/>
  <c r="BA5" i="18"/>
  <c r="BW5" i="18"/>
  <c r="DI5" i="18"/>
  <c r="GQ5" i="18"/>
  <c r="HO5" i="18"/>
  <c r="JC5" i="18"/>
  <c r="JY5" i="18"/>
  <c r="KQ5" i="18"/>
  <c r="CG6" i="18"/>
  <c r="FW6" i="18"/>
  <c r="GU6" i="18"/>
  <c r="HS6" i="18"/>
  <c r="IS6" i="18"/>
  <c r="KK6" i="18"/>
  <c r="AY7" i="18"/>
  <c r="DO7" i="18"/>
  <c r="FM7" i="18"/>
  <c r="GK7" i="18"/>
  <c r="HC7" i="18"/>
  <c r="JC7" i="18"/>
  <c r="LA7" i="18"/>
  <c r="LS7" i="18"/>
  <c r="CK8" i="18"/>
  <c r="DO8" i="18"/>
  <c r="JI8" i="18"/>
  <c r="O9" i="18"/>
  <c r="CA9" i="18"/>
  <c r="DQ9" i="18"/>
  <c r="FK9" i="18"/>
  <c r="GY9" i="18"/>
  <c r="HW9" i="18"/>
  <c r="IU9" i="18"/>
  <c r="JM9" i="18"/>
  <c r="KK9" i="18"/>
  <c r="AU10" i="18"/>
  <c r="DC10" i="18"/>
  <c r="GQ10" i="18"/>
  <c r="LA10" i="18"/>
  <c r="LS10" i="18"/>
  <c r="Q11" i="18"/>
  <c r="AS11" i="18"/>
  <c r="BW11" i="18"/>
  <c r="CQ11" i="18"/>
  <c r="FY11" i="18"/>
  <c r="GW11" i="18"/>
  <c r="HW11" i="18"/>
  <c r="IW11" i="18"/>
  <c r="JY11" i="18"/>
  <c r="KS11" i="18"/>
  <c r="U12" i="18"/>
  <c r="BO12" i="18"/>
  <c r="CG12" i="18"/>
  <c r="FM12" i="18"/>
  <c r="GO12" i="18"/>
  <c r="IG13" i="18"/>
  <c r="DI4" i="18"/>
  <c r="BY4" i="18"/>
  <c r="AQ4" i="18"/>
  <c r="W4" i="18"/>
  <c r="AS4" i="18"/>
  <c r="DO4" i="18"/>
  <c r="FI4" i="18"/>
  <c r="GA4" i="18"/>
  <c r="GW4" i="18"/>
  <c r="HS4" i="18"/>
  <c r="KA4" i="18"/>
  <c r="KY4" i="18"/>
  <c r="LO4" i="18"/>
  <c r="O5" i="18"/>
  <c r="BC5" i="18"/>
  <c r="BY5" i="18"/>
  <c r="CO5" i="18"/>
  <c r="DK5" i="18"/>
  <c r="FU5" i="18"/>
  <c r="GS5" i="18"/>
  <c r="HQ5" i="18"/>
  <c r="IG5" i="18"/>
  <c r="JE5" i="18"/>
  <c r="KA5" i="18"/>
  <c r="LO5" i="18"/>
  <c r="AQ6" i="18"/>
  <c r="BI6" i="18"/>
  <c r="HU6" i="18"/>
  <c r="JM6" i="18"/>
  <c r="BA7" i="18"/>
  <c r="BY7" i="18"/>
  <c r="CQ7" i="18"/>
  <c r="DQ7" i="18"/>
  <c r="HE7" i="18"/>
  <c r="IE7" i="18"/>
  <c r="KC7" i="18"/>
  <c r="LU7" i="18"/>
  <c r="Q9" i="18"/>
  <c r="AI9" i="18"/>
  <c r="CC9" i="18"/>
  <c r="DA9" i="18"/>
  <c r="GC9" i="18"/>
  <c r="HY9" i="18"/>
  <c r="IW9" i="18"/>
  <c r="KM9" i="18"/>
  <c r="LI9" i="18"/>
  <c r="BM10" i="18"/>
  <c r="CI10" i="18"/>
  <c r="DE10" i="18"/>
  <c r="FS10" i="18"/>
  <c r="HO10" i="18"/>
  <c r="IG10" i="18"/>
  <c r="JE10" i="18"/>
  <c r="KC10" i="18"/>
  <c r="LC10" i="18"/>
  <c r="S11" i="18"/>
  <c r="BY11" i="18"/>
  <c r="HY11" i="18"/>
  <c r="IY11" i="18"/>
  <c r="KA11" i="18"/>
  <c r="LA11" i="18"/>
  <c r="JM13" i="18"/>
  <c r="FO4" i="18"/>
  <c r="BW4" i="18"/>
  <c r="FU4" i="18"/>
  <c r="AU4" i="18"/>
  <c r="BK4" i="18"/>
  <c r="DA4" i="18"/>
  <c r="DQ4" i="18"/>
  <c r="HU4" i="18"/>
  <c r="IK4" i="18"/>
  <c r="KC4" i="18"/>
  <c r="LA4" i="18"/>
  <c r="LQ4" i="18"/>
  <c r="DM5" i="18"/>
  <c r="FG5" i="18"/>
  <c r="FW5" i="18"/>
  <c r="GU5" i="18"/>
  <c r="JG5" i="18"/>
  <c r="LQ5" i="18"/>
  <c r="CK6" i="18"/>
  <c r="FG6" i="18"/>
  <c r="GA6" i="18"/>
  <c r="HW6" i="18"/>
  <c r="KM6" i="18"/>
  <c r="LK6" i="18"/>
  <c r="DS7" i="18"/>
  <c r="FO7" i="18"/>
  <c r="GO7" i="18"/>
  <c r="IG7" i="18"/>
  <c r="JE7" i="18"/>
  <c r="LE7" i="18"/>
  <c r="S9" i="18"/>
  <c r="AO9" i="18"/>
  <c r="BG9" i="18"/>
  <c r="CE9" i="18"/>
  <c r="HC9" i="18"/>
  <c r="IA9" i="18"/>
  <c r="JU9" i="18"/>
  <c r="KO9" i="18"/>
  <c r="LK9" i="18"/>
  <c r="AA10" i="18"/>
  <c r="DG10" i="18"/>
  <c r="FU10" i="18"/>
  <c r="GS10" i="18"/>
  <c r="II10" i="18"/>
  <c r="LE10" i="18"/>
  <c r="LU10" i="18"/>
  <c r="U11" i="18"/>
  <c r="IA11" i="18"/>
  <c r="KC11" i="18"/>
  <c r="KI13" i="18"/>
  <c r="IC13" i="18"/>
  <c r="LQ13" i="18"/>
  <c r="HQ13" i="18"/>
  <c r="CK4" i="18"/>
  <c r="AI4" i="18"/>
  <c r="HG4" i="18"/>
  <c r="KM4" i="18"/>
  <c r="CE4" i="18"/>
  <c r="GC4" i="18"/>
  <c r="JG4" i="18"/>
  <c r="CG4" i="18"/>
  <c r="FK4" i="18"/>
  <c r="GI4" i="18"/>
  <c r="GY4" i="18"/>
  <c r="KE4" i="18"/>
  <c r="Q5" i="18"/>
  <c r="AG5" i="18"/>
  <c r="BE5" i="18"/>
  <c r="CQ5" i="18"/>
  <c r="DO5" i="18"/>
  <c r="II5" i="18"/>
  <c r="JI5" i="18"/>
  <c r="KC5" i="18"/>
  <c r="LA5" i="18"/>
  <c r="LS5" i="18"/>
  <c r="CM6" i="18"/>
  <c r="GC6" i="18"/>
  <c r="IW6" i="18"/>
  <c r="JO6" i="18"/>
  <c r="M7" i="18"/>
  <c r="BE7" i="18"/>
  <c r="FQ7" i="18"/>
  <c r="II7" i="18"/>
  <c r="JG7" i="18"/>
  <c r="KG7" i="18"/>
  <c r="BM8" i="18"/>
  <c r="DU8" i="18"/>
  <c r="HG8" i="18"/>
  <c r="LW8" i="18"/>
  <c r="AQ9" i="18"/>
  <c r="CG9" i="18"/>
  <c r="DC9" i="18"/>
  <c r="DU9" i="18"/>
  <c r="FO9" i="18"/>
  <c r="JW9" i="18"/>
  <c r="AC10" i="18"/>
  <c r="AY10" i="18"/>
  <c r="CK10" i="18"/>
  <c r="DI10" i="18"/>
  <c r="GU10" i="18"/>
  <c r="HS10" i="18"/>
  <c r="JG10" i="18"/>
  <c r="KG10" i="18"/>
  <c r="LW10" i="18"/>
  <c r="CA11" i="18"/>
  <c r="DC11" i="18"/>
  <c r="FI11" i="18"/>
  <c r="GC11" i="18"/>
  <c r="IC11" i="18"/>
  <c r="KE11" i="18"/>
  <c r="LI12" i="18"/>
  <c r="KY12" i="18"/>
  <c r="JK12" i="18"/>
  <c r="HY12" i="18"/>
  <c r="FS12" i="18"/>
  <c r="AI12" i="18"/>
  <c r="LU12" i="18"/>
  <c r="KS12" i="18"/>
  <c r="KE12" i="18"/>
  <c r="GK12" i="18"/>
  <c r="CM12" i="18"/>
  <c r="BY12" i="18"/>
  <c r="BC12" i="18"/>
  <c r="LS12" i="18"/>
  <c r="JI12" i="18"/>
  <c r="IK12" i="18"/>
  <c r="FQ12" i="18"/>
  <c r="LQ12" i="18"/>
  <c r="KQ12" i="18"/>
  <c r="HU12" i="18"/>
  <c r="GI12" i="18"/>
  <c r="DE12" i="18"/>
  <c r="CK12" i="18"/>
  <c r="KA12" i="18"/>
  <c r="GC12" i="18"/>
  <c r="FO12" i="18"/>
  <c r="LO12" i="18"/>
  <c r="IG12" i="18"/>
  <c r="HS12" i="18"/>
  <c r="GW12" i="18"/>
  <c r="DC12" i="18"/>
  <c r="CI12" i="18"/>
  <c r="AC12" i="18"/>
  <c r="LG12" i="18"/>
  <c r="IY12" i="18"/>
  <c r="CE12" i="18"/>
  <c r="KI12" i="18"/>
  <c r="JU12" i="18"/>
  <c r="IC12" i="18"/>
  <c r="FW12" i="18"/>
  <c r="DO12" i="18"/>
  <c r="CW12" i="18"/>
  <c r="AU12" i="18"/>
  <c r="BS12" i="18"/>
  <c r="HQ12" i="18"/>
  <c r="JO12" i="18"/>
  <c r="KM12" i="18"/>
  <c r="HO13" i="18"/>
  <c r="KS13" i="18"/>
  <c r="FI12" i="18"/>
  <c r="GS12" i="18"/>
  <c r="HO12" i="18"/>
  <c r="LY12" i="18"/>
  <c r="GA13" i="18"/>
  <c r="KO13" i="18"/>
  <c r="Y15" i="18"/>
  <c r="AQ15" i="18"/>
  <c r="BI15" i="18"/>
  <c r="CO15" i="18"/>
  <c r="DK15" i="18"/>
  <c r="FG15" i="18"/>
  <c r="FW15" i="18"/>
  <c r="GS15" i="18"/>
  <c r="IC15" i="18"/>
  <c r="IY15" i="18"/>
  <c r="CK16" i="18"/>
  <c r="FW16" i="18"/>
  <c r="HQ16" i="18"/>
  <c r="IK16" i="18"/>
  <c r="JI16" i="18"/>
  <c r="KG16" i="18"/>
  <c r="CC17" i="18"/>
  <c r="CY17" i="18"/>
  <c r="FS17" i="18"/>
  <c r="GO17" i="18"/>
  <c r="IY17" i="18"/>
  <c r="JY17" i="18"/>
  <c r="LS17" i="18"/>
  <c r="GQ18" i="18"/>
  <c r="AU20" i="18"/>
  <c r="CE20" i="18"/>
  <c r="CY20" i="18"/>
  <c r="DM20" i="18"/>
  <c r="FG20" i="18"/>
  <c r="FW20" i="18"/>
  <c r="GO20" i="18"/>
  <c r="HE20" i="18"/>
  <c r="IA20" i="18"/>
  <c r="JI20" i="18"/>
  <c r="KQ20" i="18"/>
  <c r="LM20" i="18"/>
  <c r="O22" i="18"/>
  <c r="BK22" i="18"/>
  <c r="CI22" i="18"/>
  <c r="DE22" i="18"/>
  <c r="DS22" i="18"/>
  <c r="FI22" i="18"/>
  <c r="GI22" i="18"/>
  <c r="IK22" i="18"/>
  <c r="JM22" i="18"/>
  <c r="KO22" i="18"/>
  <c r="LQ22" i="18"/>
  <c r="BK23" i="18"/>
  <c r="AO25" i="18"/>
  <c r="DC25" i="18"/>
  <c r="GQ25" i="18"/>
  <c r="HQ25" i="18"/>
  <c r="JW25" i="18"/>
  <c r="AQ26" i="18"/>
  <c r="BK26" i="18"/>
  <c r="CQ26" i="18"/>
  <c r="GS26" i="18"/>
  <c r="HQ26" i="18"/>
  <c r="IK26" i="18"/>
  <c r="JK27" i="18"/>
  <c r="KI27" i="18"/>
  <c r="JI27" i="18"/>
  <c r="GS27" i="18"/>
  <c r="FW27" i="18"/>
  <c r="DU27" i="18"/>
  <c r="CY27" i="18"/>
  <c r="BW27" i="18"/>
  <c r="JE27" i="18"/>
  <c r="GO27" i="18"/>
  <c r="FK27" i="18"/>
  <c r="DQ27" i="18"/>
  <c r="KC27" i="18"/>
  <c r="JC27" i="18"/>
  <c r="KA27" i="18"/>
  <c r="JA27" i="18"/>
  <c r="HA27" i="18"/>
  <c r="GM27" i="18"/>
  <c r="DK27" i="18"/>
  <c r="CK27" i="18"/>
  <c r="BI27" i="18"/>
  <c r="W27" i="18"/>
  <c r="KS27" i="18"/>
  <c r="JW27" i="18"/>
  <c r="IY27" i="18"/>
  <c r="GY27" i="18"/>
  <c r="GK27" i="18"/>
  <c r="AQ27" i="18"/>
  <c r="CC27" i="18"/>
  <c r="DG27" i="18"/>
  <c r="FM27" i="18"/>
  <c r="GW27" i="18"/>
  <c r="KM27" i="18"/>
  <c r="BM32" i="18"/>
  <c r="AS32" i="18"/>
  <c r="KC32" i="18"/>
  <c r="IW32" i="18"/>
  <c r="FI32" i="18"/>
  <c r="CW32" i="18"/>
  <c r="HU32" i="18"/>
  <c r="AO32" i="18"/>
  <c r="JY32" i="18"/>
  <c r="IQ32" i="18"/>
  <c r="BE32" i="18"/>
  <c r="GO32" i="18"/>
  <c r="JM32" i="18"/>
  <c r="IG32" i="18"/>
  <c r="CE32" i="18"/>
  <c r="LM32" i="18"/>
  <c r="KK32" i="18"/>
  <c r="DM32" i="18"/>
  <c r="CC32" i="18"/>
  <c r="O32" i="18"/>
  <c r="DK32" i="18"/>
  <c r="LI32" i="18"/>
  <c r="FM35" i="18"/>
  <c r="JY35" i="18"/>
  <c r="BY38" i="18"/>
  <c r="DC38" i="18"/>
  <c r="CY12" i="18"/>
  <c r="FY12" i="18"/>
  <c r="KK12" i="18"/>
  <c r="KQ13" i="18"/>
  <c r="AS15" i="18"/>
  <c r="BK15" i="18"/>
  <c r="CC15" i="18"/>
  <c r="DM15" i="18"/>
  <c r="FI15" i="18"/>
  <c r="JA15" i="18"/>
  <c r="JY15" i="18"/>
  <c r="KM15" i="18"/>
  <c r="LQ15" i="18"/>
  <c r="BK16" i="18"/>
  <c r="DI16" i="18"/>
  <c r="GU16" i="18"/>
  <c r="HS16" i="18"/>
  <c r="BI17" i="18"/>
  <c r="DU17" i="18"/>
  <c r="GQ17" i="18"/>
  <c r="HO17" i="18"/>
  <c r="IC17" i="18"/>
  <c r="KS17" i="18"/>
  <c r="LW17" i="18"/>
  <c r="BI19" i="18"/>
  <c r="FM19" i="18"/>
  <c r="BM20" i="18"/>
  <c r="HG20" i="18"/>
  <c r="IC20" i="18"/>
  <c r="IW20" i="18"/>
  <c r="JK20" i="18"/>
  <c r="KC20" i="18"/>
  <c r="LO20" i="18"/>
  <c r="S22" i="18"/>
  <c r="AU22" i="18"/>
  <c r="CK22" i="18"/>
  <c r="DG22" i="18"/>
  <c r="GK22" i="18"/>
  <c r="GO22" i="18" s="1"/>
  <c r="HE22" i="18"/>
  <c r="HY22" i="18"/>
  <c r="IQ22" i="18"/>
  <c r="JO22" i="18"/>
  <c r="KQ22" i="18"/>
  <c r="LS22" i="18"/>
  <c r="DG23" i="18"/>
  <c r="FU23" i="18"/>
  <c r="DE25" i="18"/>
  <c r="GS25" i="18"/>
  <c r="JY25" i="18"/>
  <c r="LG25" i="18"/>
  <c r="BM26" i="18"/>
  <c r="CY26" i="18"/>
  <c r="FO26" i="18"/>
  <c r="HS26" i="18"/>
  <c r="LK26" i="18"/>
  <c r="AU27" i="18"/>
  <c r="CE27" i="18"/>
  <c r="DI27" i="18"/>
  <c r="FS27" i="18"/>
  <c r="HY27" i="18"/>
  <c r="KO27" i="18"/>
  <c r="LS27" i="18"/>
  <c r="LK32" i="18"/>
  <c r="FO35" i="18"/>
  <c r="DE38" i="18"/>
  <c r="AW20" i="18"/>
  <c r="BS20" i="18"/>
  <c r="CG20" i="18"/>
  <c r="DA20" i="18"/>
  <c r="DO20" i="18"/>
  <c r="FI20" i="18"/>
  <c r="FY20" i="18"/>
  <c r="GQ20" i="18"/>
  <c r="KS20" i="18"/>
  <c r="CI20" i="18"/>
  <c r="DQ20" i="18"/>
  <c r="FK20" i="18"/>
  <c r="GS20" i="18"/>
  <c r="HO20" i="18"/>
  <c r="IE20" i="18"/>
  <c r="IY20" i="18"/>
  <c r="JM20" i="18"/>
  <c r="KE20" i="18"/>
  <c r="LQ20" i="18"/>
  <c r="LQ35" i="18"/>
  <c r="JU35" i="18"/>
  <c r="AA35" i="18"/>
  <c r="GA35" i="18"/>
  <c r="JM35" i="18"/>
  <c r="IW35" i="18"/>
  <c r="GY35" i="18"/>
  <c r="CM35" i="18"/>
  <c r="FY35" i="18"/>
  <c r="FE35" i="18"/>
  <c r="BS35" i="18"/>
  <c r="BM35" i="18"/>
  <c r="U35" i="18"/>
  <c r="KG35" i="18"/>
  <c r="HQ35" i="18"/>
  <c r="LE35" i="18"/>
  <c r="JE35" i="18"/>
  <c r="CE35" i="18"/>
  <c r="BI35" i="18"/>
  <c r="AG35" i="18"/>
  <c r="LW35" i="18"/>
  <c r="FQ35" i="18"/>
  <c r="JC35" i="18"/>
  <c r="IE35" i="18"/>
  <c r="HE35" i="18"/>
  <c r="GM35" i="18"/>
  <c r="CY35" i="18"/>
  <c r="M35" i="18"/>
  <c r="JA35" i="18"/>
  <c r="II11" i="18"/>
  <c r="JK11" i="18"/>
  <c r="KK11" i="18"/>
  <c r="LM11" i="18"/>
  <c r="O12" i="18"/>
  <c r="BU12" i="18"/>
  <c r="DU12" i="18"/>
  <c r="JE12" i="18"/>
  <c r="KO12" i="18"/>
  <c r="BG13" i="18"/>
  <c r="DS13" i="18"/>
  <c r="JG14" i="18"/>
  <c r="O15" i="18"/>
  <c r="AC15" i="18"/>
  <c r="AW15" i="18"/>
  <c r="BS15" i="18"/>
  <c r="CY15" i="18"/>
  <c r="DQ15" i="18"/>
  <c r="GY15" i="18"/>
  <c r="HS15" i="18"/>
  <c r="JG15" i="18"/>
  <c r="KQ15" i="18"/>
  <c r="AY16" i="18"/>
  <c r="BW16" i="18"/>
  <c r="CQ16" i="18"/>
  <c r="DO16" i="18"/>
  <c r="FI16" i="18"/>
  <c r="GI16" i="18"/>
  <c r="HW16" i="18"/>
  <c r="KM16" i="18"/>
  <c r="Y17" i="18"/>
  <c r="BM17" i="18"/>
  <c r="DE17" i="18"/>
  <c r="GU17" i="18"/>
  <c r="HS17" i="18"/>
  <c r="IG17" i="18"/>
  <c r="LE17" i="18"/>
  <c r="AY20" i="18"/>
  <c r="BW20" i="18"/>
  <c r="CK20" i="18"/>
  <c r="DC20" i="18"/>
  <c r="FM20" i="18"/>
  <c r="GA20" i="18"/>
  <c r="KG20" i="18"/>
  <c r="LS20" i="18"/>
  <c r="AU21" i="18"/>
  <c r="GO21" i="18"/>
  <c r="HC21" i="18"/>
  <c r="HY21" i="18"/>
  <c r="IU21" i="18"/>
  <c r="JK21" i="18"/>
  <c r="KE21" i="18"/>
  <c r="LC21" i="18"/>
  <c r="AA22" i="18"/>
  <c r="BU22" i="18"/>
  <c r="CQ22" i="18"/>
  <c r="FQ22" i="18"/>
  <c r="GQ22" i="18"/>
  <c r="IW22" i="18"/>
  <c r="JY22" i="18"/>
  <c r="LE22" i="18"/>
  <c r="LW22" i="18"/>
  <c r="KK23" i="18"/>
  <c r="LQ23" i="18"/>
  <c r="MH24" i="18"/>
  <c r="HU24" i="18"/>
  <c r="AS25" i="18"/>
  <c r="CE25" i="18"/>
  <c r="FS25" i="18"/>
  <c r="GY25" i="18"/>
  <c r="KE25" i="18"/>
  <c r="LM25" i="18"/>
  <c r="BY26" i="18"/>
  <c r="DG26" i="18"/>
  <c r="HW26" i="18"/>
  <c r="IY26" i="18"/>
  <c r="KI26" i="18"/>
  <c r="LO26" i="18"/>
  <c r="S27" i="18"/>
  <c r="BC27" i="18"/>
  <c r="CM27" i="18"/>
  <c r="DS27" i="18"/>
  <c r="GI27" i="18"/>
  <c r="JM27" i="18"/>
  <c r="JE32" i="18"/>
  <c r="BK34" i="18"/>
  <c r="AE12" i="18"/>
  <c r="GY12" i="18"/>
  <c r="II12" i="18"/>
  <c r="JG12" i="18"/>
  <c r="KC13" i="18"/>
  <c r="AY15" i="18"/>
  <c r="CG15" i="18"/>
  <c r="DA15" i="18"/>
  <c r="DS15" i="18"/>
  <c r="GC15" i="18"/>
  <c r="HU15" i="18"/>
  <c r="II15" i="18"/>
  <c r="AC16" i="18"/>
  <c r="BY16" i="18"/>
  <c r="CW16" i="18"/>
  <c r="FK16" i="18"/>
  <c r="HY16" i="18"/>
  <c r="IY16" i="18"/>
  <c r="JO16" i="18"/>
  <c r="CI17" i="18"/>
  <c r="FI17" i="18"/>
  <c r="FY17" i="18"/>
  <c r="GW17" i="18"/>
  <c r="JG17" i="18"/>
  <c r="KG17" i="18"/>
  <c r="DU19" i="18"/>
  <c r="JE19" i="18"/>
  <c r="BA20" i="18"/>
  <c r="DE20" i="18"/>
  <c r="DS20" i="18"/>
  <c r="GC20" i="18"/>
  <c r="GU20" i="18"/>
  <c r="HQ20" i="18"/>
  <c r="IG20" i="18"/>
  <c r="JA20" i="18"/>
  <c r="JO20" i="18"/>
  <c r="LC20" i="18"/>
  <c r="AC22" i="18"/>
  <c r="BW22" i="18"/>
  <c r="CW22" i="18"/>
  <c r="DK22" i="18"/>
  <c r="HO22" i="18"/>
  <c r="IC22" i="18"/>
  <c r="IY22" i="18"/>
  <c r="KA22" i="18"/>
  <c r="LG22" i="18"/>
  <c r="GM23" i="18"/>
  <c r="BG25" i="18"/>
  <c r="DK25" i="18"/>
  <c r="IW25" i="18"/>
  <c r="KI25" i="18"/>
  <c r="LO25" i="18"/>
  <c r="S26" i="18"/>
  <c r="AY26" i="18"/>
  <c r="CA26" i="18"/>
  <c r="DI26" i="18"/>
  <c r="GY26" i="18"/>
  <c r="HY26" i="18"/>
  <c r="JA26" i="18"/>
  <c r="KM26" i="18"/>
  <c r="BG27" i="18"/>
  <c r="IE27" i="18"/>
  <c r="JO27" i="18"/>
  <c r="DS32" i="18"/>
  <c r="JG32" i="18"/>
  <c r="LK34" i="18"/>
  <c r="KA34" i="18"/>
  <c r="LU34" i="18"/>
  <c r="CE34" i="18"/>
  <c r="BC34" i="18"/>
  <c r="HC34" i="18"/>
  <c r="FE34" i="18"/>
  <c r="KO34" i="18"/>
  <c r="JK34" i="18"/>
  <c r="CQ34" i="18"/>
  <c r="BS34" i="18"/>
  <c r="LG34" i="18"/>
  <c r="AQ34" i="18"/>
  <c r="IC35" i="18"/>
  <c r="HA12" i="18"/>
  <c r="KC12" i="18"/>
  <c r="FO13" i="18"/>
  <c r="IA13" i="18"/>
  <c r="KE13" i="18"/>
  <c r="BU15" i="18"/>
  <c r="FO15" i="18"/>
  <c r="GI15" i="18"/>
  <c r="HA15" i="18"/>
  <c r="JI15" i="18"/>
  <c r="KE15" i="18"/>
  <c r="KS15" i="18"/>
  <c r="BA16" i="18"/>
  <c r="DQ16" i="18"/>
  <c r="GK16" i="18"/>
  <c r="HA16" i="18"/>
  <c r="KQ16" i="18"/>
  <c r="BU17" i="18"/>
  <c r="CK17" i="18"/>
  <c r="DI17" i="18"/>
  <c r="HU17" i="18"/>
  <c r="II17" i="18"/>
  <c r="JI17" i="18"/>
  <c r="KI17" i="18"/>
  <c r="LI17" i="18"/>
  <c r="BW19" i="18"/>
  <c r="LM19" i="18"/>
  <c r="BC20" i="18"/>
  <c r="BY20" i="18"/>
  <c r="CM20" i="18"/>
  <c r="DU20" i="18"/>
  <c r="FO20" i="18"/>
  <c r="GI20" i="18"/>
  <c r="JU20" i="18"/>
  <c r="KI20" i="18"/>
  <c r="LU20" i="18"/>
  <c r="AE22" i="18"/>
  <c r="BC22" i="18"/>
  <c r="BY22" i="18"/>
  <c r="FU22" i="18"/>
  <c r="GS22" i="18"/>
  <c r="IE22" i="18"/>
  <c r="JA22" i="18"/>
  <c r="KE22" i="18"/>
  <c r="LI22" i="18"/>
  <c r="IS23" i="18"/>
  <c r="CK25" i="18"/>
  <c r="DM25" i="18"/>
  <c r="FY25" i="18"/>
  <c r="HA25" i="18"/>
  <c r="IA25" i="18"/>
  <c r="JA25" i="18"/>
  <c r="KM25" i="18"/>
  <c r="LQ25" i="18"/>
  <c r="BA26" i="18"/>
  <c r="GI26" i="18"/>
  <c r="IA26" i="18"/>
  <c r="JE26" i="18"/>
  <c r="LQ26" i="18"/>
  <c r="BM27" i="18"/>
  <c r="CO27" i="18"/>
  <c r="HM27" i="18"/>
  <c r="JU27" i="18"/>
  <c r="KC34" i="18"/>
  <c r="CQ35" i="18"/>
  <c r="DG12" i="18"/>
  <c r="HC12" i="18"/>
  <c r="HW12" i="18"/>
  <c r="CG13" i="18"/>
  <c r="KG13" i="18"/>
  <c r="CI15" i="18"/>
  <c r="DC15" i="18"/>
  <c r="DU15" i="18"/>
  <c r="GK15" i="18"/>
  <c r="HC15" i="18"/>
  <c r="HW15" i="18"/>
  <c r="IK15" i="18"/>
  <c r="JK15" i="18"/>
  <c r="KY15" i="18"/>
  <c r="CA16" i="18"/>
  <c r="DA16" i="18"/>
  <c r="FO16" i="18"/>
  <c r="IC16" i="18"/>
  <c r="JW16" i="18"/>
  <c r="KS16" i="18"/>
  <c r="M17" i="18"/>
  <c r="DK17" i="18"/>
  <c r="GA17" i="18"/>
  <c r="HA17" i="18"/>
  <c r="JK17" i="18"/>
  <c r="AW19" i="18"/>
  <c r="DA19" i="18"/>
  <c r="AO20" i="18"/>
  <c r="BE20" i="18"/>
  <c r="CO20" i="18"/>
  <c r="DG20" i="18"/>
  <c r="HS20" i="18"/>
  <c r="II20" i="18"/>
  <c r="JC20" i="18"/>
  <c r="LE20" i="18"/>
  <c r="LW20" i="18"/>
  <c r="AI22" i="18"/>
  <c r="CA22" i="18"/>
  <c r="CY22" i="18"/>
  <c r="DM22" i="18"/>
  <c r="GU22" i="18"/>
  <c r="HQ22" i="18"/>
  <c r="JC22" i="18"/>
  <c r="KG22" i="18"/>
  <c r="BC23" i="18"/>
  <c r="HU23" i="18"/>
  <c r="BI25" i="18"/>
  <c r="CM25" i="18"/>
  <c r="HC25" i="18"/>
  <c r="JE25" i="18"/>
  <c r="KO25" i="18"/>
  <c r="BC26" i="18"/>
  <c r="CC26" i="18"/>
  <c r="DK26" i="18"/>
  <c r="GK26" i="18"/>
  <c r="IC26" i="18"/>
  <c r="Y27" i="18"/>
  <c r="BS27" i="18"/>
  <c r="CQ27" i="18"/>
  <c r="LI27" i="18"/>
  <c r="HC35" i="18"/>
  <c r="FQ38" i="18"/>
  <c r="LU38" i="18"/>
  <c r="JO38" i="18"/>
  <c r="HO38" i="18"/>
  <c r="FM38" i="18"/>
  <c r="CO38" i="18"/>
  <c r="Y38" i="18"/>
  <c r="FW38" i="18"/>
  <c r="AS38" i="18"/>
  <c r="W38" i="18"/>
  <c r="BE38" i="18"/>
  <c r="Q38" i="18"/>
  <c r="FK38" i="18"/>
  <c r="AC38" i="18"/>
  <c r="M38" i="18"/>
  <c r="LU11" i="18"/>
  <c r="DI12" i="18"/>
  <c r="HE12" i="18"/>
  <c r="IS12" i="18"/>
  <c r="FS13" i="18"/>
  <c r="JG13" i="18"/>
  <c r="BY14" i="18"/>
  <c r="JO14" i="18"/>
  <c r="S15" i="18"/>
  <c r="AG15" i="18"/>
  <c r="BC15" i="18"/>
  <c r="BW15" i="18"/>
  <c r="DE15" i="18"/>
  <c r="FQ15" i="18"/>
  <c r="GM15" i="18"/>
  <c r="HE15" i="18"/>
  <c r="IS15" i="18"/>
  <c r="JM15" i="18"/>
  <c r="KG15" i="18"/>
  <c r="LA15" i="18"/>
  <c r="M16" i="18"/>
  <c r="BC16" i="18"/>
  <c r="CC16" i="18"/>
  <c r="DC16" i="18"/>
  <c r="FQ16" i="18"/>
  <c r="HE16" i="18"/>
  <c r="IE16" i="18"/>
  <c r="JC16" i="18"/>
  <c r="JY16" i="18"/>
  <c r="KY16" i="18"/>
  <c r="AY17" i="18"/>
  <c r="BW17" i="18"/>
  <c r="CM17" i="18"/>
  <c r="FM17" i="18"/>
  <c r="GC17" i="18"/>
  <c r="HC17" i="18"/>
  <c r="HW17" i="18"/>
  <c r="IS17" i="18"/>
  <c r="KK17" i="18"/>
  <c r="LK17" i="18"/>
  <c r="BM18" i="18"/>
  <c r="DU18" i="18"/>
  <c r="BG20" i="18"/>
  <c r="CA20" i="18"/>
  <c r="FQ20" i="18"/>
  <c r="GK20" i="18"/>
  <c r="GY20" i="18"/>
  <c r="IK20" i="18"/>
  <c r="JW20" i="18"/>
  <c r="KK20" i="18"/>
  <c r="AY21" i="18"/>
  <c r="BM21" i="18"/>
  <c r="CG21" i="18"/>
  <c r="CY21" i="18"/>
  <c r="FK21" i="18"/>
  <c r="GA21" i="18"/>
  <c r="HO21" i="18"/>
  <c r="IE21" i="18"/>
  <c r="IY21" i="18"/>
  <c r="JO21" i="18"/>
  <c r="LW21" i="18"/>
  <c r="AO22" i="18"/>
  <c r="CC22" i="18"/>
  <c r="GW22" i="18"/>
  <c r="HS22" i="18"/>
  <c r="IG22" i="18"/>
  <c r="JE22" i="18"/>
  <c r="KI22" i="18"/>
  <c r="LK22" i="18"/>
  <c r="FE23" i="18"/>
  <c r="HW23" i="18"/>
  <c r="JA23" i="18"/>
  <c r="O25" i="18"/>
  <c r="AW25" i="18"/>
  <c r="BK25" i="18"/>
  <c r="DS25" i="18"/>
  <c r="GK25" i="18"/>
  <c r="HE25" i="18"/>
  <c r="IC25" i="18"/>
  <c r="JG25" i="18"/>
  <c r="KQ25" i="18"/>
  <c r="LS25" i="18"/>
  <c r="CG26" i="18"/>
  <c r="DO26" i="18"/>
  <c r="HE26" i="18"/>
  <c r="IE26" i="18"/>
  <c r="LC26" i="18"/>
  <c r="AC27" i="18"/>
  <c r="BU27" i="18"/>
  <c r="GQ27" i="18"/>
  <c r="HQ27" i="18"/>
  <c r="IK27" i="18"/>
  <c r="LK27" i="18"/>
  <c r="HA32" i="18"/>
  <c r="IC32" i="18"/>
  <c r="JC34" i="18"/>
  <c r="BY35" i="18"/>
  <c r="LS35" i="18"/>
  <c r="BE12" i="18"/>
  <c r="CO12" i="18"/>
  <c r="DK12" i="18"/>
  <c r="GM12" i="18"/>
  <c r="IU12" i="18"/>
  <c r="LW12" i="18"/>
  <c r="BE15" i="18"/>
  <c r="CK15" i="18"/>
  <c r="DG15" i="18"/>
  <c r="FS15" i="18"/>
  <c r="HY15" i="18"/>
  <c r="IU15" i="18"/>
  <c r="KI15" i="18"/>
  <c r="AO16" i="18"/>
  <c r="CE16" i="18"/>
  <c r="DU16" i="18"/>
  <c r="GO16" i="18"/>
  <c r="KA16" i="18"/>
  <c r="LC16" i="18"/>
  <c r="BA17" i="18"/>
  <c r="BY17" i="18"/>
  <c r="JO17" i="18"/>
  <c r="HG18" i="18"/>
  <c r="GC19" i="18"/>
  <c r="CQ20" i="18"/>
  <c r="DI20" i="18"/>
  <c r="HU20" i="18"/>
  <c r="IQ20" i="18"/>
  <c r="JE20" i="18"/>
  <c r="KM20" i="18"/>
  <c r="LG20" i="18"/>
  <c r="BG22" i="18"/>
  <c r="CE22" i="18"/>
  <c r="DA22" i="18"/>
  <c r="DO22" i="18"/>
  <c r="FE22" i="18"/>
  <c r="FY22" i="18"/>
  <c r="GY22" i="18"/>
  <c r="HU22" i="18"/>
  <c r="JG22" i="18"/>
  <c r="KK22" i="18"/>
  <c r="LM22" i="18"/>
  <c r="CQ23" i="18"/>
  <c r="CO25" i="18"/>
  <c r="DU25" i="18"/>
  <c r="GM25" i="18"/>
  <c r="HG25" i="18"/>
  <c r="JI25" i="18"/>
  <c r="LU25" i="18"/>
  <c r="BE26" i="18"/>
  <c r="GM26" i="18"/>
  <c r="JM26" i="18"/>
  <c r="LW26" i="18"/>
  <c r="AE27" i="18"/>
  <c r="DA27" i="18"/>
  <c r="IQ27" i="18"/>
  <c r="KE27" i="18"/>
  <c r="CG32" i="18"/>
  <c r="FY32" i="18"/>
  <c r="JE34" i="18"/>
  <c r="CA35" i="18"/>
  <c r="GK35" i="18"/>
  <c r="HE38" i="18"/>
  <c r="LQ27" i="18"/>
  <c r="AW28" i="18"/>
  <c r="BY28" i="18"/>
  <c r="DQ28" i="18"/>
  <c r="GK28" i="18"/>
  <c r="HG28" i="18"/>
  <c r="IC28" i="18"/>
  <c r="JC28" i="18"/>
  <c r="KQ28" i="18"/>
  <c r="LS28" i="18"/>
  <c r="W29" i="18"/>
  <c r="CC29" i="18"/>
  <c r="DK29" i="18"/>
  <c r="FS29" i="18"/>
  <c r="HU29" i="18"/>
  <c r="KC29" i="18"/>
  <c r="KS29" i="18"/>
  <c r="LS29" i="18"/>
  <c r="CI30" i="18"/>
  <c r="DG30" i="18"/>
  <c r="FE30" i="18"/>
  <c r="GW30" i="18"/>
  <c r="II30" i="18"/>
  <c r="JI30" i="18"/>
  <c r="LQ30" i="18"/>
  <c r="AY32" i="18"/>
  <c r="GK32" i="18"/>
  <c r="HE32" i="18"/>
  <c r="IE32" i="18"/>
  <c r="JI32" i="18"/>
  <c r="IK33" i="18"/>
  <c r="JI33" i="18"/>
  <c r="LI33" i="18"/>
  <c r="BM34" i="18"/>
  <c r="GS34" i="18"/>
  <c r="JG34" i="18"/>
  <c r="CC35" i="18"/>
  <c r="LC35" i="18"/>
  <c r="GU36" i="18"/>
  <c r="IU36" i="18"/>
  <c r="LC36" i="18"/>
  <c r="LW36" i="18"/>
  <c r="FG37" i="18"/>
  <c r="FY37" i="18"/>
  <c r="GU37" i="18"/>
  <c r="HU37" i="18"/>
  <c r="IW37" i="18"/>
  <c r="LI37" i="18"/>
  <c r="DG38" i="18"/>
  <c r="GK38" i="18"/>
  <c r="CW41" i="18"/>
  <c r="FQ41" i="18"/>
  <c r="IU41" i="18"/>
  <c r="JU41" i="18"/>
  <c r="LO41" i="18"/>
  <c r="HS58" i="18"/>
  <c r="DG58" i="18"/>
  <c r="JK58" i="18"/>
  <c r="GC58" i="18"/>
  <c r="KI58" i="18"/>
  <c r="DS58" i="18"/>
  <c r="AQ58" i="18"/>
  <c r="AE58" i="18"/>
  <c r="AY28" i="18"/>
  <c r="CC28" i="18"/>
  <c r="DS28" i="18"/>
  <c r="GM28" i="18"/>
  <c r="HM28" i="18"/>
  <c r="IE28" i="18"/>
  <c r="JG28" i="18"/>
  <c r="LU28" i="18"/>
  <c r="CE29" i="18"/>
  <c r="DM29" i="18"/>
  <c r="GC29" i="18"/>
  <c r="GY29" i="18"/>
  <c r="HW29" i="18"/>
  <c r="JA29" i="18"/>
  <c r="KE29" i="18"/>
  <c r="LU29" i="18"/>
  <c r="BK30" i="18"/>
  <c r="CK30" i="18"/>
  <c r="DI30" i="18"/>
  <c r="GY30" i="18"/>
  <c r="HU30" i="18"/>
  <c r="KE30" i="18"/>
  <c r="KS30" i="18"/>
  <c r="LS30" i="18"/>
  <c r="GM32" i="18"/>
  <c r="HG32" i="18"/>
  <c r="BM33" i="18"/>
  <c r="DG33" i="18"/>
  <c r="HM33" i="18"/>
  <c r="JK33" i="18"/>
  <c r="KI33" i="18"/>
  <c r="AS34" i="18"/>
  <c r="CO34" i="18"/>
  <c r="GU34" i="18"/>
  <c r="KI34" i="18"/>
  <c r="LI34" i="18"/>
  <c r="GO35" i="18"/>
  <c r="IG35" i="18"/>
  <c r="KC35" i="18"/>
  <c r="FU36" i="18"/>
  <c r="JM36" i="18"/>
  <c r="KI36" i="18"/>
  <c r="FI37" i="18"/>
  <c r="GW37" i="18"/>
  <c r="HW37" i="18"/>
  <c r="JO37" i="18"/>
  <c r="KM37" i="18"/>
  <c r="LK37" i="18"/>
  <c r="CE38" i="18"/>
  <c r="DI38" i="18"/>
  <c r="AY41" i="18"/>
  <c r="BY41" i="18"/>
  <c r="FS41" i="18"/>
  <c r="GQ41" i="18"/>
  <c r="JW41" i="18"/>
  <c r="HW27" i="18"/>
  <c r="LU27" i="18"/>
  <c r="W28" i="18"/>
  <c r="CG28" i="18"/>
  <c r="GO28" i="18"/>
  <c r="HO28" i="18"/>
  <c r="JI28" i="18"/>
  <c r="AE29" i="18"/>
  <c r="BE29" i="18"/>
  <c r="CG29" i="18"/>
  <c r="DQ29" i="18"/>
  <c r="HY29" i="18"/>
  <c r="JC29" i="18"/>
  <c r="LC29" i="18"/>
  <c r="LW29" i="18"/>
  <c r="BS30" i="18"/>
  <c r="CM30" i="18"/>
  <c r="DK30" i="18"/>
  <c r="HA30" i="18"/>
  <c r="HW30" i="18"/>
  <c r="IK30" i="18"/>
  <c r="JK30" i="18"/>
  <c r="LU30" i="18"/>
  <c r="BC32" i="18"/>
  <c r="DO32" i="18"/>
  <c r="HO32" i="18"/>
  <c r="KM32" i="18"/>
  <c r="LO32" i="18"/>
  <c r="AS33" i="18"/>
  <c r="DI33" i="18"/>
  <c r="GS33" i="18"/>
  <c r="IS33" i="18"/>
  <c r="JM33" i="18"/>
  <c r="KK33" i="18"/>
  <c r="LK33" i="18"/>
  <c r="AU34" i="18"/>
  <c r="BU34" i="18"/>
  <c r="DC35" i="18"/>
  <c r="FS35" i="18"/>
  <c r="GQ35" i="18"/>
  <c r="HO35" i="18"/>
  <c r="II35" i="18"/>
  <c r="GW36" i="18"/>
  <c r="IW36" i="18"/>
  <c r="JO36" i="18"/>
  <c r="LE36" i="18"/>
  <c r="BW37" i="18"/>
  <c r="CO37" i="18"/>
  <c r="DQ37" i="18"/>
  <c r="GA37" i="18"/>
  <c r="HY37" i="18"/>
  <c r="IY37" i="18"/>
  <c r="JW37" i="18"/>
  <c r="KO37" i="18"/>
  <c r="LM37" i="18"/>
  <c r="FO38" i="18"/>
  <c r="GO38" i="18"/>
  <c r="AC41" i="18"/>
  <c r="CA41" i="18"/>
  <c r="HU41" i="18"/>
  <c r="JW32" i="18"/>
  <c r="LQ32" i="18"/>
  <c r="AW34" i="18"/>
  <c r="GY34" i="18"/>
  <c r="IG34" i="18"/>
  <c r="KM34" i="18"/>
  <c r="S35" i="18"/>
  <c r="CG35" i="18"/>
  <c r="DE35" i="18"/>
  <c r="FU35" i="18"/>
  <c r="GS35" i="18"/>
  <c r="IK35" i="18"/>
  <c r="LG35" i="18"/>
  <c r="BY36" i="18"/>
  <c r="GY36" i="18"/>
  <c r="IY36" i="18"/>
  <c r="KK36" i="18"/>
  <c r="LG36" i="18"/>
  <c r="CI38" i="18"/>
  <c r="KC38" i="18"/>
  <c r="IQ41" i="18"/>
  <c r="HY41" i="18"/>
  <c r="FO41" i="18"/>
  <c r="DG41" i="18"/>
  <c r="BM41" i="18"/>
  <c r="HW41" i="18"/>
  <c r="BK41" i="18"/>
  <c r="AU41" i="18"/>
  <c r="Y41" i="18"/>
  <c r="KE41" i="18"/>
  <c r="JI41" i="18"/>
  <c r="IK41" i="18"/>
  <c r="GA41" i="18"/>
  <c r="FK41" i="18"/>
  <c r="DS41" i="18"/>
  <c r="DC41" i="18"/>
  <c r="II41" i="18"/>
  <c r="GU41" i="18"/>
  <c r="FI41" i="18"/>
  <c r="DA41" i="18"/>
  <c r="BG41" i="18"/>
  <c r="KQ41" i="18"/>
  <c r="KA41" i="18"/>
  <c r="JE41" i="18"/>
  <c r="HQ41" i="18"/>
  <c r="FW41" i="18"/>
  <c r="KM41" i="18"/>
  <c r="IC41" i="18"/>
  <c r="HM41" i="18"/>
  <c r="CQ41" i="18"/>
  <c r="AE41" i="18"/>
  <c r="DU41" i="18"/>
  <c r="FU41" i="18"/>
  <c r="IY41" i="18"/>
  <c r="JY41" i="18"/>
  <c r="KS41" i="18"/>
  <c r="LU41" i="18"/>
  <c r="GA27" i="18"/>
  <c r="IA27" i="18"/>
  <c r="LC27" i="18"/>
  <c r="CO28" i="18"/>
  <c r="FO28" i="18"/>
  <c r="GS28" i="18"/>
  <c r="HQ28" i="18"/>
  <c r="JU28" i="18"/>
  <c r="LE28" i="18"/>
  <c r="AI29" i="18"/>
  <c r="BG29" i="18"/>
  <c r="DS29" i="18"/>
  <c r="IC29" i="18"/>
  <c r="LE29" i="18"/>
  <c r="CQ30" i="18"/>
  <c r="HE30" i="18"/>
  <c r="HY30" i="18"/>
  <c r="IU30" i="18"/>
  <c r="JO30" i="18"/>
  <c r="LC30" i="18"/>
  <c r="CK32" i="18"/>
  <c r="HS32" i="18"/>
  <c r="LS32" i="18"/>
  <c r="AW33" i="18"/>
  <c r="DM33" i="18"/>
  <c r="GU33" i="18"/>
  <c r="IU33" i="18"/>
  <c r="KM33" i="18"/>
  <c r="LO33" i="18"/>
  <c r="AY34" i="18"/>
  <c r="DU34" i="18"/>
  <c r="HA34" i="18"/>
  <c r="JM34" i="18"/>
  <c r="AQ35" i="18"/>
  <c r="DG35" i="18"/>
  <c r="FW35" i="18"/>
  <c r="LI35" i="18"/>
  <c r="BG36" i="18"/>
  <c r="GI36" i="18"/>
  <c r="JW36" i="18"/>
  <c r="LI36" i="18"/>
  <c r="AE37" i="18"/>
  <c r="CA37" i="18"/>
  <c r="CY37" i="18"/>
  <c r="DS37" i="18"/>
  <c r="HA37" i="18"/>
  <c r="IA37" i="18"/>
  <c r="KQ37" i="18"/>
  <c r="DO38" i="18"/>
  <c r="HW38" i="18"/>
  <c r="M41" i="18"/>
  <c r="GW41" i="18"/>
  <c r="CK45" i="18"/>
  <c r="HC27" i="18"/>
  <c r="IC27" i="18"/>
  <c r="LE27" i="18"/>
  <c r="AC28" i="18"/>
  <c r="BE28" i="18"/>
  <c r="CQ28" i="18"/>
  <c r="GU28" i="18"/>
  <c r="HS28" i="18"/>
  <c r="IK28" i="18"/>
  <c r="JW28" i="18"/>
  <c r="LG28" i="18"/>
  <c r="AO29" i="18"/>
  <c r="CO29" i="18"/>
  <c r="GM29" i="18"/>
  <c r="HE29" i="18"/>
  <c r="KI29" i="18"/>
  <c r="BW30" i="18"/>
  <c r="DO30" i="18"/>
  <c r="GK30" i="18"/>
  <c r="HG30" i="18"/>
  <c r="IA30" i="18"/>
  <c r="IW30" i="18"/>
  <c r="JU30" i="18"/>
  <c r="KI30" i="18"/>
  <c r="GS32" i="18"/>
  <c r="LU32" i="18"/>
  <c r="GW33" i="18"/>
  <c r="IW33" i="18"/>
  <c r="JW33" i="18"/>
  <c r="LQ33" i="18"/>
  <c r="BA34" i="18"/>
  <c r="GA34" i="18"/>
  <c r="AS35" i="18"/>
  <c r="CK35" i="18"/>
  <c r="DI35" i="18"/>
  <c r="HS35" i="18"/>
  <c r="IU35" i="18"/>
  <c r="JK35" i="18"/>
  <c r="KI35" i="18"/>
  <c r="AO36" i="18"/>
  <c r="GK36" i="18"/>
  <c r="HA36" i="18"/>
  <c r="JA36" i="18"/>
  <c r="JY36" i="18"/>
  <c r="KM36" i="18"/>
  <c r="LK36" i="18"/>
  <c r="FO37" i="18"/>
  <c r="GI37" i="18"/>
  <c r="HC37" i="18"/>
  <c r="IC37" i="18"/>
  <c r="JC37" i="18"/>
  <c r="KA37" i="18"/>
  <c r="KS37" i="18"/>
  <c r="LQ37" i="18"/>
  <c r="DQ38" i="18"/>
  <c r="GU38" i="18"/>
  <c r="AI41" i="18"/>
  <c r="BE41" i="18"/>
  <c r="CE41" i="18"/>
  <c r="JC41" i="18"/>
  <c r="GU45" i="18"/>
  <c r="GC45" i="18"/>
  <c r="IW45" i="18"/>
  <c r="FE45" i="18"/>
  <c r="FW45" i="18"/>
  <c r="DG45" i="18"/>
  <c r="JM45" i="18"/>
  <c r="HS45" i="18"/>
  <c r="BA45" i="18"/>
  <c r="IK45" i="18"/>
  <c r="GQ45" i="18"/>
  <c r="HM45" i="18"/>
  <c r="LE45" i="18"/>
  <c r="HE27" i="18"/>
  <c r="LG27" i="18"/>
  <c r="AE28" i="18"/>
  <c r="BG28" i="18"/>
  <c r="FK28" i="18"/>
  <c r="JY28" i="18"/>
  <c r="LI28" i="18"/>
  <c r="BK29" i="18"/>
  <c r="CQ29" i="18"/>
  <c r="HG29" i="18"/>
  <c r="IE29" i="18"/>
  <c r="JM29" i="18"/>
  <c r="LI29" i="18"/>
  <c r="BY30" i="18"/>
  <c r="DA30" i="18"/>
  <c r="GM30" i="18"/>
  <c r="HM30" i="18"/>
  <c r="KK30" i="18"/>
  <c r="LG30" i="18"/>
  <c r="FW32" i="18"/>
  <c r="GU32" i="18"/>
  <c r="KA32" i="18"/>
  <c r="LW32" i="18"/>
  <c r="BA33" i="18"/>
  <c r="BY33" i="18"/>
  <c r="DQ33" i="18"/>
  <c r="IY33" i="18"/>
  <c r="JY33" i="18"/>
  <c r="LS33" i="18"/>
  <c r="CC34" i="18"/>
  <c r="IU34" i="18"/>
  <c r="JW34" i="18"/>
  <c r="KQ34" i="18"/>
  <c r="LS34" i="18"/>
  <c r="DK35" i="18"/>
  <c r="GM36" i="18"/>
  <c r="JC36" i="18"/>
  <c r="LM36" i="18"/>
  <c r="AG37" i="18"/>
  <c r="CC37" i="18"/>
  <c r="DC37" i="18"/>
  <c r="GK37" i="18"/>
  <c r="HE37" i="18"/>
  <c r="IE37" i="18"/>
  <c r="JE37" i="18"/>
  <c r="KC37" i="18"/>
  <c r="LS37" i="18"/>
  <c r="IA38" i="18"/>
  <c r="JE38" i="18"/>
  <c r="AO41" i="18"/>
  <c r="FE41" i="18"/>
  <c r="LE41" i="18"/>
  <c r="CO45" i="18"/>
  <c r="JA45" i="18"/>
  <c r="BI28" i="18"/>
  <c r="CY28" i="18"/>
  <c r="FS28" i="18"/>
  <c r="GW28" i="18"/>
  <c r="HW28" i="18"/>
  <c r="IQ28" i="18"/>
  <c r="KC28" i="18"/>
  <c r="AS29" i="18"/>
  <c r="CY29" i="18"/>
  <c r="GQ29" i="18"/>
  <c r="HM29" i="18"/>
  <c r="IG29" i="18"/>
  <c r="JU29" i="18"/>
  <c r="KM29" i="18"/>
  <c r="LK29" i="18"/>
  <c r="CA30" i="18"/>
  <c r="DQ30" i="18"/>
  <c r="GO30" i="18"/>
  <c r="HO30" i="18"/>
  <c r="IC30" i="18"/>
  <c r="IY30" i="18"/>
  <c r="JW30" i="18"/>
  <c r="LI30" i="18"/>
  <c r="AQ32" i="18"/>
  <c r="BK32" i="18"/>
  <c r="GW32" i="18"/>
  <c r="LC32" i="18"/>
  <c r="BC33" i="18"/>
  <c r="CQ33" i="18"/>
  <c r="GY33" i="18"/>
  <c r="JA33" i="18"/>
  <c r="KS33" i="18"/>
  <c r="LU33" i="18"/>
  <c r="HE34" i="18"/>
  <c r="IW34" i="18"/>
  <c r="DM35" i="18"/>
  <c r="HW35" i="18"/>
  <c r="DO36" i="18"/>
  <c r="HC36" i="18"/>
  <c r="JE36" i="18"/>
  <c r="KA36" i="18"/>
  <c r="KO36" i="18"/>
  <c r="LO36" i="18"/>
  <c r="CE37" i="18"/>
  <c r="DE37" i="18"/>
  <c r="HG37" i="18"/>
  <c r="IG37" i="18"/>
  <c r="JG37" i="18"/>
  <c r="LC37" i="18"/>
  <c r="GY38" i="18"/>
  <c r="IC38" i="18"/>
  <c r="Q41" i="18"/>
  <c r="DI41" i="18"/>
  <c r="FG41" i="18"/>
  <c r="HC41" i="18"/>
  <c r="IE41" i="18"/>
  <c r="AQ45" i="18"/>
  <c r="GY28" i="18"/>
  <c r="IS28" i="18"/>
  <c r="KE28" i="18"/>
  <c r="LK28" i="18"/>
  <c r="GS29" i="18"/>
  <c r="HO29" i="18"/>
  <c r="II29" i="18"/>
  <c r="LM29" i="18"/>
  <c r="JA30" i="18"/>
  <c r="JY30" i="18"/>
  <c r="KM30" i="18"/>
  <c r="LK30" i="18"/>
  <c r="GY32" i="18"/>
  <c r="LE32" i="18"/>
  <c r="KA33" i="18"/>
  <c r="BE34" i="18"/>
  <c r="GM34" i="18"/>
  <c r="HG34" i="18"/>
  <c r="CO35" i="18"/>
  <c r="DO35" i="18"/>
  <c r="FI35" i="18"/>
  <c r="HA35" i="18"/>
  <c r="IY35" i="18"/>
  <c r="JO35" i="18"/>
  <c r="KO35" i="18"/>
  <c r="JG36" i="18"/>
  <c r="KC36" i="18"/>
  <c r="II37" i="18"/>
  <c r="JI37" i="18"/>
  <c r="KE37" i="18"/>
  <c r="LU37" i="18"/>
  <c r="KM38" i="18"/>
  <c r="LQ38" i="18"/>
  <c r="CK41" i="18"/>
  <c r="GI41" i="18"/>
  <c r="IG41" i="18"/>
  <c r="KI41" i="18"/>
  <c r="LI41" i="18"/>
  <c r="KG45" i="18"/>
  <c r="LI45" i="18"/>
  <c r="HO27" i="18"/>
  <c r="II27" i="18"/>
  <c r="DG28" i="18"/>
  <c r="HA28" i="18"/>
  <c r="HY28" i="18"/>
  <c r="KK28" i="18"/>
  <c r="LM28" i="18"/>
  <c r="AU29" i="18"/>
  <c r="BW29" i="18"/>
  <c r="DA29" i="18"/>
  <c r="GA29" i="18"/>
  <c r="GU29" i="18"/>
  <c r="HQ29" i="18"/>
  <c r="IK29" i="18"/>
  <c r="JW29" i="18"/>
  <c r="KO29" i="18"/>
  <c r="LO29" i="18"/>
  <c r="CE30" i="18"/>
  <c r="DS30" i="18"/>
  <c r="GS30" i="18"/>
  <c r="HQ30" i="18"/>
  <c r="IE30" i="18"/>
  <c r="JC30" i="18"/>
  <c r="KO30" i="18"/>
  <c r="LM30" i="18"/>
  <c r="DC32" i="18"/>
  <c r="IA32" i="18"/>
  <c r="JA32" i="18"/>
  <c r="LG32" i="18"/>
  <c r="BE33" i="18"/>
  <c r="DA33" i="18"/>
  <c r="DU33" i="18"/>
  <c r="GK33" i="18"/>
  <c r="JE33" i="18"/>
  <c r="LC33" i="18"/>
  <c r="LW33" i="18"/>
  <c r="BG34" i="18"/>
  <c r="CG34" i="18"/>
  <c r="GO34" i="18"/>
  <c r="JA34" i="18"/>
  <c r="BA35" i="18"/>
  <c r="FK35" i="18"/>
  <c r="IA35" i="18"/>
  <c r="GQ36" i="18"/>
  <c r="KQ36" i="18"/>
  <c r="LQ36" i="18"/>
  <c r="AQ37" i="18"/>
  <c r="CI37" i="18"/>
  <c r="DG37" i="18"/>
  <c r="GO37" i="18"/>
  <c r="HO37" i="18"/>
  <c r="IK37" i="18"/>
  <c r="KG37" i="18"/>
  <c r="LE37" i="18"/>
  <c r="LW37" i="18"/>
  <c r="BW38" i="18"/>
  <c r="IG38" i="18"/>
  <c r="KO38" i="18"/>
  <c r="LS38" i="18"/>
  <c r="AS41" i="18"/>
  <c r="LK41" i="18"/>
  <c r="JE45" i="18"/>
  <c r="GA38" i="18"/>
  <c r="JI38" i="18"/>
  <c r="LO38" i="18"/>
  <c r="S39" i="18"/>
  <c r="CG39" i="18"/>
  <c r="GA39" i="18"/>
  <c r="HC39" i="18"/>
  <c r="IC39" i="18"/>
  <c r="JC39" i="18"/>
  <c r="KE39" i="18"/>
  <c r="LG39" i="18"/>
  <c r="Y40" i="18"/>
  <c r="BI40" i="18"/>
  <c r="CI40" i="18"/>
  <c r="DK40" i="18"/>
  <c r="GY40" i="18"/>
  <c r="IU40" i="18"/>
  <c r="JM40" i="18"/>
  <c r="KM40" i="18"/>
  <c r="AG41" i="18"/>
  <c r="BC41" i="18"/>
  <c r="BW41" i="18"/>
  <c r="JA41" i="18"/>
  <c r="DK42" i="18"/>
  <c r="GC42" i="18"/>
  <c r="HA42" i="18"/>
  <c r="KM42" i="18"/>
  <c r="LM42" i="18"/>
  <c r="CW43" i="18"/>
  <c r="HA43" i="18"/>
  <c r="HY43" i="18"/>
  <c r="JW43" i="18"/>
  <c r="AS44" i="18"/>
  <c r="BU44" i="18"/>
  <c r="FW44" i="18"/>
  <c r="IE44" i="18"/>
  <c r="LK44" i="18"/>
  <c r="AW46" i="18"/>
  <c r="GO46" i="18"/>
  <c r="AA47" i="18"/>
  <c r="AS47" i="18"/>
  <c r="BG47" i="18"/>
  <c r="CC47" i="18"/>
  <c r="DO47" i="18"/>
  <c r="HE47" i="18"/>
  <c r="JK47" i="18"/>
  <c r="JK48" i="18"/>
  <c r="CE49" i="18"/>
  <c r="BU50" i="18"/>
  <c r="HW50" i="18"/>
  <c r="IU50" i="18"/>
  <c r="LU50" i="18"/>
  <c r="BA51" i="18"/>
  <c r="DQ51" i="18"/>
  <c r="FO51" i="18"/>
  <c r="GO51" i="18"/>
  <c r="IG51" i="18"/>
  <c r="LU51" i="18"/>
  <c r="AC52" i="18"/>
  <c r="DQ52" i="18"/>
  <c r="FO52" i="18"/>
  <c r="BC54" i="18"/>
  <c r="IG54" i="18"/>
  <c r="JI54" i="18"/>
  <c r="AY45" i="18"/>
  <c r="LO45" i="18"/>
  <c r="CE50" i="18"/>
  <c r="FK50" i="18"/>
  <c r="IY50" i="18"/>
  <c r="LC50" i="18"/>
  <c r="FE52" i="18"/>
  <c r="JW52" i="18"/>
  <c r="IU52" i="18"/>
  <c r="HS52" i="18"/>
  <c r="LM52" i="18"/>
  <c r="KI52" i="18"/>
  <c r="CC52" i="18"/>
  <c r="DA52" i="18"/>
  <c r="GS52" i="18"/>
  <c r="LU52" i="18"/>
  <c r="KQ38" i="18"/>
  <c r="II39" i="18"/>
  <c r="JG39" i="18"/>
  <c r="KI39" i="18"/>
  <c r="LM39" i="18"/>
  <c r="KQ40" i="18"/>
  <c r="LO40" i="18"/>
  <c r="S41" i="18"/>
  <c r="AQ41" i="18"/>
  <c r="CC41" i="18"/>
  <c r="DO41" i="18"/>
  <c r="LQ41" i="18"/>
  <c r="FU45" i="18"/>
  <c r="GS45" i="18"/>
  <c r="BC48" i="18"/>
  <c r="LW48" i="18"/>
  <c r="O50" i="18"/>
  <c r="CO50" i="18"/>
  <c r="FM50" i="18"/>
  <c r="IA50" i="18"/>
  <c r="KA50" i="18"/>
  <c r="LE50" i="18"/>
  <c r="BE51" i="18"/>
  <c r="FS51" i="18"/>
  <c r="GS51" i="18"/>
  <c r="IK51" i="18"/>
  <c r="JI51" i="18"/>
  <c r="KG51" i="18"/>
  <c r="BG52" i="18"/>
  <c r="CE52" i="18"/>
  <c r="DC52" i="18"/>
  <c r="DU52" i="18"/>
  <c r="FU52" i="18"/>
  <c r="GU52" i="18"/>
  <c r="JY52" i="18"/>
  <c r="LC52" i="18"/>
  <c r="LW52" i="18"/>
  <c r="BG54" i="18"/>
  <c r="GO54" i="18"/>
  <c r="HQ54" i="18"/>
  <c r="LS54" i="18"/>
  <c r="DS38" i="18"/>
  <c r="GM38" i="18"/>
  <c r="IS38" i="18"/>
  <c r="BU39" i="18"/>
  <c r="CM39" i="18"/>
  <c r="DK39" i="18"/>
  <c r="GO39" i="18"/>
  <c r="IK39" i="18"/>
  <c r="JI39" i="18"/>
  <c r="KK39" i="18"/>
  <c r="LO39" i="18"/>
  <c r="O40" i="18"/>
  <c r="DQ40" i="18"/>
  <c r="GM40" i="18"/>
  <c r="HE40" i="18"/>
  <c r="IC40" i="18"/>
  <c r="JA40" i="18"/>
  <c r="KA40" i="18"/>
  <c r="LQ40" i="18"/>
  <c r="U41" i="18"/>
  <c r="DQ41" i="18"/>
  <c r="HS41" i="18"/>
  <c r="JG41" i="18"/>
  <c r="LS41" i="18"/>
  <c r="BA42" i="18"/>
  <c r="CQ42" i="18"/>
  <c r="FQ42" i="18"/>
  <c r="HM42" i="18"/>
  <c r="LS42" i="18"/>
  <c r="CE43" i="18"/>
  <c r="HM43" i="18"/>
  <c r="JE43" i="18"/>
  <c r="LU43" i="18"/>
  <c r="CC44" i="18"/>
  <c r="HS44" i="18"/>
  <c r="IK44" i="18"/>
  <c r="LS44" i="18"/>
  <c r="CC45" i="18"/>
  <c r="DC47" i="18"/>
  <c r="GU47" i="18"/>
  <c r="HO47" i="18"/>
  <c r="IE47" i="18"/>
  <c r="IY47" i="18"/>
  <c r="JU47" i="18"/>
  <c r="KK47" i="18"/>
  <c r="LW47" i="18"/>
  <c r="FQ48" i="18"/>
  <c r="HU48" i="18"/>
  <c r="U50" i="18"/>
  <c r="BA50" i="18"/>
  <c r="FU50" i="18"/>
  <c r="HA50" i="18"/>
  <c r="IC50" i="18"/>
  <c r="AG51" i="18"/>
  <c r="BG51" i="18"/>
  <c r="DE51" i="18"/>
  <c r="FU51" i="18"/>
  <c r="HU51" i="18"/>
  <c r="IS51" i="18"/>
  <c r="JK51" i="18"/>
  <c r="LG51" i="18"/>
  <c r="O52" i="18"/>
  <c r="BI52" i="18"/>
  <c r="DE52" i="18"/>
  <c r="FW52" i="18"/>
  <c r="HW52" i="18"/>
  <c r="IY52" i="18"/>
  <c r="KA52" i="18"/>
  <c r="LE52" i="18"/>
  <c r="AG54" i="18"/>
  <c r="KS54" i="18"/>
  <c r="LU54" i="18"/>
  <c r="JO45" i="18"/>
  <c r="KS45" i="18"/>
  <c r="CK48" i="18"/>
  <c r="DO48" i="18"/>
  <c r="LC48" i="18"/>
  <c r="W50" i="18"/>
  <c r="CS50" i="18"/>
  <c r="JC50" i="18"/>
  <c r="AQ52" i="18"/>
  <c r="DG52" i="18"/>
  <c r="GW52" i="18"/>
  <c r="HY52" i="18"/>
  <c r="JA52" i="18"/>
  <c r="KC52" i="18"/>
  <c r="M54" i="18"/>
  <c r="JY54" i="18"/>
  <c r="HC54" i="18"/>
  <c r="CM54" i="18"/>
  <c r="AW54" i="18"/>
  <c r="LO54" i="18"/>
  <c r="KO54" i="18"/>
  <c r="BU54" i="18"/>
  <c r="IW54" i="18"/>
  <c r="HY54" i="18"/>
  <c r="GA54" i="18"/>
  <c r="U54" i="18"/>
  <c r="FG54" i="18"/>
  <c r="AS54" i="18"/>
  <c r="KK54" i="18"/>
  <c r="JM54" i="18"/>
  <c r="CG54" i="18"/>
  <c r="BI54" i="18"/>
  <c r="GU54" i="18"/>
  <c r="DC54" i="18"/>
  <c r="LG54" i="18"/>
  <c r="IK54" i="18"/>
  <c r="GQ54" i="18"/>
  <c r="AI54" i="18"/>
  <c r="FQ54" i="18"/>
  <c r="GS54" i="18"/>
  <c r="IW38" i="18"/>
  <c r="LC38" i="18"/>
  <c r="AA39" i="18"/>
  <c r="FK39" i="18"/>
  <c r="GS39" i="18"/>
  <c r="HS39" i="18"/>
  <c r="IS39" i="18"/>
  <c r="JM39" i="18"/>
  <c r="KO39" i="18"/>
  <c r="BA40" i="18"/>
  <c r="BY40" i="18"/>
  <c r="DU40" i="18"/>
  <c r="FO40" i="18"/>
  <c r="GO40" i="18"/>
  <c r="HO40" i="18"/>
  <c r="IG40" i="18"/>
  <c r="KC40" i="18"/>
  <c r="LU40" i="18"/>
  <c r="CG41" i="18"/>
  <c r="GY41" i="18"/>
  <c r="LW41" i="18"/>
  <c r="DA42" i="18"/>
  <c r="DU42" i="18"/>
  <c r="GQ42" i="18"/>
  <c r="HQ42" i="18"/>
  <c r="II42" i="18"/>
  <c r="JG42" i="18"/>
  <c r="KE42" i="18"/>
  <c r="LC42" i="18"/>
  <c r="CI43" i="18"/>
  <c r="DE43" i="18"/>
  <c r="GQ43" i="18"/>
  <c r="HQ43" i="18"/>
  <c r="II43" i="18"/>
  <c r="JI43" i="18"/>
  <c r="KG43" i="18"/>
  <c r="BE44" i="18"/>
  <c r="CE44" i="18"/>
  <c r="IU44" i="18"/>
  <c r="LU44" i="18"/>
  <c r="DI45" i="18"/>
  <c r="GY45" i="18"/>
  <c r="LW45" i="18"/>
  <c r="LM46" i="18"/>
  <c r="BU47" i="18"/>
  <c r="CK47" i="18"/>
  <c r="GW47" i="18"/>
  <c r="KM47" i="18"/>
  <c r="AG48" i="18"/>
  <c r="FU48" i="18"/>
  <c r="DU49" i="18"/>
  <c r="LK49" i="18"/>
  <c r="AE50" i="18"/>
  <c r="CW50" i="18"/>
  <c r="JE50" i="18"/>
  <c r="LK50" i="18"/>
  <c r="BI51" i="18"/>
  <c r="CI51" i="18"/>
  <c r="DI51" i="18"/>
  <c r="GY51" i="18"/>
  <c r="JM51" i="18"/>
  <c r="KK51" i="18"/>
  <c r="S52" i="18"/>
  <c r="BK52" i="18"/>
  <c r="CI52" i="18"/>
  <c r="FG52" i="18"/>
  <c r="FY52" i="18"/>
  <c r="GY52" i="18"/>
  <c r="IA52" i="18"/>
  <c r="JC52" i="18"/>
  <c r="DO54" i="18"/>
  <c r="KA54" i="18"/>
  <c r="FS58" i="18"/>
  <c r="GW58" i="18"/>
  <c r="HU38" i="18"/>
  <c r="IY38" i="18"/>
  <c r="KA38" i="18"/>
  <c r="LE38" i="18"/>
  <c r="BY39" i="18"/>
  <c r="DO39" i="18"/>
  <c r="GU39" i="18"/>
  <c r="HU39" i="18"/>
  <c r="IU39" i="18"/>
  <c r="JO39" i="18"/>
  <c r="KQ39" i="18"/>
  <c r="LS39" i="18"/>
  <c r="S40" i="18"/>
  <c r="AG40" i="18"/>
  <c r="CA40" i="18"/>
  <c r="DA40" i="18"/>
  <c r="FQ40" i="18"/>
  <c r="GQ40" i="18"/>
  <c r="II40" i="18"/>
  <c r="JE40" i="18"/>
  <c r="KE40" i="18"/>
  <c r="LC40" i="18"/>
  <c r="CI41" i="18"/>
  <c r="DE41" i="18"/>
  <c r="GC41" i="18"/>
  <c r="HA41" i="18"/>
  <c r="IS41" i="18"/>
  <c r="JK41" i="18"/>
  <c r="KG41" i="18"/>
  <c r="LC41" i="18"/>
  <c r="AE42" i="18"/>
  <c r="BE42" i="18"/>
  <c r="CC42" i="18"/>
  <c r="DC42" i="18"/>
  <c r="FE42" i="18"/>
  <c r="FU42" i="18"/>
  <c r="GS42" i="18"/>
  <c r="HS42" i="18"/>
  <c r="IK42" i="18"/>
  <c r="KG42" i="18"/>
  <c r="LE42" i="18"/>
  <c r="BM43" i="18"/>
  <c r="DU43" i="18"/>
  <c r="HS43" i="18"/>
  <c r="LG43" i="18"/>
  <c r="CG44" i="18"/>
  <c r="DM44" i="18"/>
  <c r="GY44" i="18"/>
  <c r="HW44" i="18"/>
  <c r="LW44" i="18"/>
  <c r="BG45" i="18"/>
  <c r="DK45" i="18"/>
  <c r="IY45" i="18"/>
  <c r="AI47" i="18"/>
  <c r="DG47" i="18"/>
  <c r="GI47" i="18"/>
  <c r="HS47" i="18"/>
  <c r="II47" i="18"/>
  <c r="JC47" i="18"/>
  <c r="JY47" i="18"/>
  <c r="LK47" i="18"/>
  <c r="KE48" i="18"/>
  <c r="AI49" i="18"/>
  <c r="KM49" i="18"/>
  <c r="BE50" i="18"/>
  <c r="DG50" i="18"/>
  <c r="HG50" i="18"/>
  <c r="AS51" i="18"/>
  <c r="BK51" i="18"/>
  <c r="FG51" i="18"/>
  <c r="HA51" i="18"/>
  <c r="HY51" i="18"/>
  <c r="IW51" i="18"/>
  <c r="JO51" i="18"/>
  <c r="KM51" i="18"/>
  <c r="LM51" i="18"/>
  <c r="AU52" i="18"/>
  <c r="DI52" i="18"/>
  <c r="GA52" i="18"/>
  <c r="IC52" i="18"/>
  <c r="KG52" i="18"/>
  <c r="LI52" i="18"/>
  <c r="DQ54" i="18"/>
  <c r="FS54" i="18"/>
  <c r="BI58" i="18"/>
  <c r="GW38" i="18"/>
  <c r="HY38" i="18"/>
  <c r="JC38" i="18"/>
  <c r="KE38" i="18"/>
  <c r="LI38" i="18"/>
  <c r="O39" i="18"/>
  <c r="BC39" i="18"/>
  <c r="CC39" i="18"/>
  <c r="DA39" i="18"/>
  <c r="DS39" i="18"/>
  <c r="FU39" i="18"/>
  <c r="GY39" i="18"/>
  <c r="IY39" i="18"/>
  <c r="JY39" i="18"/>
  <c r="U40" i="18"/>
  <c r="DE40" i="18"/>
  <c r="FU40" i="18"/>
  <c r="GU40" i="18"/>
  <c r="HS40" i="18"/>
  <c r="IK40" i="18"/>
  <c r="JI40" i="18"/>
  <c r="KG40" i="18"/>
  <c r="GK41" i="18"/>
  <c r="HE41" i="18"/>
  <c r="JO41" i="18"/>
  <c r="LG41" i="18"/>
  <c r="HU42" i="18"/>
  <c r="IS42" i="18"/>
  <c r="KI42" i="18"/>
  <c r="CO43" i="18"/>
  <c r="HU43" i="18"/>
  <c r="KK43" i="18"/>
  <c r="CK44" i="18"/>
  <c r="IA44" i="18"/>
  <c r="LE44" i="18"/>
  <c r="LG45" i="18"/>
  <c r="HA47" i="18"/>
  <c r="IK47" i="18"/>
  <c r="JG47" i="18"/>
  <c r="KQ47" i="18"/>
  <c r="HA48" i="18"/>
  <c r="DW50" i="18"/>
  <c r="GO50" i="18"/>
  <c r="IK50" i="18"/>
  <c r="W51" i="18"/>
  <c r="AU51" i="18"/>
  <c r="BU51" i="18"/>
  <c r="CM51" i="18"/>
  <c r="DM51" i="18"/>
  <c r="FK51" i="18"/>
  <c r="GC51" i="18"/>
  <c r="HC51" i="18"/>
  <c r="IC51" i="18"/>
  <c r="KO51" i="18"/>
  <c r="Y52" i="18"/>
  <c r="BW52" i="18"/>
  <c r="DM52" i="18"/>
  <c r="FK52" i="18"/>
  <c r="GK52" i="18"/>
  <c r="IE52" i="18"/>
  <c r="JG52" i="18"/>
  <c r="DU54" i="18"/>
  <c r="JC54" i="18"/>
  <c r="HU60" i="18"/>
  <c r="HQ60" i="18"/>
  <c r="KI60" i="18"/>
  <c r="DG60" i="18"/>
  <c r="BC60" i="18"/>
  <c r="IE60" i="18"/>
  <c r="GA60" i="18"/>
  <c r="LC60" i="18"/>
  <c r="JA60" i="18"/>
  <c r="BW60" i="18"/>
  <c r="U60" i="18"/>
  <c r="GU60" i="18"/>
  <c r="AO60" i="18"/>
  <c r="HC52" i="18"/>
  <c r="JE52" i="18"/>
  <c r="KE52" i="18"/>
  <c r="LG52" i="18"/>
  <c r="DS54" i="18"/>
  <c r="II54" i="18"/>
  <c r="JG54" i="18"/>
  <c r="KE54" i="18"/>
  <c r="LE54" i="18"/>
  <c r="LW54" i="18"/>
  <c r="AS55" i="18"/>
  <c r="DA55" i="18"/>
  <c r="DU55" i="18"/>
  <c r="FM55" i="18"/>
  <c r="HW55" i="18"/>
  <c r="IW55" i="18"/>
  <c r="JK55" i="18"/>
  <c r="KG55" i="18"/>
  <c r="LG55" i="18"/>
  <c r="JG56" i="18"/>
  <c r="BY57" i="18"/>
  <c r="DC57" i="18"/>
  <c r="IC57" i="18"/>
  <c r="IA58" i="18"/>
  <c r="LI58" i="18"/>
  <c r="IQ59" i="18"/>
  <c r="AS60" i="18"/>
  <c r="HW60" i="18"/>
  <c r="JY60" i="18"/>
  <c r="LW60" i="18"/>
  <c r="BK61" i="18"/>
  <c r="CE61" i="18"/>
  <c r="CY61" i="18"/>
  <c r="DQ61" i="18"/>
  <c r="FG61" i="18"/>
  <c r="FY61" i="18"/>
  <c r="GS61" i="18"/>
  <c r="HG61" i="18"/>
  <c r="KM61" i="18"/>
  <c r="LI61" i="18"/>
  <c r="LW61" i="18"/>
  <c r="JC62" i="18"/>
  <c r="O63" i="18"/>
  <c r="AC63" i="18"/>
  <c r="DQ63" i="18"/>
  <c r="FG63" i="18"/>
  <c r="GS63" i="18"/>
  <c r="HG63" i="18"/>
  <c r="IC63" i="18"/>
  <c r="IY63" i="18"/>
  <c r="JM63" i="18"/>
  <c r="LE63" i="18"/>
  <c r="FW64" i="18"/>
  <c r="HA64" i="18"/>
  <c r="AG67" i="18"/>
  <c r="DS67" i="18"/>
  <c r="CY58" i="18"/>
  <c r="GW60" i="18"/>
  <c r="AY63" i="18"/>
  <c r="BS63" i="18"/>
  <c r="CG63" i="18"/>
  <c r="DA63" i="18"/>
  <c r="FI63" i="18"/>
  <c r="GA63" i="18"/>
  <c r="HM63" i="18"/>
  <c r="KM63" i="18"/>
  <c r="DO67" i="18"/>
  <c r="BA67" i="18"/>
  <c r="FM67" i="18"/>
  <c r="LQ67" i="18"/>
  <c r="KO67" i="18"/>
  <c r="GC67" i="18"/>
  <c r="DM67" i="18"/>
  <c r="BS67" i="18"/>
  <c r="AY67" i="18"/>
  <c r="JU67" i="18"/>
  <c r="LA67" i="18" s="1"/>
  <c r="IW67" i="18"/>
  <c r="CK67" i="18"/>
  <c r="BM67" i="18"/>
  <c r="JO67" i="18"/>
  <c r="DK67" i="18"/>
  <c r="HS67" i="18"/>
  <c r="FY67" i="18"/>
  <c r="BK67" i="18"/>
  <c r="GU67" i="18"/>
  <c r="Q67" i="18"/>
  <c r="HQ67" i="18"/>
  <c r="CE67" i="18"/>
  <c r="BI67" i="18"/>
  <c r="KE67" i="18"/>
  <c r="AI67" i="18"/>
  <c r="JC67" i="18"/>
  <c r="HG67" i="18"/>
  <c r="FU54" i="18"/>
  <c r="HS54" i="18"/>
  <c r="JK54" i="18"/>
  <c r="KI54" i="18"/>
  <c r="HC58" i="18"/>
  <c r="AW61" i="18"/>
  <c r="BS61" i="18"/>
  <c r="CG61" i="18"/>
  <c r="DA61" i="18"/>
  <c r="DU61" i="18"/>
  <c r="FK61" i="18"/>
  <c r="GA61" i="18"/>
  <c r="GU61" i="18"/>
  <c r="IE61" i="18"/>
  <c r="JW61" i="18"/>
  <c r="KO61" i="18"/>
  <c r="LK61" i="18"/>
  <c r="Q63" i="18"/>
  <c r="AE63" i="18"/>
  <c r="FK63" i="18"/>
  <c r="GU63" i="18"/>
  <c r="IE63" i="18"/>
  <c r="JA63" i="18"/>
  <c r="JU63" i="18"/>
  <c r="LA63" i="18" s="1"/>
  <c r="KO63" i="18"/>
  <c r="LI63" i="18"/>
  <c r="FG64" i="18"/>
  <c r="HE64" i="18"/>
  <c r="II52" i="18"/>
  <c r="JI52" i="18"/>
  <c r="LK52" i="18"/>
  <c r="FW54" i="18"/>
  <c r="IS54" i="18"/>
  <c r="LI54" i="18"/>
  <c r="AW55" i="18"/>
  <c r="CI55" i="18"/>
  <c r="DE55" i="18"/>
  <c r="FQ55" i="18"/>
  <c r="GM55" i="18"/>
  <c r="HC55" i="18"/>
  <c r="IC55" i="18"/>
  <c r="JO55" i="18"/>
  <c r="KM55" i="18"/>
  <c r="FG57" i="18"/>
  <c r="HE57" i="18"/>
  <c r="IG57" i="18"/>
  <c r="FG59" i="18"/>
  <c r="HA59" i="18"/>
  <c r="IW59" i="18"/>
  <c r="JW59" i="18"/>
  <c r="AA61" i="18"/>
  <c r="DC61" i="18"/>
  <c r="GC61" i="18"/>
  <c r="HO61" i="18"/>
  <c r="IG61" i="18"/>
  <c r="JC61" i="18"/>
  <c r="BA63" i="18"/>
  <c r="BU63" i="18"/>
  <c r="CI63" i="18"/>
  <c r="DC63" i="18"/>
  <c r="GC63" i="18"/>
  <c r="IG63" i="18"/>
  <c r="BG64" i="18"/>
  <c r="CE64" i="18"/>
  <c r="DE64" i="18"/>
  <c r="IG64" i="18"/>
  <c r="LE64" i="18"/>
  <c r="AE65" i="18"/>
  <c r="AY65" i="18"/>
  <c r="BM65" i="18"/>
  <c r="CM65" i="18"/>
  <c r="DU65" i="18"/>
  <c r="FQ65" i="18"/>
  <c r="JO65" i="18"/>
  <c r="KI65" i="18"/>
  <c r="LC65" i="18"/>
  <c r="LW65" i="18"/>
  <c r="DA67" i="18"/>
  <c r="IK52" i="18"/>
  <c r="JK52" i="18"/>
  <c r="KK52" i="18"/>
  <c r="S54" i="18"/>
  <c r="DE54" i="18"/>
  <c r="FY54" i="18"/>
  <c r="GW54" i="18"/>
  <c r="HW54" i="18"/>
  <c r="IU54" i="18"/>
  <c r="LK54" i="18"/>
  <c r="AC55" i="18"/>
  <c r="AY55" i="18"/>
  <c r="BU55" i="18"/>
  <c r="CK55" i="18"/>
  <c r="DG55" i="18"/>
  <c r="FS55" i="18"/>
  <c r="GO55" i="18"/>
  <c r="HE55" i="18"/>
  <c r="JA55" i="18"/>
  <c r="JU55" i="18"/>
  <c r="LA55" i="18" s="1"/>
  <c r="KO55" i="18"/>
  <c r="JO56" i="18"/>
  <c r="BE57" i="18"/>
  <c r="HG57" i="18"/>
  <c r="KM57" i="18"/>
  <c r="AW58" i="18"/>
  <c r="FG58" i="18"/>
  <c r="LQ58" i="18"/>
  <c r="Y59" i="18"/>
  <c r="AW59" i="18"/>
  <c r="CO59" i="18"/>
  <c r="FI59" i="18"/>
  <c r="HY59" i="18"/>
  <c r="JY59" i="18"/>
  <c r="LS59" i="18"/>
  <c r="HC60" i="18"/>
  <c r="M61" i="18"/>
  <c r="AY61" i="18"/>
  <c r="BU61" i="18"/>
  <c r="CK61" i="18"/>
  <c r="DE61" i="18"/>
  <c r="FM61" i="18"/>
  <c r="GI61" i="18"/>
  <c r="GW61" i="18"/>
  <c r="II61" i="18"/>
  <c r="KA61" i="18"/>
  <c r="KQ61" i="18"/>
  <c r="LM61" i="18"/>
  <c r="LQ62" i="18"/>
  <c r="S63" i="18"/>
  <c r="AG63" i="18"/>
  <c r="BC63" i="18"/>
  <c r="DE63" i="18"/>
  <c r="GI63" i="18"/>
  <c r="GW63" i="18"/>
  <c r="HQ63" i="18"/>
  <c r="II63" i="18"/>
  <c r="JE63" i="18"/>
  <c r="KQ63" i="18"/>
  <c r="JE64" i="18"/>
  <c r="BU65" i="18"/>
  <c r="FS65" i="18"/>
  <c r="GM65" i="18"/>
  <c r="HE65" i="18"/>
  <c r="HY65" i="18"/>
  <c r="IU65" i="18"/>
  <c r="JU65" i="18"/>
  <c r="LA65" i="18" s="1"/>
  <c r="LE65" i="18"/>
  <c r="IE67" i="18"/>
  <c r="IS52" i="18"/>
  <c r="JM52" i="18"/>
  <c r="KM52" i="18"/>
  <c r="CI54" i="18"/>
  <c r="DG54" i="18"/>
  <c r="GY54" i="18"/>
  <c r="JO54" i="18"/>
  <c r="KM54" i="18"/>
  <c r="LM54" i="18"/>
  <c r="CM55" i="18"/>
  <c r="DI55" i="18"/>
  <c r="FU55" i="18"/>
  <c r="GQ55" i="18"/>
  <c r="IE55" i="18"/>
  <c r="JC55" i="18"/>
  <c r="KQ55" i="18"/>
  <c r="LM55" i="18"/>
  <c r="BA56" i="18"/>
  <c r="BG57" i="18"/>
  <c r="JM57" i="18"/>
  <c r="AY59" i="18"/>
  <c r="BY59" i="18"/>
  <c r="CQ59" i="18"/>
  <c r="DO59" i="18"/>
  <c r="AC61" i="18"/>
  <c r="BA61" i="18"/>
  <c r="DG61" i="18"/>
  <c r="HQ61" i="18"/>
  <c r="IK61" i="18"/>
  <c r="JE61" i="18"/>
  <c r="KS61" i="18"/>
  <c r="AU62" i="18"/>
  <c r="BE63" i="18"/>
  <c r="BW63" i="18"/>
  <c r="CM63" i="18"/>
  <c r="DG63" i="18"/>
  <c r="FO63" i="18"/>
  <c r="IK63" i="18"/>
  <c r="KA63" i="18"/>
  <c r="LM63" i="18"/>
  <c r="Q64" i="18"/>
  <c r="AS64" i="18"/>
  <c r="BI64" i="18"/>
  <c r="CI64" i="18"/>
  <c r="DI64" i="18"/>
  <c r="GM64" i="18"/>
  <c r="HQ64" i="18"/>
  <c r="IK64" i="18"/>
  <c r="AG65" i="18"/>
  <c r="BA65" i="18"/>
  <c r="CO65" i="18"/>
  <c r="DI65" i="18"/>
  <c r="GO65" i="18"/>
  <c r="HG65" i="18"/>
  <c r="IA65" i="18"/>
  <c r="IW65" i="18"/>
  <c r="JW65" i="18"/>
  <c r="LG65" i="18"/>
  <c r="JO66" i="18"/>
  <c r="LI66" i="18"/>
  <c r="LE66" i="18"/>
  <c r="JO52" i="18"/>
  <c r="KO52" i="18"/>
  <c r="LO52" i="18"/>
  <c r="AU54" i="18"/>
  <c r="CK54" i="18"/>
  <c r="DI54" i="18"/>
  <c r="FI54" i="18"/>
  <c r="HA54" i="18"/>
  <c r="JW54" i="18"/>
  <c r="Q55" i="18"/>
  <c r="AE55" i="18"/>
  <c r="BA55" i="18"/>
  <c r="BW55" i="18"/>
  <c r="DK55" i="18"/>
  <c r="FW55" i="18"/>
  <c r="HG55" i="18"/>
  <c r="IG55" i="18"/>
  <c r="JE55" i="18"/>
  <c r="JY55" i="18"/>
  <c r="DI56" i="18"/>
  <c r="DM57" i="18"/>
  <c r="GM57" i="18"/>
  <c r="HQ57" i="18"/>
  <c r="GM58" i="18"/>
  <c r="DQ59" i="18"/>
  <c r="HE59" i="18"/>
  <c r="LU59" i="18"/>
  <c r="JI60" i="18"/>
  <c r="LK60" i="18"/>
  <c r="O61" i="18"/>
  <c r="BC61" i="18"/>
  <c r="BY61" i="18"/>
  <c r="CM61" i="18"/>
  <c r="DI61" i="18"/>
  <c r="FO61" i="18"/>
  <c r="GK61" i="18"/>
  <c r="HA61" i="18"/>
  <c r="HS61" i="18"/>
  <c r="KC61" i="18"/>
  <c r="LQ61" i="18"/>
  <c r="U63" i="18"/>
  <c r="BG63" i="18"/>
  <c r="DI63" i="18"/>
  <c r="GK63" i="18"/>
  <c r="GY63" i="18"/>
  <c r="HS63" i="18"/>
  <c r="IS63" i="18"/>
  <c r="JG63" i="18"/>
  <c r="KC63" i="18"/>
  <c r="KS63" i="18"/>
  <c r="FO64" i="18"/>
  <c r="GO64" i="18"/>
  <c r="IQ64" i="18"/>
  <c r="BC65" i="18"/>
  <c r="BW65" i="18"/>
  <c r="CQ65" i="18"/>
  <c r="FG65" i="18"/>
  <c r="GQ65" i="18"/>
  <c r="HM65" i="18"/>
  <c r="IY65" i="18"/>
  <c r="KM65" i="18"/>
  <c r="HA66" i="18"/>
  <c r="JE66" i="18"/>
  <c r="JA76" i="18"/>
  <c r="CW76" i="18"/>
  <c r="BW76" i="18"/>
  <c r="AW76" i="18"/>
  <c r="Y76" i="18"/>
  <c r="AU76" i="18"/>
  <c r="W76" i="18"/>
  <c r="GS76" i="18"/>
  <c r="IU76" i="18"/>
  <c r="BG76" i="18"/>
  <c r="LO76" i="18"/>
  <c r="HG76" i="18"/>
  <c r="CE76" i="18"/>
  <c r="AG76" i="18"/>
  <c r="O76" i="18"/>
  <c r="LI76" i="18"/>
  <c r="DU76" i="18"/>
  <c r="HU52" i="18"/>
  <c r="KQ52" i="18"/>
  <c r="LQ52" i="18"/>
  <c r="W54" i="18"/>
  <c r="DK54" i="18"/>
  <c r="FK54" i="18"/>
  <c r="GC54" i="18"/>
  <c r="IA54" i="18"/>
  <c r="IY54" i="18"/>
  <c r="BC55" i="18"/>
  <c r="BY55" i="18"/>
  <c r="CO55" i="18"/>
  <c r="DM55" i="18"/>
  <c r="FY55" i="18"/>
  <c r="GS55" i="18"/>
  <c r="HO55" i="18"/>
  <c r="II55" i="18"/>
  <c r="KA55" i="18"/>
  <c r="KS55" i="18"/>
  <c r="LO55" i="18"/>
  <c r="AI57" i="18"/>
  <c r="DO57" i="18"/>
  <c r="FO57" i="18"/>
  <c r="JW57" i="18"/>
  <c r="CG58" i="18"/>
  <c r="JW58" i="18"/>
  <c r="BC59" i="18"/>
  <c r="CA59" i="18"/>
  <c r="CY59" i="18"/>
  <c r="DS59" i="18"/>
  <c r="FM59" i="18"/>
  <c r="GO59" i="18"/>
  <c r="HG59" i="18"/>
  <c r="IE59" i="18"/>
  <c r="JC59" i="18"/>
  <c r="KE59" i="18"/>
  <c r="LW59" i="18"/>
  <c r="BE60" i="18"/>
  <c r="II60" i="18"/>
  <c r="KK60" i="18"/>
  <c r="BE61" i="18"/>
  <c r="FQ61" i="18"/>
  <c r="HU61" i="18"/>
  <c r="IS61" i="18"/>
  <c r="JG61" i="18"/>
  <c r="AO63" i="18"/>
  <c r="BI63" i="18"/>
  <c r="CA63" i="18"/>
  <c r="CO63" i="18"/>
  <c r="DK63" i="18"/>
  <c r="FQ63" i="18"/>
  <c r="HU63" i="18"/>
  <c r="LO63" i="18"/>
  <c r="AU64" i="18"/>
  <c r="CK64" i="18"/>
  <c r="HS64" i="18"/>
  <c r="KK64" i="18"/>
  <c r="HO67" i="18"/>
  <c r="IW52" i="18"/>
  <c r="KS52" i="18"/>
  <c r="LS52" i="18"/>
  <c r="Y54" i="18"/>
  <c r="BW54" i="18"/>
  <c r="DM54" i="18"/>
  <c r="FM54" i="18"/>
  <c r="GK54" i="18"/>
  <c r="IC54" i="18"/>
  <c r="KQ54" i="18"/>
  <c r="LQ54" i="18"/>
  <c r="S55" i="18"/>
  <c r="AG55" i="18"/>
  <c r="BE55" i="18"/>
  <c r="CA55" i="18"/>
  <c r="GA55" i="18"/>
  <c r="HQ55" i="18"/>
  <c r="IK55" i="18"/>
  <c r="JG55" i="18"/>
  <c r="LQ55" i="18"/>
  <c r="BM57" i="18"/>
  <c r="IW57" i="18"/>
  <c r="LU57" i="18"/>
  <c r="CI58" i="18"/>
  <c r="BE59" i="18"/>
  <c r="FO59" i="18"/>
  <c r="IG59" i="18"/>
  <c r="KG59" i="18"/>
  <c r="FM60" i="18"/>
  <c r="Q61" i="18"/>
  <c r="CA61" i="18"/>
  <c r="CO61" i="18"/>
  <c r="DK61" i="18"/>
  <c r="FS61" i="18"/>
  <c r="GO61" i="18"/>
  <c r="HC61" i="18"/>
  <c r="HW61" i="18"/>
  <c r="KE61" i="18"/>
  <c r="LE61" i="18"/>
  <c r="LS61" i="18"/>
  <c r="FS63" i="18"/>
  <c r="GM63" i="18"/>
  <c r="HC63" i="18"/>
  <c r="HW63" i="18"/>
  <c r="IU63" i="18"/>
  <c r="JI63" i="18"/>
  <c r="KE63" i="18"/>
  <c r="U64" i="18"/>
  <c r="BM64" i="18"/>
  <c r="FQ64" i="18"/>
  <c r="LO64" i="18"/>
  <c r="Q65" i="18"/>
  <c r="AQ65" i="18"/>
  <c r="CA65" i="18"/>
  <c r="GS65" i="18"/>
  <c r="HO65" i="18"/>
  <c r="JC65" i="18"/>
  <c r="KA65" i="18"/>
  <c r="KO65" i="18"/>
  <c r="LK65" i="18"/>
  <c r="DE66" i="18"/>
  <c r="II66" i="18"/>
  <c r="GO67" i="18"/>
  <c r="DA76" i="18"/>
  <c r="AS63" i="18"/>
  <c r="BK63" i="18"/>
  <c r="CC63" i="18"/>
  <c r="CQ63" i="18"/>
  <c r="DM63" i="18"/>
  <c r="FU63" i="18"/>
  <c r="HY63" i="18"/>
  <c r="LQ63" i="18"/>
  <c r="JM64" i="18"/>
  <c r="S65" i="18"/>
  <c r="BG65" i="18"/>
  <c r="CY65" i="18"/>
  <c r="DM65" i="18"/>
  <c r="FK65" i="18"/>
  <c r="FY65" i="18"/>
  <c r="GU65" i="18"/>
  <c r="IE65" i="18"/>
  <c r="JE65" i="18"/>
  <c r="LM65" i="18"/>
  <c r="DC76" i="18"/>
  <c r="AE67" i="18"/>
  <c r="BY67" i="18"/>
  <c r="BK68" i="18"/>
  <c r="U69" i="18"/>
  <c r="BE69" i="18"/>
  <c r="CA69" i="18"/>
  <c r="FS69" i="18"/>
  <c r="GK69" i="18"/>
  <c r="HC69" i="18"/>
  <c r="HY69" i="18"/>
  <c r="JK69" i="18"/>
  <c r="LQ69" i="18"/>
  <c r="S70" i="18"/>
  <c r="CA70" i="18"/>
  <c r="CO70" i="18"/>
  <c r="DK70" i="18"/>
  <c r="FW70" i="18"/>
  <c r="IC70" i="18"/>
  <c r="IW70" i="18"/>
  <c r="JK70" i="18"/>
  <c r="KK70" i="18"/>
  <c r="LI70" i="18"/>
  <c r="AS71" i="18"/>
  <c r="BG71" i="18"/>
  <c r="CY71" i="18"/>
  <c r="DM71" i="18"/>
  <c r="FQ71" i="18"/>
  <c r="GK71" i="18"/>
  <c r="HC71" i="18"/>
  <c r="HW71" i="18"/>
  <c r="IK71" i="18"/>
  <c r="KE71" i="18"/>
  <c r="AO72" i="18"/>
  <c r="BG72" i="18"/>
  <c r="CA72" i="18"/>
  <c r="CQ72" i="18"/>
  <c r="DO72" i="18"/>
  <c r="GO72" i="18"/>
  <c r="HC72" i="18"/>
  <c r="AC73" i="18"/>
  <c r="DG73" i="18"/>
  <c r="DU73" i="18"/>
  <c r="FO73" i="18"/>
  <c r="GY73" i="18"/>
  <c r="II73" i="18"/>
  <c r="JC73" i="18"/>
  <c r="JY73" i="18"/>
  <c r="KO73" i="18"/>
  <c r="LM73" i="18"/>
  <c r="U75" i="18"/>
  <c r="AS75" i="18"/>
  <c r="CC75" i="18"/>
  <c r="FI75" i="18"/>
  <c r="GU75" i="18"/>
  <c r="HQ75" i="18"/>
  <c r="IE75" i="18"/>
  <c r="JC75" i="18"/>
  <c r="JW75" i="18"/>
  <c r="KM75" i="18"/>
  <c r="LI75" i="18"/>
  <c r="BY76" i="18"/>
  <c r="CY76" i="18"/>
  <c r="HA76" i="18"/>
  <c r="IU79" i="18"/>
  <c r="KI66" i="18"/>
  <c r="O67" i="18"/>
  <c r="GS67" i="18"/>
  <c r="LG67" i="18"/>
  <c r="BI69" i="18"/>
  <c r="DA69" i="18"/>
  <c r="DO69" i="18"/>
  <c r="FW69" i="18"/>
  <c r="IW69" i="18"/>
  <c r="LC69" i="18"/>
  <c r="LW69" i="18"/>
  <c r="DQ70" i="18"/>
  <c r="FI70" i="18"/>
  <c r="GC70" i="18"/>
  <c r="GU70" i="18"/>
  <c r="HO70" i="18"/>
  <c r="IG70" i="18"/>
  <c r="JA70" i="18"/>
  <c r="JU70" i="18"/>
  <c r="LA70" i="18" s="1"/>
  <c r="KO70" i="18"/>
  <c r="AW71" i="18"/>
  <c r="BK71" i="18"/>
  <c r="CG71" i="18"/>
  <c r="FG71" i="18"/>
  <c r="FU71" i="18"/>
  <c r="GO71" i="18"/>
  <c r="HG71" i="18"/>
  <c r="IA71" i="18"/>
  <c r="KI71" i="18"/>
  <c r="LW71" i="18"/>
  <c r="DE76" i="18"/>
  <c r="DG67" i="18"/>
  <c r="JK67" i="18"/>
  <c r="LI67" i="18"/>
  <c r="AC69" i="18"/>
  <c r="AW69" i="18"/>
  <c r="CG69" i="18"/>
  <c r="DC69" i="18"/>
  <c r="FI69" i="18"/>
  <c r="GQ69" i="18"/>
  <c r="HO69" i="18"/>
  <c r="IC69" i="18"/>
  <c r="JU69" i="18"/>
  <c r="LA69" i="18" s="1"/>
  <c r="KI69" i="18"/>
  <c r="LE69" i="18"/>
  <c r="Y70" i="18"/>
  <c r="CE70" i="18"/>
  <c r="CY70" i="18"/>
  <c r="DS70" i="18"/>
  <c r="HQ70" i="18"/>
  <c r="II70" i="18"/>
  <c r="JW70" i="18"/>
  <c r="KQ70" i="18"/>
  <c r="LM70" i="18"/>
  <c r="DC71" i="18"/>
  <c r="DQ71" i="18"/>
  <c r="GQ71" i="18"/>
  <c r="HM71" i="18"/>
  <c r="IW71" i="18"/>
  <c r="JM71" i="18"/>
  <c r="LG71" i="18"/>
  <c r="AU72" i="18"/>
  <c r="BM72" i="18"/>
  <c r="CE72" i="18"/>
  <c r="DC72" i="18"/>
  <c r="FW72" i="18"/>
  <c r="IK72" i="18"/>
  <c r="JC72" i="18"/>
  <c r="JY72" i="18"/>
  <c r="LO72" i="18"/>
  <c r="Q73" i="18"/>
  <c r="BC73" i="18"/>
  <c r="CW73" i="18"/>
  <c r="FU73" i="18"/>
  <c r="GM73" i="18"/>
  <c r="HE73" i="18"/>
  <c r="HY73" i="18"/>
  <c r="IS73" i="18"/>
  <c r="JI73" i="18"/>
  <c r="KC73" i="18"/>
  <c r="JK76" i="18"/>
  <c r="DU79" i="18"/>
  <c r="FW79" i="18"/>
  <c r="AS67" i="18"/>
  <c r="CG67" i="18"/>
  <c r="IS67" i="18"/>
  <c r="JM67" i="18"/>
  <c r="HQ68" i="18"/>
  <c r="JW68" i="18"/>
  <c r="BK69" i="18"/>
  <c r="CI69" i="18"/>
  <c r="DQ69" i="18"/>
  <c r="FK69" i="18"/>
  <c r="FY69" i="18"/>
  <c r="GS69" i="18"/>
  <c r="IY69" i="18"/>
  <c r="AU70" i="18"/>
  <c r="BM70" i="18"/>
  <c r="DA70" i="18"/>
  <c r="FK70" i="18"/>
  <c r="GI70" i="18"/>
  <c r="GW70" i="18"/>
  <c r="JY70" i="18"/>
  <c r="LO70" i="18"/>
  <c r="AY71" i="18"/>
  <c r="BM71" i="18"/>
  <c r="CI71" i="18"/>
  <c r="FI71" i="18"/>
  <c r="FW71" i="18"/>
  <c r="IC71" i="18"/>
  <c r="IY71" i="18"/>
  <c r="JO71" i="18"/>
  <c r="KK71" i="18"/>
  <c r="AA72" i="18"/>
  <c r="BS72" i="18"/>
  <c r="DU72" i="18"/>
  <c r="FG72" i="18"/>
  <c r="GU72" i="18"/>
  <c r="HQ72" i="18"/>
  <c r="IQ72" i="18"/>
  <c r="KA72" i="18"/>
  <c r="LC72" i="18"/>
  <c r="AO73" i="18"/>
  <c r="DM73" i="18"/>
  <c r="FG73" i="18"/>
  <c r="HG73" i="18"/>
  <c r="JK73" i="18"/>
  <c r="LU73" i="18"/>
  <c r="AA74" i="18"/>
  <c r="AY75" i="18"/>
  <c r="BM75" i="18"/>
  <c r="CK75" i="18"/>
  <c r="DE75" i="18"/>
  <c r="DU75" i="18"/>
  <c r="FO75" i="18"/>
  <c r="GC75" i="18"/>
  <c r="HA75" i="18"/>
  <c r="HW75" i="18"/>
  <c r="IK75" i="18"/>
  <c r="JK75" i="18"/>
  <c r="LO75" i="18"/>
  <c r="CG76" i="18"/>
  <c r="GO76" i="18"/>
  <c r="HO76" i="18"/>
  <c r="LQ76" i="18"/>
  <c r="LC89" i="18"/>
  <c r="LE89" i="18"/>
  <c r="BA89" i="18"/>
  <c r="HA89" i="18"/>
  <c r="FY89" i="18"/>
  <c r="BY89" i="18"/>
  <c r="W89" i="18"/>
  <c r="LI89" i="18"/>
  <c r="CO89" i="18"/>
  <c r="BW89" i="18"/>
  <c r="CK89" i="18"/>
  <c r="O89" i="18"/>
  <c r="IU89" i="18"/>
  <c r="JO89" i="18"/>
  <c r="IA96" i="18"/>
  <c r="LQ96" i="18"/>
  <c r="HE96" i="18"/>
  <c r="CC96" i="18"/>
  <c r="W96" i="18"/>
  <c r="FY96" i="18"/>
  <c r="AW96" i="18"/>
  <c r="LI96" i="18"/>
  <c r="CO96" i="18"/>
  <c r="DK96" i="18"/>
  <c r="IU96" i="18"/>
  <c r="KO66" i="18"/>
  <c r="S67" i="18"/>
  <c r="IU67" i="18"/>
  <c r="AE69" i="18"/>
  <c r="AY69" i="18"/>
  <c r="CK69" i="18"/>
  <c r="DE69" i="18"/>
  <c r="GU69" i="18"/>
  <c r="HQ69" i="18"/>
  <c r="IE69" i="18"/>
  <c r="JA69" i="18"/>
  <c r="JW69" i="18"/>
  <c r="KK69" i="18"/>
  <c r="LG69" i="18"/>
  <c r="AA70" i="18"/>
  <c r="AW70" i="18"/>
  <c r="BS70" i="18"/>
  <c r="CG70" i="18"/>
  <c r="DU70" i="18"/>
  <c r="FM70" i="18"/>
  <c r="GY70" i="18"/>
  <c r="HS70" i="18"/>
  <c r="IK70" i="18"/>
  <c r="JE70" i="18"/>
  <c r="KS70" i="18"/>
  <c r="O71" i="18"/>
  <c r="AG71" i="18"/>
  <c r="BS71" i="18"/>
  <c r="CK71" i="18"/>
  <c r="DS71" i="18"/>
  <c r="FY71" i="18"/>
  <c r="GS71" i="18"/>
  <c r="JU71" i="18"/>
  <c r="LA71" i="18" s="1"/>
  <c r="LI71" i="18"/>
  <c r="AY72" i="18"/>
  <c r="CG72" i="18"/>
  <c r="DE72" i="18"/>
  <c r="FI72" i="18"/>
  <c r="GA72" i="18"/>
  <c r="HS72" i="18"/>
  <c r="JE72" i="18"/>
  <c r="LQ72" i="18"/>
  <c r="BE73" i="18"/>
  <c r="CA73" i="18"/>
  <c r="FW73" i="18"/>
  <c r="HM73" i="18"/>
  <c r="IU73" i="18"/>
  <c r="JM73" i="18"/>
  <c r="KE73" i="18"/>
  <c r="KS75" i="18"/>
  <c r="LQ75" i="18"/>
  <c r="S76" i="18"/>
  <c r="CI76" i="18"/>
  <c r="FM76" i="18"/>
  <c r="JO76" i="18"/>
  <c r="KS76" i="18"/>
  <c r="KG79" i="18"/>
  <c r="CM79" i="18"/>
  <c r="LK79" i="18"/>
  <c r="JI79" i="18"/>
  <c r="II79" i="18"/>
  <c r="BU79" i="18"/>
  <c r="HM79" i="18"/>
  <c r="LI79" i="18"/>
  <c r="JG79" i="18"/>
  <c r="DG79" i="18"/>
  <c r="CC79" i="18"/>
  <c r="AC79" i="18"/>
  <c r="BA79" i="18"/>
  <c r="CA79" i="18"/>
  <c r="FI67" i="18"/>
  <c r="GA67" i="18"/>
  <c r="GY67" i="18"/>
  <c r="LO67" i="18"/>
  <c r="M69" i="18"/>
  <c r="AG69" i="18"/>
  <c r="BS69" i="18"/>
  <c r="DS69" i="18"/>
  <c r="FM69" i="18"/>
  <c r="GA69" i="18"/>
  <c r="HS69" i="18"/>
  <c r="JC69" i="18"/>
  <c r="KM69" i="18"/>
  <c r="LI69" i="18"/>
  <c r="M70" i="18"/>
  <c r="AY70" i="18"/>
  <c r="CI70" i="18"/>
  <c r="DC70" i="18"/>
  <c r="FO70" i="18"/>
  <c r="GK70" i="18"/>
  <c r="HU70" i="18"/>
  <c r="KA70" i="18"/>
  <c r="BA71" i="18"/>
  <c r="BU71" i="18"/>
  <c r="CM71" i="18"/>
  <c r="DG71" i="18"/>
  <c r="FK71" i="18"/>
  <c r="GU71" i="18"/>
  <c r="HQ71" i="18"/>
  <c r="IE71" i="18"/>
  <c r="JA71" i="18"/>
  <c r="JW71" i="18"/>
  <c r="LK71" i="18"/>
  <c r="BU72" i="18"/>
  <c r="CI72" i="18"/>
  <c r="DG72" i="18"/>
  <c r="GC72" i="18"/>
  <c r="GW72" i="18"/>
  <c r="HU72" i="18"/>
  <c r="IS72" i="18"/>
  <c r="JG72" i="18"/>
  <c r="KE72" i="18"/>
  <c r="LE72" i="18"/>
  <c r="U73" i="18"/>
  <c r="AQ73" i="18"/>
  <c r="DA73" i="18"/>
  <c r="DO73" i="18"/>
  <c r="FI73" i="18"/>
  <c r="FY73" i="18"/>
  <c r="IC73" i="18"/>
  <c r="KG73" i="18"/>
  <c r="LE73" i="18"/>
  <c r="LW73" i="18"/>
  <c r="CI74" i="18"/>
  <c r="M75" i="18"/>
  <c r="BA75" i="18"/>
  <c r="CO75" i="18"/>
  <c r="FQ75" i="18"/>
  <c r="GK75" i="18"/>
  <c r="HE75" i="18"/>
  <c r="IU75" i="18"/>
  <c r="JM75" i="18"/>
  <c r="LS75" i="18"/>
  <c r="BK76" i="18"/>
  <c r="FO76" i="18"/>
  <c r="JW76" i="18"/>
  <c r="AY77" i="18"/>
  <c r="CQ77" i="18"/>
  <c r="DM77" i="18"/>
  <c r="FI77" i="18"/>
  <c r="FY77" i="18"/>
  <c r="HC77" i="18"/>
  <c r="IW77" i="18"/>
  <c r="LQ77" i="18"/>
  <c r="HA67" i="18"/>
  <c r="DI68" i="18"/>
  <c r="AI69" i="18"/>
  <c r="BA69" i="18"/>
  <c r="CM69" i="18"/>
  <c r="DG69" i="18"/>
  <c r="DU69" i="18"/>
  <c r="GW69" i="18"/>
  <c r="IG69" i="18"/>
  <c r="JE69" i="18"/>
  <c r="JY69" i="18"/>
  <c r="LK69" i="18"/>
  <c r="AC70" i="18"/>
  <c r="BU70" i="18"/>
  <c r="DE70" i="18"/>
  <c r="FQ70" i="18"/>
  <c r="GM70" i="18"/>
  <c r="HW70" i="18"/>
  <c r="IS70" i="18"/>
  <c r="JG70" i="18"/>
  <c r="KC70" i="18"/>
  <c r="LC70" i="18"/>
  <c r="LS70" i="18"/>
  <c r="AO71" i="18"/>
  <c r="DU71" i="18"/>
  <c r="FM71" i="18"/>
  <c r="GA71" i="18"/>
  <c r="GW71" i="18"/>
  <c r="JC71" i="18"/>
  <c r="KO71" i="18"/>
  <c r="AE72" i="18"/>
  <c r="BA72" i="18"/>
  <c r="BW72" i="18"/>
  <c r="FK72" i="18"/>
  <c r="GY72" i="18"/>
  <c r="HW72" i="18"/>
  <c r="JI72" i="18"/>
  <c r="KG72" i="18"/>
  <c r="LS72" i="18"/>
  <c r="BG73" i="18"/>
  <c r="CC73" i="18"/>
  <c r="GS73" i="18"/>
  <c r="IW73" i="18"/>
  <c r="JO73" i="18"/>
  <c r="LG73" i="18"/>
  <c r="KE74" i="18"/>
  <c r="O75" i="18"/>
  <c r="BU75" i="18"/>
  <c r="CQ75" i="18"/>
  <c r="DI75" i="18"/>
  <c r="GM75" i="18"/>
  <c r="HG75" i="18"/>
  <c r="IA75" i="18"/>
  <c r="IW75" i="18"/>
  <c r="JO75" i="18"/>
  <c r="KG75" i="18"/>
  <c r="LU75" i="18"/>
  <c r="BM76" i="18"/>
  <c r="DO76" i="18"/>
  <c r="FQ76" i="18"/>
  <c r="HU76" i="18"/>
  <c r="JY76" i="18"/>
  <c r="BW77" i="18"/>
  <c r="GA77" i="18"/>
  <c r="HE77" i="18"/>
  <c r="IA77" i="18"/>
  <c r="IY77" i="18"/>
  <c r="JY77" i="18"/>
  <c r="KO77" i="18"/>
  <c r="LS77" i="18"/>
  <c r="AE79" i="18"/>
  <c r="BE79" i="18"/>
  <c r="LO79" i="18"/>
  <c r="GO89" i="18"/>
  <c r="HC67" i="18"/>
  <c r="Q69" i="18"/>
  <c r="AO69" i="18"/>
  <c r="BU69" i="18"/>
  <c r="CO69" i="18"/>
  <c r="DI69" i="18"/>
  <c r="FO69" i="18"/>
  <c r="GC69" i="18"/>
  <c r="GY69" i="18"/>
  <c r="HU69" i="18"/>
  <c r="JG69" i="18"/>
  <c r="KA69" i="18"/>
  <c r="KO69" i="18"/>
  <c r="BA70" i="18"/>
  <c r="BW70" i="18"/>
  <c r="DG70" i="18"/>
  <c r="FS70" i="18"/>
  <c r="HC70" i="18"/>
  <c r="KE70" i="18"/>
  <c r="LU70" i="18"/>
  <c r="BW71" i="18"/>
  <c r="CO71" i="18"/>
  <c r="DI71" i="18"/>
  <c r="HS71" i="18"/>
  <c r="IG71" i="18"/>
  <c r="JE71" i="18"/>
  <c r="KA71" i="18"/>
  <c r="LM71" i="18"/>
  <c r="Q72" i="18"/>
  <c r="AG72" i="18"/>
  <c r="DI72" i="18"/>
  <c r="GK72" i="18"/>
  <c r="HY72" i="18"/>
  <c r="IU72" i="18"/>
  <c r="KI72" i="18"/>
  <c r="LG72" i="18"/>
  <c r="LU72" i="18"/>
  <c r="Y73" i="18"/>
  <c r="BI73" i="18"/>
  <c r="CE73" i="18"/>
  <c r="DC73" i="18"/>
  <c r="DQ73" i="18"/>
  <c r="FK73" i="18"/>
  <c r="GA73" i="18"/>
  <c r="HQ73" i="18"/>
  <c r="IE73" i="18"/>
  <c r="KK73" i="18"/>
  <c r="LI73" i="18"/>
  <c r="BK74" i="18"/>
  <c r="AO75" i="18"/>
  <c r="BC75" i="18"/>
  <c r="BW75" i="18"/>
  <c r="CW75" i="18"/>
  <c r="FS75" i="18"/>
  <c r="GO75" i="18"/>
  <c r="HM75" i="18"/>
  <c r="LC75" i="18"/>
  <c r="LW75" i="18"/>
  <c r="IY76" i="18"/>
  <c r="BY77" i="18"/>
  <c r="CY77" i="18"/>
  <c r="HG77" i="18"/>
  <c r="IC77" i="18"/>
  <c r="KQ77" i="18"/>
  <c r="LU77" i="18"/>
  <c r="Q79" i="18"/>
  <c r="JY66" i="18"/>
  <c r="AA67" i="18"/>
  <c r="CO67" i="18"/>
  <c r="GK67" i="18"/>
  <c r="HE67" i="18"/>
  <c r="JA67" i="18"/>
  <c r="JY67" i="18"/>
  <c r="LS67" i="18"/>
  <c r="BC69" i="18"/>
  <c r="BW69" i="18"/>
  <c r="CQ69" i="18"/>
  <c r="FQ69" i="18"/>
  <c r="GI69" i="18"/>
  <c r="HA69" i="18"/>
  <c r="II69" i="18"/>
  <c r="JI69" i="18"/>
  <c r="LM69" i="18"/>
  <c r="Q70" i="18"/>
  <c r="AE70" i="18"/>
  <c r="BC70" i="18"/>
  <c r="CM70" i="18"/>
  <c r="FU70" i="18"/>
  <c r="HY70" i="18"/>
  <c r="IU70" i="18"/>
  <c r="JI70" i="18"/>
  <c r="KG70" i="18"/>
  <c r="U71" i="18"/>
  <c r="AQ71" i="18"/>
  <c r="BE71" i="18"/>
  <c r="BY71" i="18"/>
  <c r="CQ71" i="18"/>
  <c r="DK71" i="18"/>
  <c r="FO71" i="18"/>
  <c r="GC71" i="18"/>
  <c r="GY71" i="18"/>
  <c r="HU71" i="18"/>
  <c r="KC71" i="18"/>
  <c r="KQ71" i="18"/>
  <c r="BE72" i="18"/>
  <c r="BY72" i="18"/>
  <c r="CM72" i="18"/>
  <c r="FO72" i="18"/>
  <c r="GM72" i="18"/>
  <c r="HA72" i="18"/>
  <c r="JK72" i="18"/>
  <c r="KK72" i="18"/>
  <c r="AU73" i="18"/>
  <c r="CG73" i="18"/>
  <c r="DE73" i="18"/>
  <c r="DS73" i="18"/>
  <c r="FM73" i="18"/>
  <c r="GU73" i="18"/>
  <c r="IG73" i="18"/>
  <c r="IY73" i="18"/>
  <c r="KM73" i="18"/>
  <c r="LM74" i="18"/>
  <c r="BE75" i="18"/>
  <c r="BY75" i="18"/>
  <c r="FU75" i="18"/>
  <c r="GQ75" i="18"/>
  <c r="IC75" i="18"/>
  <c r="IY75" i="18"/>
  <c r="JU75" i="18"/>
  <c r="LA75" i="18" s="1"/>
  <c r="KI75" i="18"/>
  <c r="LE75" i="18"/>
  <c r="DS76" i="18"/>
  <c r="FU76" i="18"/>
  <c r="GW76" i="18"/>
  <c r="AG77" i="18"/>
  <c r="BC77" i="18"/>
  <c r="CA77" i="18"/>
  <c r="DA77" i="18"/>
  <c r="DQ77" i="18"/>
  <c r="FM77" i="18"/>
  <c r="GK77" i="18"/>
  <c r="JC77" i="18"/>
  <c r="LW77" i="18"/>
  <c r="CG79" i="18"/>
  <c r="JM79" i="18"/>
  <c r="BW67" i="18"/>
  <c r="FO67" i="18"/>
  <c r="GM67" i="18"/>
  <c r="IC67" i="18"/>
  <c r="S69" i="18"/>
  <c r="AQ69" i="18"/>
  <c r="BY69" i="18"/>
  <c r="CW69" i="18"/>
  <c r="DK69" i="18"/>
  <c r="HW69" i="18"/>
  <c r="IK69" i="18"/>
  <c r="KC69" i="18"/>
  <c r="KQ69" i="18"/>
  <c r="LO69" i="18"/>
  <c r="BE70" i="18"/>
  <c r="DI70" i="18"/>
  <c r="GQ70" i="18"/>
  <c r="HE70" i="18"/>
  <c r="IA70" i="18"/>
  <c r="KI70" i="18"/>
  <c r="LG70" i="18"/>
  <c r="LW70" i="18"/>
  <c r="W71" i="18"/>
  <c r="CA71" i="18"/>
  <c r="CW71" i="18"/>
  <c r="GI71" i="18"/>
  <c r="HA71" i="18"/>
  <c r="II71" i="18"/>
  <c r="JG71" i="18"/>
  <c r="KS71" i="18"/>
  <c r="LQ71" i="18"/>
  <c r="S72" i="18"/>
  <c r="AI72" i="18"/>
  <c r="CO72" i="18"/>
  <c r="DM72" i="18"/>
  <c r="FQ72" i="18"/>
  <c r="IC72" i="18"/>
  <c r="IW72" i="18"/>
  <c r="JM72" i="18"/>
  <c r="KM72" i="18"/>
  <c r="LI72" i="18"/>
  <c r="AW73" i="18"/>
  <c r="BK73" i="18"/>
  <c r="CI73" i="18"/>
  <c r="GC73" i="18"/>
  <c r="GW73" i="18"/>
  <c r="HS73" i="18"/>
  <c r="S75" i="18"/>
  <c r="AQ75" i="18"/>
  <c r="CA75" i="18"/>
  <c r="CY75" i="18"/>
  <c r="DM75" i="18"/>
  <c r="FG75" i="18"/>
  <c r="FW75" i="18"/>
  <c r="GS75" i="18"/>
  <c r="JA75" i="18"/>
  <c r="KK75" i="18"/>
  <c r="LG75" i="18"/>
  <c r="IA76" i="18"/>
  <c r="O77" i="18"/>
  <c r="CC77" i="18"/>
  <c r="FO77" i="18"/>
  <c r="HO77" i="18"/>
  <c r="JE77" i="18"/>
  <c r="KC77" i="18"/>
  <c r="S79" i="18"/>
  <c r="AI79" i="18"/>
  <c r="BK79" i="18"/>
  <c r="CI79" i="18"/>
  <c r="KS79" i="18"/>
  <c r="IQ85" i="18"/>
  <c r="JU85" i="18"/>
  <c r="LA85" i="18" s="1"/>
  <c r="GS85" i="18"/>
  <c r="KM85" i="18"/>
  <c r="W85" i="18"/>
  <c r="FQ85" i="18"/>
  <c r="CO85" i="18"/>
  <c r="U85" i="18"/>
  <c r="HE85" i="18"/>
  <c r="KG85" i="18"/>
  <c r="GK85" i="18"/>
  <c r="AO85" i="18"/>
  <c r="DI85" i="18"/>
  <c r="BG85" i="18"/>
  <c r="AI85" i="18"/>
  <c r="O85" i="18"/>
  <c r="GW85" i="18"/>
  <c r="AA87" i="18"/>
  <c r="AU87" i="18"/>
  <c r="BM87" i="18"/>
  <c r="CI87" i="18"/>
  <c r="DE87" i="18"/>
  <c r="FS87" i="18"/>
  <c r="GQ87" i="18"/>
  <c r="HG87" i="18"/>
  <c r="IE87" i="18"/>
  <c r="KQ87" i="18"/>
  <c r="BK89" i="18"/>
  <c r="DK89" i="18"/>
  <c r="FO89" i="18"/>
  <c r="DI83" i="18"/>
  <c r="FS83" i="18"/>
  <c r="IE83" i="18"/>
  <c r="GA85" i="18"/>
  <c r="GY85" i="18"/>
  <c r="HY85" i="18"/>
  <c r="LC85" i="18"/>
  <c r="M87" i="18"/>
  <c r="HM87" i="18"/>
  <c r="IG87" i="18"/>
  <c r="JC87" i="18"/>
  <c r="KA87" i="18"/>
  <c r="KS87" i="18"/>
  <c r="LO87" i="18"/>
  <c r="DM89" i="18"/>
  <c r="HY79" i="18"/>
  <c r="JA79" i="18"/>
  <c r="LC79" i="18"/>
  <c r="LU79" i="18"/>
  <c r="AY80" i="18"/>
  <c r="BM80" i="18"/>
  <c r="CK80" i="18"/>
  <c r="DE80" i="18"/>
  <c r="FI80" i="18"/>
  <c r="FU80" i="18"/>
  <c r="GQ80" i="18"/>
  <c r="HO80" i="18"/>
  <c r="IW80" i="18"/>
  <c r="JW80" i="18"/>
  <c r="KK80" i="18"/>
  <c r="LG80" i="18"/>
  <c r="BE81" i="18"/>
  <c r="CC81" i="18"/>
  <c r="CY81" i="18"/>
  <c r="DU81" i="18"/>
  <c r="FM81" i="18"/>
  <c r="IG81" i="18"/>
  <c r="LQ81" i="18"/>
  <c r="AY83" i="18"/>
  <c r="BW83" i="18"/>
  <c r="CM83" i="18"/>
  <c r="DK83" i="18"/>
  <c r="FU83" i="18"/>
  <c r="HG83" i="18"/>
  <c r="IG83" i="18"/>
  <c r="JY83" i="18"/>
  <c r="KQ83" i="18"/>
  <c r="LO83" i="18"/>
  <c r="FI85" i="18"/>
  <c r="IA85" i="18"/>
  <c r="KE85" i="18"/>
  <c r="AC86" i="18"/>
  <c r="AW86" i="18"/>
  <c r="BI86" i="18"/>
  <c r="CG86" i="18"/>
  <c r="DC86" i="18"/>
  <c r="DU86" i="18"/>
  <c r="FO86" i="18"/>
  <c r="GI86" i="18"/>
  <c r="GW86" i="18"/>
  <c r="II86" i="18"/>
  <c r="KK86" i="18"/>
  <c r="AW87" i="18"/>
  <c r="BU87" i="18"/>
  <c r="CK87" i="18"/>
  <c r="DI87" i="18"/>
  <c r="GS87" i="18"/>
  <c r="KC87" i="18"/>
  <c r="AS89" i="18"/>
  <c r="FS89" i="18"/>
  <c r="IY89" i="18"/>
  <c r="KC89" i="18"/>
  <c r="DC79" i="18"/>
  <c r="IA79" i="18"/>
  <c r="KA79" i="18"/>
  <c r="AE80" i="18"/>
  <c r="BU80" i="18"/>
  <c r="CM80" i="18"/>
  <c r="DS80" i="18"/>
  <c r="GS80" i="18"/>
  <c r="IC80" i="18"/>
  <c r="IY80" i="18"/>
  <c r="AE81" i="18"/>
  <c r="BG81" i="18"/>
  <c r="DA81" i="18"/>
  <c r="GO81" i="18"/>
  <c r="HO81" i="18"/>
  <c r="KC81" i="18"/>
  <c r="JC82" i="18"/>
  <c r="KE82" i="18"/>
  <c r="LG82" i="18"/>
  <c r="M83" i="18"/>
  <c r="AC83" i="18"/>
  <c r="BA83" i="18"/>
  <c r="FW83" i="18"/>
  <c r="HO83" i="18"/>
  <c r="II83" i="18"/>
  <c r="JE83" i="18"/>
  <c r="KA83" i="18"/>
  <c r="KS83" i="18"/>
  <c r="JY84" i="18"/>
  <c r="KO84" i="18"/>
  <c r="LM84" i="18"/>
  <c r="CI85" i="18"/>
  <c r="AE86" i="18"/>
  <c r="DE86" i="18"/>
  <c r="FQ86" i="18"/>
  <c r="HS86" i="18"/>
  <c r="IK86" i="18"/>
  <c r="JC86" i="18"/>
  <c r="KM86" i="18"/>
  <c r="O87" i="18"/>
  <c r="AE87" i="18"/>
  <c r="AY87" i="18"/>
  <c r="BW87" i="18"/>
  <c r="HO87" i="18"/>
  <c r="JE87" i="18"/>
  <c r="KE87" i="18"/>
  <c r="LQ87" i="18"/>
  <c r="DE79" i="18"/>
  <c r="GC79" i="18"/>
  <c r="BA80" i="18"/>
  <c r="DG80" i="18"/>
  <c r="FK80" i="18"/>
  <c r="FW80" i="18"/>
  <c r="GU80" i="18"/>
  <c r="HQ80" i="18"/>
  <c r="JA80" i="18"/>
  <c r="JY80" i="18"/>
  <c r="KM80" i="18"/>
  <c r="LI80" i="18"/>
  <c r="O81" i="18"/>
  <c r="DC81" i="18"/>
  <c r="FQ81" i="18"/>
  <c r="IK81" i="18"/>
  <c r="JG81" i="18"/>
  <c r="KE81" i="18"/>
  <c r="CC82" i="18"/>
  <c r="BC83" i="18"/>
  <c r="DM83" i="18"/>
  <c r="FY83" i="18"/>
  <c r="IK83" i="18"/>
  <c r="KC83" i="18"/>
  <c r="LS83" i="18"/>
  <c r="W84" i="18"/>
  <c r="AS84" i="18"/>
  <c r="CC84" i="18"/>
  <c r="CY84" i="18"/>
  <c r="DM84" i="18"/>
  <c r="FU84" i="18"/>
  <c r="GS84" i="18"/>
  <c r="HO84" i="18"/>
  <c r="KA84" i="18"/>
  <c r="LO84" i="18"/>
  <c r="BI85" i="18"/>
  <c r="DK85" i="18"/>
  <c r="FM85" i="18"/>
  <c r="M86" i="18"/>
  <c r="AY86" i="18"/>
  <c r="BK86" i="18"/>
  <c r="CK86" i="18"/>
  <c r="DG86" i="18"/>
  <c r="FS86" i="18"/>
  <c r="GK86" i="18"/>
  <c r="GY86" i="18"/>
  <c r="HU86" i="18"/>
  <c r="IQ86" i="18"/>
  <c r="JY86" i="18"/>
  <c r="LM86" i="18"/>
  <c r="BY87" i="18"/>
  <c r="CM87" i="18"/>
  <c r="FY87" i="18"/>
  <c r="HQ87" i="18"/>
  <c r="IQ87" i="18"/>
  <c r="LC87" i="18"/>
  <c r="LS87" i="18"/>
  <c r="DS89" i="18"/>
  <c r="IA89" i="18"/>
  <c r="HU96" i="18"/>
  <c r="FI79" i="18"/>
  <c r="HE79" i="18"/>
  <c r="IE79" i="18"/>
  <c r="AI80" i="18"/>
  <c r="BW80" i="18"/>
  <c r="CO80" i="18"/>
  <c r="DU80" i="18"/>
  <c r="GW80" i="18"/>
  <c r="IE80" i="18"/>
  <c r="JC80" i="18"/>
  <c r="KO80" i="18"/>
  <c r="LK80" i="18"/>
  <c r="BK81" i="18"/>
  <c r="CG81" i="18"/>
  <c r="DE81" i="18"/>
  <c r="HS81" i="18"/>
  <c r="JI81" i="18"/>
  <c r="KG81" i="18"/>
  <c r="LE81" i="18"/>
  <c r="LW81" i="18"/>
  <c r="BE82" i="18"/>
  <c r="GA82" i="18"/>
  <c r="CA83" i="18"/>
  <c r="CQ83" i="18"/>
  <c r="DO83" i="18"/>
  <c r="FG83" i="18"/>
  <c r="GU83" i="18"/>
  <c r="HQ83" i="18"/>
  <c r="BI84" i="18"/>
  <c r="CE84" i="18"/>
  <c r="FW84" i="18"/>
  <c r="GU84" i="18"/>
  <c r="JE84" i="18"/>
  <c r="LQ84" i="18"/>
  <c r="AQ85" i="18"/>
  <c r="BK85" i="18"/>
  <c r="DM85" i="18"/>
  <c r="FO85" i="18"/>
  <c r="GM85" i="18"/>
  <c r="CM86" i="18"/>
  <c r="DI86" i="18"/>
  <c r="GM86" i="18"/>
  <c r="LO86" i="18"/>
  <c r="AG87" i="18"/>
  <c r="DM87" i="18"/>
  <c r="GA87" i="18"/>
  <c r="GW87" i="18"/>
  <c r="JG87" i="18"/>
  <c r="AA88" i="18"/>
  <c r="BK88" i="18"/>
  <c r="CI88" i="18"/>
  <c r="DG88" i="18"/>
  <c r="FU88" i="18"/>
  <c r="GS88" i="18"/>
  <c r="KA88" i="18"/>
  <c r="KS88" i="18"/>
  <c r="LQ88" i="18"/>
  <c r="IC89" i="18"/>
  <c r="FO96" i="18"/>
  <c r="M80" i="18"/>
  <c r="AO80" i="18"/>
  <c r="BY80" i="18"/>
  <c r="CQ80" i="18"/>
  <c r="DI80" i="18"/>
  <c r="FM80" i="18"/>
  <c r="FY80" i="18"/>
  <c r="HS80" i="18"/>
  <c r="IG80" i="18"/>
  <c r="JE80" i="18"/>
  <c r="KA80" i="18"/>
  <c r="DG81" i="18"/>
  <c r="FU81" i="18"/>
  <c r="GU81" i="18"/>
  <c r="FI82" i="18"/>
  <c r="II82" i="18"/>
  <c r="KK82" i="18"/>
  <c r="LM82" i="18"/>
  <c r="Q83" i="18"/>
  <c r="AG83" i="18"/>
  <c r="BG83" i="18"/>
  <c r="DQ83" i="18"/>
  <c r="GA83" i="18"/>
  <c r="HS83" i="18"/>
  <c r="JI83" i="18"/>
  <c r="KE83" i="18"/>
  <c r="LC83" i="18"/>
  <c r="Y84" i="18"/>
  <c r="DA84" i="18"/>
  <c r="DO84" i="18"/>
  <c r="FI84" i="18"/>
  <c r="HS84" i="18"/>
  <c r="II84" i="18"/>
  <c r="JG84" i="18"/>
  <c r="KC84" i="18"/>
  <c r="KS84" i="18"/>
  <c r="AS85" i="18"/>
  <c r="O86" i="18"/>
  <c r="AO86" i="18"/>
  <c r="BA86" i="18"/>
  <c r="BM86" i="18"/>
  <c r="FU86" i="18"/>
  <c r="HW86" i="18"/>
  <c r="JG86" i="18"/>
  <c r="KA86" i="18"/>
  <c r="KQ86" i="18"/>
  <c r="S87" i="18"/>
  <c r="BC87" i="18"/>
  <c r="CA87" i="18"/>
  <c r="CO87" i="18"/>
  <c r="DO87" i="18"/>
  <c r="JI87" i="18"/>
  <c r="LE87" i="18"/>
  <c r="LW87" i="18"/>
  <c r="AY88" i="18"/>
  <c r="BM88" i="18"/>
  <c r="CK88" i="18"/>
  <c r="GU88" i="18"/>
  <c r="II88" i="18"/>
  <c r="JE88" i="18"/>
  <c r="KC88" i="18"/>
  <c r="KK89" i="18"/>
  <c r="IQ98" i="18"/>
  <c r="GK98" i="18"/>
  <c r="DA98" i="18"/>
  <c r="CE98" i="18"/>
  <c r="AO98" i="18"/>
  <c r="LK98" i="18"/>
  <c r="IW98" i="18"/>
  <c r="S98" i="18"/>
  <c r="JK98" i="18"/>
  <c r="GI98" i="18"/>
  <c r="CC98" i="18"/>
  <c r="LI98" i="18"/>
  <c r="IU98" i="18"/>
  <c r="GW98" i="18"/>
  <c r="CQ98" i="18"/>
  <c r="Q98" i="18"/>
  <c r="LW98" i="18"/>
  <c r="JI98" i="18"/>
  <c r="GA98" i="18"/>
  <c r="AE98" i="18"/>
  <c r="KE98" i="18"/>
  <c r="HQ98" i="18"/>
  <c r="GU98" i="18"/>
  <c r="DM98" i="18"/>
  <c r="CO98" i="18"/>
  <c r="O98" i="18"/>
  <c r="LU98" i="18"/>
  <c r="JG98" i="18"/>
  <c r="AY98" i="18"/>
  <c r="AC98" i="18"/>
  <c r="GS98" i="18"/>
  <c r="BU98" i="18"/>
  <c r="M98" i="18"/>
  <c r="HG98" i="18"/>
  <c r="AA98" i="18"/>
  <c r="LM98" i="18"/>
  <c r="JU98" i="18"/>
  <c r="LA98" i="18" s="1"/>
  <c r="IY98" i="18"/>
  <c r="FO98" i="18"/>
  <c r="BK98" i="18"/>
  <c r="FQ98" i="18"/>
  <c r="KI79" i="18"/>
  <c r="BE80" i="18"/>
  <c r="CA80" i="18"/>
  <c r="CW80" i="18"/>
  <c r="DK80" i="18"/>
  <c r="GY80" i="18"/>
  <c r="HU80" i="18"/>
  <c r="JG80" i="18"/>
  <c r="KC80" i="18"/>
  <c r="KQ80" i="18"/>
  <c r="S81" i="18"/>
  <c r="AS81" i="18"/>
  <c r="BS81" i="18"/>
  <c r="CK81" i="18"/>
  <c r="DI81" i="18"/>
  <c r="FW81" i="18"/>
  <c r="HW81" i="18"/>
  <c r="IU81" i="18"/>
  <c r="KI81" i="18"/>
  <c r="BG82" i="18"/>
  <c r="CI82" i="18"/>
  <c r="JI82" i="18"/>
  <c r="BI83" i="18"/>
  <c r="DS83" i="18"/>
  <c r="FI83" i="18"/>
  <c r="GC83" i="18"/>
  <c r="GW83" i="18"/>
  <c r="HU83" i="18"/>
  <c r="KG83" i="18"/>
  <c r="LW83" i="18"/>
  <c r="AA84" i="18"/>
  <c r="AW84" i="18"/>
  <c r="BK84" i="18"/>
  <c r="CG84" i="18"/>
  <c r="DC84" i="18"/>
  <c r="FY84" i="18"/>
  <c r="GW84" i="18"/>
  <c r="IK84" i="18"/>
  <c r="JI84" i="18"/>
  <c r="LS84" i="18"/>
  <c r="IK85" i="18"/>
  <c r="JM85" i="18"/>
  <c r="LO85" i="18"/>
  <c r="Q86" i="18"/>
  <c r="BU86" i="18"/>
  <c r="CO86" i="18"/>
  <c r="DK86" i="18"/>
  <c r="FW86" i="18"/>
  <c r="HC86" i="18"/>
  <c r="IU86" i="18"/>
  <c r="KS86" i="18"/>
  <c r="LQ86" i="18"/>
  <c r="AI87" i="18"/>
  <c r="DQ87" i="18"/>
  <c r="GY87" i="18"/>
  <c r="IU87" i="18"/>
  <c r="DI88" i="18"/>
  <c r="FW88" i="18"/>
  <c r="HS88" i="18"/>
  <c r="JG88" i="18"/>
  <c r="LS88" i="18"/>
  <c r="DA89" i="18"/>
  <c r="DM96" i="18"/>
  <c r="BS98" i="18"/>
  <c r="FS98" i="18"/>
  <c r="JA98" i="18"/>
  <c r="DK79" i="18"/>
  <c r="FO79" i="18"/>
  <c r="CY80" i="18"/>
  <c r="FO80" i="18"/>
  <c r="GA80" i="18"/>
  <c r="HA80" i="18"/>
  <c r="II80" i="18"/>
  <c r="JI80" i="18"/>
  <c r="LO80" i="18"/>
  <c r="HY81" i="18"/>
  <c r="IW81" i="18"/>
  <c r="KK81" i="18"/>
  <c r="AQ82" i="18"/>
  <c r="DI82" i="18"/>
  <c r="IQ82" i="18"/>
  <c r="AQ83" i="18"/>
  <c r="CE83" i="18"/>
  <c r="DA83" i="18"/>
  <c r="DU83" i="18"/>
  <c r="FK83" i="18"/>
  <c r="GI83" i="18"/>
  <c r="IW83" i="18"/>
  <c r="JK83" i="18"/>
  <c r="KI83" i="18"/>
  <c r="LG83" i="18"/>
  <c r="AC84" i="18"/>
  <c r="CI84" i="18"/>
  <c r="FK84" i="18"/>
  <c r="GY84" i="18"/>
  <c r="LC84" i="18"/>
  <c r="LU84" i="18"/>
  <c r="BW85" i="18"/>
  <c r="HQ85" i="18"/>
  <c r="S86" i="18"/>
  <c r="AQ86" i="18"/>
  <c r="BC86" i="18"/>
  <c r="BW86" i="18"/>
  <c r="CQ86" i="18"/>
  <c r="DM86" i="18"/>
  <c r="FG86" i="18"/>
  <c r="GQ86" i="18"/>
  <c r="HE86" i="18"/>
  <c r="HY86" i="18"/>
  <c r="JI86" i="18"/>
  <c r="KC86" i="18"/>
  <c r="U87" i="18"/>
  <c r="BG87" i="18"/>
  <c r="FK87" i="18"/>
  <c r="GK87" i="18"/>
  <c r="HA87" i="18"/>
  <c r="IW87" i="18"/>
  <c r="JK87" i="18"/>
  <c r="KM87" i="18"/>
  <c r="LG87" i="18"/>
  <c r="BA88" i="18"/>
  <c r="CM88" i="18"/>
  <c r="DK88" i="18"/>
  <c r="FY88" i="18"/>
  <c r="GY88" i="18"/>
  <c r="IK88" i="18"/>
  <c r="JI88" i="18"/>
  <c r="LC88" i="18"/>
  <c r="LU88" i="18"/>
  <c r="CC89" i="18"/>
  <c r="FG89" i="18"/>
  <c r="JK89" i="18"/>
  <c r="KO89" i="18"/>
  <c r="AS98" i="18"/>
  <c r="JC98" i="18"/>
  <c r="DM79" i="18"/>
  <c r="IK79" i="18"/>
  <c r="KM79" i="18"/>
  <c r="S80" i="18"/>
  <c r="AS80" i="18"/>
  <c r="BG80" i="18"/>
  <c r="CC80" i="18"/>
  <c r="DM80" i="18"/>
  <c r="HC80" i="18"/>
  <c r="HW80" i="18"/>
  <c r="JK80" i="18"/>
  <c r="KE80" i="18"/>
  <c r="KS80" i="18"/>
  <c r="LQ80" i="18"/>
  <c r="BU81" i="18"/>
  <c r="DM81" i="18"/>
  <c r="FY81" i="18"/>
  <c r="JO81" i="18"/>
  <c r="KM81" i="18"/>
  <c r="LK81" i="18"/>
  <c r="U83" i="18"/>
  <c r="BK83" i="18"/>
  <c r="CG83" i="18"/>
  <c r="DC83" i="18"/>
  <c r="FM83" i="18"/>
  <c r="GY83" i="18"/>
  <c r="HY83" i="18"/>
  <c r="AY84" i="18"/>
  <c r="BM84" i="18"/>
  <c r="CK84" i="18"/>
  <c r="DS84" i="18"/>
  <c r="GC84" i="18"/>
  <c r="HA84" i="18"/>
  <c r="HW84" i="18"/>
  <c r="IS84" i="18"/>
  <c r="JK84" i="18"/>
  <c r="KG84" i="18"/>
  <c r="LE84" i="18"/>
  <c r="LW84" i="18"/>
  <c r="AY85" i="18"/>
  <c r="DU85" i="18"/>
  <c r="BY86" i="18"/>
  <c r="CW86" i="18"/>
  <c r="DO86" i="18"/>
  <c r="FY86" i="18"/>
  <c r="IA86" i="18"/>
  <c r="IW86" i="18"/>
  <c r="LC86" i="18"/>
  <c r="AQ87" i="18"/>
  <c r="BI87" i="18"/>
  <c r="CY87" i="18"/>
  <c r="DU87" i="18"/>
  <c r="GM87" i="18"/>
  <c r="HC87" i="18"/>
  <c r="HY87" i="18"/>
  <c r="JM87" i="18"/>
  <c r="M88" i="18"/>
  <c r="BW88" i="18"/>
  <c r="CO88" i="18"/>
  <c r="FI88" i="18"/>
  <c r="HA88" i="18"/>
  <c r="HW88" i="18"/>
  <c r="KG88" i="18"/>
  <c r="LE88" i="18"/>
  <c r="LW88" i="18"/>
  <c r="BE89" i="18"/>
  <c r="GK89" i="18"/>
  <c r="LS89" i="18"/>
  <c r="AU98" i="18"/>
  <c r="AQ91" i="18"/>
  <c r="BE91" i="18"/>
  <c r="BY91" i="18"/>
  <c r="GA91" i="18"/>
  <c r="GW91" i="18"/>
  <c r="HQ91" i="18"/>
  <c r="IY91" i="18"/>
  <c r="JY91" i="18"/>
  <c r="KM91" i="18"/>
  <c r="LK91" i="18"/>
  <c r="BG92" i="18"/>
  <c r="CG92" i="18"/>
  <c r="DG92" i="18"/>
  <c r="HW92" i="18"/>
  <c r="AO93" i="18"/>
  <c r="BC93" i="18"/>
  <c r="BU93" i="18"/>
  <c r="CO93" i="18"/>
  <c r="DG93" i="18"/>
  <c r="FY93" i="18"/>
  <c r="HO93" i="18"/>
  <c r="JC93" i="18"/>
  <c r="KO93" i="18"/>
  <c r="BI94" i="18"/>
  <c r="DK94" i="18"/>
  <c r="FM94" i="18"/>
  <c r="GM94" i="18"/>
  <c r="HM94" i="18"/>
  <c r="JE94" i="18"/>
  <c r="KG94" i="18"/>
  <c r="FY95" i="18"/>
  <c r="LC95" i="18"/>
  <c r="BG96" i="18"/>
  <c r="GO96" i="18"/>
  <c r="BC97" i="18"/>
  <c r="IU97" i="18"/>
  <c r="DC98" i="18"/>
  <c r="GM98" i="18"/>
  <c r="KA107" i="18"/>
  <c r="LM107" i="18"/>
  <c r="KK107" i="18"/>
  <c r="HY107" i="18"/>
  <c r="HE107" i="18"/>
  <c r="FO107" i="18"/>
  <c r="BI107" i="18"/>
  <c r="AS107" i="18"/>
  <c r="KI107" i="18"/>
  <c r="IQ107" i="18"/>
  <c r="DS107" i="18"/>
  <c r="HW107" i="18"/>
  <c r="FM107" i="18"/>
  <c r="CC107" i="18"/>
  <c r="BG107" i="18"/>
  <c r="IK107" i="18"/>
  <c r="DQ107" i="18"/>
  <c r="AI107" i="18"/>
  <c r="KE107" i="18"/>
  <c r="HU107" i="18"/>
  <c r="GA107" i="18"/>
  <c r="FK107" i="18"/>
  <c r="CW107" i="18"/>
  <c r="CA107" i="18"/>
  <c r="O107" i="18"/>
  <c r="JC107" i="18"/>
  <c r="II107" i="18"/>
  <c r="GW107" i="18"/>
  <c r="FY107" i="18"/>
  <c r="CO107" i="18"/>
  <c r="BY107" i="18"/>
  <c r="AE107" i="18"/>
  <c r="M107" i="18"/>
  <c r="LQ107" i="18"/>
  <c r="IY107" i="18"/>
  <c r="HO107" i="18"/>
  <c r="GS107" i="18"/>
  <c r="DI107" i="18"/>
  <c r="CM107" i="18"/>
  <c r="JO107" i="18"/>
  <c r="IA107" i="18"/>
  <c r="HM107" i="18"/>
  <c r="GQ107" i="18"/>
  <c r="DG107" i="18"/>
  <c r="IC107" i="18"/>
  <c r="DO96" i="18"/>
  <c r="HW96" i="18"/>
  <c r="LE96" i="18"/>
  <c r="CK97" i="18"/>
  <c r="DM97" i="18"/>
  <c r="GU97" i="18"/>
  <c r="AW98" i="18"/>
  <c r="DI98" i="18"/>
  <c r="FU98" i="18"/>
  <c r="IG98" i="18"/>
  <c r="JE98" i="18"/>
  <c r="KA98" i="18"/>
  <c r="LS98" i="18"/>
  <c r="IW90" i="18"/>
  <c r="JY90" i="18"/>
  <c r="LW90" i="18"/>
  <c r="BI91" i="18"/>
  <c r="CY91" i="18"/>
  <c r="FS91" i="18"/>
  <c r="GK91" i="18"/>
  <c r="II91" i="18"/>
  <c r="KC91" i="18"/>
  <c r="KQ91" i="18"/>
  <c r="LS91" i="18"/>
  <c r="AS92" i="18"/>
  <c r="FI92" i="18"/>
  <c r="KE92" i="18"/>
  <c r="LW92" i="18"/>
  <c r="CC93" i="18"/>
  <c r="DK93" i="18"/>
  <c r="GC93" i="18"/>
  <c r="GY93" i="18"/>
  <c r="HS93" i="18"/>
  <c r="KS93" i="18"/>
  <c r="LS93" i="18"/>
  <c r="AU94" i="18"/>
  <c r="BW94" i="18"/>
  <c r="CW94" i="18"/>
  <c r="HU94" i="18"/>
  <c r="IS94" i="18"/>
  <c r="JM94" i="18"/>
  <c r="KM94" i="18"/>
  <c r="LM94" i="18"/>
  <c r="AQ95" i="18"/>
  <c r="CG95" i="18"/>
  <c r="FO95" i="18"/>
  <c r="GC95" i="18"/>
  <c r="HC95" i="18"/>
  <c r="IW95" i="18"/>
  <c r="JU95" i="18"/>
  <c r="LA95" i="18" s="1"/>
  <c r="LK95" i="18"/>
  <c r="HY96" i="18"/>
  <c r="GW97" i="18"/>
  <c r="HY97" i="18"/>
  <c r="CM98" i="18"/>
  <c r="DK98" i="18"/>
  <c r="FW98" i="18"/>
  <c r="HO98" i="18"/>
  <c r="II98" i="18"/>
  <c r="KC98" i="18"/>
  <c r="LC98" i="18"/>
  <c r="CE100" i="18"/>
  <c r="JM100" i="18"/>
  <c r="KO100" i="18"/>
  <c r="KS107" i="18"/>
  <c r="BG90" i="18"/>
  <c r="GS90" i="18"/>
  <c r="AA91" i="18"/>
  <c r="AW91" i="18"/>
  <c r="CE91" i="18"/>
  <c r="DM91" i="18"/>
  <c r="FG91" i="18"/>
  <c r="GM91" i="18"/>
  <c r="HE91" i="18"/>
  <c r="HW91" i="18"/>
  <c r="JG91" i="18"/>
  <c r="W92" i="18"/>
  <c r="AU92" i="18"/>
  <c r="BU92" i="18"/>
  <c r="FK92" i="18"/>
  <c r="GM92" i="18"/>
  <c r="KG92" i="18"/>
  <c r="LE92" i="18"/>
  <c r="AA93" i="18"/>
  <c r="BI93" i="18"/>
  <c r="CY93" i="18"/>
  <c r="FQ93" i="18"/>
  <c r="GI93" i="18"/>
  <c r="HA93" i="18"/>
  <c r="IK93" i="18"/>
  <c r="JK93" i="18"/>
  <c r="KE93" i="18"/>
  <c r="LU93" i="18"/>
  <c r="AW94" i="18"/>
  <c r="KO94" i="18"/>
  <c r="LO94" i="18"/>
  <c r="U95" i="18"/>
  <c r="DE95" i="18"/>
  <c r="DU95" i="18"/>
  <c r="GK95" i="18"/>
  <c r="HE95" i="18"/>
  <c r="IA95" i="18"/>
  <c r="KO95" i="18"/>
  <c r="LM95" i="18"/>
  <c r="GY96" i="18"/>
  <c r="JC96" i="18"/>
  <c r="CO97" i="18"/>
  <c r="GY97" i="18"/>
  <c r="JE97" i="18"/>
  <c r="KE97" i="18"/>
  <c r="BW98" i="18"/>
  <c r="FY98" i="18"/>
  <c r="IK98" i="18"/>
  <c r="LE98" i="18"/>
  <c r="CG100" i="18"/>
  <c r="FM100" i="18"/>
  <c r="LU100" i="18"/>
  <c r="AW107" i="18"/>
  <c r="FG107" i="18"/>
  <c r="FQ90" i="18"/>
  <c r="BK91" i="18"/>
  <c r="DA91" i="18"/>
  <c r="FU91" i="18"/>
  <c r="GO91" i="18"/>
  <c r="IK91" i="18"/>
  <c r="KE91" i="18"/>
  <c r="AW92" i="18"/>
  <c r="FM92" i="18"/>
  <c r="AW93" i="18"/>
  <c r="CE93" i="18"/>
  <c r="DM93" i="18"/>
  <c r="HC93" i="18"/>
  <c r="HW93" i="18"/>
  <c r="IS93" i="18"/>
  <c r="JM93" i="18"/>
  <c r="Y94" i="18"/>
  <c r="AY94" i="18"/>
  <c r="DA94" i="18"/>
  <c r="DU94" i="18"/>
  <c r="FW94" i="18"/>
  <c r="GW94" i="18"/>
  <c r="AU95" i="18"/>
  <c r="BK95" i="18"/>
  <c r="CI95" i="18"/>
  <c r="FQ95" i="18"/>
  <c r="HG95" i="18"/>
  <c r="BY96" i="18"/>
  <c r="HA96" i="18"/>
  <c r="BU97" i="18"/>
  <c r="FW97" i="18"/>
  <c r="BY98" i="18"/>
  <c r="LG98" i="18"/>
  <c r="LG100" i="18"/>
  <c r="IG100" i="18"/>
  <c r="JE100" i="18"/>
  <c r="HC100" i="18"/>
  <c r="FG100" i="18"/>
  <c r="AQ100" i="18"/>
  <c r="LS100" i="18"/>
  <c r="JW100" i="18"/>
  <c r="DE100" i="18"/>
  <c r="IS100" i="18"/>
  <c r="CA100" i="18"/>
  <c r="BA100" i="18"/>
  <c r="KI100" i="18"/>
  <c r="DQ100" i="18"/>
  <c r="AG100" i="18"/>
  <c r="CI100" i="18"/>
  <c r="JU100" i="18"/>
  <c r="LA100" i="18" s="1"/>
  <c r="HY90" i="18"/>
  <c r="M91" i="18"/>
  <c r="AC91" i="18"/>
  <c r="AY91" i="18"/>
  <c r="CI91" i="18"/>
  <c r="DO91" i="18"/>
  <c r="FI91" i="18"/>
  <c r="GQ91" i="18"/>
  <c r="HG91" i="18"/>
  <c r="HY91" i="18"/>
  <c r="IS91" i="18"/>
  <c r="JI91" i="18"/>
  <c r="LC91" i="18"/>
  <c r="LW91" i="18"/>
  <c r="BW92" i="18"/>
  <c r="DS92" i="18"/>
  <c r="FO92" i="18"/>
  <c r="JI92" i="18"/>
  <c r="AC93" i="18"/>
  <c r="BK93" i="18"/>
  <c r="DA93" i="18"/>
  <c r="FS93" i="18"/>
  <c r="GK93" i="18"/>
  <c r="HE93" i="18"/>
  <c r="HY93" i="18"/>
  <c r="IU93" i="18"/>
  <c r="JO93" i="18"/>
  <c r="KG93" i="18"/>
  <c r="BA94" i="18"/>
  <c r="DC94" i="18"/>
  <c r="FY94" i="18"/>
  <c r="GY94" i="18"/>
  <c r="HY94" i="18"/>
  <c r="IY94" i="18"/>
  <c r="JY94" i="18"/>
  <c r="KS94" i="18"/>
  <c r="AW95" i="18"/>
  <c r="DI95" i="18"/>
  <c r="GM95" i="18"/>
  <c r="IC95" i="18"/>
  <c r="JA95" i="18"/>
  <c r="KA95" i="18"/>
  <c r="KQ95" i="18"/>
  <c r="LO95" i="18"/>
  <c r="IE96" i="18"/>
  <c r="KK96" i="18"/>
  <c r="BC98" i="18"/>
  <c r="CA98" i="18"/>
  <c r="DO98" i="18"/>
  <c r="FG98" i="18"/>
  <c r="HS98" i="18"/>
  <c r="KG98" i="18"/>
  <c r="M100" i="18"/>
  <c r="HS100" i="18"/>
  <c r="IU100" i="18"/>
  <c r="AY107" i="18"/>
  <c r="M90" i="18"/>
  <c r="IA90" i="18"/>
  <c r="BM91" i="18"/>
  <c r="CK91" i="18"/>
  <c r="DC91" i="18"/>
  <c r="DQ91" i="18"/>
  <c r="FW91" i="18"/>
  <c r="HM91" i="18"/>
  <c r="JK91" i="18"/>
  <c r="KI91" i="18"/>
  <c r="LE91" i="18"/>
  <c r="DA92" i="18"/>
  <c r="DU92" i="18"/>
  <c r="FQ92" i="18"/>
  <c r="IQ92" i="18"/>
  <c r="JK92" i="18"/>
  <c r="KK92" i="18"/>
  <c r="LK92" i="18"/>
  <c r="AY93" i="18"/>
  <c r="CG93" i="18"/>
  <c r="DO93" i="18"/>
  <c r="FG93" i="18"/>
  <c r="FU93" i="18"/>
  <c r="GM93" i="18"/>
  <c r="JQ93" i="18"/>
  <c r="KY93" i="18" s="1"/>
  <c r="LE93" i="18"/>
  <c r="DE94" i="18"/>
  <c r="GA94" i="18"/>
  <c r="IA94" i="18"/>
  <c r="LS94" i="18"/>
  <c r="AA95" i="18"/>
  <c r="BM95" i="18"/>
  <c r="CM95" i="18"/>
  <c r="FS95" i="18"/>
  <c r="GO95" i="18"/>
  <c r="JC95" i="18"/>
  <c r="LQ95" i="18"/>
  <c r="AY96" i="18"/>
  <c r="GA96" i="18"/>
  <c r="AW97" i="18"/>
  <c r="HE97" i="18"/>
  <c r="LO97" i="18"/>
  <c r="AG98" i="18"/>
  <c r="BE98" i="18"/>
  <c r="DQ98" i="18"/>
  <c r="FI98" i="18"/>
  <c r="GC98" i="18"/>
  <c r="HU98" i="18"/>
  <c r="KI98" i="18"/>
  <c r="FS99" i="18"/>
  <c r="JG99" i="18"/>
  <c r="KE99" i="18"/>
  <c r="LG99" i="18"/>
  <c r="AO100" i="18"/>
  <c r="FQ100" i="18"/>
  <c r="GQ100" i="18"/>
  <c r="AA107" i="18"/>
  <c r="AQ90" i="18"/>
  <c r="BS90" i="18"/>
  <c r="CO90" i="18"/>
  <c r="DS90" i="18"/>
  <c r="GY90" i="18"/>
  <c r="BA91" i="18"/>
  <c r="BS91" i="18"/>
  <c r="CM91" i="18"/>
  <c r="DE91" i="18"/>
  <c r="DS91" i="18"/>
  <c r="FK91" i="18"/>
  <c r="GS91" i="18"/>
  <c r="IA91" i="18"/>
  <c r="IU91" i="18"/>
  <c r="JM91" i="18"/>
  <c r="LG91" i="18"/>
  <c r="DC92" i="18"/>
  <c r="HS92" i="18"/>
  <c r="KM92" i="18"/>
  <c r="AE93" i="18"/>
  <c r="BM93" i="18"/>
  <c r="CI93" i="18"/>
  <c r="DC93" i="18"/>
  <c r="FI93" i="18"/>
  <c r="GO93" i="18"/>
  <c r="HG93" i="18"/>
  <c r="IA93" i="18"/>
  <c r="JU93" i="18"/>
  <c r="LA93" i="18" s="1"/>
  <c r="KK93" i="18"/>
  <c r="LG93" i="18"/>
  <c r="CG94" i="18"/>
  <c r="FG94" i="18"/>
  <c r="GC94" i="18"/>
  <c r="JA94" i="18"/>
  <c r="KA94" i="18"/>
  <c r="AC95" i="18"/>
  <c r="AY95" i="18"/>
  <c r="BU95" i="18"/>
  <c r="CO95" i="18"/>
  <c r="DK95" i="18"/>
  <c r="GQ95" i="18"/>
  <c r="HQ95" i="18"/>
  <c r="IE95" i="18"/>
  <c r="JE95" i="18"/>
  <c r="KC95" i="18"/>
  <c r="KS95" i="18"/>
  <c r="LS95" i="18"/>
  <c r="GC96" i="18"/>
  <c r="DA97" i="18"/>
  <c r="BG98" i="18"/>
  <c r="CY98" i="18"/>
  <c r="DS98" i="18"/>
  <c r="FK98" i="18"/>
  <c r="GY98" i="18"/>
  <c r="HW98" i="18"/>
  <c r="KK98" i="18"/>
  <c r="BU99" i="18"/>
  <c r="CO99" i="18"/>
  <c r="DI99" i="18"/>
  <c r="GQ99" i="18"/>
  <c r="HQ99" i="18"/>
  <c r="IG99" i="18"/>
  <c r="JI99" i="18"/>
  <c r="KG99" i="18"/>
  <c r="BK100" i="18"/>
  <c r="CM100" i="18"/>
  <c r="DO100" i="18"/>
  <c r="HU100" i="18"/>
  <c r="JA107" i="18"/>
  <c r="CQ90" i="18"/>
  <c r="FY90" i="18"/>
  <c r="LM90" i="18"/>
  <c r="AI91" i="18"/>
  <c r="BC91" i="18"/>
  <c r="FY91" i="18"/>
  <c r="HO91" i="18"/>
  <c r="JO91" i="18"/>
  <c r="KK91" i="18"/>
  <c r="JM92" i="18"/>
  <c r="LM92" i="18"/>
  <c r="BA93" i="18"/>
  <c r="BS93" i="18"/>
  <c r="CK93" i="18"/>
  <c r="DQ93" i="18"/>
  <c r="FW93" i="18"/>
  <c r="GQ93" i="18"/>
  <c r="HM93" i="18"/>
  <c r="IY93" i="18"/>
  <c r="KM93" i="18"/>
  <c r="LI93" i="18"/>
  <c r="M94" i="18"/>
  <c r="CI94" i="18"/>
  <c r="GK94" i="18"/>
  <c r="IE94" i="18"/>
  <c r="KC94" i="18"/>
  <c r="LC94" i="18"/>
  <c r="AE95" i="18"/>
  <c r="CQ95" i="18"/>
  <c r="FG95" i="18"/>
  <c r="FW95" i="18"/>
  <c r="GS95" i="18"/>
  <c r="JG95" i="18"/>
  <c r="LU95" i="18"/>
  <c r="FI96" i="18"/>
  <c r="JM96" i="18"/>
  <c r="W97" i="18"/>
  <c r="FG97" i="18"/>
  <c r="GK97" i="18"/>
  <c r="LQ97" i="18"/>
  <c r="AK98" i="18"/>
  <c r="BI98" i="18"/>
  <c r="DU98" i="18"/>
  <c r="FM98" i="18"/>
  <c r="HA98" i="18"/>
  <c r="HY98" i="18"/>
  <c r="JM98" i="18"/>
  <c r="KM98" i="18"/>
  <c r="BA99" i="18"/>
  <c r="BW99" i="18"/>
  <c r="CQ99" i="18"/>
  <c r="DK99" i="18"/>
  <c r="FU99" i="18"/>
  <c r="GS99" i="18"/>
  <c r="HS99" i="18"/>
  <c r="II99" i="18"/>
  <c r="S100" i="18"/>
  <c r="BM100" i="18"/>
  <c r="CO100" i="18"/>
  <c r="FS100" i="18"/>
  <c r="GU100" i="18"/>
  <c r="JA100" i="18"/>
  <c r="KM90" i="18"/>
  <c r="Q91" i="18"/>
  <c r="AO91" i="18"/>
  <c r="BW91" i="18"/>
  <c r="CO91" i="18"/>
  <c r="DG91" i="18"/>
  <c r="DU91" i="18"/>
  <c r="FM91" i="18"/>
  <c r="GU91" i="18"/>
  <c r="IC91" i="18"/>
  <c r="IW91" i="18"/>
  <c r="JW91" i="18"/>
  <c r="BE92" i="18"/>
  <c r="CE92" i="18"/>
  <c r="GW92" i="18"/>
  <c r="IW92" i="18"/>
  <c r="KQ92" i="18"/>
  <c r="Q93" i="18"/>
  <c r="CM93" i="18"/>
  <c r="DE93" i="18"/>
  <c r="DS93" i="18"/>
  <c r="FK93" i="18"/>
  <c r="GS93" i="18"/>
  <c r="IC93" i="18"/>
  <c r="JA93" i="18"/>
  <c r="JY93" i="18"/>
  <c r="AG94" i="18"/>
  <c r="BG94" i="18"/>
  <c r="IG94" i="18"/>
  <c r="KE94" i="18"/>
  <c r="BA95" i="18"/>
  <c r="BW95" i="18"/>
  <c r="DM95" i="18"/>
  <c r="GU95" i="18"/>
  <c r="HS95" i="18"/>
  <c r="IG95" i="18"/>
  <c r="JI95" i="18"/>
  <c r="KE95" i="18"/>
  <c r="LW95" i="18"/>
  <c r="JO96" i="18"/>
  <c r="JO97" i="18"/>
  <c r="KQ97" i="18"/>
  <c r="U98" i="18"/>
  <c r="HC98" i="18"/>
  <c r="IA98" i="18"/>
  <c r="JO98" i="18"/>
  <c r="KO98" i="18"/>
  <c r="BY99" i="18"/>
  <c r="DM99" i="18"/>
  <c r="FG99" i="18"/>
  <c r="GU99" i="18"/>
  <c r="IK99" i="18"/>
  <c r="JK99" i="18"/>
  <c r="KK99" i="18"/>
  <c r="U100" i="18"/>
  <c r="AS100" i="18"/>
  <c r="BU100" i="18"/>
  <c r="HQ100" i="18"/>
  <c r="JK100" i="18"/>
  <c r="LK100" i="18"/>
  <c r="M101" i="18"/>
  <c r="AC101" i="18"/>
  <c r="AY101" i="18"/>
  <c r="DG101" i="18"/>
  <c r="FU101" i="18"/>
  <c r="GS101" i="18"/>
  <c r="IS101" i="18"/>
  <c r="KM101" i="18"/>
  <c r="AS102" i="18"/>
  <c r="CG102" i="18"/>
  <c r="DE102" i="18"/>
  <c r="FQ102" i="18"/>
  <c r="GO102" i="18"/>
  <c r="IG102" i="18"/>
  <c r="AY103" i="18"/>
  <c r="CK103" i="18"/>
  <c r="DI103" i="18"/>
  <c r="IK103" i="18"/>
  <c r="JI103" i="18"/>
  <c r="GC105" i="18"/>
  <c r="KS105" i="18"/>
  <c r="LQ105" i="18"/>
  <c r="HG106" i="18"/>
  <c r="JE106" i="18"/>
  <c r="LE106" i="18"/>
  <c r="BM107" i="18"/>
  <c r="CK107" i="18"/>
  <c r="FS107" i="18"/>
  <c r="KM107" i="18"/>
  <c r="LO107" i="18"/>
  <c r="BE108" i="18"/>
  <c r="CO108" i="18"/>
  <c r="DK108" i="18"/>
  <c r="FQ108" i="18"/>
  <c r="GY108" i="18"/>
  <c r="HW108" i="18"/>
  <c r="IS108" i="18"/>
  <c r="KE108" i="18"/>
  <c r="LQ108" i="18"/>
  <c r="S109" i="18"/>
  <c r="AO109" i="18"/>
  <c r="BE109" i="18"/>
  <c r="BY109" i="18"/>
  <c r="CO109" i="18"/>
  <c r="DG109" i="18"/>
  <c r="GM109" i="18"/>
  <c r="IA109" i="18"/>
  <c r="IY109" i="18"/>
  <c r="LM109" i="18"/>
  <c r="U110" i="18"/>
  <c r="BK110" i="18"/>
  <c r="DU110" i="18"/>
  <c r="KC110" i="18"/>
  <c r="LG110" i="18"/>
  <c r="AE100" i="18"/>
  <c r="GS100" i="18"/>
  <c r="LO100" i="18"/>
  <c r="AE101" i="18"/>
  <c r="BA101" i="18"/>
  <c r="CK101" i="18"/>
  <c r="DK101" i="18"/>
  <c r="FY101" i="18"/>
  <c r="GU101" i="18"/>
  <c r="HU101" i="18"/>
  <c r="JU101" i="18"/>
  <c r="LA101" i="18" s="1"/>
  <c r="LQ101" i="18"/>
  <c r="CK102" i="18"/>
  <c r="DG102" i="18"/>
  <c r="JI102" i="18"/>
  <c r="KK102" i="18"/>
  <c r="LK102" i="18"/>
  <c r="HW103" i="18"/>
  <c r="IQ103" i="18"/>
  <c r="JM103" i="18"/>
  <c r="LK103" i="18"/>
  <c r="AE105" i="18"/>
  <c r="BA105" i="18"/>
  <c r="DO105" i="18"/>
  <c r="GK105" i="18"/>
  <c r="HE105" i="18"/>
  <c r="IE105" i="18"/>
  <c r="LC105" i="18"/>
  <c r="FW107" i="18"/>
  <c r="AI108" i="18"/>
  <c r="BI108" i="18"/>
  <c r="CQ108" i="18"/>
  <c r="DM108" i="18"/>
  <c r="FS108" i="18"/>
  <c r="HA108" i="18"/>
  <c r="IW108" i="18"/>
  <c r="FU109" i="18"/>
  <c r="GQ109" i="18"/>
  <c r="IC109" i="18"/>
  <c r="JC109" i="18"/>
  <c r="KA109" i="18"/>
  <c r="LQ109" i="18"/>
  <c r="W110" i="18"/>
  <c r="BM110" i="18"/>
  <c r="CI110" i="18"/>
  <c r="FS110" i="18"/>
  <c r="GQ110" i="18"/>
  <c r="II110" i="18"/>
  <c r="GW100" i="18"/>
  <c r="IW100" i="18"/>
  <c r="KQ100" i="18"/>
  <c r="AG101" i="18"/>
  <c r="BE101" i="18"/>
  <c r="BY101" i="18"/>
  <c r="CO101" i="18"/>
  <c r="FG101" i="18"/>
  <c r="HY101" i="18"/>
  <c r="JY101" i="18"/>
  <c r="KS101" i="18"/>
  <c r="LU101" i="18"/>
  <c r="AW102" i="18"/>
  <c r="BS102" i="18"/>
  <c r="DI102" i="18"/>
  <c r="GU102" i="18"/>
  <c r="IS102" i="18"/>
  <c r="JM102" i="18"/>
  <c r="Q103" i="18"/>
  <c r="BE103" i="18"/>
  <c r="CW103" i="18"/>
  <c r="FK103" i="18"/>
  <c r="GY103" i="18"/>
  <c r="HY103" i="18"/>
  <c r="JU103" i="18"/>
  <c r="LA103" i="18" s="1"/>
  <c r="KM103" i="18"/>
  <c r="CA105" i="18"/>
  <c r="FQ105" i="18"/>
  <c r="GO105" i="18"/>
  <c r="IG105" i="18"/>
  <c r="JG105" i="18"/>
  <c r="AE106" i="18"/>
  <c r="HU106" i="18"/>
  <c r="IQ106" i="18"/>
  <c r="JK106" i="18"/>
  <c r="KM106" i="18"/>
  <c r="LK106" i="18"/>
  <c r="BA107" i="18"/>
  <c r="DM107" i="18"/>
  <c r="AS108" i="18"/>
  <c r="BM108" i="18"/>
  <c r="CY108" i="18"/>
  <c r="FU108" i="18"/>
  <c r="IC108" i="18"/>
  <c r="IY108" i="18"/>
  <c r="LW108" i="18"/>
  <c r="Y109" i="18"/>
  <c r="BI109" i="18"/>
  <c r="DK109" i="18"/>
  <c r="FI109" i="18"/>
  <c r="IE109" i="18"/>
  <c r="JE109" i="18"/>
  <c r="KC109" i="18"/>
  <c r="LU109" i="18"/>
  <c r="AW110" i="18"/>
  <c r="BU110" i="18"/>
  <c r="IS110" i="18"/>
  <c r="GY100" i="18"/>
  <c r="IY100" i="18"/>
  <c r="KS100" i="18"/>
  <c r="S101" i="18"/>
  <c r="AI101" i="18"/>
  <c r="BG101" i="18"/>
  <c r="CA101" i="18"/>
  <c r="DO101" i="18"/>
  <c r="FI101" i="18"/>
  <c r="GC101" i="18"/>
  <c r="HA101" i="18"/>
  <c r="IA101" i="18"/>
  <c r="KA101" i="18"/>
  <c r="AA102" i="18"/>
  <c r="AY102" i="18"/>
  <c r="BU102" i="18"/>
  <c r="CO102" i="18"/>
  <c r="FW102" i="18"/>
  <c r="GW102" i="18"/>
  <c r="JO102" i="18"/>
  <c r="KO102" i="18"/>
  <c r="BG103" i="18"/>
  <c r="CY103" i="18"/>
  <c r="DQ103" i="18"/>
  <c r="FM103" i="18"/>
  <c r="GC103" i="18"/>
  <c r="HA103" i="18"/>
  <c r="IW103" i="18"/>
  <c r="KO103" i="18"/>
  <c r="LO103" i="18"/>
  <c r="BE105" i="18"/>
  <c r="DA105" i="18"/>
  <c r="DU105" i="18"/>
  <c r="GQ105" i="18"/>
  <c r="II105" i="18"/>
  <c r="KI105" i="18"/>
  <c r="LI105" i="18"/>
  <c r="FU106" i="18"/>
  <c r="GW106" i="18"/>
  <c r="KO106" i="18"/>
  <c r="AG107" i="18"/>
  <c r="CQ107" i="18"/>
  <c r="LC107" i="18"/>
  <c r="LW107" i="18"/>
  <c r="AU108" i="18"/>
  <c r="BS108" i="18"/>
  <c r="CG108" i="18"/>
  <c r="DQ108" i="18"/>
  <c r="FW108" i="18"/>
  <c r="GO108" i="18"/>
  <c r="HG108" i="18"/>
  <c r="IE108" i="18"/>
  <c r="KK108" i="18"/>
  <c r="AW109" i="18"/>
  <c r="CE109" i="18"/>
  <c r="CY109" i="18"/>
  <c r="FY109" i="18"/>
  <c r="HQ109" i="18"/>
  <c r="JG109" i="18"/>
  <c r="KS109" i="18"/>
  <c r="AA110" i="18"/>
  <c r="AY110" i="18"/>
  <c r="BW110" i="18"/>
  <c r="CM110" i="18"/>
  <c r="FW110" i="18"/>
  <c r="IU110" i="18"/>
  <c r="KM110" i="18"/>
  <c r="GY107" i="18"/>
  <c r="JE107" i="18"/>
  <c r="LE107" i="18"/>
  <c r="Y108" i="18"/>
  <c r="AW108" i="18"/>
  <c r="DA108" i="18"/>
  <c r="GQ108" i="18"/>
  <c r="JA108" i="18"/>
  <c r="JO108" i="18"/>
  <c r="KM108" i="18"/>
  <c r="LK108" i="18"/>
  <c r="KE109" i="18"/>
  <c r="BA110" i="18"/>
  <c r="FG110" i="18"/>
  <c r="FY110" i="18"/>
  <c r="GW110" i="18"/>
  <c r="IW110" i="18"/>
  <c r="KO110" i="18"/>
  <c r="LO110" i="18"/>
  <c r="BI100" i="18"/>
  <c r="GA100" i="18"/>
  <c r="IC100" i="18"/>
  <c r="LC100" i="18"/>
  <c r="LW100" i="18"/>
  <c r="U101" i="18"/>
  <c r="CC101" i="18"/>
  <c r="CY101" i="18"/>
  <c r="DS101" i="18"/>
  <c r="FM101" i="18"/>
  <c r="HE101" i="18"/>
  <c r="JE101" i="18"/>
  <c r="LE101" i="18"/>
  <c r="BY102" i="18"/>
  <c r="CW102" i="18"/>
  <c r="DM102" i="18"/>
  <c r="FI102" i="18"/>
  <c r="GA102" i="18"/>
  <c r="HA102" i="18"/>
  <c r="IW102" i="18"/>
  <c r="DS103" i="18"/>
  <c r="GK103" i="18"/>
  <c r="IC103" i="18"/>
  <c r="JA103" i="18"/>
  <c r="KA103" i="18"/>
  <c r="S105" i="18"/>
  <c r="FW105" i="18"/>
  <c r="GU105" i="18"/>
  <c r="HU105" i="18"/>
  <c r="IQ105" i="18"/>
  <c r="KK105" i="18"/>
  <c r="LK105" i="18"/>
  <c r="FY106" i="18"/>
  <c r="GY106" i="18"/>
  <c r="JU106" i="18"/>
  <c r="LA106" i="18" s="1"/>
  <c r="LQ106" i="18"/>
  <c r="Q107" i="18"/>
  <c r="GC107" i="18"/>
  <c r="KG107" i="18"/>
  <c r="LG107" i="18"/>
  <c r="BU108" i="18"/>
  <c r="CI108" i="18"/>
  <c r="DC108" i="18"/>
  <c r="DS108" i="18"/>
  <c r="FI108" i="18"/>
  <c r="FY108" i="18"/>
  <c r="HO108" i="18"/>
  <c r="IG108" i="18"/>
  <c r="KO108" i="18"/>
  <c r="M109" i="18"/>
  <c r="AC109" i="18"/>
  <c r="AY109" i="18"/>
  <c r="CG109" i="18"/>
  <c r="DA109" i="18"/>
  <c r="DO109" i="18"/>
  <c r="GA109" i="18"/>
  <c r="GY109" i="18"/>
  <c r="II109" i="18"/>
  <c r="JK109" i="18"/>
  <c r="KG109" i="18"/>
  <c r="LC109" i="18"/>
  <c r="M110" i="18"/>
  <c r="BC110" i="18"/>
  <c r="BY110" i="18"/>
  <c r="CO110" i="18"/>
  <c r="DK110" i="18"/>
  <c r="FI110" i="18"/>
  <c r="HW110" i="18"/>
  <c r="JW110" i="18"/>
  <c r="DK100" i="18"/>
  <c r="GC100" i="18"/>
  <c r="IE100" i="18"/>
  <c r="KC100" i="18"/>
  <c r="MH100" i="18"/>
  <c r="W101" i="18"/>
  <c r="BK101" i="18"/>
  <c r="DU101" i="18"/>
  <c r="GK101" i="18"/>
  <c r="IE101" i="18"/>
  <c r="JG101" i="18"/>
  <c r="LG101" i="18"/>
  <c r="AG102" i="18"/>
  <c r="DO102" i="18"/>
  <c r="GC102" i="18"/>
  <c r="HY102" i="18"/>
  <c r="IY102" i="18"/>
  <c r="JY102" i="18"/>
  <c r="W103" i="18"/>
  <c r="BK103" i="18"/>
  <c r="CG103" i="18"/>
  <c r="DC103" i="18"/>
  <c r="FQ103" i="18"/>
  <c r="GM103" i="18"/>
  <c r="HG103" i="18"/>
  <c r="KS103" i="18"/>
  <c r="MJ105" i="18"/>
  <c r="AS105" i="18"/>
  <c r="BI105" i="18"/>
  <c r="CG105" i="18"/>
  <c r="BK106" i="18"/>
  <c r="FG106" i="18"/>
  <c r="HA106" i="18"/>
  <c r="IY106" i="18"/>
  <c r="S107" i="18"/>
  <c r="DA107" i="18"/>
  <c r="GK107" i="18"/>
  <c r="HC107" i="18"/>
  <c r="M108" i="18"/>
  <c r="AA108" i="18"/>
  <c r="AY108" i="18"/>
  <c r="FK108" i="18"/>
  <c r="GA108" i="18"/>
  <c r="GS108" i="18"/>
  <c r="HQ108" i="18"/>
  <c r="II108" i="18"/>
  <c r="JC108" i="18"/>
  <c r="JW108" i="18"/>
  <c r="KQ108" i="18"/>
  <c r="LM108" i="18"/>
  <c r="O109" i="18"/>
  <c r="BM109" i="18"/>
  <c r="CI109" i="18"/>
  <c r="FM109" i="18"/>
  <c r="HA109" i="18"/>
  <c r="IK109" i="18"/>
  <c r="JM109" i="18"/>
  <c r="LE109" i="18"/>
  <c r="AE110" i="18"/>
  <c r="DM110" i="18"/>
  <c r="GY110" i="18"/>
  <c r="JA110" i="18"/>
  <c r="DM100" i="18"/>
  <c r="GK100" i="18"/>
  <c r="HE100" i="18"/>
  <c r="KE100" i="18"/>
  <c r="Y101" i="18"/>
  <c r="AU101" i="18"/>
  <c r="CE101" i="18"/>
  <c r="HG101" i="18"/>
  <c r="IG101" i="18"/>
  <c r="KG101" i="18"/>
  <c r="LI101" i="18"/>
  <c r="AI102" i="18"/>
  <c r="BE102" i="18"/>
  <c r="CY102" i="18"/>
  <c r="DQ102" i="18"/>
  <c r="FK102" i="18"/>
  <c r="GI102" i="18"/>
  <c r="IA102" i="18"/>
  <c r="JA102" i="18"/>
  <c r="LC102" i="18"/>
  <c r="LW102" i="18"/>
  <c r="AS103" i="18"/>
  <c r="DU103" i="18"/>
  <c r="GO103" i="18"/>
  <c r="HM103" i="18"/>
  <c r="JC103" i="18"/>
  <c r="LW103" i="18"/>
  <c r="AU105" i="18"/>
  <c r="DI105" i="18"/>
  <c r="FY105" i="18"/>
  <c r="GY105" i="18"/>
  <c r="JO105" i="18"/>
  <c r="KM105" i="18"/>
  <c r="AS106" i="18"/>
  <c r="CK106" i="18"/>
  <c r="DM106" i="18"/>
  <c r="IA106" i="18"/>
  <c r="JY106" i="18"/>
  <c r="LU106" i="18"/>
  <c r="DC107" i="18"/>
  <c r="JK107" i="18"/>
  <c r="LK107" i="18"/>
  <c r="AC108" i="18"/>
  <c r="BW108" i="18"/>
  <c r="CK108" i="18"/>
  <c r="DE108" i="18"/>
  <c r="FM108" i="18"/>
  <c r="GC108" i="18"/>
  <c r="GU108" i="18"/>
  <c r="HS108" i="18"/>
  <c r="IK108" i="18"/>
  <c r="JY108" i="18"/>
  <c r="KS108" i="18"/>
  <c r="AE109" i="18"/>
  <c r="BA109" i="18"/>
  <c r="BS109" i="18"/>
  <c r="CK109" i="18"/>
  <c r="DC109" i="18"/>
  <c r="GC109" i="18"/>
  <c r="HW109" i="18"/>
  <c r="JO109" i="18"/>
  <c r="LG109" i="18"/>
  <c r="CW110" i="18"/>
  <c r="HY110" i="18"/>
  <c r="JC110" i="18"/>
  <c r="GM100" i="18"/>
  <c r="HG100" i="18"/>
  <c r="JG100" i="18"/>
  <c r="KG100" i="18"/>
  <c r="AW101" i="18"/>
  <c r="BM101" i="18"/>
  <c r="DC101" i="18"/>
  <c r="FQ101" i="18"/>
  <c r="GO101" i="18"/>
  <c r="HO101" i="18"/>
  <c r="II101" i="18"/>
  <c r="JI101" i="18"/>
  <c r="KI101" i="18"/>
  <c r="O102" i="18"/>
  <c r="AQ102" i="18"/>
  <c r="CC102" i="18"/>
  <c r="DA102" i="18"/>
  <c r="GK102" i="18"/>
  <c r="HE102" i="18"/>
  <c r="IC102" i="18"/>
  <c r="JC102" i="18"/>
  <c r="KC102" i="18"/>
  <c r="MP103" i="18"/>
  <c r="AU103" i="18"/>
  <c r="BM103" i="18"/>
  <c r="CI103" i="18"/>
  <c r="DE103" i="18"/>
  <c r="FS103" i="18"/>
  <c r="HO103" i="18"/>
  <c r="LC103" i="18"/>
  <c r="BK105" i="18"/>
  <c r="CK105" i="18"/>
  <c r="IW105" i="18"/>
  <c r="JU105" i="18"/>
  <c r="LA105" i="18" s="1"/>
  <c r="KO105" i="18"/>
  <c r="LO105" i="18"/>
  <c r="W106" i="18"/>
  <c r="BS106" i="18"/>
  <c r="FI106" i="18"/>
  <c r="HE106" i="18"/>
  <c r="JA106" i="18"/>
  <c r="W107" i="18"/>
  <c r="CG107" i="18"/>
  <c r="DE107" i="18"/>
  <c r="DU107" i="18"/>
  <c r="GO107" i="18"/>
  <c r="O108" i="18"/>
  <c r="BY108" i="18"/>
  <c r="CM108" i="18"/>
  <c r="DG108" i="18"/>
  <c r="GW108" i="18"/>
  <c r="JE108" i="18"/>
  <c r="LO108" i="18"/>
  <c r="Q109" i="18"/>
  <c r="DS109" i="18"/>
  <c r="FO109" i="18"/>
  <c r="HC109" i="18"/>
  <c r="HY109" i="18"/>
  <c r="IU109" i="18"/>
  <c r="JU109" i="18"/>
  <c r="LA109" i="18" s="1"/>
  <c r="KK109" i="18"/>
  <c r="LI109" i="18"/>
  <c r="BG110" i="18"/>
  <c r="CC110" i="18"/>
  <c r="DQ110" i="18"/>
  <c r="FM110" i="18"/>
  <c r="GI110" i="18"/>
  <c r="HC110" i="18"/>
  <c r="KA110" i="18"/>
  <c r="LW110" i="18"/>
  <c r="CQ100" i="18"/>
  <c r="FO100" i="18"/>
  <c r="HO100" i="18"/>
  <c r="JI100" i="18"/>
  <c r="LI100" i="18"/>
  <c r="BS101" i="18"/>
  <c r="CG101" i="18"/>
  <c r="FS101" i="18"/>
  <c r="GQ101" i="18"/>
  <c r="IK101" i="18"/>
  <c r="KK101" i="18"/>
  <c r="LK101" i="18"/>
  <c r="BG102" i="18"/>
  <c r="CE102" i="18"/>
  <c r="DC102" i="18"/>
  <c r="DS102" i="18"/>
  <c r="FO102" i="18"/>
  <c r="GM102" i="18"/>
  <c r="HG102" i="18"/>
  <c r="JE102" i="18"/>
  <c r="KE102" i="18"/>
  <c r="LE102" i="18"/>
  <c r="AW103" i="18"/>
  <c r="BS103" i="18"/>
  <c r="FU103" i="18"/>
  <c r="GS103" i="18"/>
  <c r="II103" i="18"/>
  <c r="JG103" i="18"/>
  <c r="KG103" i="18"/>
  <c r="AW105" i="18"/>
  <c r="BM105" i="18"/>
  <c r="CM105" i="18"/>
  <c r="DK105" i="18"/>
  <c r="FK105" i="18"/>
  <c r="GA105" i="18"/>
  <c r="HA105" i="18"/>
  <c r="IA105" i="18"/>
  <c r="AW106" i="18"/>
  <c r="DO106" i="18"/>
  <c r="IC106" i="18"/>
  <c r="KC106" i="18"/>
  <c r="LC106" i="18"/>
  <c r="BK107" i="18"/>
  <c r="FQ107" i="18"/>
  <c r="HG107" i="18"/>
  <c r="Q108" i="18"/>
  <c r="AE108" i="18"/>
  <c r="BC108" i="18"/>
  <c r="CA108" i="18"/>
  <c r="DI108" i="18"/>
  <c r="FO108" i="18"/>
  <c r="GI108" i="18"/>
  <c r="KC108" i="18"/>
  <c r="AI109" i="18"/>
  <c r="BW109" i="18"/>
  <c r="CM109" i="18"/>
  <c r="DU109" i="18"/>
  <c r="FQ109" i="18"/>
  <c r="GK109" i="18"/>
  <c r="HE109" i="18"/>
  <c r="KM109" i="18"/>
  <c r="S110" i="18"/>
  <c r="AO110" i="18"/>
  <c r="DA110" i="18"/>
  <c r="DS110" i="18"/>
  <c r="FO110" i="18"/>
  <c r="LE110" i="18"/>
  <c r="AI14" i="18"/>
  <c r="AG13" i="18"/>
  <c r="MB12" i="18"/>
  <c r="HH4" i="18"/>
  <c r="HI4" i="18" s="1"/>
  <c r="LX4" i="18"/>
  <c r="LY4" i="18" s="1"/>
  <c r="AJ10" i="18"/>
  <c r="AK10" i="18" s="1"/>
  <c r="IQ10" i="18" s="1"/>
  <c r="GD4" i="18"/>
  <c r="GE4" i="18" s="1"/>
  <c r="S8" i="18"/>
  <c r="CG8" i="18"/>
  <c r="FW8" i="18"/>
  <c r="HY8" i="18"/>
  <c r="KA8" i="18"/>
  <c r="IL9" i="18"/>
  <c r="IM9" i="18" s="1"/>
  <c r="DV10" i="18"/>
  <c r="DW10" i="18" s="1"/>
  <c r="AW11" i="18"/>
  <c r="BI11" i="18"/>
  <c r="CY11" i="18"/>
  <c r="DK11" i="18"/>
  <c r="GO11" i="18"/>
  <c r="HA11" i="18"/>
  <c r="JC11" i="18"/>
  <c r="JO11" i="18"/>
  <c r="LE11" i="18"/>
  <c r="LQ11" i="18"/>
  <c r="MC12" i="18"/>
  <c r="MD12" i="18" s="1"/>
  <c r="MO12" i="18"/>
  <c r="MP12" i="18" s="1"/>
  <c r="LS13" i="18"/>
  <c r="LA13" i="18"/>
  <c r="FK13" i="18"/>
  <c r="FW13" i="18"/>
  <c r="IL13" i="18"/>
  <c r="IM13" i="18" s="1"/>
  <c r="JC13" i="18"/>
  <c r="AT14" i="18"/>
  <c r="AU14" i="18" s="1"/>
  <c r="BH14" i="18"/>
  <c r="BI14" i="18" s="1"/>
  <c r="BZ14" i="18"/>
  <c r="CA14" i="18" s="1"/>
  <c r="CN14" i="18"/>
  <c r="CO14" i="18" s="1"/>
  <c r="LV14" i="18"/>
  <c r="LW14" i="18" s="1"/>
  <c r="LD14" i="18"/>
  <c r="KY14" i="18"/>
  <c r="ME16" i="18"/>
  <c r="MF16" i="18" s="1"/>
  <c r="MM17" i="18"/>
  <c r="MN17" i="18" s="1"/>
  <c r="BI18" i="18"/>
  <c r="CG18" i="18"/>
  <c r="DC18" i="18"/>
  <c r="FO18" i="18"/>
  <c r="HC18" i="18"/>
  <c r="IA18" i="18"/>
  <c r="IW18" i="18"/>
  <c r="GW20" i="18"/>
  <c r="HH20" i="18"/>
  <c r="HI20" i="18" s="1"/>
  <c r="MK22" i="18"/>
  <c r="ML22" i="18" s="1"/>
  <c r="BA22" i="18"/>
  <c r="HH22" i="18"/>
  <c r="HI22" i="18" s="1"/>
  <c r="GM22" i="18"/>
  <c r="DK8" i="18"/>
  <c r="AJ4" i="18"/>
  <c r="AK4" i="18" s="1"/>
  <c r="BN5" i="18"/>
  <c r="BO5" i="18" s="1"/>
  <c r="AE8" i="18"/>
  <c r="BU8" i="18"/>
  <c r="FK8" i="18"/>
  <c r="HM8" i="18"/>
  <c r="IK8" i="18"/>
  <c r="KM8" i="18"/>
  <c r="M4" i="18"/>
  <c r="Y4" i="18"/>
  <c r="JW4" i="18"/>
  <c r="MI4" i="18"/>
  <c r="MJ4" i="18" s="1"/>
  <c r="MU4" i="18"/>
  <c r="MV4" i="18" s="1"/>
  <c r="GI5" i="18"/>
  <c r="KY5" i="18"/>
  <c r="MK5" i="18"/>
  <c r="ML5" i="18" s="1"/>
  <c r="MW5" i="18"/>
  <c r="MX5" i="18" s="1"/>
  <c r="W6" i="18"/>
  <c r="BS6" i="18"/>
  <c r="CE6" i="18"/>
  <c r="CQ6" i="18"/>
  <c r="FI6" i="18"/>
  <c r="FU6" i="18"/>
  <c r="HM7" i="18"/>
  <c r="MA7" i="18"/>
  <c r="MM7" i="18"/>
  <c r="MN7" i="18" s="1"/>
  <c r="AU8" i="18"/>
  <c r="BG8" i="18"/>
  <c r="CW8" i="18"/>
  <c r="U9" i="18"/>
  <c r="AG9" i="18"/>
  <c r="FM9" i="18"/>
  <c r="FY9" i="18"/>
  <c r="MC9" i="18"/>
  <c r="MD9" i="18" s="1"/>
  <c r="MO9" i="18"/>
  <c r="MP9" i="18" s="1"/>
  <c r="AW10" i="18"/>
  <c r="BI10" i="18"/>
  <c r="W11" i="18"/>
  <c r="AI11" i="18"/>
  <c r="FO11" i="18"/>
  <c r="GA11" i="18"/>
  <c r="ME11" i="18"/>
  <c r="MF11" i="18" s="1"/>
  <c r="MQ11" i="18"/>
  <c r="MR11" i="18" s="1"/>
  <c r="AJ12" i="18"/>
  <c r="AK12" i="18" s="1"/>
  <c r="IQ12" i="18" s="1"/>
  <c r="AY12" i="18"/>
  <c r="BK12" i="18"/>
  <c r="V13" i="18"/>
  <c r="AH13" i="18"/>
  <c r="AV13" i="18"/>
  <c r="AW13" i="18" s="1"/>
  <c r="BH13" i="18"/>
  <c r="BI13" i="18" s="1"/>
  <c r="DH13" i="18"/>
  <c r="DI13" i="18" s="1"/>
  <c r="DT13" i="18"/>
  <c r="DU13" i="18" s="1"/>
  <c r="JU13" i="18"/>
  <c r="LM13" i="18"/>
  <c r="BJ14" i="18"/>
  <c r="BK14" i="18" s="1"/>
  <c r="FO14" i="18"/>
  <c r="IY14" i="18"/>
  <c r="LA14" i="18"/>
  <c r="U15" i="18"/>
  <c r="DV15" i="18"/>
  <c r="DW15" i="18" s="1"/>
  <c r="CR16" i="18"/>
  <c r="CS16" i="18" s="1"/>
  <c r="W18" i="18"/>
  <c r="AU18" i="18"/>
  <c r="CI18" i="18"/>
  <c r="FQ18" i="18"/>
  <c r="IC18" i="18"/>
  <c r="JO18" i="18"/>
  <c r="KQ18" i="18"/>
  <c r="AY19" i="18"/>
  <c r="DM19" i="18"/>
  <c r="GD19" i="18"/>
  <c r="GE19" i="18" s="1"/>
  <c r="KO19" i="18"/>
  <c r="KT22" i="18"/>
  <c r="KU22" i="18" s="1"/>
  <c r="JW22" i="18"/>
  <c r="AI30" i="18"/>
  <c r="LI40" i="18"/>
  <c r="LX40" i="18"/>
  <c r="LY40" i="18" s="1"/>
  <c r="MK41" i="18"/>
  <c r="ML41" i="18" s="1"/>
  <c r="BA41" i="18"/>
  <c r="MC7" i="18"/>
  <c r="MD7" i="18" s="1"/>
  <c r="CY8" i="18"/>
  <c r="JO8" i="18"/>
  <c r="KK5" i="18"/>
  <c r="Y6" i="18"/>
  <c r="AS6" i="18"/>
  <c r="BE6" i="18"/>
  <c r="GK6" i="18"/>
  <c r="GW6" i="18"/>
  <c r="IY6" i="18"/>
  <c r="JK6" i="18"/>
  <c r="LA6" i="18"/>
  <c r="LM6" i="18"/>
  <c r="S7" i="18"/>
  <c r="AE7" i="18"/>
  <c r="BU7" i="18"/>
  <c r="CG7" i="18"/>
  <c r="FK7" i="18"/>
  <c r="FW7" i="18"/>
  <c r="GM7" i="18"/>
  <c r="GY7" i="18"/>
  <c r="JA7" i="18"/>
  <c r="JM7" i="18"/>
  <c r="LC7" i="18"/>
  <c r="LO7" i="18"/>
  <c r="U8" i="18"/>
  <c r="AG8" i="18"/>
  <c r="BW8" i="18"/>
  <c r="CI8" i="18"/>
  <c r="FM8" i="18"/>
  <c r="FY8" i="18"/>
  <c r="HO8" i="18"/>
  <c r="IA8" i="18"/>
  <c r="KC8" i="18"/>
  <c r="KO8" i="18"/>
  <c r="MC8" i="18"/>
  <c r="MD8" i="18" s="1"/>
  <c r="MO8" i="18"/>
  <c r="MP8" i="18" s="1"/>
  <c r="AW9" i="18"/>
  <c r="BI9" i="18"/>
  <c r="CY9" i="18"/>
  <c r="DK9" i="18"/>
  <c r="GO9" i="18"/>
  <c r="HA9" i="18"/>
  <c r="JC9" i="18"/>
  <c r="JO9" i="18"/>
  <c r="LE9" i="18"/>
  <c r="LQ9" i="18"/>
  <c r="FO10" i="18"/>
  <c r="GA10" i="18"/>
  <c r="HQ10" i="18"/>
  <c r="IC10" i="18"/>
  <c r="KE10" i="18"/>
  <c r="KQ10" i="18"/>
  <c r="ME10" i="18"/>
  <c r="MF10" i="18" s="1"/>
  <c r="MQ10" i="18"/>
  <c r="MR10" i="18" s="1"/>
  <c r="AJ11" i="18"/>
  <c r="AK11" i="18" s="1"/>
  <c r="IQ11" i="18" s="1"/>
  <c r="AY11" i="18"/>
  <c r="BK11" i="18"/>
  <c r="DA11" i="18"/>
  <c r="DM11" i="18"/>
  <c r="GQ11" i="18"/>
  <c r="HC11" i="18"/>
  <c r="IS11" i="18"/>
  <c r="JE11" i="18"/>
  <c r="LG11" i="18"/>
  <c r="LS11" i="18"/>
  <c r="CW13" i="18"/>
  <c r="FM13" i="18"/>
  <c r="FY13" i="18"/>
  <c r="JE13" i="18"/>
  <c r="LO13" i="18"/>
  <c r="AV14" i="18"/>
  <c r="BL14" i="18"/>
  <c r="BM14" i="18" s="1"/>
  <c r="CB14" i="18"/>
  <c r="CC14" i="18" s="1"/>
  <c r="CP14" i="18"/>
  <c r="CQ14" i="18" s="1"/>
  <c r="DH14" i="18"/>
  <c r="DI14" i="18" s="1"/>
  <c r="GV14" i="18"/>
  <c r="GW14" i="18" s="1"/>
  <c r="GZ14" i="18"/>
  <c r="HA14" i="18" s="1"/>
  <c r="HS14" i="18"/>
  <c r="IG14" i="18"/>
  <c r="JA14" i="18"/>
  <c r="JU14" i="18"/>
  <c r="KI14" i="18"/>
  <c r="LC14" i="18"/>
  <c r="AJ16" i="18"/>
  <c r="AK16" i="18" s="1"/>
  <c r="IQ16" i="18" s="1"/>
  <c r="MU16" i="18"/>
  <c r="MV16" i="18" s="1"/>
  <c r="AG16" i="18"/>
  <c r="IL16" i="18"/>
  <c r="IM16" i="18" s="1"/>
  <c r="CK18" i="18"/>
  <c r="DG18" i="18"/>
  <c r="IE18" i="18"/>
  <c r="JA18" i="18"/>
  <c r="KS18" i="18"/>
  <c r="HM19" i="18"/>
  <c r="LE19" i="18"/>
  <c r="JY19" i="18"/>
  <c r="IW19" i="18"/>
  <c r="HS19" i="18"/>
  <c r="GO19" i="18"/>
  <c r="FY19" i="18"/>
  <c r="DC19" i="18"/>
  <c r="BM19" i="18"/>
  <c r="BA19" i="18"/>
  <c r="AO19" i="18"/>
  <c r="LQ19" i="18"/>
  <c r="KK19" i="18"/>
  <c r="JI19" i="18"/>
  <c r="IE19" i="18"/>
  <c r="HA19" i="18"/>
  <c r="DO19" i="18"/>
  <c r="CM19" i="18"/>
  <c r="CA19" i="18"/>
  <c r="JW19" i="18"/>
  <c r="GM19" i="18"/>
  <c r="JU19" i="18"/>
  <c r="FG19" i="18"/>
  <c r="KS19" i="18"/>
  <c r="JC19" i="18"/>
  <c r="GI19" i="18"/>
  <c r="FE19" i="18"/>
  <c r="CW19" i="18"/>
  <c r="BG19" i="18"/>
  <c r="AU19" i="18"/>
  <c r="LI19" i="18"/>
  <c r="JA19" i="18"/>
  <c r="HW19" i="18"/>
  <c r="HG19" i="18"/>
  <c r="LU19" i="18"/>
  <c r="KC19" i="18"/>
  <c r="JM19" i="18"/>
  <c r="II19" i="18"/>
  <c r="FO19" i="18"/>
  <c r="DG19" i="18"/>
  <c r="CQ19" i="18"/>
  <c r="CE19" i="18"/>
  <c r="BS19" i="18"/>
  <c r="HU19" i="18"/>
  <c r="BY19" i="18"/>
  <c r="CO19" i="18"/>
  <c r="FI19" i="18"/>
  <c r="GA19" i="18"/>
  <c r="IA19" i="18"/>
  <c r="KQ19" i="18"/>
  <c r="LO19" i="18"/>
  <c r="DE39" i="18"/>
  <c r="MG39" i="18"/>
  <c r="MH39" i="18" s="1"/>
  <c r="DV39" i="18"/>
  <c r="CR5" i="18"/>
  <c r="CS5" i="18" s="1"/>
  <c r="AW8" i="18"/>
  <c r="JP9" i="18"/>
  <c r="JQ9" i="18" s="1"/>
  <c r="W20" i="18"/>
  <c r="S5" i="18"/>
  <c r="AE5" i="18"/>
  <c r="BU5" i="18"/>
  <c r="CG5" i="18"/>
  <c r="HM5" i="18"/>
  <c r="AC6" i="18"/>
  <c r="AU6" i="18"/>
  <c r="BG6" i="18"/>
  <c r="CW6" i="18"/>
  <c r="U7" i="18"/>
  <c r="AG7" i="18"/>
  <c r="CI7" i="18"/>
  <c r="W8" i="18"/>
  <c r="AI8" i="18"/>
  <c r="AJ9" i="18"/>
  <c r="AK9" i="18" s="1"/>
  <c r="IQ9" i="18" s="1"/>
  <c r="M10" i="18"/>
  <c r="Y10" i="18"/>
  <c r="JU10" i="18"/>
  <c r="AO11" i="18"/>
  <c r="MG12" i="18"/>
  <c r="MH12" i="18" s="1"/>
  <c r="MS12" i="18"/>
  <c r="MT12" i="18" s="1"/>
  <c r="IS13" i="18"/>
  <c r="LU13" i="18"/>
  <c r="T14" i="18"/>
  <c r="AZ14" i="18"/>
  <c r="BA14" i="18" s="1"/>
  <c r="CD14" i="18"/>
  <c r="CE14" i="18" s="1"/>
  <c r="FS14" i="18"/>
  <c r="HU14" i="18"/>
  <c r="LJ14" i="18"/>
  <c r="LK14" i="18" s="1"/>
  <c r="MC15" i="18"/>
  <c r="MD15" i="18" s="1"/>
  <c r="O16" i="18"/>
  <c r="MC16" i="18"/>
  <c r="MD16" i="18" s="1"/>
  <c r="DV16" i="18"/>
  <c r="DW16" i="18" s="1"/>
  <c r="MQ16" i="18"/>
  <c r="MR16" i="18" s="1"/>
  <c r="MW17" i="18"/>
  <c r="MX17" i="18" s="1"/>
  <c r="MQ17" i="18"/>
  <c r="MR17" i="18" s="1"/>
  <c r="BG17" i="18"/>
  <c r="CA17" i="18"/>
  <c r="KT17" i="18"/>
  <c r="KU17" i="18" s="1"/>
  <c r="AC18" i="18"/>
  <c r="CR18" i="18"/>
  <c r="CS18" i="18" s="1"/>
  <c r="CO18" i="18"/>
  <c r="FW18" i="18"/>
  <c r="IL18" i="18"/>
  <c r="IM18" i="18" s="1"/>
  <c r="II18" i="18"/>
  <c r="JY18" i="18"/>
  <c r="BE19" i="18"/>
  <c r="DV19" i="18"/>
  <c r="DW19" i="18" s="1"/>
  <c r="CY19" i="18"/>
  <c r="DS19" i="18"/>
  <c r="GK19" i="18"/>
  <c r="HH19" i="18"/>
  <c r="HI19" i="18" s="1"/>
  <c r="HC19" i="18"/>
  <c r="IC19" i="18"/>
  <c r="KA19" i="18"/>
  <c r="AS21" i="18"/>
  <c r="BN21" i="18"/>
  <c r="BO21" i="18" s="1"/>
  <c r="HH24" i="18"/>
  <c r="HI24" i="18" s="1"/>
  <c r="AX27" i="18"/>
  <c r="AY27" i="18" s="1"/>
  <c r="BJ27" i="18"/>
  <c r="BK27" i="18" s="1"/>
  <c r="AR27" i="18"/>
  <c r="AO27" i="18"/>
  <c r="BD27" i="18"/>
  <c r="BE27" i="18" s="1"/>
  <c r="AE6" i="18"/>
  <c r="BW6" i="18"/>
  <c r="CI6" i="18"/>
  <c r="FM6" i="18"/>
  <c r="FY6" i="18"/>
  <c r="HO6" i="18"/>
  <c r="IA6" i="18"/>
  <c r="KC6" i="18"/>
  <c r="KO6" i="18"/>
  <c r="AW7" i="18"/>
  <c r="BI7" i="18"/>
  <c r="CY7" i="18"/>
  <c r="DK7" i="18"/>
  <c r="HQ7" i="18"/>
  <c r="IC7" i="18"/>
  <c r="KE7" i="18"/>
  <c r="KQ7" i="18"/>
  <c r="AY8" i="18"/>
  <c r="BK8" i="18"/>
  <c r="DA8" i="18"/>
  <c r="DM8" i="18"/>
  <c r="GQ8" i="18"/>
  <c r="HC8" i="18"/>
  <c r="IS8" i="18"/>
  <c r="JE8" i="18"/>
  <c r="LG8" i="18"/>
  <c r="LS8" i="18"/>
  <c r="O11" i="18"/>
  <c r="AA11" i="18"/>
  <c r="CC11" i="18"/>
  <c r="CO11" i="18"/>
  <c r="FG11" i="18"/>
  <c r="FS11" i="18"/>
  <c r="HU11" i="18"/>
  <c r="IG11" i="18"/>
  <c r="JW11" i="18"/>
  <c r="KI11" i="18"/>
  <c r="AZ13" i="18"/>
  <c r="BA13" i="18" s="1"/>
  <c r="BL13" i="18"/>
  <c r="BM13" i="18" s="1"/>
  <c r="HS13" i="18"/>
  <c r="IE13" i="18"/>
  <c r="JI13" i="18"/>
  <c r="JY13" i="18"/>
  <c r="KK13" i="18"/>
  <c r="KY13" i="18"/>
  <c r="CW14" i="18"/>
  <c r="DR14" i="18"/>
  <c r="DS14" i="18" s="1"/>
  <c r="DF14" i="18"/>
  <c r="DG14" i="18" s="1"/>
  <c r="M15" i="18"/>
  <c r="AJ15" i="18"/>
  <c r="AK15" i="18" s="1"/>
  <c r="IQ15" i="18" s="1"/>
  <c r="MO15" i="18"/>
  <c r="MP15" i="18" s="1"/>
  <c r="BU18" i="18"/>
  <c r="CQ18" i="18"/>
  <c r="HO18" i="18"/>
  <c r="IK18" i="18"/>
  <c r="KA18" i="18"/>
  <c r="CR21" i="18"/>
  <c r="CS21" i="18" s="1"/>
  <c r="CA21" i="18"/>
  <c r="BI8" i="18"/>
  <c r="LE8" i="18"/>
  <c r="CM8" i="18"/>
  <c r="IE8" i="18"/>
  <c r="GD9" i="18"/>
  <c r="GE9" i="18" s="1"/>
  <c r="KT9" i="18"/>
  <c r="KU9" i="18" s="1"/>
  <c r="BN10" i="18"/>
  <c r="BO10" i="18" s="1"/>
  <c r="AQ11" i="18"/>
  <c r="BC11" i="18"/>
  <c r="DE11" i="18"/>
  <c r="DQ11" i="18"/>
  <c r="JI11" i="18"/>
  <c r="KY11" i="18"/>
  <c r="LK11" i="18"/>
  <c r="LW11" i="18"/>
  <c r="AO13" i="18"/>
  <c r="FQ13" i="18"/>
  <c r="GC13" i="18"/>
  <c r="IU13" i="18"/>
  <c r="JK13" i="18"/>
  <c r="LC13" i="18"/>
  <c r="W14" i="18"/>
  <c r="BB14" i="18"/>
  <c r="CF14" i="18"/>
  <c r="CG14" i="18" s="1"/>
  <c r="LA17" i="18"/>
  <c r="LX17" i="18"/>
  <c r="LY17" i="18" s="1"/>
  <c r="KI18" i="18"/>
  <c r="JW18" i="18"/>
  <c r="IG18" i="18"/>
  <c r="HU18" i="18"/>
  <c r="FS18" i="18"/>
  <c r="FG18" i="18"/>
  <c r="CM18" i="18"/>
  <c r="CA18" i="18"/>
  <c r="Y18" i="18"/>
  <c r="M18" i="18"/>
  <c r="JG18" i="18"/>
  <c r="IU18" i="18"/>
  <c r="HE18" i="18"/>
  <c r="GS18" i="18"/>
  <c r="DM18" i="18"/>
  <c r="DA18" i="18"/>
  <c r="BK18" i="18"/>
  <c r="AY18" i="18"/>
  <c r="JU18" i="18"/>
  <c r="KO18" i="18"/>
  <c r="KC18" i="18"/>
  <c r="HM18" i="18"/>
  <c r="BS18" i="18"/>
  <c r="JK18" i="18"/>
  <c r="IY18" i="18"/>
  <c r="GW18" i="18"/>
  <c r="GK18" i="18"/>
  <c r="DQ18" i="18"/>
  <c r="DE18" i="18"/>
  <c r="BC18" i="18"/>
  <c r="AQ18" i="18"/>
  <c r="AE18" i="18"/>
  <c r="BA18" i="18"/>
  <c r="BW18" i="18"/>
  <c r="DK18" i="18"/>
  <c r="FY18" i="18"/>
  <c r="GU18" i="18"/>
  <c r="HQ18" i="18"/>
  <c r="JE18" i="18"/>
  <c r="LC19" i="18"/>
  <c r="LX19" i="18"/>
  <c r="LY19" i="18" s="1"/>
  <c r="BU20" i="18"/>
  <c r="CR20" i="18"/>
  <c r="CS20" i="18" s="1"/>
  <c r="IS20" i="18"/>
  <c r="JP20" i="18"/>
  <c r="JQ20" i="18" s="1"/>
  <c r="LX25" i="18"/>
  <c r="LY25" i="18" s="1"/>
  <c r="LI25" i="18"/>
  <c r="JP29" i="18"/>
  <c r="JQ29" i="18" s="1"/>
  <c r="IU29" i="18"/>
  <c r="HH36" i="18"/>
  <c r="HI36" i="18" s="1"/>
  <c r="GO36" i="18"/>
  <c r="JC8" i="18"/>
  <c r="IL4" i="18"/>
  <c r="IM4" i="18" s="1"/>
  <c r="M8" i="18"/>
  <c r="FQ8" i="18"/>
  <c r="KG8" i="18"/>
  <c r="BU4" i="18"/>
  <c r="CY5" i="18"/>
  <c r="AI6" i="18"/>
  <c r="JP6" i="18"/>
  <c r="JQ6" i="18" s="1"/>
  <c r="AJ7" i="18"/>
  <c r="AK7" i="18" s="1"/>
  <c r="IQ7" i="18" s="1"/>
  <c r="JU7" i="18"/>
  <c r="AO8" i="18"/>
  <c r="GD8" i="18"/>
  <c r="GE8" i="18" s="1"/>
  <c r="KT8" i="18"/>
  <c r="KU8" i="18" s="1"/>
  <c r="BN9" i="18"/>
  <c r="BO9" i="18" s="1"/>
  <c r="GI10" i="18"/>
  <c r="KY10" i="18"/>
  <c r="BS11" i="18"/>
  <c r="HH11" i="18"/>
  <c r="HI11" i="18" s="1"/>
  <c r="LX11" i="18"/>
  <c r="LY11" i="18" s="1"/>
  <c r="CR12" i="18"/>
  <c r="CS12" i="18" s="1"/>
  <c r="IL12" i="18"/>
  <c r="IM12" i="18" s="1"/>
  <c r="LE12" i="18"/>
  <c r="P13" i="18"/>
  <c r="AB13" i="18"/>
  <c r="AP13" i="18"/>
  <c r="BB13" i="18"/>
  <c r="BC13" i="18" s="1"/>
  <c r="DB13" i="18"/>
  <c r="DC13" i="18" s="1"/>
  <c r="DN13" i="18"/>
  <c r="DO13" i="18" s="1"/>
  <c r="GD13" i="18"/>
  <c r="GE13" i="18" s="1"/>
  <c r="IW13" i="18"/>
  <c r="KA13" i="18"/>
  <c r="KM13" i="18"/>
  <c r="LI14" i="18"/>
  <c r="KQ14" i="18"/>
  <c r="KE14" i="18"/>
  <c r="IC14" i="18"/>
  <c r="HQ14" i="18"/>
  <c r="LG14" i="18"/>
  <c r="LM14" i="18"/>
  <c r="AO14" i="18"/>
  <c r="BS14" i="18"/>
  <c r="CZ14" i="18"/>
  <c r="DA14" i="18" s="1"/>
  <c r="FG14" i="18"/>
  <c r="GP14" i="18"/>
  <c r="GQ14" i="18" s="1"/>
  <c r="JP14" i="18"/>
  <c r="JQ14" i="18" s="1"/>
  <c r="KO14" i="18"/>
  <c r="LP14" i="18"/>
  <c r="LQ14" i="18" s="1"/>
  <c r="MI16" i="18"/>
  <c r="MJ16" i="18" s="1"/>
  <c r="U16" i="18"/>
  <c r="MA17" i="18"/>
  <c r="AJ18" i="18"/>
  <c r="AK18" i="18" s="1"/>
  <c r="IQ18" i="18" s="1"/>
  <c r="AG18" i="18"/>
  <c r="BY18" i="18"/>
  <c r="CW18" i="18"/>
  <c r="GD18" i="18"/>
  <c r="GE18" i="18" s="1"/>
  <c r="GA18" i="18"/>
  <c r="HS18" i="18"/>
  <c r="KE18" i="18"/>
  <c r="CG19" i="18"/>
  <c r="DE19" i="18"/>
  <c r="FQ19" i="18"/>
  <c r="GQ19" i="18"/>
  <c r="HO19" i="18"/>
  <c r="IL19" i="18"/>
  <c r="IM19" i="18" s="1"/>
  <c r="IG19" i="18"/>
  <c r="JG19" i="18"/>
  <c r="MC22" i="18"/>
  <c r="MD22" i="18" s="1"/>
  <c r="KS8" i="18"/>
  <c r="JP5" i="18"/>
  <c r="JQ5" i="18" s="1"/>
  <c r="M6" i="18"/>
  <c r="AY6" i="18"/>
  <c r="BK6" i="18"/>
  <c r="KT7" i="18"/>
  <c r="KU7" i="18" s="1"/>
  <c r="BN8" i="18"/>
  <c r="BO8" i="18" s="1"/>
  <c r="GI9" i="18"/>
  <c r="KY9" i="18"/>
  <c r="BS10" i="18"/>
  <c r="HH10" i="18"/>
  <c r="HI10" i="18" s="1"/>
  <c r="LX10" i="18"/>
  <c r="LY10" i="18" s="1"/>
  <c r="CR11" i="18"/>
  <c r="CS11" i="18" s="1"/>
  <c r="IY13" i="18"/>
  <c r="Z14" i="18"/>
  <c r="AP14" i="18"/>
  <c r="BD14" i="18"/>
  <c r="BE14" i="18" s="1"/>
  <c r="BT14" i="18"/>
  <c r="CH14" i="18"/>
  <c r="CI14" i="18" s="1"/>
  <c r="DP14" i="18"/>
  <c r="DQ14" i="18" s="1"/>
  <c r="FW14" i="18"/>
  <c r="IS14" i="18"/>
  <c r="LS14" i="18"/>
  <c r="BN15" i="18"/>
  <c r="BO15" i="18" s="1"/>
  <c r="HH15" i="18"/>
  <c r="HI15" i="18" s="1"/>
  <c r="JP15" i="18"/>
  <c r="JQ15" i="18" s="1"/>
  <c r="LX15" i="18"/>
  <c r="LY15" i="18" s="1"/>
  <c r="LE15" i="18"/>
  <c r="MM15" i="18"/>
  <c r="MN15" i="18" s="1"/>
  <c r="MK16" i="18"/>
  <c r="ML16" i="18" s="1"/>
  <c r="LQ16" i="18"/>
  <c r="O18" i="18"/>
  <c r="AI18" i="18"/>
  <c r="BE18" i="18"/>
  <c r="DV18" i="18"/>
  <c r="DW18" i="18" s="1"/>
  <c r="FI18" i="18"/>
  <c r="GC18" i="18"/>
  <c r="GY18" i="18"/>
  <c r="JP18" i="18"/>
  <c r="JQ18" i="18" s="1"/>
  <c r="KG18" i="18"/>
  <c r="HQ19" i="18"/>
  <c r="KG19" i="18"/>
  <c r="LG19" i="18"/>
  <c r="IL21" i="18"/>
  <c r="IM21" i="18" s="1"/>
  <c r="LX24" i="18"/>
  <c r="LY24" i="18" s="1"/>
  <c r="LC24" i="18"/>
  <c r="GO8" i="18"/>
  <c r="BC19" i="18"/>
  <c r="MO22" i="18"/>
  <c r="MP22" i="18" s="1"/>
  <c r="BE22" i="18"/>
  <c r="HS8" i="18"/>
  <c r="AE4" i="18"/>
  <c r="O6" i="18"/>
  <c r="JU6" i="18"/>
  <c r="AO7" i="18"/>
  <c r="GI8" i="18"/>
  <c r="KY8" i="18"/>
  <c r="BS9" i="18"/>
  <c r="HM11" i="18"/>
  <c r="R13" i="18"/>
  <c r="AD13" i="18"/>
  <c r="AR13" i="18"/>
  <c r="AS13" i="18" s="1"/>
  <c r="BD13" i="18"/>
  <c r="BE13" i="18" s="1"/>
  <c r="CD13" i="18"/>
  <c r="CE13" i="18" s="1"/>
  <c r="CP13" i="18"/>
  <c r="CQ13" i="18" s="1"/>
  <c r="DD13" i="18"/>
  <c r="DE13" i="18" s="1"/>
  <c r="DP13" i="18"/>
  <c r="DQ13" i="18" s="1"/>
  <c r="GT13" i="18"/>
  <c r="GU13" i="18" s="1"/>
  <c r="HF13" i="18"/>
  <c r="HG13" i="18" s="1"/>
  <c r="HW13" i="18"/>
  <c r="II13" i="18"/>
  <c r="LG13" i="18"/>
  <c r="L14" i="18"/>
  <c r="CJ14" i="18"/>
  <c r="CK14" i="18" s="1"/>
  <c r="DB14" i="18"/>
  <c r="DC14" i="18" s="1"/>
  <c r="FY14" i="18"/>
  <c r="GR14" i="18"/>
  <c r="GS14" i="18" s="1"/>
  <c r="HM14" i="18"/>
  <c r="IA14" i="18"/>
  <c r="IU14" i="18"/>
  <c r="KC14" i="18"/>
  <c r="LU14" i="18"/>
  <c r="ME17" i="18"/>
  <c r="MF17" i="18" s="1"/>
  <c r="AU17" i="18"/>
  <c r="BN17" i="18"/>
  <c r="BO17" i="18" s="1"/>
  <c r="Q18" i="18"/>
  <c r="AO18" i="18"/>
  <c r="CC18" i="18"/>
  <c r="CY18" i="18"/>
  <c r="DO18" i="18"/>
  <c r="FK18" i="18"/>
  <c r="GI18" i="18"/>
  <c r="HW18" i="18"/>
  <c r="IS18" i="18"/>
  <c r="JI18" i="18"/>
  <c r="AQ19" i="18"/>
  <c r="BN19" i="18"/>
  <c r="BO19" i="18" s="1"/>
  <c r="CI19" i="18"/>
  <c r="DI19" i="18"/>
  <c r="FS19" i="18"/>
  <c r="GU19" i="18"/>
  <c r="DV21" i="18"/>
  <c r="DW21" i="18" s="1"/>
  <c r="HA8" i="18"/>
  <c r="JP19" i="18"/>
  <c r="JQ19" i="18" s="1"/>
  <c r="IY19" i="18"/>
  <c r="Y8" i="18"/>
  <c r="GC8" i="18"/>
  <c r="S4" i="18"/>
  <c r="AW4" i="18"/>
  <c r="BI4" i="18"/>
  <c r="CY4" i="18"/>
  <c r="DK4" i="18"/>
  <c r="GQ4" i="18"/>
  <c r="HC4" i="18"/>
  <c r="IS4" i="18"/>
  <c r="JE4" i="18"/>
  <c r="LG4" i="18"/>
  <c r="LS4" i="18"/>
  <c r="M5" i="18"/>
  <c r="Y5" i="18"/>
  <c r="CA5" i="18"/>
  <c r="CM5" i="18"/>
  <c r="FQ5" i="18"/>
  <c r="GC5" i="18"/>
  <c r="HS5" i="18"/>
  <c r="IE5" i="18"/>
  <c r="JU5" i="18"/>
  <c r="KG5" i="18"/>
  <c r="KS5" i="18"/>
  <c r="LU5" i="18"/>
  <c r="Q6" i="18"/>
  <c r="AO6" i="18"/>
  <c r="BA6" i="18"/>
  <c r="BM6" i="18"/>
  <c r="GD6" i="18"/>
  <c r="GE6" i="18" s="1"/>
  <c r="GS6" i="18"/>
  <c r="HE6" i="18"/>
  <c r="IU6" i="18"/>
  <c r="JG6" i="18"/>
  <c r="KT6" i="18"/>
  <c r="KU6" i="18" s="1"/>
  <c r="LI6" i="18"/>
  <c r="LU6" i="18"/>
  <c r="O7" i="18"/>
  <c r="AA7" i="18"/>
  <c r="BN7" i="18"/>
  <c r="BO7" i="18" s="1"/>
  <c r="CC7" i="18"/>
  <c r="CO7" i="18"/>
  <c r="FG7" i="18"/>
  <c r="FS7" i="18"/>
  <c r="GU7" i="18"/>
  <c r="HG7" i="18"/>
  <c r="IW7" i="18"/>
  <c r="JI7" i="18"/>
  <c r="KY7" i="18"/>
  <c r="LK7" i="18"/>
  <c r="LW7" i="18"/>
  <c r="Q8" i="18"/>
  <c r="AC8" i="18"/>
  <c r="BS8" i="18"/>
  <c r="CE8" i="18"/>
  <c r="CQ8" i="18"/>
  <c r="FI8" i="18"/>
  <c r="FU8" i="18"/>
  <c r="HH8" i="18"/>
  <c r="HI8" i="18" s="1"/>
  <c r="HW8" i="18"/>
  <c r="II8" i="18"/>
  <c r="JY8" i="18"/>
  <c r="KK8" i="18"/>
  <c r="LX8" i="18"/>
  <c r="LY8" i="18" s="1"/>
  <c r="AS9" i="18"/>
  <c r="BE9" i="18"/>
  <c r="CR9" i="18"/>
  <c r="CS9" i="18" s="1"/>
  <c r="DG9" i="18"/>
  <c r="DS9" i="18"/>
  <c r="GK9" i="18"/>
  <c r="GW9" i="18"/>
  <c r="IY9" i="18"/>
  <c r="JK9" i="18"/>
  <c r="LA9" i="18"/>
  <c r="LM9" i="18"/>
  <c r="S10" i="18"/>
  <c r="AE10" i="18"/>
  <c r="BU10" i="18"/>
  <c r="CG10" i="18"/>
  <c r="FK10" i="18"/>
  <c r="FW10" i="18"/>
  <c r="HM10" i="18"/>
  <c r="HY10" i="18"/>
  <c r="IK10" i="18"/>
  <c r="KA10" i="18"/>
  <c r="KM10" i="18"/>
  <c r="AU11" i="18"/>
  <c r="BG11" i="18"/>
  <c r="CW11" i="18"/>
  <c r="DI11" i="18"/>
  <c r="DU11" i="18"/>
  <c r="GM11" i="18"/>
  <c r="GY11" i="18"/>
  <c r="IL11" i="18"/>
  <c r="IM11" i="18" s="1"/>
  <c r="JA11" i="18"/>
  <c r="JM11" i="18"/>
  <c r="LC11" i="18"/>
  <c r="DV12" i="18"/>
  <c r="DW12" i="18" s="1"/>
  <c r="JP12" i="18"/>
  <c r="JQ12" i="18" s="1"/>
  <c r="BS13" i="18"/>
  <c r="FI13" i="18"/>
  <c r="FU13" i="18"/>
  <c r="GI13" i="18"/>
  <c r="JA13" i="18"/>
  <c r="JO13" i="18"/>
  <c r="LI13" i="18"/>
  <c r="N14" i="18"/>
  <c r="AB14" i="18"/>
  <c r="AR14" i="18"/>
  <c r="AS14" i="18" s="1"/>
  <c r="BV14" i="18"/>
  <c r="BW14" i="18" s="1"/>
  <c r="CL14" i="18"/>
  <c r="CM14" i="18" s="1"/>
  <c r="GA14" i="18"/>
  <c r="GT14" i="18"/>
  <c r="GU14" i="18" s="1"/>
  <c r="IL14" i="18"/>
  <c r="IM14" i="18" s="1"/>
  <c r="JK14" i="18"/>
  <c r="KS14" i="18"/>
  <c r="CR15" i="18"/>
  <c r="CS15" i="18" s="1"/>
  <c r="IL15" i="18"/>
  <c r="IM15" i="18" s="1"/>
  <c r="MS15" i="18"/>
  <c r="MT15" i="18" s="1"/>
  <c r="CR17" i="18"/>
  <c r="CS17" i="18" s="1"/>
  <c r="HH17" i="18"/>
  <c r="HI17" i="18" s="1"/>
  <c r="BN18" i="18"/>
  <c r="BO18" i="18" s="1"/>
  <c r="BG18" i="18"/>
  <c r="CE18" i="18"/>
  <c r="HH18" i="18"/>
  <c r="HI18" i="18" s="1"/>
  <c r="HA18" i="18"/>
  <c r="HY18" i="18"/>
  <c r="KK18" i="18"/>
  <c r="AS19" i="18"/>
  <c r="BU19" i="18"/>
  <c r="IQ19" i="18"/>
  <c r="JK19" i="18"/>
  <c r="KI19" i="18"/>
  <c r="LX27" i="18"/>
  <c r="LY27" i="18" s="1"/>
  <c r="MA27" i="18"/>
  <c r="LQ8" i="18"/>
  <c r="CA8" i="18"/>
  <c r="AO5" i="18"/>
  <c r="T13" i="18"/>
  <c r="AT13" i="18"/>
  <c r="AU13" i="18" s="1"/>
  <c r="BT13" i="18"/>
  <c r="DF13" i="18"/>
  <c r="DG13" i="18" s="1"/>
  <c r="HM13" i="18"/>
  <c r="HY13" i="18"/>
  <c r="IK13" i="18"/>
  <c r="DD14" i="18"/>
  <c r="DE14" i="18" s="1"/>
  <c r="DT14" i="18"/>
  <c r="DU14" i="18" s="1"/>
  <c r="FK14" i="18"/>
  <c r="HO14" i="18"/>
  <c r="JM14" i="18"/>
  <c r="MU15" i="18"/>
  <c r="MV15" i="18" s="1"/>
  <c r="AA16" i="18"/>
  <c r="MO16" i="18"/>
  <c r="MP16" i="18" s="1"/>
  <c r="KT16" i="18"/>
  <c r="KU16" i="18" s="1"/>
  <c r="IL17" i="18"/>
  <c r="IM17" i="18" s="1"/>
  <c r="S18" i="18"/>
  <c r="AS18" i="18"/>
  <c r="DS18" i="18"/>
  <c r="FM18" i="18"/>
  <c r="GM18" i="18"/>
  <c r="JM18" i="18"/>
  <c r="KM18" i="18"/>
  <c r="CK19" i="18"/>
  <c r="DK19" i="18"/>
  <c r="FU19" i="18"/>
  <c r="GW19" i="18"/>
  <c r="AQ20" i="18"/>
  <c r="BN20" i="18"/>
  <c r="BO20" i="18" s="1"/>
  <c r="LX20" i="18"/>
  <c r="LY20" i="18" s="1"/>
  <c r="MA16" i="18"/>
  <c r="CW17" i="18"/>
  <c r="LU17" i="18"/>
  <c r="HE19" i="18"/>
  <c r="AH20" i="18"/>
  <c r="CR22" i="18"/>
  <c r="CS22" i="18" s="1"/>
  <c r="BY23" i="18"/>
  <c r="DI23" i="18"/>
  <c r="HM23" i="18"/>
  <c r="II23" i="18"/>
  <c r="JU23" i="18"/>
  <c r="MO23" i="18"/>
  <c r="MP23" i="18" s="1"/>
  <c r="DG24" i="18"/>
  <c r="IC24" i="18"/>
  <c r="JM24" i="18"/>
  <c r="JP25" i="18"/>
  <c r="JQ25" i="18" s="1"/>
  <c r="IS25" i="18"/>
  <c r="LX30" i="18"/>
  <c r="LY30" i="18" s="1"/>
  <c r="LE30" i="18"/>
  <c r="AQ31" i="18"/>
  <c r="BK31" i="18"/>
  <c r="CK31" i="18"/>
  <c r="DK31" i="18"/>
  <c r="HQ31" i="18"/>
  <c r="IK31" i="18"/>
  <c r="KK31" i="18"/>
  <c r="LM31" i="18"/>
  <c r="MC32" i="18"/>
  <c r="MD32" i="18" s="1"/>
  <c r="LX33" i="18"/>
  <c r="LY33" i="18" s="1"/>
  <c r="MU37" i="18"/>
  <c r="MV37" i="18" s="1"/>
  <c r="BA68" i="18"/>
  <c r="MK68" i="18"/>
  <c r="ML68" i="18" s="1"/>
  <c r="AW16" i="18"/>
  <c r="BI16" i="18"/>
  <c r="CY16" i="18"/>
  <c r="DK16" i="18"/>
  <c r="GQ16" i="18"/>
  <c r="HC16" i="18"/>
  <c r="IS16" i="18"/>
  <c r="JE16" i="18"/>
  <c r="LK16" i="18"/>
  <c r="DV17" i="18"/>
  <c r="DW17" i="18" s="1"/>
  <c r="JP17" i="18"/>
  <c r="JQ17" i="18" s="1"/>
  <c r="KE17" i="18"/>
  <c r="KQ17" i="18"/>
  <c r="LG17" i="18"/>
  <c r="GS19" i="18"/>
  <c r="T20" i="18"/>
  <c r="AS22" i="18"/>
  <c r="BE23" i="18"/>
  <c r="CA23" i="18"/>
  <c r="GQ23" i="18"/>
  <c r="HO23" i="18"/>
  <c r="KT23" i="18"/>
  <c r="KU23" i="18" s="1"/>
  <c r="JW23" i="18"/>
  <c r="BU24" i="18"/>
  <c r="GK24" i="18"/>
  <c r="HG24" i="18"/>
  <c r="IE24" i="18"/>
  <c r="BM25" i="18"/>
  <c r="CR28" i="18"/>
  <c r="CS28" i="18" s="1"/>
  <c r="HH29" i="18"/>
  <c r="HI29" i="18" s="1"/>
  <c r="KT30" i="18"/>
  <c r="KU30" i="18" s="1"/>
  <c r="AS31" i="18"/>
  <c r="BM31" i="18"/>
  <c r="DM31" i="18"/>
  <c r="GU31" i="18"/>
  <c r="HS31" i="18"/>
  <c r="JP31" i="18"/>
  <c r="JQ31" i="18" s="1"/>
  <c r="JM31" i="18"/>
  <c r="KM31" i="18"/>
  <c r="MG32" i="18"/>
  <c r="MH32" i="18" s="1"/>
  <c r="GQ32" i="18"/>
  <c r="HQ32" i="18"/>
  <c r="MC35" i="18"/>
  <c r="MD35" i="18" s="1"/>
  <c r="AJ35" i="18"/>
  <c r="AK35" i="18" s="1"/>
  <c r="O35" i="18"/>
  <c r="BN39" i="18"/>
  <c r="BO39" i="18" s="1"/>
  <c r="AS39" i="18"/>
  <c r="GD15" i="18"/>
  <c r="GE15" i="18" s="1"/>
  <c r="KT15" i="18"/>
  <c r="KU15" i="18" s="1"/>
  <c r="LO15" i="18"/>
  <c r="W16" i="18"/>
  <c r="AI16" i="18"/>
  <c r="JU16" i="18"/>
  <c r="LM16" i="18"/>
  <c r="CR19" i="18"/>
  <c r="CS19" i="18" s="1"/>
  <c r="IK19" i="18"/>
  <c r="LW19" i="18"/>
  <c r="DV22" i="18"/>
  <c r="DW22" i="18" s="1"/>
  <c r="LX22" i="18"/>
  <c r="LY22" i="18" s="1"/>
  <c r="BG23" i="18"/>
  <c r="DO23" i="18"/>
  <c r="HQ23" i="18"/>
  <c r="LK23" i="18"/>
  <c r="KG24" i="18"/>
  <c r="JO24" i="18"/>
  <c r="IY24" i="18"/>
  <c r="GI24" i="18"/>
  <c r="FQ24" i="18"/>
  <c r="W24" i="18"/>
  <c r="LW24" i="18"/>
  <c r="LK24" i="18"/>
  <c r="HE24" i="18"/>
  <c r="GS24" i="18"/>
  <c r="DQ24" i="18"/>
  <c r="DA24" i="18"/>
  <c r="CI24" i="18"/>
  <c r="BS24" i="18"/>
  <c r="BA24" i="18"/>
  <c r="KS24" i="18"/>
  <c r="KC24" i="18"/>
  <c r="JK24" i="18"/>
  <c r="IU24" i="18"/>
  <c r="GC24" i="18"/>
  <c r="FM24" i="18"/>
  <c r="AI24" i="18"/>
  <c r="S24" i="18"/>
  <c r="LU24" i="18"/>
  <c r="LI24" i="18"/>
  <c r="KQ24" i="18"/>
  <c r="KA24" i="18"/>
  <c r="JI24" i="18"/>
  <c r="IS24" i="18"/>
  <c r="HC24" i="18"/>
  <c r="GQ24" i="18"/>
  <c r="DM24" i="18"/>
  <c r="CW24" i="18"/>
  <c r="CE24" i="18"/>
  <c r="BM24" i="18"/>
  <c r="AW24" i="18"/>
  <c r="LS24" i="18"/>
  <c r="LG24" i="18"/>
  <c r="KO24" i="18"/>
  <c r="JY24" i="18"/>
  <c r="JG24" i="18"/>
  <c r="IQ24" i="18"/>
  <c r="HA24" i="18"/>
  <c r="GO24" i="18"/>
  <c r="FY24" i="18"/>
  <c r="FI24" i="18"/>
  <c r="DK24" i="18"/>
  <c r="CC24" i="18"/>
  <c r="AE24" i="18"/>
  <c r="O24" i="18"/>
  <c r="LQ24" i="18"/>
  <c r="LE24" i="18"/>
  <c r="GY24" i="18"/>
  <c r="GM24" i="18"/>
  <c r="DI24" i="18"/>
  <c r="CQ24" i="18"/>
  <c r="CA24" i="18"/>
  <c r="BI24" i="18"/>
  <c r="AS24" i="18"/>
  <c r="KK24" i="18"/>
  <c r="JU24" i="18"/>
  <c r="JC24" i="18"/>
  <c r="HM24" i="18"/>
  <c r="FU24" i="18"/>
  <c r="AA24" i="18"/>
  <c r="BW24" i="18"/>
  <c r="DO24" i="18"/>
  <c r="MC24" i="18"/>
  <c r="MD24" i="18" s="1"/>
  <c r="IG24" i="18"/>
  <c r="MS29" i="18"/>
  <c r="MT29" i="18" s="1"/>
  <c r="BI29" i="18"/>
  <c r="CY30" i="18"/>
  <c r="BU31" i="18"/>
  <c r="DO31" i="18"/>
  <c r="HU31" i="18"/>
  <c r="KO31" i="18"/>
  <c r="BG33" i="18"/>
  <c r="HO39" i="18"/>
  <c r="IL39" i="18"/>
  <c r="IM39" i="18" s="1"/>
  <c r="GS41" i="18"/>
  <c r="HH41" i="18"/>
  <c r="HI41" i="18" s="1"/>
  <c r="LO16" i="18"/>
  <c r="W17" i="18"/>
  <c r="AI17" i="18"/>
  <c r="JU17" i="18"/>
  <c r="HY19" i="18"/>
  <c r="LK19" i="18"/>
  <c r="DU23" i="18"/>
  <c r="DE23" i="18"/>
  <c r="CM23" i="18"/>
  <c r="BW23" i="18"/>
  <c r="AE23" i="18"/>
  <c r="O23" i="18"/>
  <c r="LM23" i="18"/>
  <c r="KG23" i="18"/>
  <c r="JO23" i="18"/>
  <c r="IY23" i="18"/>
  <c r="HG23" i="18"/>
  <c r="GU23" i="18"/>
  <c r="GI23" i="18"/>
  <c r="FQ23" i="18"/>
  <c r="DS23" i="18"/>
  <c r="DC23" i="18"/>
  <c r="CK23" i="18"/>
  <c r="HE23" i="18"/>
  <c r="GS23" i="18"/>
  <c r="DQ23" i="18"/>
  <c r="DA23" i="18"/>
  <c r="CI23" i="18"/>
  <c r="KS23" i="18"/>
  <c r="KC23" i="18"/>
  <c r="JK23" i="18"/>
  <c r="IU23" i="18"/>
  <c r="GC23" i="18"/>
  <c r="FM23" i="18"/>
  <c r="LU23" i="18"/>
  <c r="LI23" i="18"/>
  <c r="KQ23" i="18"/>
  <c r="KA23" i="18"/>
  <c r="JI23" i="18"/>
  <c r="DM23" i="18"/>
  <c r="CW23" i="18"/>
  <c r="CE23" i="18"/>
  <c r="AO23" i="18"/>
  <c r="W23" i="18"/>
  <c r="LS23" i="18"/>
  <c r="LG23" i="18"/>
  <c r="KO23" i="18"/>
  <c r="JY23" i="18"/>
  <c r="JG23" i="18"/>
  <c r="IQ23" i="18"/>
  <c r="HA23" i="18"/>
  <c r="FY23" i="18"/>
  <c r="FI23" i="18"/>
  <c r="DK23" i="18"/>
  <c r="CC23" i="18"/>
  <c r="CG23" i="18"/>
  <c r="HS23" i="18"/>
  <c r="IL23" i="18"/>
  <c r="IM23" i="18" s="1"/>
  <c r="KE23" i="18"/>
  <c r="T24" i="18"/>
  <c r="AF24" i="18"/>
  <c r="P24" i="18"/>
  <c r="AB24" i="18"/>
  <c r="L24" i="18"/>
  <c r="BY24" i="18"/>
  <c r="DS24" i="18"/>
  <c r="JW24" i="18"/>
  <c r="MS27" i="18"/>
  <c r="MT27" i="18" s="1"/>
  <c r="IG27" i="18"/>
  <c r="AU31" i="18"/>
  <c r="DQ31" i="18"/>
  <c r="IW31" i="18"/>
  <c r="JW31" i="18"/>
  <c r="KQ31" i="18"/>
  <c r="LQ31" i="18"/>
  <c r="HC40" i="18"/>
  <c r="MS40" i="18"/>
  <c r="MT40" i="18" s="1"/>
  <c r="BU45" i="18"/>
  <c r="CR45" i="18"/>
  <c r="CS45" i="18" s="1"/>
  <c r="CY45" i="18"/>
  <c r="DV45" i="18"/>
  <c r="DW45" i="18" s="1"/>
  <c r="AB20" i="18"/>
  <c r="P20" i="18"/>
  <c r="X20" i="18"/>
  <c r="IL20" i="18"/>
  <c r="IM20" i="18" s="1"/>
  <c r="HH21" i="18"/>
  <c r="HI21" i="18" s="1"/>
  <c r="GI31" i="18"/>
  <c r="LW31" i="18"/>
  <c r="LK31" i="18"/>
  <c r="JG31" i="18"/>
  <c r="IU31" i="18"/>
  <c r="HE31" i="18"/>
  <c r="GS31" i="18"/>
  <c r="CQ31" i="18"/>
  <c r="CE31" i="18"/>
  <c r="BS31" i="18"/>
  <c r="JU31" i="18"/>
  <c r="LU31" i="18"/>
  <c r="LI31" i="18"/>
  <c r="JE31" i="18"/>
  <c r="IS31" i="18"/>
  <c r="HC31" i="18"/>
  <c r="GQ31" i="18"/>
  <c r="CO31" i="18"/>
  <c r="CC31" i="18"/>
  <c r="AO31" i="18"/>
  <c r="LS31" i="18"/>
  <c r="LG31" i="18"/>
  <c r="JO31" i="18"/>
  <c r="JC31" i="18"/>
  <c r="IQ31" i="18"/>
  <c r="HA31" i="18"/>
  <c r="GO31" i="18"/>
  <c r="CM31" i="18"/>
  <c r="CA31" i="18"/>
  <c r="HM31" i="18"/>
  <c r="AW31" i="18"/>
  <c r="BW31" i="18"/>
  <c r="CW31" i="18"/>
  <c r="DS31" i="18"/>
  <c r="FU31" i="18"/>
  <c r="GY31" i="18"/>
  <c r="HW31" i="18"/>
  <c r="KS31" i="18"/>
  <c r="JP32" i="18"/>
  <c r="JQ32" i="18" s="1"/>
  <c r="IS32" i="18"/>
  <c r="LX32" i="18"/>
  <c r="LY32" i="18" s="1"/>
  <c r="ME54" i="18"/>
  <c r="MF54" i="18" s="1"/>
  <c r="Q54" i="18"/>
  <c r="IL54" i="18"/>
  <c r="IM54" i="18" s="1"/>
  <c r="HU54" i="18"/>
  <c r="JP21" i="18"/>
  <c r="JQ21" i="18" s="1"/>
  <c r="KT21" i="18"/>
  <c r="KU21" i="18" s="1"/>
  <c r="IS22" i="18"/>
  <c r="JP22" i="18"/>
  <c r="JQ22" i="18" s="1"/>
  <c r="MM28" i="18"/>
  <c r="MN28" i="18" s="1"/>
  <c r="BC28" i="18"/>
  <c r="AE31" i="18"/>
  <c r="IS37" i="18"/>
  <c r="JP37" i="18"/>
  <c r="JQ37" i="18" s="1"/>
  <c r="AY46" i="18"/>
  <c r="BN46" i="18"/>
  <c r="BO46" i="18" s="1"/>
  <c r="LC15" i="18"/>
  <c r="LU15" i="18"/>
  <c r="LA16" i="18"/>
  <c r="LS16" i="18"/>
  <c r="AO17" i="18"/>
  <c r="GI17" i="18"/>
  <c r="KY17" i="18"/>
  <c r="V19" i="18"/>
  <c r="AH19" i="18"/>
  <c r="L20" i="18"/>
  <c r="Z20" i="18"/>
  <c r="DV20" i="18"/>
  <c r="DW20" i="18" s="1"/>
  <c r="GD20" i="18"/>
  <c r="GE20" i="18" s="1"/>
  <c r="AF22" i="18"/>
  <c r="P22" i="18"/>
  <c r="X22" i="18"/>
  <c r="MG22" i="18"/>
  <c r="MH22" i="18" s="1"/>
  <c r="AU23" i="18"/>
  <c r="CO23" i="18"/>
  <c r="JP23" i="18"/>
  <c r="JQ23" i="18" s="1"/>
  <c r="KM23" i="18"/>
  <c r="BK24" i="18"/>
  <c r="CK24" i="18"/>
  <c r="GU24" i="18"/>
  <c r="HS24" i="18"/>
  <c r="BA31" i="18"/>
  <c r="DA31" i="18"/>
  <c r="DU31" i="18"/>
  <c r="IA31" i="18"/>
  <c r="JA31" i="18"/>
  <c r="KA31" i="18"/>
  <c r="LX31" i="18"/>
  <c r="LY31" i="18" s="1"/>
  <c r="BA32" i="18"/>
  <c r="BN34" i="18"/>
  <c r="BO34" i="18" s="1"/>
  <c r="JP36" i="18"/>
  <c r="JQ36" i="18" s="1"/>
  <c r="LX41" i="18"/>
  <c r="LY41" i="18" s="1"/>
  <c r="MG29" i="18"/>
  <c r="MH29" i="18" s="1"/>
  <c r="AW29" i="18"/>
  <c r="LX29" i="18"/>
  <c r="LY29" i="18" s="1"/>
  <c r="LG29" i="18"/>
  <c r="DV31" i="18"/>
  <c r="DW31" i="18" s="1"/>
  <c r="AU33" i="18"/>
  <c r="BS16" i="18"/>
  <c r="HM16" i="18"/>
  <c r="LO17" i="18"/>
  <c r="FW19" i="18"/>
  <c r="IU19" i="18"/>
  <c r="N20" i="18"/>
  <c r="KT20" i="18"/>
  <c r="KU20" i="18" s="1"/>
  <c r="L22" i="18"/>
  <c r="S23" i="18"/>
  <c r="AW23" i="18"/>
  <c r="BS23" i="18"/>
  <c r="DV23" i="18"/>
  <c r="DW23" i="18" s="1"/>
  <c r="CY23" i="18"/>
  <c r="GK23" i="18"/>
  <c r="GO23" i="18" s="1"/>
  <c r="IA23" i="18"/>
  <c r="JC23" i="18"/>
  <c r="LX23" i="18"/>
  <c r="LY23" i="18" s="1"/>
  <c r="CO24" i="18"/>
  <c r="KM24" i="18"/>
  <c r="MG27" i="18"/>
  <c r="MH27" i="18" s="1"/>
  <c r="HU27" i="18"/>
  <c r="IU27" i="18"/>
  <c r="DV28" i="18"/>
  <c r="DW28" i="18" s="1"/>
  <c r="LX28" i="18"/>
  <c r="LY28" i="18" s="1"/>
  <c r="BE31" i="18"/>
  <c r="DE31" i="18"/>
  <c r="GK31" i="18"/>
  <c r="HG31" i="18"/>
  <c r="IE31" i="18"/>
  <c r="KE31" i="18"/>
  <c r="LE31" i="18"/>
  <c r="MS32" i="18"/>
  <c r="MT32" i="18" s="1"/>
  <c r="HC32" i="18"/>
  <c r="MO32" i="18"/>
  <c r="MP32" i="18" s="1"/>
  <c r="MI35" i="18"/>
  <c r="MJ35" i="18" s="1"/>
  <c r="MK39" i="18"/>
  <c r="ML39" i="18" s="1"/>
  <c r="KT39" i="18"/>
  <c r="FM15" i="18"/>
  <c r="FY15" i="18"/>
  <c r="HO15" i="18"/>
  <c r="IA15" i="18"/>
  <c r="KC15" i="18"/>
  <c r="KO15" i="18"/>
  <c r="LG15" i="18"/>
  <c r="AS16" i="18"/>
  <c r="BE16" i="18"/>
  <c r="DG16" i="18"/>
  <c r="DS16" i="18"/>
  <c r="GM16" i="18"/>
  <c r="GY16" i="18"/>
  <c r="JA16" i="18"/>
  <c r="JM16" i="18"/>
  <c r="LE16" i="18"/>
  <c r="LW16" i="18"/>
  <c r="Q17" i="18"/>
  <c r="AC17" i="18"/>
  <c r="BS17" i="18"/>
  <c r="CE17" i="18"/>
  <c r="CQ17" i="18"/>
  <c r="FK17" i="18"/>
  <c r="FW17" i="18"/>
  <c r="HM17" i="18"/>
  <c r="HY17" i="18"/>
  <c r="IK17" i="18"/>
  <c r="KA17" i="18"/>
  <c r="KM17" i="18"/>
  <c r="LC17" i="18"/>
  <c r="FK19" i="18"/>
  <c r="AD20" i="18"/>
  <c r="AY23" i="18"/>
  <c r="HC23" i="18"/>
  <c r="IC23" i="18"/>
  <c r="JE23" i="18"/>
  <c r="LC23" i="18"/>
  <c r="LW23" i="18"/>
  <c r="CY24" i="18"/>
  <c r="FN24" i="18"/>
  <c r="FO24" i="18" s="1"/>
  <c r="FZ24" i="18"/>
  <c r="GA24" i="18" s="1"/>
  <c r="FJ24" i="18"/>
  <c r="FK24" i="18" s="1"/>
  <c r="FV24" i="18"/>
  <c r="FW24" i="18" s="1"/>
  <c r="FF24" i="18"/>
  <c r="FE24" i="18"/>
  <c r="HW24" i="18"/>
  <c r="JA24" i="18"/>
  <c r="MG25" i="18"/>
  <c r="MH25" i="18" s="1"/>
  <c r="KT29" i="18"/>
  <c r="KU29" i="18" s="1"/>
  <c r="CG31" i="18"/>
  <c r="DG31" i="18"/>
  <c r="GM31" i="18"/>
  <c r="IG31" i="18"/>
  <c r="KG31" i="18"/>
  <c r="FY38" i="18"/>
  <c r="MS38" i="18"/>
  <c r="MT38" i="18" s="1"/>
  <c r="MK40" i="18"/>
  <c r="ML40" i="18" s="1"/>
  <c r="CE40" i="18"/>
  <c r="MS41" i="18"/>
  <c r="MT41" i="18" s="1"/>
  <c r="CM41" i="18"/>
  <c r="JC15" i="18"/>
  <c r="JO15" i="18"/>
  <c r="S16" i="18"/>
  <c r="AE16" i="18"/>
  <c r="BU16" i="18"/>
  <c r="CG16" i="18"/>
  <c r="FM16" i="18"/>
  <c r="FY16" i="18"/>
  <c r="HO16" i="18"/>
  <c r="IA16" i="18"/>
  <c r="KC16" i="18"/>
  <c r="KO16" i="18"/>
  <c r="AS17" i="18"/>
  <c r="BE17" i="18"/>
  <c r="DG17" i="18"/>
  <c r="DS17" i="18"/>
  <c r="GM17" i="18"/>
  <c r="GY17" i="18"/>
  <c r="JA17" i="18"/>
  <c r="JM17" i="18"/>
  <c r="MO19" i="18"/>
  <c r="MP19" i="18" s="1"/>
  <c r="DQ19" i="18"/>
  <c r="KM19" i="18"/>
  <c r="BN22" i="18"/>
  <c r="BO22" i="18" s="1"/>
  <c r="BU23" i="18"/>
  <c r="IE23" i="18"/>
  <c r="MC23" i="18"/>
  <c r="MD23" i="18" s="1"/>
  <c r="DC24" i="18"/>
  <c r="FR24" i="18"/>
  <c r="FS24" i="18" s="1"/>
  <c r="HY24" i="18"/>
  <c r="JE24" i="18"/>
  <c r="MA28" i="18"/>
  <c r="AQ28" i="18"/>
  <c r="AF30" i="18"/>
  <c r="T30" i="18"/>
  <c r="AD30" i="18"/>
  <c r="R30" i="18"/>
  <c r="AB30" i="18"/>
  <c r="P30" i="18"/>
  <c r="Z30" i="18"/>
  <c r="N30" i="18"/>
  <c r="X30" i="18"/>
  <c r="L30" i="18"/>
  <c r="HH30" i="18"/>
  <c r="HI30" i="18" s="1"/>
  <c r="BG31" i="18"/>
  <c r="JI31" i="18"/>
  <c r="KI31" i="18"/>
  <c r="MK37" i="18"/>
  <c r="ML37" i="18" s="1"/>
  <c r="BA37" i="18"/>
  <c r="BN37" i="18"/>
  <c r="BO37" i="18" s="1"/>
  <c r="AI43" i="18"/>
  <c r="FP34" i="18"/>
  <c r="FQ34" i="18" s="1"/>
  <c r="GB34" i="18"/>
  <c r="GC34" i="18" s="1"/>
  <c r="MS35" i="18"/>
  <c r="MT35" i="18" s="1"/>
  <c r="DV35" i="18"/>
  <c r="DW35" i="18" s="1"/>
  <c r="LX37" i="18"/>
  <c r="LY37" i="18" s="1"/>
  <c r="GD38" i="18"/>
  <c r="GE38" i="18" s="1"/>
  <c r="MM39" i="18"/>
  <c r="MN39" i="18" s="1"/>
  <c r="MC41" i="18"/>
  <c r="MD41" i="18" s="1"/>
  <c r="O41" i="18"/>
  <c r="BN47" i="18"/>
  <c r="BO47" i="18" s="1"/>
  <c r="KT47" i="18"/>
  <c r="KU47" i="18" s="1"/>
  <c r="KA47" i="18"/>
  <c r="O54" i="18"/>
  <c r="AJ54" i="18"/>
  <c r="AK54" i="18" s="1"/>
  <c r="MC54" i="18"/>
  <c r="MD54" i="18" s="1"/>
  <c r="X25" i="18"/>
  <c r="O26" i="18"/>
  <c r="AE26" i="18"/>
  <c r="BW26" i="18"/>
  <c r="CM26" i="18"/>
  <c r="DE26" i="18"/>
  <c r="DU26" i="18"/>
  <c r="HH26" i="18"/>
  <c r="HI26" i="18" s="1"/>
  <c r="JP26" i="18"/>
  <c r="JQ26" i="18" s="1"/>
  <c r="CR27" i="18"/>
  <c r="CS27" i="18" s="1"/>
  <c r="FN27" i="18"/>
  <c r="FO27" i="18" s="1"/>
  <c r="IL28" i="18"/>
  <c r="IM28" i="18" s="1"/>
  <c r="JE28" i="18"/>
  <c r="MG28" i="18"/>
  <c r="MH28" i="18" s="1"/>
  <c r="MS28" i="18"/>
  <c r="MT28" i="18" s="1"/>
  <c r="CR29" i="18"/>
  <c r="CS29" i="18" s="1"/>
  <c r="FN29" i="18"/>
  <c r="FO29" i="18" s="1"/>
  <c r="IW29" i="18"/>
  <c r="JO29" i="18"/>
  <c r="FL30" i="18"/>
  <c r="FM30" i="18" s="1"/>
  <c r="FX30" i="18"/>
  <c r="FY30" i="18" s="1"/>
  <c r="IL30" i="18"/>
  <c r="IM30" i="18" s="1"/>
  <c r="V31" i="18"/>
  <c r="AH31" i="18"/>
  <c r="BN32" i="18"/>
  <c r="BO32" i="18" s="1"/>
  <c r="CW33" i="18"/>
  <c r="HH33" i="18"/>
  <c r="HI33" i="18" s="1"/>
  <c r="CR34" i="18"/>
  <c r="CS34" i="18" s="1"/>
  <c r="FF34" i="18"/>
  <c r="FR34" i="18"/>
  <c r="FS34" i="18" s="1"/>
  <c r="IY34" i="18"/>
  <c r="MQ35" i="18"/>
  <c r="MR35" i="18" s="1"/>
  <c r="CF36" i="18"/>
  <c r="CG36" i="18" s="1"/>
  <c r="BT36" i="18"/>
  <c r="BS36" i="18"/>
  <c r="CL36" i="18"/>
  <c r="CM36" i="18" s="1"/>
  <c r="BZ36" i="18"/>
  <c r="CA36" i="18" s="1"/>
  <c r="CP36" i="18"/>
  <c r="CQ36" i="18" s="1"/>
  <c r="MC37" i="18"/>
  <c r="MD37" i="18" s="1"/>
  <c r="MW38" i="18"/>
  <c r="MX38" i="18" s="1"/>
  <c r="JP38" i="18"/>
  <c r="JQ38" i="18" s="1"/>
  <c r="GD40" i="18"/>
  <c r="GE40" i="18" s="1"/>
  <c r="FI40" i="18"/>
  <c r="AJ41" i="18"/>
  <c r="AK41" i="18" s="1"/>
  <c r="IL41" i="18"/>
  <c r="IM41" i="18" s="1"/>
  <c r="JP41" i="18"/>
  <c r="JQ41" i="18" s="1"/>
  <c r="BY46" i="18"/>
  <c r="KQ46" i="18"/>
  <c r="AJ47" i="18"/>
  <c r="AK47" i="18" s="1"/>
  <c r="GO47" i="18"/>
  <c r="HH47" i="18"/>
  <c r="HI47" i="18" s="1"/>
  <c r="IL24" i="18"/>
  <c r="IM24" i="18" s="1"/>
  <c r="CG25" i="18"/>
  <c r="CY25" i="18"/>
  <c r="DO25" i="18"/>
  <c r="FM25" i="18"/>
  <c r="GC25" i="18"/>
  <c r="HS25" i="18"/>
  <c r="IE25" i="18"/>
  <c r="IU25" i="18"/>
  <c r="JK25" i="18"/>
  <c r="KC25" i="18"/>
  <c r="KS25" i="18"/>
  <c r="DV26" i="18"/>
  <c r="DW26" i="18" s="1"/>
  <c r="GU27" i="18"/>
  <c r="HG27" i="18"/>
  <c r="BS28" i="18"/>
  <c r="CK28" i="18"/>
  <c r="DC28" i="18"/>
  <c r="DU28" i="18"/>
  <c r="FE28" i="18"/>
  <c r="FW28" i="18"/>
  <c r="GI29" i="18"/>
  <c r="IY29" i="18"/>
  <c r="FL31" i="18"/>
  <c r="FM31" i="18" s="1"/>
  <c r="FX31" i="18"/>
  <c r="FY31" i="18" s="1"/>
  <c r="IL31" i="18"/>
  <c r="IM31" i="18" s="1"/>
  <c r="CY32" i="18"/>
  <c r="FM32" i="18"/>
  <c r="GC32" i="18"/>
  <c r="IU32" i="18"/>
  <c r="JK32" i="18"/>
  <c r="BW33" i="18"/>
  <c r="CI33" i="18"/>
  <c r="DV33" i="18"/>
  <c r="DW33" i="18" s="1"/>
  <c r="LW34" i="18"/>
  <c r="MG35" i="18"/>
  <c r="MH35" i="18" s="1"/>
  <c r="BK35" i="18"/>
  <c r="KK35" i="18"/>
  <c r="LU35" i="18"/>
  <c r="BV36" i="18"/>
  <c r="BW36" i="18" s="1"/>
  <c r="DR36" i="18"/>
  <c r="DS36" i="18" s="1"/>
  <c r="DF36" i="18"/>
  <c r="DG36" i="18" s="1"/>
  <c r="DL36" i="18"/>
  <c r="DM36" i="18" s="1"/>
  <c r="CZ36" i="18"/>
  <c r="DA36" i="18" s="1"/>
  <c r="DT36" i="18"/>
  <c r="DU36" i="18" s="1"/>
  <c r="KT36" i="18"/>
  <c r="KU36" i="18" s="1"/>
  <c r="U37" i="18"/>
  <c r="BA38" i="18"/>
  <c r="KT38" i="18"/>
  <c r="MO39" i="18"/>
  <c r="MP39" i="18" s="1"/>
  <c r="DV40" i="18"/>
  <c r="MG40" i="18"/>
  <c r="MH40" i="18" s="1"/>
  <c r="HO44" i="18"/>
  <c r="AA46" i="18"/>
  <c r="DU46" i="18"/>
  <c r="FS46" i="18"/>
  <c r="HU46" i="18"/>
  <c r="JO46" i="18"/>
  <c r="M47" i="18"/>
  <c r="CR48" i="18"/>
  <c r="MA48" i="18"/>
  <c r="FS52" i="18"/>
  <c r="GD52" i="18"/>
  <c r="GE52" i="18" s="1"/>
  <c r="MS60" i="18"/>
  <c r="MT60" i="18" s="1"/>
  <c r="BA23" i="18"/>
  <c r="BM23" i="18"/>
  <c r="AT24" i="18"/>
  <c r="AU24" i="18" s="1"/>
  <c r="CR24" i="18"/>
  <c r="CS24" i="18" s="1"/>
  <c r="AA25" i="18"/>
  <c r="BS25" i="18"/>
  <c r="CI25" i="18"/>
  <c r="DA25" i="18"/>
  <c r="DQ25" i="18"/>
  <c r="KT25" i="18"/>
  <c r="KU25" i="18" s="1"/>
  <c r="AW26" i="18"/>
  <c r="BI26" i="18"/>
  <c r="FE26" i="18"/>
  <c r="FU26" i="18"/>
  <c r="HM26" i="18"/>
  <c r="JC26" i="18"/>
  <c r="JU26" i="18"/>
  <c r="KK26" i="18"/>
  <c r="Z27" i="18"/>
  <c r="CW27" i="18"/>
  <c r="DO27" i="18"/>
  <c r="FQ27" i="18"/>
  <c r="AA28" i="18"/>
  <c r="BU28" i="18"/>
  <c r="CM28" i="18"/>
  <c r="DE28" i="18"/>
  <c r="FG28" i="18"/>
  <c r="FY28" i="18"/>
  <c r="KA28" i="18"/>
  <c r="KS28" i="18"/>
  <c r="S29" i="18"/>
  <c r="CW29" i="18"/>
  <c r="DO29" i="18"/>
  <c r="FQ29" i="18"/>
  <c r="AZ30" i="18"/>
  <c r="BA30" i="18" s="1"/>
  <c r="FN30" i="18"/>
  <c r="FO30" i="18" s="1"/>
  <c r="FZ30" i="18"/>
  <c r="GA30" i="18" s="1"/>
  <c r="IQ30" i="18"/>
  <c r="L31" i="18"/>
  <c r="X31" i="18"/>
  <c r="AA32" i="18"/>
  <c r="BS32" i="18"/>
  <c r="CI32" i="18"/>
  <c r="DA32" i="18"/>
  <c r="DQ32" i="18"/>
  <c r="FN32" i="18"/>
  <c r="FO32" i="18" s="1"/>
  <c r="V33" i="18"/>
  <c r="HX33" i="18"/>
  <c r="HY33" i="18" s="1"/>
  <c r="DH34" i="18"/>
  <c r="DI34" i="18" s="1"/>
  <c r="FH34" i="18"/>
  <c r="FI34" i="18" s="1"/>
  <c r="FT34" i="18"/>
  <c r="FU34" i="18" s="1"/>
  <c r="GI34" i="18"/>
  <c r="KS34" i="18"/>
  <c r="Q35" i="18"/>
  <c r="AE35" i="18"/>
  <c r="AW35" i="18"/>
  <c r="FG35" i="18"/>
  <c r="HU35" i="18"/>
  <c r="IL35" i="18"/>
  <c r="IM35" i="18" s="1"/>
  <c r="KM35" i="18"/>
  <c r="CW36" i="18"/>
  <c r="BY37" i="18"/>
  <c r="MW37" i="18"/>
  <c r="MX37" i="18" s="1"/>
  <c r="DO37" i="18"/>
  <c r="AI38" i="18"/>
  <c r="CA38" i="18"/>
  <c r="DA38" i="18"/>
  <c r="DU38" i="18"/>
  <c r="HA38" i="18"/>
  <c r="JA38" i="18"/>
  <c r="JY38" i="18"/>
  <c r="KS38" i="18"/>
  <c r="CR39" i="18"/>
  <c r="MA39" i="18"/>
  <c r="LX39" i="18"/>
  <c r="LY39" i="18" s="1"/>
  <c r="MC40" i="18"/>
  <c r="MD40" i="18" s="1"/>
  <c r="MA41" i="18"/>
  <c r="AC46" i="18"/>
  <c r="MQ46" i="18"/>
  <c r="MR46" i="18" s="1"/>
  <c r="JW46" i="18"/>
  <c r="BU48" i="18"/>
  <c r="MA49" i="18"/>
  <c r="IL26" i="18"/>
  <c r="IM26" i="18" s="1"/>
  <c r="JP30" i="18"/>
  <c r="JQ30" i="18" s="1"/>
  <c r="KO32" i="18"/>
  <c r="KK34" i="18"/>
  <c r="JY34" i="18"/>
  <c r="BW34" i="18"/>
  <c r="CI34" i="18"/>
  <c r="CW34" i="18"/>
  <c r="HH34" i="18"/>
  <c r="HI34" i="18" s="1"/>
  <c r="JO34" i="18"/>
  <c r="KE34" i="18"/>
  <c r="LM34" i="18"/>
  <c r="MO38" i="18"/>
  <c r="MP38" i="18" s="1"/>
  <c r="LX38" i="18"/>
  <c r="LY38" i="18" s="1"/>
  <c r="MQ40" i="18"/>
  <c r="MR40" i="18" s="1"/>
  <c r="MG41" i="18"/>
  <c r="MH41" i="18" s="1"/>
  <c r="LQ46" i="18"/>
  <c r="LE46" i="18"/>
  <c r="JM46" i="18"/>
  <c r="JA46" i="18"/>
  <c r="HM46" i="18"/>
  <c r="CW46" i="18"/>
  <c r="KK46" i="18"/>
  <c r="JY46" i="18"/>
  <c r="II46" i="18"/>
  <c r="HW46" i="18"/>
  <c r="FU46" i="18"/>
  <c r="FI46" i="18"/>
  <c r="DS46" i="18"/>
  <c r="DG46" i="18"/>
  <c r="BE46" i="18"/>
  <c r="AS46" i="18"/>
  <c r="GI46" i="18"/>
  <c r="BS46" i="18"/>
  <c r="KS46" i="18"/>
  <c r="KG46" i="18"/>
  <c r="JU46" i="18"/>
  <c r="IE46" i="18"/>
  <c r="HS46" i="18"/>
  <c r="GC46" i="18"/>
  <c r="FQ46" i="18"/>
  <c r="FE46" i="18"/>
  <c r="DO46" i="18"/>
  <c r="DC46" i="18"/>
  <c r="BM46" i="18"/>
  <c r="BA46" i="18"/>
  <c r="AO46" i="18"/>
  <c r="KO46" i="18"/>
  <c r="HO46" i="18"/>
  <c r="GS46" i="18"/>
  <c r="FY46" i="18"/>
  <c r="FG46" i="18"/>
  <c r="DQ46" i="18"/>
  <c r="CY46" i="18"/>
  <c r="W46" i="18"/>
  <c r="LW46" i="18"/>
  <c r="IY46" i="18"/>
  <c r="CC46" i="18"/>
  <c r="BI46" i="18"/>
  <c r="IA46" i="18"/>
  <c r="HE46" i="18"/>
  <c r="S46" i="18"/>
  <c r="BC46" i="18"/>
  <c r="GK46" i="18"/>
  <c r="AE46" i="18"/>
  <c r="O46" i="18"/>
  <c r="LO46" i="18"/>
  <c r="KC46" i="18"/>
  <c r="JG46" i="18"/>
  <c r="IQ46" i="18"/>
  <c r="BU46" i="18"/>
  <c r="LS46" i="18"/>
  <c r="AC25" i="18"/>
  <c r="BU25" i="18"/>
  <c r="FQ25" i="18"/>
  <c r="GI25" i="18"/>
  <c r="IY25" i="18"/>
  <c r="JO25" i="18"/>
  <c r="KG25" i="18"/>
  <c r="JW26" i="18"/>
  <c r="FT27" i="18"/>
  <c r="FU27" i="18" s="1"/>
  <c r="BW28" i="18"/>
  <c r="JK28" i="18"/>
  <c r="BA29" i="18"/>
  <c r="BM29" i="18"/>
  <c r="FT29" i="18"/>
  <c r="FU29" i="18" s="1"/>
  <c r="FP30" i="18"/>
  <c r="FQ30" i="18" s="1"/>
  <c r="GB30" i="18"/>
  <c r="GC30" i="18" s="1"/>
  <c r="BU32" i="18"/>
  <c r="FQ32" i="18"/>
  <c r="GI32" i="18"/>
  <c r="IY32" i="18"/>
  <c r="JO32" i="18"/>
  <c r="FJ34" i="18"/>
  <c r="FK34" i="18" s="1"/>
  <c r="FV34" i="18"/>
  <c r="FW34" i="18" s="1"/>
  <c r="GK34" i="18"/>
  <c r="GW34" i="18"/>
  <c r="IH34" i="18"/>
  <c r="II34" i="18" s="1"/>
  <c r="HV34" i="18"/>
  <c r="HW34" i="18" s="1"/>
  <c r="HK36" i="18"/>
  <c r="JP34" i="18"/>
  <c r="JQ34" i="18" s="1"/>
  <c r="KG34" i="18"/>
  <c r="AY35" i="18"/>
  <c r="BN35" i="18"/>
  <c r="BO35" i="18" s="1"/>
  <c r="HY35" i="18"/>
  <c r="IQ35" i="18"/>
  <c r="JW35" i="18"/>
  <c r="Y37" i="18"/>
  <c r="FU37" i="18"/>
  <c r="CC38" i="18"/>
  <c r="MC39" i="18"/>
  <c r="MD39" i="18" s="1"/>
  <c r="AC39" i="18"/>
  <c r="JP39" i="18"/>
  <c r="JQ39" i="18" s="1"/>
  <c r="CR41" i="18"/>
  <c r="CS41" i="18" s="1"/>
  <c r="GW46" i="18"/>
  <c r="KA46" i="18"/>
  <c r="HH25" i="18"/>
  <c r="HI25" i="18" s="1"/>
  <c r="HW25" i="18"/>
  <c r="II25" i="18"/>
  <c r="FI26" i="18"/>
  <c r="FY26" i="18"/>
  <c r="GO26" i="18"/>
  <c r="HA26" i="18"/>
  <c r="IQ26" i="18"/>
  <c r="JG26" i="18"/>
  <c r="JY26" i="18"/>
  <c r="KO26" i="18"/>
  <c r="LG26" i="18"/>
  <c r="LS26" i="18"/>
  <c r="IL27" i="18"/>
  <c r="IM27" i="18" s="1"/>
  <c r="BN29" i="18"/>
  <c r="BO29" i="18" s="1"/>
  <c r="IL29" i="18"/>
  <c r="IM29" i="18" s="1"/>
  <c r="BN31" i="18"/>
  <c r="BO31" i="18" s="1"/>
  <c r="FP31" i="18"/>
  <c r="FQ31" i="18" s="1"/>
  <c r="GB31" i="18"/>
  <c r="GC31" i="18" s="1"/>
  <c r="AE32" i="18"/>
  <c r="AU32" i="18"/>
  <c r="BG32" i="18"/>
  <c r="BW32" i="18"/>
  <c r="CM32" i="18"/>
  <c r="DE32" i="18"/>
  <c r="DU32" i="18"/>
  <c r="HH32" i="18"/>
  <c r="HI32" i="18" s="1"/>
  <c r="HW32" i="18"/>
  <c r="II32" i="18"/>
  <c r="KE32" i="18"/>
  <c r="KQ32" i="18"/>
  <c r="GO33" i="18"/>
  <c r="HA33" i="18"/>
  <c r="KC33" i="18"/>
  <c r="KO33" i="18"/>
  <c r="BY34" i="18"/>
  <c r="CK34" i="18"/>
  <c r="HM34" i="18"/>
  <c r="IQ34" i="18"/>
  <c r="LO34" i="18"/>
  <c r="KQ35" i="18"/>
  <c r="LK35" i="18"/>
  <c r="CB36" i="18"/>
  <c r="CC36" i="18" s="1"/>
  <c r="DB36" i="18"/>
  <c r="DC36" i="18" s="1"/>
  <c r="MA37" i="18"/>
  <c r="HH37" i="18"/>
  <c r="HI37" i="18" s="1"/>
  <c r="MA38" i="18"/>
  <c r="KT40" i="18"/>
  <c r="MI41" i="18"/>
  <c r="MJ41" i="18" s="1"/>
  <c r="LX42" i="18"/>
  <c r="LY42" i="18" s="1"/>
  <c r="CY43" i="18"/>
  <c r="DV43" i="18"/>
  <c r="DW43" i="18" s="1"/>
  <c r="AF45" i="18"/>
  <c r="T45" i="18"/>
  <c r="AB45" i="18"/>
  <c r="P45" i="18"/>
  <c r="X45" i="18"/>
  <c r="L45" i="18"/>
  <c r="V45" i="18"/>
  <c r="R45" i="18"/>
  <c r="N45" i="18"/>
  <c r="AH45" i="18"/>
  <c r="MW46" i="18"/>
  <c r="MX46" i="18" s="1"/>
  <c r="AI46" i="18"/>
  <c r="CG46" i="18"/>
  <c r="GY46" i="18"/>
  <c r="LC46" i="18"/>
  <c r="BC56" i="18"/>
  <c r="MM56" i="18"/>
  <c r="MN56" i="18" s="1"/>
  <c r="IW23" i="18"/>
  <c r="P25" i="18"/>
  <c r="AF25" i="18"/>
  <c r="W26" i="18"/>
  <c r="AO26" i="18"/>
  <c r="CE26" i="18"/>
  <c r="CW26" i="18"/>
  <c r="DM26" i="18"/>
  <c r="FJ26" i="18"/>
  <c r="FK26" i="18" s="1"/>
  <c r="FZ26" i="18"/>
  <c r="GA26" i="18" s="1"/>
  <c r="N27" i="18"/>
  <c r="FE27" i="18"/>
  <c r="JY27" i="18"/>
  <c r="CA28" i="18"/>
  <c r="DK28" i="18"/>
  <c r="FM28" i="18"/>
  <c r="IU28" i="18"/>
  <c r="KG28" i="18"/>
  <c r="Y29" i="18"/>
  <c r="AQ29" i="18"/>
  <c r="BC29" i="18"/>
  <c r="DC29" i="18"/>
  <c r="DU29" i="18"/>
  <c r="FE29" i="18"/>
  <c r="FW29" i="18"/>
  <c r="FF30" i="18"/>
  <c r="FR30" i="18"/>
  <c r="FS30" i="18" s="1"/>
  <c r="P31" i="18"/>
  <c r="AB31" i="18"/>
  <c r="FE31" i="18"/>
  <c r="P32" i="18"/>
  <c r="AF32" i="18"/>
  <c r="AO33" i="18"/>
  <c r="IQ33" i="18"/>
  <c r="FL34" i="18"/>
  <c r="FM34" i="18" s="1"/>
  <c r="FX34" i="18"/>
  <c r="FY34" i="18" s="1"/>
  <c r="JU34" i="18"/>
  <c r="LC34" i="18"/>
  <c r="MK35" i="18"/>
  <c r="ML35" i="18" s="1"/>
  <c r="AI35" i="18"/>
  <c r="BU35" i="18"/>
  <c r="IS35" i="18"/>
  <c r="KA35" i="18"/>
  <c r="ME35" i="18"/>
  <c r="MF35" i="18" s="1"/>
  <c r="CD36" i="18"/>
  <c r="CE36" i="18" s="1"/>
  <c r="DD36" i="18"/>
  <c r="DE36" i="18" s="1"/>
  <c r="FR36" i="18"/>
  <c r="FS36" i="18" s="1"/>
  <c r="FF36" i="18"/>
  <c r="FE36" i="18"/>
  <c r="FX36" i="18"/>
  <c r="FY36" i="18" s="1"/>
  <c r="FL36" i="18"/>
  <c r="FM36" i="18" s="1"/>
  <c r="GB36" i="18"/>
  <c r="GC36" i="18" s="1"/>
  <c r="M37" i="18"/>
  <c r="MS37" i="18"/>
  <c r="MT37" i="18" s="1"/>
  <c r="IL37" i="18"/>
  <c r="IM37" i="18" s="1"/>
  <c r="MC38" i="18"/>
  <c r="MD38" i="18" s="1"/>
  <c r="II38" i="18"/>
  <c r="LG38" i="18"/>
  <c r="MG38" i="18"/>
  <c r="MH38" i="18" s="1"/>
  <c r="MU39" i="18"/>
  <c r="MV39" i="18" s="1"/>
  <c r="GK39" i="18"/>
  <c r="HY39" i="18"/>
  <c r="MO41" i="18"/>
  <c r="MP41" i="18" s="1"/>
  <c r="AA41" i="18"/>
  <c r="DV41" i="18"/>
  <c r="DW41" i="18" s="1"/>
  <c r="CR44" i="18"/>
  <c r="CS44" i="18" s="1"/>
  <c r="KM44" i="18"/>
  <c r="KA44" i="18"/>
  <c r="KI44" i="18"/>
  <c r="JV44" i="18"/>
  <c r="KQ44" i="18"/>
  <c r="KE44" i="18"/>
  <c r="KS44" i="18"/>
  <c r="KO44" i="18"/>
  <c r="KK44" i="18"/>
  <c r="KC44" i="18"/>
  <c r="JY44" i="18"/>
  <c r="Z45" i="18"/>
  <c r="AQ46" i="18"/>
  <c r="CI46" i="18"/>
  <c r="HA46" i="18"/>
  <c r="JC46" i="18"/>
  <c r="ME46" i="18"/>
  <c r="MF46" i="18" s="1"/>
  <c r="MO48" i="18"/>
  <c r="MP48" i="18" s="1"/>
  <c r="IS49" i="18"/>
  <c r="KI50" i="18"/>
  <c r="MM50" i="18"/>
  <c r="MN50" i="18" s="1"/>
  <c r="U52" i="18"/>
  <c r="MI52" i="18"/>
  <c r="MJ52" i="18" s="1"/>
  <c r="FE25" i="18"/>
  <c r="FU25" i="18"/>
  <c r="HM25" i="18"/>
  <c r="HY25" i="18"/>
  <c r="IK25" i="18"/>
  <c r="JC25" i="18"/>
  <c r="JU25" i="18"/>
  <c r="KK25" i="18"/>
  <c r="MC25" i="18"/>
  <c r="MD25" i="18" s="1"/>
  <c r="MO25" i="18"/>
  <c r="MP25" i="18" s="1"/>
  <c r="BN26" i="18"/>
  <c r="BO26" i="18" s="1"/>
  <c r="GQ26" i="18"/>
  <c r="HC26" i="18"/>
  <c r="IS26" i="18"/>
  <c r="JI26" i="18"/>
  <c r="KA26" i="18"/>
  <c r="KQ26" i="18"/>
  <c r="LI26" i="18"/>
  <c r="LU26" i="18"/>
  <c r="Q28" i="18"/>
  <c r="AI28" i="18"/>
  <c r="HU28" i="18"/>
  <c r="IG28" i="18"/>
  <c r="IW28" i="18"/>
  <c r="JO28" i="18"/>
  <c r="KI28" i="18"/>
  <c r="LC28" i="18"/>
  <c r="LO28" i="18"/>
  <c r="BS29" i="18"/>
  <c r="CK29" i="18"/>
  <c r="DE29" i="18"/>
  <c r="FG29" i="18"/>
  <c r="FY29" i="18"/>
  <c r="GO29" i="18"/>
  <c r="HA29" i="18"/>
  <c r="JG29" i="18"/>
  <c r="JY29" i="18"/>
  <c r="KK29" i="18"/>
  <c r="CR30" i="18"/>
  <c r="CS30" i="18" s="1"/>
  <c r="FF31" i="18"/>
  <c r="FR31" i="18"/>
  <c r="FS31" i="18" s="1"/>
  <c r="KT31" i="18"/>
  <c r="KU31" i="18" s="1"/>
  <c r="AW32" i="18"/>
  <c r="BI32" i="18"/>
  <c r="BY32" i="18"/>
  <c r="CO32" i="18"/>
  <c r="DG32" i="18"/>
  <c r="FE32" i="18"/>
  <c r="FU32" i="18"/>
  <c r="HM32" i="18"/>
  <c r="HY32" i="18"/>
  <c r="IK32" i="18"/>
  <c r="JC32" i="18"/>
  <c r="JU32" i="18"/>
  <c r="KG32" i="18"/>
  <c r="KS32" i="18"/>
  <c r="BN33" i="18"/>
  <c r="BO33" i="18" s="1"/>
  <c r="CC33" i="18"/>
  <c r="CO33" i="18"/>
  <c r="FP33" i="18"/>
  <c r="FQ33" i="18" s="1"/>
  <c r="GB33" i="18"/>
  <c r="GC33" i="18" s="1"/>
  <c r="GQ33" i="18"/>
  <c r="HC33" i="18"/>
  <c r="JP33" i="18"/>
  <c r="JQ33" i="18" s="1"/>
  <c r="KE33" i="18"/>
  <c r="KQ33" i="18"/>
  <c r="CA34" i="18"/>
  <c r="CM34" i="18"/>
  <c r="IB34" i="18"/>
  <c r="IC34" i="18" s="1"/>
  <c r="IS34" i="18"/>
  <c r="LX34" i="18"/>
  <c r="LY34" i="18" s="1"/>
  <c r="LQ34" i="18"/>
  <c r="HM35" i="18"/>
  <c r="CW35" i="18"/>
  <c r="AU35" i="18"/>
  <c r="W35" i="18"/>
  <c r="BC35" i="18"/>
  <c r="CI35" i="18"/>
  <c r="DA35" i="18"/>
  <c r="DQ35" i="18"/>
  <c r="GC35" i="18"/>
  <c r="HG35" i="18"/>
  <c r="JG35" i="18"/>
  <c r="KS35" i="18"/>
  <c r="LM35" i="18"/>
  <c r="CH36" i="18"/>
  <c r="CI36" i="18" s="1"/>
  <c r="DH36" i="18"/>
  <c r="DI36" i="18" s="1"/>
  <c r="KG38" i="18"/>
  <c r="GD39" i="18"/>
  <c r="GE39" i="18" s="1"/>
  <c r="MM40" i="18"/>
  <c r="MN40" i="18" s="1"/>
  <c r="MQ41" i="18"/>
  <c r="MR41" i="18" s="1"/>
  <c r="JP43" i="18"/>
  <c r="JQ43" i="18" s="1"/>
  <c r="IW43" i="18"/>
  <c r="JU44" i="18"/>
  <c r="CK46" i="18"/>
  <c r="FK46" i="18"/>
  <c r="GD46" i="18"/>
  <c r="GE46" i="18" s="1"/>
  <c r="IG46" i="18"/>
  <c r="JE46" i="18"/>
  <c r="LX46" i="18"/>
  <c r="LY46" i="18" s="1"/>
  <c r="MQ48" i="18"/>
  <c r="MR48" i="18" s="1"/>
  <c r="AC48" i="18"/>
  <c r="DG48" i="18"/>
  <c r="DV48" i="18"/>
  <c r="DW48" i="18" s="1"/>
  <c r="IA51" i="18"/>
  <c r="IL51" i="18"/>
  <c r="IM51" i="18" s="1"/>
  <c r="HH23" i="18"/>
  <c r="HI23" i="18" s="1"/>
  <c r="MK24" i="18"/>
  <c r="ML24" i="18" s="1"/>
  <c r="MW24" i="18"/>
  <c r="MX24" i="18" s="1"/>
  <c r="S25" i="18"/>
  <c r="AI25" i="18"/>
  <c r="CA25" i="18"/>
  <c r="CQ25" i="18"/>
  <c r="DI25" i="18"/>
  <c r="IL25" i="18"/>
  <c r="IM25" i="18" s="1"/>
  <c r="FM26" i="18"/>
  <c r="GC26" i="18"/>
  <c r="IU26" i="18"/>
  <c r="JK26" i="18"/>
  <c r="KC26" i="18"/>
  <c r="KS26" i="18"/>
  <c r="FH27" i="18"/>
  <c r="S28" i="18"/>
  <c r="CW28" i="18"/>
  <c r="GI28" i="18"/>
  <c r="IY28" i="18"/>
  <c r="BU29" i="18"/>
  <c r="CM29" i="18"/>
  <c r="FH29" i="18"/>
  <c r="IQ29" i="18"/>
  <c r="JI29" i="18"/>
  <c r="FH30" i="18"/>
  <c r="FI30" i="18" s="1"/>
  <c r="R31" i="18"/>
  <c r="CR31" i="18"/>
  <c r="CS31" i="18" s="1"/>
  <c r="S32" i="18"/>
  <c r="AI32" i="18"/>
  <c r="CA32" i="18"/>
  <c r="CQ32" i="18"/>
  <c r="DI32" i="18"/>
  <c r="FF32" i="18"/>
  <c r="IL32" i="18"/>
  <c r="IM32" i="18" s="1"/>
  <c r="KT32" i="18"/>
  <c r="KU32" i="18" s="1"/>
  <c r="FE33" i="18"/>
  <c r="AO34" i="18"/>
  <c r="FN34" i="18"/>
  <c r="FO34" i="18" s="1"/>
  <c r="HQ34" i="18"/>
  <c r="LE34" i="18"/>
  <c r="MM35" i="18"/>
  <c r="MN35" i="18" s="1"/>
  <c r="BE35" i="18"/>
  <c r="BW35" i="18"/>
  <c r="DS35" i="18"/>
  <c r="GD35" i="18"/>
  <c r="GE35" i="18" s="1"/>
  <c r="GU35" i="18"/>
  <c r="KT35" i="18"/>
  <c r="KU35" i="18" s="1"/>
  <c r="LO35" i="18"/>
  <c r="MG37" i="18"/>
  <c r="MH37" i="18" s="1"/>
  <c r="FU38" i="18"/>
  <c r="FI38" i="18"/>
  <c r="BI38" i="18"/>
  <c r="AW38" i="18"/>
  <c r="AG38" i="18"/>
  <c r="U38" i="18"/>
  <c r="GI38" i="18"/>
  <c r="FS38" i="18"/>
  <c r="FG38" i="18"/>
  <c r="BG38" i="18"/>
  <c r="AU38" i="18"/>
  <c r="AE38" i="18"/>
  <c r="S38" i="18"/>
  <c r="LM38" i="18"/>
  <c r="KI38" i="18"/>
  <c r="JW38" i="18"/>
  <c r="JG38" i="18"/>
  <c r="IU38" i="18"/>
  <c r="IE38" i="18"/>
  <c r="HS38" i="18"/>
  <c r="HC38" i="18"/>
  <c r="GQ38" i="18"/>
  <c r="DK38" i="18"/>
  <c r="CY38" i="18"/>
  <c r="CG38" i="18"/>
  <c r="BU38" i="18"/>
  <c r="BC38" i="18"/>
  <c r="AQ38" i="18"/>
  <c r="AA38" i="18"/>
  <c r="O38" i="18"/>
  <c r="BK38" i="18"/>
  <c r="CK38" i="18"/>
  <c r="HQ38" i="18"/>
  <c r="IL38" i="18"/>
  <c r="IM38" i="18" s="1"/>
  <c r="JK38" i="18"/>
  <c r="BC40" i="18"/>
  <c r="CR40" i="18"/>
  <c r="GA40" i="18"/>
  <c r="MU40" i="18"/>
  <c r="MV40" i="18" s="1"/>
  <c r="IL40" i="18"/>
  <c r="IM40" i="18" s="1"/>
  <c r="KG44" i="18"/>
  <c r="AD45" i="18"/>
  <c r="MG46" i="18"/>
  <c r="MH46" i="18" s="1"/>
  <c r="DK46" i="18"/>
  <c r="KI46" i="18"/>
  <c r="BY47" i="18"/>
  <c r="CR47" i="18"/>
  <c r="CS47" i="18" s="1"/>
  <c r="CO47" i="18"/>
  <c r="LC54" i="18"/>
  <c r="MK55" i="18"/>
  <c r="ML55" i="18" s="1"/>
  <c r="W55" i="18"/>
  <c r="MA55" i="18"/>
  <c r="AQ55" i="18"/>
  <c r="BN55" i="18"/>
  <c r="BO55" i="18" s="1"/>
  <c r="BI55" i="18"/>
  <c r="FM22" i="18"/>
  <c r="GC22" i="18"/>
  <c r="IU22" i="18"/>
  <c r="JK22" i="18"/>
  <c r="KC22" i="18"/>
  <c r="AA26" i="18"/>
  <c r="BS26" i="18"/>
  <c r="CI26" i="18"/>
  <c r="DA26" i="18"/>
  <c r="IS27" i="18"/>
  <c r="CE28" i="18"/>
  <c r="DO28" i="18"/>
  <c r="AC29" i="18"/>
  <c r="IS29" i="18"/>
  <c r="FH31" i="18"/>
  <c r="FI31" i="18" s="1"/>
  <c r="BS33" i="18"/>
  <c r="FF33" i="18"/>
  <c r="ID34" i="18"/>
  <c r="IE34" i="18" s="1"/>
  <c r="JI34" i="18"/>
  <c r="MA35" i="18"/>
  <c r="Y35" i="18"/>
  <c r="AO35" i="18"/>
  <c r="BG35" i="18"/>
  <c r="DU35" i="18"/>
  <c r="GI35" i="18"/>
  <c r="GW35" i="18"/>
  <c r="JI35" i="18"/>
  <c r="KE35" i="18"/>
  <c r="LX35" i="18"/>
  <c r="LY35" i="18" s="1"/>
  <c r="CJ36" i="18"/>
  <c r="CK36" i="18" s="1"/>
  <c r="DJ36" i="18"/>
  <c r="DK36" i="18" s="1"/>
  <c r="FJ36" i="18"/>
  <c r="FK36" i="18" s="1"/>
  <c r="AW37" i="18"/>
  <c r="MQ38" i="18"/>
  <c r="MR38" i="18" s="1"/>
  <c r="BM38" i="18"/>
  <c r="CM38" i="18"/>
  <c r="DM38" i="18"/>
  <c r="FE38" i="18"/>
  <c r="GS38" i="18"/>
  <c r="JM38" i="18"/>
  <c r="KK38" i="18"/>
  <c r="LK38" i="18"/>
  <c r="MI39" i="18"/>
  <c r="MJ39" i="18" s="1"/>
  <c r="MS39" i="18"/>
  <c r="MT39" i="18" s="1"/>
  <c r="MA40" i="18"/>
  <c r="JP40" i="18"/>
  <c r="JQ40" i="18" s="1"/>
  <c r="MW41" i="18"/>
  <c r="MX41" i="18" s="1"/>
  <c r="MU41" i="18"/>
  <c r="MV41" i="18" s="1"/>
  <c r="BN42" i="18"/>
  <c r="BO42" i="18" s="1"/>
  <c r="MS42" i="18"/>
  <c r="MT42" i="18" s="1"/>
  <c r="CR46" i="18"/>
  <c r="CS46" i="18" s="1"/>
  <c r="FM46" i="18"/>
  <c r="IK46" i="18"/>
  <c r="KM48" i="18"/>
  <c r="KA48" i="18"/>
  <c r="IK48" i="18"/>
  <c r="HY48" i="18"/>
  <c r="GW48" i="18"/>
  <c r="GK48" i="18"/>
  <c r="CE48" i="18"/>
  <c r="AA48" i="18"/>
  <c r="O48" i="18"/>
  <c r="AO48" i="18"/>
  <c r="LM48" i="18"/>
  <c r="JI48" i="18"/>
  <c r="IW48" i="18"/>
  <c r="FS48" i="18"/>
  <c r="FG48" i="18"/>
  <c r="DQ48" i="18"/>
  <c r="DE48" i="18"/>
  <c r="BK48" i="18"/>
  <c r="AY48" i="18"/>
  <c r="LU48" i="18"/>
  <c r="LI48" i="18"/>
  <c r="JE48" i="18"/>
  <c r="IS48" i="18"/>
  <c r="GA48" i="18"/>
  <c r="FO48" i="18"/>
  <c r="DM48" i="18"/>
  <c r="DA48" i="18"/>
  <c r="BG48" i="18"/>
  <c r="AU48" i="18"/>
  <c r="IQ48" i="18"/>
  <c r="LQ48" i="18"/>
  <c r="DU48" i="18"/>
  <c r="GU48" i="18"/>
  <c r="BI48" i="18"/>
  <c r="AQ48" i="18"/>
  <c r="JY48" i="18"/>
  <c r="JA48" i="18"/>
  <c r="IE48" i="18"/>
  <c r="U48" i="18"/>
  <c r="FW48" i="18"/>
  <c r="FE48" i="18"/>
  <c r="CC48" i="18"/>
  <c r="HG48" i="18"/>
  <c r="GQ48" i="18"/>
  <c r="CW48" i="18"/>
  <c r="CO48" i="18"/>
  <c r="BY48" i="18"/>
  <c r="LE48" i="18"/>
  <c r="JM48" i="18"/>
  <c r="HC48" i="18"/>
  <c r="KG48" i="18"/>
  <c r="HW48" i="18"/>
  <c r="DI48" i="18"/>
  <c r="M48" i="18"/>
  <c r="KS48" i="18"/>
  <c r="KC48" i="18"/>
  <c r="II48" i="18"/>
  <c r="HS48" i="18"/>
  <c r="GC48" i="18"/>
  <c r="FK48" i="18"/>
  <c r="BM48" i="18"/>
  <c r="Y48" i="18"/>
  <c r="JU48" i="18"/>
  <c r="BN50" i="18"/>
  <c r="BO50" i="18" s="1"/>
  <c r="MC50" i="18"/>
  <c r="MD50" i="18" s="1"/>
  <c r="AS50" i="18"/>
  <c r="AG56" i="18"/>
  <c r="MU56" i="18"/>
  <c r="MV56" i="18" s="1"/>
  <c r="CI48" i="18"/>
  <c r="JG48" i="18"/>
  <c r="LS48" i="18"/>
  <c r="LU49" i="18"/>
  <c r="LI49" i="18"/>
  <c r="KQ49" i="18"/>
  <c r="KE49" i="18"/>
  <c r="JO49" i="18"/>
  <c r="JC49" i="18"/>
  <c r="IA49" i="18"/>
  <c r="HO49" i="18"/>
  <c r="DQ49" i="18"/>
  <c r="DE49" i="18"/>
  <c r="CM49" i="18"/>
  <c r="CA49" i="18"/>
  <c r="LS49" i="18"/>
  <c r="LG49" i="18"/>
  <c r="KO49" i="18"/>
  <c r="KC49" i="18"/>
  <c r="JM49" i="18"/>
  <c r="JA49" i="18"/>
  <c r="IK49" i="18"/>
  <c r="HY49" i="18"/>
  <c r="DO49" i="18"/>
  <c r="DC49" i="18"/>
  <c r="CK49" i="18"/>
  <c r="BY49" i="18"/>
  <c r="HG49" i="18"/>
  <c r="GU49" i="18"/>
  <c r="FS49" i="18"/>
  <c r="FG49" i="18"/>
  <c r="BG49" i="18"/>
  <c r="AU49" i="18"/>
  <c r="AE49" i="18"/>
  <c r="S49" i="18"/>
  <c r="FE49" i="18"/>
  <c r="HC49" i="18"/>
  <c r="GQ49" i="18"/>
  <c r="GA49" i="18"/>
  <c r="FO49" i="18"/>
  <c r="BC49" i="18"/>
  <c r="AQ49" i="18"/>
  <c r="AA49" i="18"/>
  <c r="O49" i="18"/>
  <c r="M49" i="18"/>
  <c r="AG49" i="18"/>
  <c r="MO49" i="18"/>
  <c r="MP49" i="18" s="1"/>
  <c r="BE49" i="18"/>
  <c r="CC49" i="18"/>
  <c r="DA49" i="18"/>
  <c r="DS49" i="18"/>
  <c r="GS49" i="18"/>
  <c r="HS49" i="18"/>
  <c r="KT50" i="18"/>
  <c r="MW60" i="18"/>
  <c r="MX60" i="18" s="1"/>
  <c r="CQ60" i="18"/>
  <c r="BN41" i="18"/>
  <c r="BO41" i="18" s="1"/>
  <c r="GD41" i="18"/>
  <c r="GE41" i="18" s="1"/>
  <c r="KT41" i="18"/>
  <c r="KU41" i="18" s="1"/>
  <c r="GD42" i="18"/>
  <c r="GE42" i="18" s="1"/>
  <c r="KK42" i="18"/>
  <c r="BN44" i="18"/>
  <c r="BO44" i="18" s="1"/>
  <c r="BC45" i="18"/>
  <c r="BW45" i="18"/>
  <c r="GD45" i="18"/>
  <c r="GE45" i="18" s="1"/>
  <c r="FY45" i="18"/>
  <c r="HO45" i="18"/>
  <c r="JU45" i="18"/>
  <c r="KM45" i="18"/>
  <c r="LK45" i="18"/>
  <c r="MC46" i="18"/>
  <c r="MD46" i="18" s="1"/>
  <c r="MS46" i="18"/>
  <c r="MT46" i="18" s="1"/>
  <c r="FO46" i="18"/>
  <c r="HH46" i="18"/>
  <c r="HI46" i="18" s="1"/>
  <c r="AE47" i="18"/>
  <c r="BW48" i="18"/>
  <c r="CM48" i="18"/>
  <c r="ME49" i="18"/>
  <c r="MF49" i="18" s="1"/>
  <c r="Q49" i="18"/>
  <c r="AJ49" i="18"/>
  <c r="AK49" i="18" s="1"/>
  <c r="CG49" i="18"/>
  <c r="FW49" i="18"/>
  <c r="HW49" i="18"/>
  <c r="IU49" i="18"/>
  <c r="KI49" i="18"/>
  <c r="MO50" i="18"/>
  <c r="MP50" i="18" s="1"/>
  <c r="AY51" i="18"/>
  <c r="MI51" i="18"/>
  <c r="MJ51" i="18" s="1"/>
  <c r="MM52" i="18"/>
  <c r="MN52" i="18" s="1"/>
  <c r="FM56" i="18"/>
  <c r="HO63" i="18"/>
  <c r="IL63" i="18"/>
  <c r="IM63" i="18" s="1"/>
  <c r="AZ36" i="18"/>
  <c r="BA36" i="18" s="1"/>
  <c r="BL36" i="18"/>
  <c r="BM36" i="18" s="1"/>
  <c r="AI37" i="18"/>
  <c r="AY37" i="18"/>
  <c r="BK37" i="18"/>
  <c r="FK37" i="18"/>
  <c r="FW37" i="18"/>
  <c r="FG39" i="18"/>
  <c r="MI40" i="18"/>
  <c r="MJ40" i="18" s="1"/>
  <c r="BS42" i="18"/>
  <c r="KT42" i="18"/>
  <c r="KU42" i="18" s="1"/>
  <c r="LG42" i="18"/>
  <c r="BY45" i="18"/>
  <c r="FI45" i="18"/>
  <c r="II45" i="18"/>
  <c r="JC45" i="18"/>
  <c r="KT45" i="18"/>
  <c r="KU45" i="18" s="1"/>
  <c r="KO45" i="18"/>
  <c r="BW46" i="18"/>
  <c r="CM46" i="18"/>
  <c r="DI46" i="18"/>
  <c r="IS46" i="18"/>
  <c r="JI46" i="18"/>
  <c r="KE46" i="18"/>
  <c r="JP47" i="18"/>
  <c r="JQ47" i="18" s="1"/>
  <c r="MC48" i="18"/>
  <c r="MD48" i="18" s="1"/>
  <c r="MS48" i="18"/>
  <c r="MT48" i="18" s="1"/>
  <c r="BA48" i="18"/>
  <c r="DK48" i="18"/>
  <c r="JP48" i="18"/>
  <c r="JQ48" i="18" s="1"/>
  <c r="KI48" i="18"/>
  <c r="BK49" i="18"/>
  <c r="CI49" i="18"/>
  <c r="DG49" i="18"/>
  <c r="FY49" i="18"/>
  <c r="GY49" i="18"/>
  <c r="HH50" i="18"/>
  <c r="HI50" i="18" s="1"/>
  <c r="CR51" i="18"/>
  <c r="CS51" i="18" s="1"/>
  <c r="CA51" i="18"/>
  <c r="CG52" i="18"/>
  <c r="CK56" i="18"/>
  <c r="FO56" i="18"/>
  <c r="IK56" i="18"/>
  <c r="LO56" i="18"/>
  <c r="FM63" i="18"/>
  <c r="GD63" i="18"/>
  <c r="GE63" i="18" s="1"/>
  <c r="KS39" i="18"/>
  <c r="LK39" i="18"/>
  <c r="LW39" i="18"/>
  <c r="LW42" i="18"/>
  <c r="GM43" i="18"/>
  <c r="HH43" i="18"/>
  <c r="HI43" i="18" s="1"/>
  <c r="CW45" i="18"/>
  <c r="KI45" i="18"/>
  <c r="JW45" i="18"/>
  <c r="IG45" i="18"/>
  <c r="HU45" i="18"/>
  <c r="FS45" i="18"/>
  <c r="FG45" i="18"/>
  <c r="CQ45" i="18"/>
  <c r="CE45" i="18"/>
  <c r="BS45" i="18"/>
  <c r="KQ45" i="18"/>
  <c r="KE45" i="18"/>
  <c r="IC45" i="18"/>
  <c r="HQ45" i="18"/>
  <c r="GA45" i="18"/>
  <c r="FO45" i="18"/>
  <c r="CM45" i="18"/>
  <c r="CA45" i="18"/>
  <c r="IQ45" i="18"/>
  <c r="AO45" i="18"/>
  <c r="BE45" i="18"/>
  <c r="DM45" i="18"/>
  <c r="GW45" i="18"/>
  <c r="JY45" i="18"/>
  <c r="LM45" i="18"/>
  <c r="Q46" i="18"/>
  <c r="AG46" i="18"/>
  <c r="GM46" i="18"/>
  <c r="HC46" i="18"/>
  <c r="HY46" i="18"/>
  <c r="S47" i="18"/>
  <c r="GO48" i="18"/>
  <c r="HE48" i="18"/>
  <c r="IU48" i="18"/>
  <c r="JO48" i="18"/>
  <c r="LG48" i="18"/>
  <c r="U49" i="18"/>
  <c r="MC49" i="18"/>
  <c r="MD49" i="18" s="1"/>
  <c r="AS49" i="18"/>
  <c r="BN49" i="18"/>
  <c r="BO49" i="18" s="1"/>
  <c r="BM49" i="18"/>
  <c r="DI49" i="18"/>
  <c r="GD49" i="18"/>
  <c r="GE49" i="18" s="1"/>
  <c r="HA49" i="18"/>
  <c r="IW49" i="18"/>
  <c r="KK49" i="18"/>
  <c r="MQ50" i="18"/>
  <c r="MR50" i="18" s="1"/>
  <c r="MC52" i="18"/>
  <c r="MD52" i="18" s="1"/>
  <c r="AS52" i="18"/>
  <c r="BN52" i="18"/>
  <c r="BO52" i="18" s="1"/>
  <c r="IQ36" i="18"/>
  <c r="CR37" i="18"/>
  <c r="CW42" i="18"/>
  <c r="HH42" i="18"/>
  <c r="HI42" i="18" s="1"/>
  <c r="GY42" i="18"/>
  <c r="LK42" i="18"/>
  <c r="HM44" i="18"/>
  <c r="JI44" i="18"/>
  <c r="IW44" i="18"/>
  <c r="HG44" i="18"/>
  <c r="GU44" i="18"/>
  <c r="GI44" i="18"/>
  <c r="BG44" i="18"/>
  <c r="AU44" i="18"/>
  <c r="JE44" i="18"/>
  <c r="IS44" i="18"/>
  <c r="HC44" i="18"/>
  <c r="GQ44" i="18"/>
  <c r="BC44" i="18"/>
  <c r="AQ44" i="18"/>
  <c r="IQ44" i="18"/>
  <c r="AO44" i="18"/>
  <c r="AW44" i="18"/>
  <c r="BS44" i="18"/>
  <c r="CI44" i="18"/>
  <c r="HA44" i="18"/>
  <c r="LI44" i="18"/>
  <c r="DO45" i="18"/>
  <c r="FM45" i="18"/>
  <c r="GI45" i="18"/>
  <c r="IL45" i="18"/>
  <c r="IM45" i="18" s="1"/>
  <c r="JG45" i="18"/>
  <c r="KA45" i="18"/>
  <c r="BG46" i="18"/>
  <c r="CA46" i="18"/>
  <c r="CQ46" i="18"/>
  <c r="DM46" i="18"/>
  <c r="IW46" i="18"/>
  <c r="LU46" i="18"/>
  <c r="IL47" i="18"/>
  <c r="IM47" i="18" s="1"/>
  <c r="MG48" i="18"/>
  <c r="MH48" i="18" s="1"/>
  <c r="MW48" i="18"/>
  <c r="MX48" i="18" s="1"/>
  <c r="AI48" i="18"/>
  <c r="BE48" i="18"/>
  <c r="IC48" i="18"/>
  <c r="IY48" i="18"/>
  <c r="JW48" i="18"/>
  <c r="LK48" i="18"/>
  <c r="MM48" i="18"/>
  <c r="MN48" i="18" s="1"/>
  <c r="W49" i="18"/>
  <c r="AW49" i="18"/>
  <c r="BU49" i="18"/>
  <c r="DK49" i="18"/>
  <c r="GK49" i="18"/>
  <c r="HE49" i="18"/>
  <c r="JW49" i="18"/>
  <c r="LM49" i="18"/>
  <c r="MK52" i="18"/>
  <c r="ML52" i="18" s="1"/>
  <c r="W52" i="18"/>
  <c r="KS56" i="18"/>
  <c r="DV37" i="18"/>
  <c r="KT37" i="18"/>
  <c r="W39" i="18"/>
  <c r="AI39" i="18"/>
  <c r="AY39" i="18"/>
  <c r="BK39" i="18"/>
  <c r="FM39" i="18"/>
  <c r="GC39" i="18"/>
  <c r="KO42" i="18"/>
  <c r="KC42" i="18"/>
  <c r="JU42" i="18"/>
  <c r="BW42" i="18"/>
  <c r="CI42" i="18"/>
  <c r="DV42" i="18"/>
  <c r="DW42" i="18" s="1"/>
  <c r="FK42" i="18"/>
  <c r="FW42" i="18"/>
  <c r="GM42" i="18"/>
  <c r="IC42" i="18"/>
  <c r="IU42" i="18"/>
  <c r="JI42" i="18"/>
  <c r="KA42" i="18"/>
  <c r="KQ42" i="18"/>
  <c r="BN43" i="18"/>
  <c r="BO43" i="18" s="1"/>
  <c r="AS45" i="18"/>
  <c r="BI45" i="18"/>
  <c r="DA45" i="18"/>
  <c r="DQ45" i="18"/>
  <c r="GK45" i="18"/>
  <c r="HA45" i="18"/>
  <c r="HW45" i="18"/>
  <c r="JP45" i="18"/>
  <c r="JQ45" i="18" s="1"/>
  <c r="KC45" i="18"/>
  <c r="LX45" i="18"/>
  <c r="LY45" i="18" s="1"/>
  <c r="LQ45" i="18"/>
  <c r="U46" i="18"/>
  <c r="FW46" i="18"/>
  <c r="GQ46" i="18"/>
  <c r="HG46" i="18"/>
  <c r="IC46" i="18"/>
  <c r="MK47" i="18"/>
  <c r="ML47" i="18" s="1"/>
  <c r="BA47" i="18"/>
  <c r="CY48" i="18"/>
  <c r="GS48" i="18"/>
  <c r="MM49" i="18"/>
  <c r="MN49" i="18" s="1"/>
  <c r="Y49" i="18"/>
  <c r="BW49" i="18"/>
  <c r="CO49" i="18"/>
  <c r="DM49" i="18"/>
  <c r="FK49" i="18"/>
  <c r="IE49" i="18"/>
  <c r="ME50" i="18"/>
  <c r="MF50" i="18" s="1"/>
  <c r="HU50" i="18"/>
  <c r="IL50" i="18"/>
  <c r="IM50" i="18" s="1"/>
  <c r="ME51" i="18"/>
  <c r="MF51" i="18" s="1"/>
  <c r="AJ51" i="18"/>
  <c r="AK51" i="18" s="1"/>
  <c r="LX51" i="18"/>
  <c r="LY51" i="18" s="1"/>
  <c r="LC51" i="18"/>
  <c r="KK56" i="18"/>
  <c r="JY56" i="18"/>
  <c r="II56" i="18"/>
  <c r="HW56" i="18"/>
  <c r="FU56" i="18"/>
  <c r="FI56" i="18"/>
  <c r="DS56" i="18"/>
  <c r="DG56" i="18"/>
  <c r="BE56" i="18"/>
  <c r="AS56" i="18"/>
  <c r="GI56" i="18"/>
  <c r="BS56" i="18"/>
  <c r="JU56" i="18"/>
  <c r="AO56" i="18"/>
  <c r="M56" i="18"/>
  <c r="KA56" i="18"/>
  <c r="KO56" i="18"/>
  <c r="FK56" i="18"/>
  <c r="DU56" i="18"/>
  <c r="AW56" i="18"/>
  <c r="AA56" i="18"/>
  <c r="LI56" i="18"/>
  <c r="IG56" i="18"/>
  <c r="FY56" i="18"/>
  <c r="KM56" i="18"/>
  <c r="JW56" i="18"/>
  <c r="HO56" i="18"/>
  <c r="GS56" i="18"/>
  <c r="AU56" i="18"/>
  <c r="FW56" i="18"/>
  <c r="BI56" i="18"/>
  <c r="HM56" i="18"/>
  <c r="CY56" i="18"/>
  <c r="CC56" i="18"/>
  <c r="LU56" i="18"/>
  <c r="KI56" i="18"/>
  <c r="IU56" i="18"/>
  <c r="IA56" i="18"/>
  <c r="GO56" i="18"/>
  <c r="BG56" i="18"/>
  <c r="AQ56" i="18"/>
  <c r="HE56" i="18"/>
  <c r="FS56" i="18"/>
  <c r="CW56" i="18"/>
  <c r="HY56" i="18"/>
  <c r="DK56" i="18"/>
  <c r="IQ56" i="18"/>
  <c r="CO56" i="18"/>
  <c r="O56" i="18"/>
  <c r="BN56" i="18"/>
  <c r="BO56" i="18" s="1"/>
  <c r="BU56" i="18"/>
  <c r="CR35" i="18"/>
  <c r="CS35" i="18" s="1"/>
  <c r="HH35" i="18"/>
  <c r="HI35" i="18" s="1"/>
  <c r="BM39" i="18"/>
  <c r="FM40" i="18"/>
  <c r="V42" i="18"/>
  <c r="AH42" i="18"/>
  <c r="KS42" i="18"/>
  <c r="IL43" i="18"/>
  <c r="IM43" i="18" s="1"/>
  <c r="IE43" i="18"/>
  <c r="JA43" i="18"/>
  <c r="KT43" i="18"/>
  <c r="KU43" i="18" s="1"/>
  <c r="LI43" i="18"/>
  <c r="AY44" i="18"/>
  <c r="HY44" i="18"/>
  <c r="JP44" i="18"/>
  <c r="JQ44" i="18" s="1"/>
  <c r="JK44" i="18"/>
  <c r="AU45" i="18"/>
  <c r="BK45" i="18"/>
  <c r="CG45" i="18"/>
  <c r="IS45" i="18"/>
  <c r="JI45" i="18"/>
  <c r="LC45" i="18"/>
  <c r="LS45" i="18"/>
  <c r="DV46" i="18"/>
  <c r="DW46" i="18" s="1"/>
  <c r="KM46" i="18"/>
  <c r="LG46" i="18"/>
  <c r="BN48" i="18"/>
  <c r="BO48" i="18" s="1"/>
  <c r="DS48" i="18"/>
  <c r="GD48" i="18"/>
  <c r="GE48" i="18" s="1"/>
  <c r="FY48" i="18"/>
  <c r="LO48" i="18"/>
  <c r="AY49" i="18"/>
  <c r="MW49" i="18"/>
  <c r="MX49" i="18" s="1"/>
  <c r="FM49" i="18"/>
  <c r="GM49" i="18"/>
  <c r="IL49" i="18"/>
  <c r="IM49" i="18" s="1"/>
  <c r="JY49" i="18"/>
  <c r="LO49" i="18"/>
  <c r="MG50" i="18"/>
  <c r="MH50" i="18" s="1"/>
  <c r="Q51" i="18"/>
  <c r="MG54" i="18"/>
  <c r="MH54" i="18" s="1"/>
  <c r="BW56" i="18"/>
  <c r="MC56" i="18"/>
  <c r="MD56" i="18" s="1"/>
  <c r="MG61" i="18"/>
  <c r="MH61" i="18" s="1"/>
  <c r="AJ61" i="18"/>
  <c r="AK61" i="18" s="1"/>
  <c r="MW61" i="18"/>
  <c r="MX61" i="18" s="1"/>
  <c r="AI61" i="18"/>
  <c r="AT36" i="18"/>
  <c r="GS36" i="18"/>
  <c r="HE36" i="18"/>
  <c r="JU36" i="18"/>
  <c r="KG36" i="18"/>
  <c r="Q37" i="18"/>
  <c r="AC37" i="18"/>
  <c r="AS37" i="18"/>
  <c r="BE37" i="18"/>
  <c r="FE37" i="18"/>
  <c r="FQ37" i="18"/>
  <c r="HH38" i="18"/>
  <c r="HI38" i="18" s="1"/>
  <c r="M39" i="18"/>
  <c r="Y39" i="18"/>
  <c r="BA39" i="18"/>
  <c r="FO39" i="18"/>
  <c r="W40" i="18"/>
  <c r="AI40" i="18"/>
  <c r="AY40" i="18"/>
  <c r="BK40" i="18"/>
  <c r="AW41" i="18"/>
  <c r="BI41" i="18"/>
  <c r="CY41" i="18"/>
  <c r="DK41" i="18"/>
  <c r="FM41" i="18"/>
  <c r="FY41" i="18"/>
  <c r="HO41" i="18"/>
  <c r="IA41" i="18"/>
  <c r="KC41" i="18"/>
  <c r="KO41" i="18"/>
  <c r="BY42" i="18"/>
  <c r="CK42" i="18"/>
  <c r="FM42" i="18"/>
  <c r="FY42" i="18"/>
  <c r="GO42" i="18"/>
  <c r="IE42" i="18"/>
  <c r="IW42" i="18"/>
  <c r="JK42" i="18"/>
  <c r="BA44" i="18"/>
  <c r="BW44" i="18"/>
  <c r="CM44" i="18"/>
  <c r="GM44" i="18"/>
  <c r="HE44" i="18"/>
  <c r="LM44" i="18"/>
  <c r="DC45" i="18"/>
  <c r="DS45" i="18"/>
  <c r="FQ45" i="18"/>
  <c r="GM45" i="18"/>
  <c r="HC45" i="18"/>
  <c r="HY45" i="18"/>
  <c r="IU45" i="18"/>
  <c r="JK45" i="18"/>
  <c r="BK46" i="18"/>
  <c r="CE46" i="18"/>
  <c r="IL46" i="18"/>
  <c r="IM46" i="18" s="1"/>
  <c r="LI46" i="18"/>
  <c r="FZ47" i="18"/>
  <c r="GA47" i="18" s="1"/>
  <c r="FN47" i="18"/>
  <c r="FV47" i="18"/>
  <c r="FW47" i="18" s="1"/>
  <c r="FJ47" i="18"/>
  <c r="FK47" i="18" s="1"/>
  <c r="FR47" i="18"/>
  <c r="FS47" i="18" s="1"/>
  <c r="FF47" i="18"/>
  <c r="MA47" i="18" s="1"/>
  <c r="FE47" i="18"/>
  <c r="MK48" i="18"/>
  <c r="ML48" i="18" s="1"/>
  <c r="W48" i="18"/>
  <c r="FI48" i="18"/>
  <c r="HQ48" i="18"/>
  <c r="IG48" i="18"/>
  <c r="JC48" i="18"/>
  <c r="KQ48" i="18"/>
  <c r="MU48" i="18"/>
  <c r="MV48" i="18" s="1"/>
  <c r="MQ49" i="18"/>
  <c r="MR49" i="18" s="1"/>
  <c r="AC49" i="18"/>
  <c r="MK49" i="18"/>
  <c r="ML49" i="18" s="1"/>
  <c r="BA49" i="18"/>
  <c r="DV49" i="18"/>
  <c r="GO49" i="18"/>
  <c r="IG49" i="18"/>
  <c r="JE49" i="18"/>
  <c r="KA49" i="18"/>
  <c r="KS49" i="18"/>
  <c r="LQ49" i="18"/>
  <c r="MG51" i="18"/>
  <c r="MH51" i="18" s="1"/>
  <c r="AQ51" i="18"/>
  <c r="BN51" i="18"/>
  <c r="BO51" i="18" s="1"/>
  <c r="MW51" i="18"/>
  <c r="MX51" i="18" s="1"/>
  <c r="JW55" i="18"/>
  <c r="KT55" i="18"/>
  <c r="KU55" i="18" s="1"/>
  <c r="BY56" i="18"/>
  <c r="MO56" i="18"/>
  <c r="MP56" i="18" s="1"/>
  <c r="S61" i="18"/>
  <c r="FQ39" i="18"/>
  <c r="BM40" i="18"/>
  <c r="L42" i="18"/>
  <c r="JM42" i="18"/>
  <c r="LO42" i="18"/>
  <c r="KO43" i="18"/>
  <c r="KC43" i="18"/>
  <c r="IA43" i="18"/>
  <c r="HO43" i="18"/>
  <c r="CK43" i="18"/>
  <c r="BY43" i="18"/>
  <c r="LO43" i="18"/>
  <c r="LC43" i="18"/>
  <c r="JK43" i="18"/>
  <c r="IY43" i="18"/>
  <c r="GW43" i="18"/>
  <c r="GK43" i="18"/>
  <c r="GI43" i="18"/>
  <c r="LW43" i="18"/>
  <c r="LK43" i="18"/>
  <c r="JG43" i="18"/>
  <c r="IU43" i="18"/>
  <c r="HE43" i="18"/>
  <c r="GS43" i="18"/>
  <c r="FE43" i="18"/>
  <c r="DQ43" i="18"/>
  <c r="BC43" i="18"/>
  <c r="AQ43" i="18"/>
  <c r="JU43" i="18"/>
  <c r="BI43" i="18"/>
  <c r="CC43" i="18"/>
  <c r="CR43" i="18"/>
  <c r="CS43" i="18" s="1"/>
  <c r="DK43" i="18"/>
  <c r="IG43" i="18"/>
  <c r="JC43" i="18"/>
  <c r="JY43" i="18"/>
  <c r="BY44" i="18"/>
  <c r="CO44" i="18"/>
  <c r="GO44" i="18"/>
  <c r="JM44" i="18"/>
  <c r="LO44" i="18"/>
  <c r="BM45" i="18"/>
  <c r="CI45" i="18"/>
  <c r="DE45" i="18"/>
  <c r="DU45" i="18"/>
  <c r="GO45" i="18"/>
  <c r="HE45" i="18"/>
  <c r="IA45" i="18"/>
  <c r="LU45" i="18"/>
  <c r="MM46" i="18"/>
  <c r="MN46" i="18" s="1"/>
  <c r="AU46" i="18"/>
  <c r="DA46" i="18"/>
  <c r="GA46" i="18"/>
  <c r="GU46" i="18"/>
  <c r="Y47" i="18"/>
  <c r="DU47" i="18"/>
  <c r="FH47" i="18"/>
  <c r="FI47" i="18" s="1"/>
  <c r="LE47" i="18"/>
  <c r="LX47" i="18"/>
  <c r="LY47" i="18" s="1"/>
  <c r="AS48" i="18"/>
  <c r="MS49" i="18"/>
  <c r="MT49" i="18" s="1"/>
  <c r="CY49" i="18"/>
  <c r="FQ49" i="18"/>
  <c r="II49" i="18"/>
  <c r="JG49" i="18"/>
  <c r="MI50" i="18"/>
  <c r="MJ50" i="18" s="1"/>
  <c r="ME52" i="18"/>
  <c r="MF52" i="18" s="1"/>
  <c r="DV54" i="18"/>
  <c r="DW54" i="18" s="1"/>
  <c r="MA54" i="18"/>
  <c r="CY54" i="18"/>
  <c r="DE56" i="18"/>
  <c r="FG56" i="18"/>
  <c r="HA56" i="18"/>
  <c r="JC56" i="18"/>
  <c r="KC56" i="18"/>
  <c r="LE56" i="18"/>
  <c r="LU60" i="18"/>
  <c r="MU60" i="18"/>
  <c r="MV60" i="18" s="1"/>
  <c r="GU62" i="18"/>
  <c r="MK62" i="18"/>
  <c r="ML62" i="18" s="1"/>
  <c r="DB44" i="18"/>
  <c r="DC44" i="18" s="1"/>
  <c r="DN44" i="18"/>
  <c r="DO44" i="18" s="1"/>
  <c r="AJ46" i="18"/>
  <c r="AK46" i="18" s="1"/>
  <c r="JP46" i="18"/>
  <c r="JQ46" i="18" s="1"/>
  <c r="KT49" i="18"/>
  <c r="LX49" i="18"/>
  <c r="LY49" i="18" s="1"/>
  <c r="Y50" i="18"/>
  <c r="BY50" i="18"/>
  <c r="CY50" i="18"/>
  <c r="FO50" i="18"/>
  <c r="HC50" i="18"/>
  <c r="KK50" i="18"/>
  <c r="LG50" i="18"/>
  <c r="CR52" i="18"/>
  <c r="CS52" i="18" s="1"/>
  <c r="MG52" i="18"/>
  <c r="MH52" i="18" s="1"/>
  <c r="MM55" i="18"/>
  <c r="MN55" i="18" s="1"/>
  <c r="IL55" i="18"/>
  <c r="IM55" i="18" s="1"/>
  <c r="MW56" i="18"/>
  <c r="MX56" i="18" s="1"/>
  <c r="FQ56" i="18"/>
  <c r="GK56" i="18"/>
  <c r="HC56" i="18"/>
  <c r="JI56" i="18"/>
  <c r="KE56" i="18"/>
  <c r="BN57" i="18"/>
  <c r="BO57" i="18" s="1"/>
  <c r="BI57" i="18"/>
  <c r="CC57" i="18"/>
  <c r="CY57" i="18"/>
  <c r="FU57" i="18"/>
  <c r="GO57" i="18"/>
  <c r="KI57" i="18"/>
  <c r="LE57" i="18"/>
  <c r="LW57" i="18"/>
  <c r="M58" i="18"/>
  <c r="IQ58" i="18"/>
  <c r="KK58" i="18"/>
  <c r="JY58" i="18"/>
  <c r="II58" i="18"/>
  <c r="HW58" i="18"/>
  <c r="GI58" i="18"/>
  <c r="BS58" i="18"/>
  <c r="KQ58" i="18"/>
  <c r="HM58" i="18"/>
  <c r="GS58" i="18"/>
  <c r="GA58" i="18"/>
  <c r="FO58" i="18"/>
  <c r="DQ58" i="18"/>
  <c r="DE58" i="18"/>
  <c r="CO58" i="18"/>
  <c r="LU58" i="18"/>
  <c r="FY58" i="18"/>
  <c r="FM58" i="18"/>
  <c r="DO58" i="18"/>
  <c r="DC58" i="18"/>
  <c r="LC58" i="18"/>
  <c r="BE58" i="18"/>
  <c r="AS58" i="18"/>
  <c r="DM58" i="18"/>
  <c r="DA58" i="18"/>
  <c r="LO58" i="18"/>
  <c r="FU58" i="18"/>
  <c r="FI58" i="18"/>
  <c r="KG58" i="18"/>
  <c r="IY58" i="18"/>
  <c r="IE58" i="18"/>
  <c r="HQ58" i="18"/>
  <c r="GY58" i="18"/>
  <c r="BM58" i="18"/>
  <c r="BA58" i="18"/>
  <c r="AO58" i="18"/>
  <c r="LM58" i="18"/>
  <c r="JM58" i="18"/>
  <c r="CW58" i="18"/>
  <c r="BC58" i="18"/>
  <c r="DU58" i="18"/>
  <c r="FW58" i="18"/>
  <c r="HU58" i="18"/>
  <c r="LK58" i="18"/>
  <c r="MC61" i="18"/>
  <c r="MD61" i="18" s="1"/>
  <c r="DC62" i="18"/>
  <c r="FW62" i="18"/>
  <c r="JY62" i="18"/>
  <c r="KS62" i="18"/>
  <c r="HC65" i="18"/>
  <c r="MS65" i="18"/>
  <c r="MT65" i="18" s="1"/>
  <c r="FP43" i="18"/>
  <c r="FQ43" i="18" s="1"/>
  <c r="GB43" i="18"/>
  <c r="GC43" i="18" s="1"/>
  <c r="M46" i="18"/>
  <c r="Y46" i="18"/>
  <c r="S48" i="18"/>
  <c r="AE48" i="18"/>
  <c r="CR49" i="18"/>
  <c r="AA50" i="18"/>
  <c r="AU50" i="18"/>
  <c r="BG50" i="18"/>
  <c r="CA50" i="18"/>
  <c r="DC50" i="18"/>
  <c r="FQ50" i="18"/>
  <c r="HY50" i="18"/>
  <c r="JW50" i="18"/>
  <c r="S51" i="18"/>
  <c r="AI51" i="18"/>
  <c r="CK51" i="18"/>
  <c r="DC51" i="18"/>
  <c r="DU51" i="18"/>
  <c r="FM51" i="18"/>
  <c r="IU51" i="18"/>
  <c r="KI51" i="18"/>
  <c r="LE51" i="18"/>
  <c r="LW51" i="18"/>
  <c r="MU51" i="18"/>
  <c r="MV51" i="18" s="1"/>
  <c r="BU52" i="18"/>
  <c r="DV52" i="18"/>
  <c r="DW52" i="18" s="1"/>
  <c r="AQ54" i="18"/>
  <c r="BN54" i="18"/>
  <c r="BO54" i="18" s="1"/>
  <c r="AU55" i="18"/>
  <c r="ME55" i="18"/>
  <c r="MF55" i="18" s="1"/>
  <c r="Q56" i="18"/>
  <c r="ME56" i="18"/>
  <c r="MF56" i="18" s="1"/>
  <c r="AJ56" i="18"/>
  <c r="AK56" i="18" s="1"/>
  <c r="AI56" i="18"/>
  <c r="CQ56" i="18"/>
  <c r="GM56" i="18"/>
  <c r="IS56" i="18"/>
  <c r="JK56" i="18"/>
  <c r="KG56" i="18"/>
  <c r="LS56" i="18"/>
  <c r="W57" i="18"/>
  <c r="AQ57" i="18"/>
  <c r="DQ57" i="18"/>
  <c r="FW57" i="18"/>
  <c r="GQ57" i="18"/>
  <c r="IE57" i="18"/>
  <c r="JO57" i="18"/>
  <c r="O58" i="18"/>
  <c r="AG58" i="18"/>
  <c r="CC58" i="18"/>
  <c r="IU58" i="18"/>
  <c r="IL59" i="18"/>
  <c r="IM59" i="18" s="1"/>
  <c r="DD44" i="18"/>
  <c r="DE44" i="18" s="1"/>
  <c r="DP44" i="18"/>
  <c r="DQ44" i="18" s="1"/>
  <c r="FP44" i="18"/>
  <c r="FQ44" i="18" s="1"/>
  <c r="GB44" i="18"/>
  <c r="GC44" i="18" s="1"/>
  <c r="MI46" i="18"/>
  <c r="MJ46" i="18" s="1"/>
  <c r="MU46" i="18"/>
  <c r="MV46" i="18" s="1"/>
  <c r="AC50" i="18"/>
  <c r="CC50" i="18"/>
  <c r="DE50" i="18"/>
  <c r="FS50" i="18"/>
  <c r="GQ50" i="18"/>
  <c r="HE50" i="18"/>
  <c r="JY50" i="18"/>
  <c r="KM50" i="18"/>
  <c r="KT52" i="18"/>
  <c r="S56" i="18"/>
  <c r="CA56" i="18"/>
  <c r="DM56" i="18"/>
  <c r="JM56" i="18"/>
  <c r="LC56" i="18"/>
  <c r="Y57" i="18"/>
  <c r="AS57" i="18"/>
  <c r="BK57" i="18"/>
  <c r="CE57" i="18"/>
  <c r="DA57" i="18"/>
  <c r="DS57" i="18"/>
  <c r="GD57" i="18"/>
  <c r="GE57" i="18" s="1"/>
  <c r="FY57" i="18"/>
  <c r="GS57" i="18"/>
  <c r="HO57" i="18"/>
  <c r="JA57" i="18"/>
  <c r="MA57" i="18"/>
  <c r="Q58" i="18"/>
  <c r="AI58" i="18"/>
  <c r="MW58" i="18"/>
  <c r="MX58" i="18" s="1"/>
  <c r="BG58" i="18"/>
  <c r="IW58" i="18"/>
  <c r="JU58" i="18"/>
  <c r="LA58" i="18" s="1"/>
  <c r="KO58" i="18"/>
  <c r="AA62" i="18"/>
  <c r="MO62" i="18"/>
  <c r="MP62" i="18" s="1"/>
  <c r="BA62" i="18"/>
  <c r="MU54" i="18"/>
  <c r="MV54" i="18" s="1"/>
  <c r="BK54" i="18"/>
  <c r="AJ55" i="18"/>
  <c r="AK55" i="18" s="1"/>
  <c r="U56" i="18"/>
  <c r="DO56" i="18"/>
  <c r="HG56" i="18"/>
  <c r="MO57" i="18"/>
  <c r="MP57" i="18" s="1"/>
  <c r="CG62" i="18"/>
  <c r="MM62" i="18"/>
  <c r="MN62" i="18" s="1"/>
  <c r="MI62" i="18"/>
  <c r="MJ62" i="18" s="1"/>
  <c r="KT48" i="18"/>
  <c r="KU48" i="18" s="1"/>
  <c r="FI50" i="18"/>
  <c r="DI50" i="18"/>
  <c r="CK50" i="18"/>
  <c r="FY50" i="18"/>
  <c r="DA50" i="18"/>
  <c r="AG50" i="18"/>
  <c r="CG50" i="18"/>
  <c r="DK50" i="18"/>
  <c r="FW50" i="18"/>
  <c r="JI50" i="18"/>
  <c r="MU50" i="18"/>
  <c r="MV50" i="18" s="1"/>
  <c r="JP51" i="18"/>
  <c r="JQ51" i="18" s="1"/>
  <c r="HH52" i="18"/>
  <c r="MQ52" i="18"/>
  <c r="MR52" i="18" s="1"/>
  <c r="O55" i="18"/>
  <c r="LX55" i="18"/>
  <c r="LY55" i="18" s="1"/>
  <c r="GQ56" i="18"/>
  <c r="IC56" i="18"/>
  <c r="IW56" i="18"/>
  <c r="LW56" i="18"/>
  <c r="LS57" i="18"/>
  <c r="LG57" i="18"/>
  <c r="HM57" i="18"/>
  <c r="CW57" i="18"/>
  <c r="KA57" i="18"/>
  <c r="JK57" i="18"/>
  <c r="IY57" i="18"/>
  <c r="GW57" i="18"/>
  <c r="GK57" i="18"/>
  <c r="CG57" i="18"/>
  <c r="BU57" i="18"/>
  <c r="AE57" i="18"/>
  <c r="S57" i="18"/>
  <c r="AO57" i="18"/>
  <c r="JU57" i="18"/>
  <c r="LA57" i="18" s="1"/>
  <c r="M57" i="18"/>
  <c r="MQ57" i="18"/>
  <c r="MR57" i="18" s="1"/>
  <c r="AW57" i="18"/>
  <c r="FI57" i="18"/>
  <c r="II57" i="18"/>
  <c r="JC57" i="18"/>
  <c r="KO57" i="18"/>
  <c r="LK57" i="18"/>
  <c r="S58" i="18"/>
  <c r="MQ60" i="18"/>
  <c r="MR60" i="18" s="1"/>
  <c r="AC60" i="18"/>
  <c r="MK60" i="18"/>
  <c r="ML60" i="18" s="1"/>
  <c r="CE60" i="18"/>
  <c r="FI61" i="18"/>
  <c r="GD61" i="18"/>
  <c r="GE61" i="18" s="1"/>
  <c r="CI62" i="18"/>
  <c r="FI62" i="18"/>
  <c r="FH43" i="18"/>
  <c r="FI43" i="18" s="1"/>
  <c r="FT43" i="18"/>
  <c r="FU43" i="18" s="1"/>
  <c r="CW47" i="18"/>
  <c r="AI50" i="18"/>
  <c r="AY50" i="18"/>
  <c r="CI50" i="18"/>
  <c r="DM50" i="18"/>
  <c r="GA50" i="18"/>
  <c r="GU50" i="18"/>
  <c r="KC50" i="18"/>
  <c r="Y51" i="18"/>
  <c r="CO51" i="18"/>
  <c r="IE51" i="18"/>
  <c r="JW51" i="18"/>
  <c r="LK51" i="18"/>
  <c r="MS52" i="18"/>
  <c r="MT52" i="18" s="1"/>
  <c r="CR55" i="18"/>
  <c r="CS55" i="18" s="1"/>
  <c r="W56" i="18"/>
  <c r="CE56" i="18"/>
  <c r="DA56" i="18"/>
  <c r="IL56" i="18"/>
  <c r="IM56" i="18" s="1"/>
  <c r="IE56" i="18"/>
  <c r="IY56" i="18"/>
  <c r="LG56" i="18"/>
  <c r="MA56" i="18"/>
  <c r="AC57" i="18"/>
  <c r="BS57" i="18"/>
  <c r="CI57" i="18"/>
  <c r="DE57" i="18"/>
  <c r="FK57" i="18"/>
  <c r="GC57" i="18"/>
  <c r="HS57" i="18"/>
  <c r="IK57" i="18"/>
  <c r="JE57" i="18"/>
  <c r="JY57" i="18"/>
  <c r="KQ57" i="18"/>
  <c r="MI58" i="18"/>
  <c r="MJ58" i="18" s="1"/>
  <c r="BK58" i="18"/>
  <c r="DI58" i="18"/>
  <c r="FK58" i="18"/>
  <c r="GD58" i="18"/>
  <c r="GE58" i="18" s="1"/>
  <c r="HE58" i="18"/>
  <c r="IC58" i="18"/>
  <c r="JA58" i="18"/>
  <c r="KS58" i="18"/>
  <c r="AS59" i="18"/>
  <c r="MC59" i="18"/>
  <c r="MD59" i="18" s="1"/>
  <c r="GK60" i="18"/>
  <c r="HH60" i="18"/>
  <c r="HI60" i="18" s="1"/>
  <c r="MO61" i="18"/>
  <c r="MP61" i="18" s="1"/>
  <c r="IG62" i="18"/>
  <c r="LI62" i="18"/>
  <c r="DH44" i="18"/>
  <c r="DI44" i="18" s="1"/>
  <c r="DT44" i="18"/>
  <c r="DU44" i="18" s="1"/>
  <c r="M50" i="18"/>
  <c r="MK50" i="18"/>
  <c r="ML50" i="18" s="1"/>
  <c r="BM50" i="18"/>
  <c r="CM50" i="18"/>
  <c r="DO50" i="18"/>
  <c r="MW50" i="18"/>
  <c r="MX50" i="18" s="1"/>
  <c r="GC50" i="18"/>
  <c r="IW50" i="18"/>
  <c r="JK50" i="18"/>
  <c r="LM50" i="18"/>
  <c r="AA51" i="18"/>
  <c r="MO51" i="18"/>
  <c r="MP51" i="18" s="1"/>
  <c r="HH51" i="18"/>
  <c r="AG52" i="18"/>
  <c r="MU52" i="18"/>
  <c r="MV52" i="18" s="1"/>
  <c r="LX52" i="18"/>
  <c r="LY52" i="18" s="1"/>
  <c r="AA54" i="18"/>
  <c r="MO54" i="18"/>
  <c r="MP54" i="18" s="1"/>
  <c r="HH54" i="18"/>
  <c r="MK54" i="18"/>
  <c r="ML54" i="18" s="1"/>
  <c r="Y56" i="18"/>
  <c r="BK56" i="18"/>
  <c r="CG56" i="18"/>
  <c r="DC56" i="18"/>
  <c r="JA56" i="18"/>
  <c r="MC57" i="18"/>
  <c r="MD57" i="18" s="1"/>
  <c r="AY57" i="18"/>
  <c r="CR57" i="18"/>
  <c r="CS57" i="18" s="1"/>
  <c r="DG57" i="18"/>
  <c r="FM57" i="18"/>
  <c r="IL57" i="18"/>
  <c r="IM57" i="18" s="1"/>
  <c r="JG57" i="18"/>
  <c r="LM57" i="18"/>
  <c r="MM57" i="18"/>
  <c r="MN57" i="18" s="1"/>
  <c r="AU58" i="18"/>
  <c r="DK58" i="18"/>
  <c r="HH58" i="18"/>
  <c r="HI58" i="18" s="1"/>
  <c r="KC58" i="18"/>
  <c r="IL60" i="18"/>
  <c r="IM60" i="18" s="1"/>
  <c r="JY61" i="18"/>
  <c r="KT61" i="18"/>
  <c r="KU61" i="18" s="1"/>
  <c r="LK62" i="18"/>
  <c r="HH49" i="18"/>
  <c r="HI49" i="18" s="1"/>
  <c r="GE50" i="18"/>
  <c r="GW50" i="18"/>
  <c r="HQ50" i="18"/>
  <c r="IE50" i="18"/>
  <c r="JM50" i="18"/>
  <c r="KE50" i="18"/>
  <c r="KS50" i="18"/>
  <c r="LO50" i="18"/>
  <c r="MQ51" i="18"/>
  <c r="MR51" i="18" s="1"/>
  <c r="MW52" i="18"/>
  <c r="MX52" i="18" s="1"/>
  <c r="MO52" i="18"/>
  <c r="MP52" i="18" s="1"/>
  <c r="BE52" i="18"/>
  <c r="MQ54" i="18"/>
  <c r="MR54" i="18" s="1"/>
  <c r="MI54" i="18"/>
  <c r="MJ54" i="18" s="1"/>
  <c r="AY54" i="18"/>
  <c r="MM54" i="18"/>
  <c r="MN54" i="18" s="1"/>
  <c r="MU55" i="18"/>
  <c r="MV55" i="18" s="1"/>
  <c r="BM56" i="18"/>
  <c r="CI56" i="18"/>
  <c r="GU56" i="18"/>
  <c r="HQ56" i="18"/>
  <c r="ME57" i="18"/>
  <c r="MF57" i="18" s="1"/>
  <c r="MK57" i="18"/>
  <c r="ML57" i="18" s="1"/>
  <c r="CK57" i="18"/>
  <c r="DI57" i="18"/>
  <c r="GI57" i="18"/>
  <c r="GY57" i="18"/>
  <c r="HU57" i="18"/>
  <c r="IQ57" i="18"/>
  <c r="KS57" i="18"/>
  <c r="LO57" i="18"/>
  <c r="Y58" i="18"/>
  <c r="MM58" i="18"/>
  <c r="MN58" i="18" s="1"/>
  <c r="MC58" i="18"/>
  <c r="MD58" i="18" s="1"/>
  <c r="GI62" i="18"/>
  <c r="BS62" i="18"/>
  <c r="LS62" i="18"/>
  <c r="LG62" i="18"/>
  <c r="JE62" i="18"/>
  <c r="IS62" i="18"/>
  <c r="HC62" i="18"/>
  <c r="GQ62" i="18"/>
  <c r="CM62" i="18"/>
  <c r="CA62" i="18"/>
  <c r="Y62" i="18"/>
  <c r="M62" i="18"/>
  <c r="KO62" i="18"/>
  <c r="KC62" i="18"/>
  <c r="IA62" i="18"/>
  <c r="HO62" i="18"/>
  <c r="FY62" i="18"/>
  <c r="FM62" i="18"/>
  <c r="DK62" i="18"/>
  <c r="CY62" i="18"/>
  <c r="BI62" i="18"/>
  <c r="AW62" i="18"/>
  <c r="KK62" i="18"/>
  <c r="JW62" i="18"/>
  <c r="IE62" i="18"/>
  <c r="BG62" i="18"/>
  <c r="AS62" i="18"/>
  <c r="W62" i="18"/>
  <c r="LE62" i="18"/>
  <c r="FU62" i="18"/>
  <c r="FG62" i="18"/>
  <c r="DO62" i="18"/>
  <c r="KI62" i="18"/>
  <c r="JU62" i="18"/>
  <c r="LA62" i="18" s="1"/>
  <c r="HM62" i="18"/>
  <c r="GO62" i="18"/>
  <c r="BE62" i="18"/>
  <c r="AQ62" i="18"/>
  <c r="JO62" i="18"/>
  <c r="FS62" i="18"/>
  <c r="CW62" i="18"/>
  <c r="BY62" i="18"/>
  <c r="KG62" i="18"/>
  <c r="HY62" i="18"/>
  <c r="BC62" i="18"/>
  <c r="AO62" i="18"/>
  <c r="IQ62" i="18"/>
  <c r="FQ62" i="18"/>
  <c r="DI62" i="18"/>
  <c r="AI62" i="18"/>
  <c r="HA62" i="18"/>
  <c r="GC62" i="18"/>
  <c r="DU62" i="18"/>
  <c r="DG62" i="18"/>
  <c r="KA62" i="18"/>
  <c r="II62" i="18"/>
  <c r="HU62" i="18"/>
  <c r="CK62" i="18"/>
  <c r="BM62" i="18"/>
  <c r="FK62" i="18"/>
  <c r="DS62" i="18"/>
  <c r="DE62" i="18"/>
  <c r="BK62" i="18"/>
  <c r="MU62" i="18"/>
  <c r="MV62" i="18" s="1"/>
  <c r="CO62" i="18"/>
  <c r="JK62" i="18"/>
  <c r="CY63" i="18"/>
  <c r="DV63" i="18"/>
  <c r="DW63" i="18" s="1"/>
  <c r="AS70" i="18"/>
  <c r="BN70" i="18"/>
  <c r="BO70" i="18" s="1"/>
  <c r="V43" i="18"/>
  <c r="V44" i="18"/>
  <c r="AH44" i="18"/>
  <c r="CX44" i="18"/>
  <c r="FJ44" i="18"/>
  <c r="FK44" i="18" s="1"/>
  <c r="HH45" i="18"/>
  <c r="HI45" i="18" s="1"/>
  <c r="Q50" i="18"/>
  <c r="CQ50" i="18"/>
  <c r="DS50" i="18"/>
  <c r="FE50" i="18"/>
  <c r="IG50" i="18"/>
  <c r="LQ50" i="18"/>
  <c r="M51" i="18"/>
  <c r="FE51" i="18"/>
  <c r="AC51" i="18"/>
  <c r="BM51" i="18"/>
  <c r="CE51" i="18"/>
  <c r="FW51" i="18"/>
  <c r="HQ51" i="18"/>
  <c r="II51" i="18"/>
  <c r="JE51" i="18"/>
  <c r="KA51" i="18"/>
  <c r="KS51" i="18"/>
  <c r="MK51" i="18"/>
  <c r="ML51" i="18" s="1"/>
  <c r="Q52" i="18"/>
  <c r="AJ52" i="18"/>
  <c r="AK52" i="18" s="1"/>
  <c r="AI52" i="18"/>
  <c r="AC54" i="18"/>
  <c r="KT54" i="18"/>
  <c r="GA56" i="18"/>
  <c r="GW56" i="18"/>
  <c r="HS56" i="18"/>
  <c r="LK56" i="18"/>
  <c r="Q57" i="18"/>
  <c r="AG57" i="18"/>
  <c r="BW57" i="18"/>
  <c r="CM57" i="18"/>
  <c r="DK57" i="18"/>
  <c r="HH57" i="18"/>
  <c r="HI57" i="18" s="1"/>
  <c r="HW57" i="18"/>
  <c r="JP57" i="18"/>
  <c r="JQ57" i="18" s="1"/>
  <c r="KY57" i="18" s="1"/>
  <c r="IS57" i="18"/>
  <c r="KC57" i="18"/>
  <c r="LQ57" i="18"/>
  <c r="MS57" i="18"/>
  <c r="MT57" i="18" s="1"/>
  <c r="MO58" i="18"/>
  <c r="MP58" i="18" s="1"/>
  <c r="BU58" i="18"/>
  <c r="HO58" i="18"/>
  <c r="IG58" i="18"/>
  <c r="JG58" i="18"/>
  <c r="KE58" i="18"/>
  <c r="ME58" i="18"/>
  <c r="MF58" i="18" s="1"/>
  <c r="DQ62" i="18"/>
  <c r="HS62" i="18"/>
  <c r="IK62" i="18"/>
  <c r="KM62" i="18"/>
  <c r="MI65" i="18"/>
  <c r="MJ65" i="18" s="1"/>
  <c r="U65" i="18"/>
  <c r="AJ65" i="18"/>
  <c r="AK65" i="18" s="1"/>
  <c r="KT68" i="18"/>
  <c r="KU68" i="18" s="1"/>
  <c r="FL43" i="18"/>
  <c r="FM43" i="18" s="1"/>
  <c r="DA47" i="18"/>
  <c r="DM47" i="18"/>
  <c r="IS47" i="18"/>
  <c r="JE47" i="18"/>
  <c r="S50" i="18"/>
  <c r="AQ50" i="18"/>
  <c r="BC50" i="18"/>
  <c r="BS50" i="18"/>
  <c r="DU50" i="18"/>
  <c r="FG50" i="18"/>
  <c r="GK50" i="18"/>
  <c r="GY50" i="18"/>
  <c r="HS50" i="18"/>
  <c r="JA50" i="18"/>
  <c r="JO50" i="18"/>
  <c r="KG50" i="18"/>
  <c r="LX50" i="18"/>
  <c r="LY50" i="18" s="1"/>
  <c r="LS50" i="18"/>
  <c r="O51" i="18"/>
  <c r="MC51" i="18"/>
  <c r="MD51" i="18" s="1"/>
  <c r="AW51" i="18"/>
  <c r="CY51" i="18"/>
  <c r="GD51" i="18"/>
  <c r="GE51" i="18" s="1"/>
  <c r="FY51" i="18"/>
  <c r="GU51" i="18"/>
  <c r="HS51" i="18"/>
  <c r="JG51" i="18"/>
  <c r="LQ51" i="18"/>
  <c r="MM51" i="18"/>
  <c r="MN51" i="18" s="1"/>
  <c r="GD54" i="18"/>
  <c r="GE54" i="18" s="1"/>
  <c r="MI55" i="18"/>
  <c r="MJ55" i="18" s="1"/>
  <c r="MW55" i="18"/>
  <c r="MX55" i="18" s="1"/>
  <c r="AI55" i="18"/>
  <c r="BG55" i="18"/>
  <c r="MQ55" i="18"/>
  <c r="MR55" i="18" s="1"/>
  <c r="GD55" i="18"/>
  <c r="GE55" i="18" s="1"/>
  <c r="AC56" i="18"/>
  <c r="MQ56" i="18"/>
  <c r="MR56" i="18" s="1"/>
  <c r="AY56" i="18"/>
  <c r="GC56" i="18"/>
  <c r="GY56" i="18"/>
  <c r="JE56" i="18"/>
  <c r="KQ56" i="18"/>
  <c r="LM56" i="18"/>
  <c r="MI56" i="18"/>
  <c r="MJ56" i="18" s="1"/>
  <c r="MG57" i="18"/>
  <c r="MH57" i="18" s="1"/>
  <c r="BC57" i="18"/>
  <c r="CO57" i="18"/>
  <c r="FQ57" i="18"/>
  <c r="HA57" i="18"/>
  <c r="HY57" i="18"/>
  <c r="IU57" i="18"/>
  <c r="LX57" i="18"/>
  <c r="LY57" i="18" s="1"/>
  <c r="AY58" i="18"/>
  <c r="BW58" i="18"/>
  <c r="FQ58" i="18"/>
  <c r="GD59" i="18"/>
  <c r="GE59" i="18" s="1"/>
  <c r="BU62" i="18"/>
  <c r="MA62" i="18"/>
  <c r="CR62" i="18"/>
  <c r="CS62" i="18" s="1"/>
  <c r="MS63" i="18"/>
  <c r="MT63" i="18" s="1"/>
  <c r="FM66" i="18"/>
  <c r="GD66" i="18"/>
  <c r="GE66" i="18" s="1"/>
  <c r="BM52" i="18"/>
  <c r="JP52" i="18"/>
  <c r="JQ52" i="18" s="1"/>
  <c r="IQ55" i="18"/>
  <c r="JP56" i="18"/>
  <c r="JQ56" i="18" s="1"/>
  <c r="KY56" i="18" s="1"/>
  <c r="MW57" i="18"/>
  <c r="MX57" i="18" s="1"/>
  <c r="AJ58" i="18"/>
  <c r="AK58" i="18" s="1"/>
  <c r="CE58" i="18"/>
  <c r="KT58" i="18"/>
  <c r="KU58" i="18" s="1"/>
  <c r="JU59" i="18"/>
  <c r="LA59" i="18" s="1"/>
  <c r="AO59" i="18"/>
  <c r="LM59" i="18"/>
  <c r="JK59" i="18"/>
  <c r="IY59" i="18"/>
  <c r="GW59" i="18"/>
  <c r="GK59" i="18"/>
  <c r="CG59" i="18"/>
  <c r="BU59" i="18"/>
  <c r="AE59" i="18"/>
  <c r="S59" i="18"/>
  <c r="BI59" i="18"/>
  <c r="FY59" i="18"/>
  <c r="IS59" i="18"/>
  <c r="JG59" i="18"/>
  <c r="KA59" i="18"/>
  <c r="KQ59" i="18"/>
  <c r="LI59" i="18"/>
  <c r="AQ60" i="18"/>
  <c r="DK60" i="18"/>
  <c r="FO60" i="18"/>
  <c r="GC60" i="18"/>
  <c r="HS60" i="18"/>
  <c r="IG60" i="18"/>
  <c r="JW60" i="18"/>
  <c r="IL61" i="18"/>
  <c r="IM61" i="18" s="1"/>
  <c r="AC62" i="18"/>
  <c r="MQ62" i="18"/>
  <c r="MR62" i="18" s="1"/>
  <c r="GA62" i="18"/>
  <c r="GY62" i="18"/>
  <c r="LM62" i="18"/>
  <c r="CR63" i="18"/>
  <c r="CS63" i="18" s="1"/>
  <c r="MU63" i="18"/>
  <c r="MV63" i="18" s="1"/>
  <c r="DS63" i="18"/>
  <c r="O64" i="18"/>
  <c r="MC64" i="18"/>
  <c r="AJ64" i="18"/>
  <c r="AK64" i="18" s="1"/>
  <c r="MW64" i="18"/>
  <c r="MX64" i="18" s="1"/>
  <c r="AI64" i="18"/>
  <c r="DV64" i="18"/>
  <c r="DW64" i="18" s="1"/>
  <c r="MK66" i="18"/>
  <c r="ML66" i="18" s="1"/>
  <c r="W66" i="18"/>
  <c r="MQ67" i="18"/>
  <c r="MR67" i="18" s="1"/>
  <c r="AC67" i="18"/>
  <c r="GD68" i="18"/>
  <c r="GE68" i="18" s="1"/>
  <c r="FO68" i="18"/>
  <c r="DV69" i="18"/>
  <c r="DW69" i="18" s="1"/>
  <c r="M52" i="18"/>
  <c r="FE54" i="18"/>
  <c r="JP55" i="18"/>
  <c r="JQ55" i="18" s="1"/>
  <c r="KY55" i="18" s="1"/>
  <c r="BA57" i="18"/>
  <c r="U58" i="18"/>
  <c r="DV58" i="18"/>
  <c r="DW58" i="18" s="1"/>
  <c r="JO58" i="18"/>
  <c r="M59" i="18"/>
  <c r="AA59" i="18"/>
  <c r="AU59" i="18"/>
  <c r="BK59" i="18"/>
  <c r="CC59" i="18"/>
  <c r="DK59" i="18"/>
  <c r="FK59" i="18"/>
  <c r="GA59" i="18"/>
  <c r="GS59" i="18"/>
  <c r="IA59" i="18"/>
  <c r="KS59" i="18"/>
  <c r="MA59" i="18"/>
  <c r="MU59" i="18"/>
  <c r="MV59" i="18" s="1"/>
  <c r="Y60" i="18"/>
  <c r="MM60" i="18"/>
  <c r="MN60" i="18" s="1"/>
  <c r="CA60" i="18"/>
  <c r="CR60" i="18"/>
  <c r="CS60" i="18" s="1"/>
  <c r="GY60" i="18"/>
  <c r="JE60" i="18"/>
  <c r="LG60" i="18"/>
  <c r="LX60" i="18"/>
  <c r="LY60" i="18" s="1"/>
  <c r="MK61" i="18"/>
  <c r="ML61" i="18" s="1"/>
  <c r="W61" i="18"/>
  <c r="AQ61" i="18"/>
  <c r="MA61" i="18"/>
  <c r="MQ61" i="18"/>
  <c r="MR61" i="18" s="1"/>
  <c r="BG61" i="18"/>
  <c r="AE62" i="18"/>
  <c r="AY62" i="18"/>
  <c r="JG62" i="18"/>
  <c r="KQ62" i="18"/>
  <c r="LO62" i="18"/>
  <c r="MW63" i="18"/>
  <c r="MX63" i="18" s="1"/>
  <c r="DU63" i="18"/>
  <c r="MO65" i="18"/>
  <c r="MP65" i="18" s="1"/>
  <c r="AA65" i="18"/>
  <c r="CC69" i="18"/>
  <c r="MI69" i="18"/>
  <c r="MJ69" i="18" s="1"/>
  <c r="DK75" i="18"/>
  <c r="DV75" i="18"/>
  <c r="DW75" i="18" s="1"/>
  <c r="MM75" i="18"/>
  <c r="MN75" i="18" s="1"/>
  <c r="M55" i="18"/>
  <c r="Y55" i="18"/>
  <c r="MG56" i="18"/>
  <c r="MH56" i="18" s="1"/>
  <c r="MS56" i="18"/>
  <c r="MT56" i="18" s="1"/>
  <c r="O57" i="18"/>
  <c r="AA57" i="18"/>
  <c r="W58" i="18"/>
  <c r="MK58" i="18"/>
  <c r="ML58" i="18" s="1"/>
  <c r="MA58" i="18"/>
  <c r="BN58" i="18"/>
  <c r="BO58" i="18" s="1"/>
  <c r="GK58" i="18"/>
  <c r="HA58" i="18"/>
  <c r="LX58" i="18"/>
  <c r="LY58" i="18" s="1"/>
  <c r="MQ59" i="18"/>
  <c r="MR59" i="18" s="1"/>
  <c r="BM59" i="18"/>
  <c r="CW59" i="18"/>
  <c r="DM59" i="18"/>
  <c r="GC59" i="18"/>
  <c r="HM59" i="18"/>
  <c r="IC59" i="18"/>
  <c r="IU59" i="18"/>
  <c r="KC59" i="18"/>
  <c r="KT59" i="18"/>
  <c r="KU59" i="18" s="1"/>
  <c r="AA60" i="18"/>
  <c r="MO60" i="18"/>
  <c r="MP60" i="18" s="1"/>
  <c r="BI60" i="18"/>
  <c r="CC60" i="18"/>
  <c r="CY60" i="18"/>
  <c r="DM60" i="18"/>
  <c r="FQ60" i="18"/>
  <c r="GI60" i="18"/>
  <c r="JG60" i="18"/>
  <c r="KO60" i="18"/>
  <c r="LI60" i="18"/>
  <c r="MM61" i="18"/>
  <c r="MN61" i="18" s="1"/>
  <c r="AG62" i="18"/>
  <c r="FO62" i="18"/>
  <c r="JI62" i="18"/>
  <c r="KK66" i="18"/>
  <c r="CA67" i="18"/>
  <c r="MG67" i="18"/>
  <c r="MH67" i="18" s="1"/>
  <c r="KC68" i="18"/>
  <c r="JC58" i="18"/>
  <c r="LS58" i="18"/>
  <c r="ME59" i="18"/>
  <c r="MF59" i="18" s="1"/>
  <c r="AJ59" i="18"/>
  <c r="AK59" i="18" s="1"/>
  <c r="M60" i="18"/>
  <c r="LQ60" i="18"/>
  <c r="LE60" i="18"/>
  <c r="JO60" i="18"/>
  <c r="JC60" i="18"/>
  <c r="IQ60" i="18"/>
  <c r="HA60" i="18"/>
  <c r="GO60" i="18"/>
  <c r="CK60" i="18"/>
  <c r="BY60" i="18"/>
  <c r="AI60" i="18"/>
  <c r="W60" i="18"/>
  <c r="KM60" i="18"/>
  <c r="KA60" i="18"/>
  <c r="IK60" i="18"/>
  <c r="HY60" i="18"/>
  <c r="HM60" i="18"/>
  <c r="FW60" i="18"/>
  <c r="FK60" i="18"/>
  <c r="DU60" i="18"/>
  <c r="DI60" i="18"/>
  <c r="CW60" i="18"/>
  <c r="BG60" i="18"/>
  <c r="AU60" i="18"/>
  <c r="AW60" i="18"/>
  <c r="BK60" i="18"/>
  <c r="DA60" i="18"/>
  <c r="DO60" i="18"/>
  <c r="FS60" i="18"/>
  <c r="HE60" i="18"/>
  <c r="KC60" i="18"/>
  <c r="KQ60" i="18"/>
  <c r="MG60" i="18"/>
  <c r="MH60" i="18" s="1"/>
  <c r="ME61" i="18"/>
  <c r="MF61" i="18" s="1"/>
  <c r="AU61" i="18"/>
  <c r="O62" i="18"/>
  <c r="AJ62" i="18"/>
  <c r="AK62" i="18" s="1"/>
  <c r="MC62" i="18"/>
  <c r="MD62" i="18" s="1"/>
  <c r="BW62" i="18"/>
  <c r="CQ62" i="18"/>
  <c r="GK62" i="18"/>
  <c r="HE62" i="18"/>
  <c r="JM62" i="18"/>
  <c r="MM64" i="18"/>
  <c r="MN64" i="18" s="1"/>
  <c r="DK64" i="18"/>
  <c r="LO68" i="18"/>
  <c r="LC68" i="18"/>
  <c r="JM68" i="18"/>
  <c r="JA68" i="18"/>
  <c r="GY68" i="18"/>
  <c r="GM68" i="18"/>
  <c r="CI68" i="18"/>
  <c r="BW68" i="18"/>
  <c r="AG68" i="18"/>
  <c r="U68" i="18"/>
  <c r="HM68" i="18"/>
  <c r="CW68" i="18"/>
  <c r="LW68" i="18"/>
  <c r="LK68" i="18"/>
  <c r="JI68" i="18"/>
  <c r="IW68" i="18"/>
  <c r="HG68" i="18"/>
  <c r="GU68" i="18"/>
  <c r="GI68" i="18"/>
  <c r="CQ68" i="18"/>
  <c r="CE68" i="18"/>
  <c r="BS68" i="18"/>
  <c r="AC68" i="18"/>
  <c r="Q68" i="18"/>
  <c r="JU68" i="18"/>
  <c r="LA68" i="18" s="1"/>
  <c r="AO68" i="18"/>
  <c r="IQ68" i="18"/>
  <c r="DG68" i="18"/>
  <c r="KQ68" i="18"/>
  <c r="JY68" i="18"/>
  <c r="JE68" i="18"/>
  <c r="CK68" i="18"/>
  <c r="M68" i="18"/>
  <c r="II68" i="18"/>
  <c r="FI68" i="18"/>
  <c r="AA68" i="18"/>
  <c r="GS68" i="18"/>
  <c r="DS68" i="18"/>
  <c r="AS68" i="18"/>
  <c r="LG68" i="18"/>
  <c r="KK68" i="18"/>
  <c r="LU68" i="18"/>
  <c r="JO68" i="18"/>
  <c r="IC68" i="18"/>
  <c r="GQ68" i="18"/>
  <c r="FU68" i="18"/>
  <c r="CC68" i="18"/>
  <c r="W68" i="18"/>
  <c r="LE68" i="18"/>
  <c r="HE68" i="18"/>
  <c r="LS68" i="18"/>
  <c r="IU68" i="18"/>
  <c r="GO68" i="18"/>
  <c r="DM68" i="18"/>
  <c r="CA68" i="18"/>
  <c r="BE68" i="18"/>
  <c r="KE68" i="18"/>
  <c r="HC68" i="18"/>
  <c r="CO68" i="18"/>
  <c r="AI68" i="18"/>
  <c r="LQ68" i="18"/>
  <c r="HW68" i="18"/>
  <c r="BY68" i="18"/>
  <c r="BM68" i="18"/>
  <c r="MW68" i="18"/>
  <c r="MX68" i="18" s="1"/>
  <c r="AA58" i="18"/>
  <c r="CK58" i="18"/>
  <c r="GO58" i="18"/>
  <c r="IK58" i="18"/>
  <c r="JE58" i="18"/>
  <c r="KM58" i="18"/>
  <c r="Q59" i="18"/>
  <c r="AG59" i="18"/>
  <c r="BA59" i="18"/>
  <c r="BS59" i="18"/>
  <c r="CI59" i="18"/>
  <c r="DA59" i="18"/>
  <c r="FQ59" i="18"/>
  <c r="GI59" i="18"/>
  <c r="GY59" i="18"/>
  <c r="HQ59" i="18"/>
  <c r="LX59" i="18"/>
  <c r="LY59" i="18" s="1"/>
  <c r="AE60" i="18"/>
  <c r="CG60" i="18"/>
  <c r="GD60" i="18"/>
  <c r="GE60" i="18" s="1"/>
  <c r="GM60" i="18"/>
  <c r="IS60" i="18"/>
  <c r="JK60" i="18"/>
  <c r="LM60" i="18"/>
  <c r="MI60" i="18"/>
  <c r="MJ60" i="18" s="1"/>
  <c r="JP61" i="18"/>
  <c r="JQ61" i="18" s="1"/>
  <c r="KY61" i="18" s="1"/>
  <c r="Q62" i="18"/>
  <c r="ME62" i="18"/>
  <c r="MF62" i="18" s="1"/>
  <c r="GM62" i="18"/>
  <c r="HG62" i="18"/>
  <c r="JP62" i="18"/>
  <c r="JQ62" i="18" s="1"/>
  <c r="KY62" i="18" s="1"/>
  <c r="LU62" i="18"/>
  <c r="MW62" i="18"/>
  <c r="MX62" i="18" s="1"/>
  <c r="KT63" i="18"/>
  <c r="KU63" i="18" s="1"/>
  <c r="KQ66" i="18"/>
  <c r="FU67" i="18"/>
  <c r="MO67" i="18"/>
  <c r="MP67" i="18" s="1"/>
  <c r="DU68" i="18"/>
  <c r="HA68" i="18"/>
  <c r="LI68" i="18"/>
  <c r="AS72" i="18"/>
  <c r="BN72" i="18"/>
  <c r="BO72" i="18" s="1"/>
  <c r="MS72" i="18"/>
  <c r="MT72" i="18" s="1"/>
  <c r="IG72" i="18"/>
  <c r="BM54" i="18"/>
  <c r="CC54" i="18"/>
  <c r="CO54" i="18"/>
  <c r="JP54" i="18"/>
  <c r="JQ54" i="18" s="1"/>
  <c r="LK55" i="18"/>
  <c r="LW55" i="18"/>
  <c r="CR56" i="18"/>
  <c r="CS56" i="18" s="1"/>
  <c r="HH56" i="18"/>
  <c r="HI56" i="18" s="1"/>
  <c r="LX56" i="18"/>
  <c r="LY56" i="18" s="1"/>
  <c r="AC58" i="18"/>
  <c r="CM58" i="18"/>
  <c r="GQ58" i="18"/>
  <c r="HG58" i="18"/>
  <c r="LE58" i="18"/>
  <c r="MQ58" i="18"/>
  <c r="MR58" i="18" s="1"/>
  <c r="MW59" i="18"/>
  <c r="MX59" i="18" s="1"/>
  <c r="CR59" i="18"/>
  <c r="CS59" i="18" s="1"/>
  <c r="HH59" i="18"/>
  <c r="HI59" i="18" s="1"/>
  <c r="HS59" i="18"/>
  <c r="II59" i="18"/>
  <c r="JA59" i="18"/>
  <c r="JO59" i="18"/>
  <c r="KI59" i="18"/>
  <c r="LC59" i="18"/>
  <c r="LQ59" i="18"/>
  <c r="MI59" i="18"/>
  <c r="MJ59" i="18" s="1"/>
  <c r="O60" i="18"/>
  <c r="MC60" i="18"/>
  <c r="MD60" i="18" s="1"/>
  <c r="AY60" i="18"/>
  <c r="BM60" i="18"/>
  <c r="DC60" i="18"/>
  <c r="DQ60" i="18"/>
  <c r="FG60" i="18"/>
  <c r="FU60" i="18"/>
  <c r="HG60" i="18"/>
  <c r="IA60" i="18"/>
  <c r="IU60" i="18"/>
  <c r="KE60" i="18"/>
  <c r="KS60" i="18"/>
  <c r="DV61" i="18"/>
  <c r="DW61" i="18" s="1"/>
  <c r="S62" i="18"/>
  <c r="BN62" i="18"/>
  <c r="BO62" i="18" s="1"/>
  <c r="DM62" i="18"/>
  <c r="HH62" i="18"/>
  <c r="HI62" i="18" s="1"/>
  <c r="IU62" i="18"/>
  <c r="LC62" i="18"/>
  <c r="LW62" i="18"/>
  <c r="Y63" i="18"/>
  <c r="MM63" i="18"/>
  <c r="MN63" i="18" s="1"/>
  <c r="AQ63" i="18"/>
  <c r="MA63" i="18"/>
  <c r="O68" i="18"/>
  <c r="GA68" i="18"/>
  <c r="JG68" i="18"/>
  <c r="DV71" i="18"/>
  <c r="DW71" i="18" s="1"/>
  <c r="DE71" i="18"/>
  <c r="HY58" i="18"/>
  <c r="KA58" i="18"/>
  <c r="LG58" i="18"/>
  <c r="LW58" i="18"/>
  <c r="U59" i="18"/>
  <c r="AI59" i="18"/>
  <c r="BW59" i="18"/>
  <c r="GM59" i="18"/>
  <c r="KK59" i="18"/>
  <c r="AG60" i="18"/>
  <c r="CI60" i="18"/>
  <c r="GQ60" i="18"/>
  <c r="JM60" i="18"/>
  <c r="LO60" i="18"/>
  <c r="BN61" i="18"/>
  <c r="BO61" i="18" s="1"/>
  <c r="U62" i="18"/>
  <c r="DV62" i="18"/>
  <c r="DW62" i="18" s="1"/>
  <c r="GD62" i="18"/>
  <c r="GE62" i="18" s="1"/>
  <c r="IC62" i="18"/>
  <c r="IW62" i="18"/>
  <c r="LX62" i="18"/>
  <c r="LY62" i="18" s="1"/>
  <c r="MO63" i="18"/>
  <c r="MP63" i="18" s="1"/>
  <c r="MI63" i="18"/>
  <c r="MJ63" i="18" s="1"/>
  <c r="HM66" i="18"/>
  <c r="CW66" i="18"/>
  <c r="LM66" i="18"/>
  <c r="JK66" i="18"/>
  <c r="IY66" i="18"/>
  <c r="GW66" i="18"/>
  <c r="GK66" i="18"/>
  <c r="CG66" i="18"/>
  <c r="BU66" i="18"/>
  <c r="AE66" i="18"/>
  <c r="S66" i="18"/>
  <c r="GI66" i="18"/>
  <c r="BS66" i="18"/>
  <c r="JU66" i="18"/>
  <c r="LA66" i="18" s="1"/>
  <c r="AO66" i="18"/>
  <c r="CC66" i="18"/>
  <c r="Y66" i="18"/>
  <c r="LU66" i="18"/>
  <c r="LG66" i="18"/>
  <c r="JC66" i="18"/>
  <c r="GY66" i="18"/>
  <c r="BI66" i="18"/>
  <c r="AQ66" i="18"/>
  <c r="CO66" i="18"/>
  <c r="CA66" i="18"/>
  <c r="CM66" i="18"/>
  <c r="U66" i="18"/>
  <c r="LQ66" i="18"/>
  <c r="LC66" i="18"/>
  <c r="JM66" i="18"/>
  <c r="GS66" i="18"/>
  <c r="BC66" i="18"/>
  <c r="FY66" i="18"/>
  <c r="FG66" i="18"/>
  <c r="CK66" i="18"/>
  <c r="BW66" i="18"/>
  <c r="AG66" i="18"/>
  <c r="LO66" i="18"/>
  <c r="IU66" i="18"/>
  <c r="HE66" i="18"/>
  <c r="GQ66" i="18"/>
  <c r="KC66" i="18"/>
  <c r="IA66" i="18"/>
  <c r="CI66" i="18"/>
  <c r="O66" i="18"/>
  <c r="JG66" i="18"/>
  <c r="IS66" i="18"/>
  <c r="HC66" i="18"/>
  <c r="GO66" i="18"/>
  <c r="AW66" i="18"/>
  <c r="AA66" i="18"/>
  <c r="M66" i="18"/>
  <c r="BM66" i="18"/>
  <c r="HW66" i="18"/>
  <c r="JW66" i="18"/>
  <c r="LS66" i="18"/>
  <c r="AU68" i="18"/>
  <c r="DA68" i="18"/>
  <c r="BY58" i="18"/>
  <c r="IS58" i="18"/>
  <c r="JI58" i="18"/>
  <c r="Q60" i="18"/>
  <c r="BA60" i="18"/>
  <c r="BS60" i="18"/>
  <c r="DE60" i="18"/>
  <c r="DS60" i="18"/>
  <c r="FI60" i="18"/>
  <c r="FY60" i="18"/>
  <c r="GS60" i="18"/>
  <c r="HO60" i="18"/>
  <c r="IC60" i="18"/>
  <c r="IW60" i="18"/>
  <c r="KG60" i="18"/>
  <c r="LX61" i="18"/>
  <c r="LY61" i="18" s="1"/>
  <c r="CC62" i="18"/>
  <c r="DA62" i="18"/>
  <c r="IY62" i="18"/>
  <c r="KT62" i="18"/>
  <c r="KU62" i="18" s="1"/>
  <c r="DC68" i="18"/>
  <c r="ME68" i="18"/>
  <c r="MF68" i="18" s="1"/>
  <c r="GK68" i="18"/>
  <c r="HH68" i="18"/>
  <c r="HI68" i="18" s="1"/>
  <c r="KO68" i="18"/>
  <c r="MG71" i="18"/>
  <c r="MH71" i="18" s="1"/>
  <c r="BN71" i="18"/>
  <c r="BO71" i="18" s="1"/>
  <c r="BC71" i="18"/>
  <c r="CY73" i="18"/>
  <c r="DV73" i="18"/>
  <c r="DW73" i="18" s="1"/>
  <c r="CW55" i="18"/>
  <c r="KE57" i="18"/>
  <c r="CA58" i="18"/>
  <c r="CQ58" i="18"/>
  <c r="GU58" i="18"/>
  <c r="W59" i="18"/>
  <c r="CM59" i="18"/>
  <c r="DG59" i="18"/>
  <c r="HC59" i="18"/>
  <c r="HW59" i="18"/>
  <c r="KM59" i="18"/>
  <c r="MO59" i="18"/>
  <c r="MP59" i="18" s="1"/>
  <c r="S60" i="18"/>
  <c r="AJ60" i="18"/>
  <c r="AK60" i="18" s="1"/>
  <c r="MA60" i="18"/>
  <c r="BU60" i="18"/>
  <c r="CM60" i="18"/>
  <c r="IY60" i="18"/>
  <c r="JP60" i="18"/>
  <c r="JQ60" i="18" s="1"/>
  <c r="KY60" i="18" s="1"/>
  <c r="LS60" i="18"/>
  <c r="AE61" i="18"/>
  <c r="CR61" i="18"/>
  <c r="CS61" i="18" s="1"/>
  <c r="CE62" i="18"/>
  <c r="GS62" i="18"/>
  <c r="HQ62" i="18"/>
  <c r="JA62" i="18"/>
  <c r="MC63" i="18"/>
  <c r="MD63" i="18" s="1"/>
  <c r="MQ63" i="18"/>
  <c r="MR63" i="18" s="1"/>
  <c r="MG63" i="18"/>
  <c r="MH63" i="18" s="1"/>
  <c r="AW63" i="18"/>
  <c r="MQ64" i="18"/>
  <c r="MR64" i="18" s="1"/>
  <c r="CA64" i="18"/>
  <c r="MG64" i="18"/>
  <c r="MH64" i="18" s="1"/>
  <c r="CY66" i="18"/>
  <c r="JA66" i="18"/>
  <c r="MK67" i="18"/>
  <c r="ML67" i="18" s="1"/>
  <c r="W67" i="18"/>
  <c r="AJ67" i="18"/>
  <c r="AK67" i="18" s="1"/>
  <c r="AY68" i="18"/>
  <c r="JP68" i="18"/>
  <c r="JQ68" i="18" s="1"/>
  <c r="KY68" i="18" s="1"/>
  <c r="IS68" i="18"/>
  <c r="CW61" i="18"/>
  <c r="HM61" i="18"/>
  <c r="LU63" i="18"/>
  <c r="MK64" i="18"/>
  <c r="ML64" i="18" s="1"/>
  <c r="BS64" i="18"/>
  <c r="CW64" i="18"/>
  <c r="FI64" i="18"/>
  <c r="GQ64" i="18"/>
  <c r="JP64" i="18"/>
  <c r="JQ64" i="18" s="1"/>
  <c r="KY64" i="18" s="1"/>
  <c r="JG64" i="18"/>
  <c r="ME65" i="18"/>
  <c r="MF65" i="18" s="1"/>
  <c r="MG66" i="18"/>
  <c r="MH66" i="18" s="1"/>
  <c r="BN66" i="18"/>
  <c r="BO66" i="18" s="1"/>
  <c r="DA66" i="18"/>
  <c r="DS66" i="18"/>
  <c r="HY66" i="18"/>
  <c r="JP66" i="18"/>
  <c r="JQ66" i="18" s="1"/>
  <c r="KY66" i="18" s="1"/>
  <c r="KA66" i="18"/>
  <c r="KS66" i="18"/>
  <c r="LK66" i="18"/>
  <c r="MC66" i="18"/>
  <c r="MD66" i="18" s="1"/>
  <c r="KM67" i="18"/>
  <c r="KA67" i="18"/>
  <c r="IK67" i="18"/>
  <c r="HY67" i="18"/>
  <c r="HM67" i="18"/>
  <c r="FW67" i="18"/>
  <c r="FK67" i="18"/>
  <c r="DU67" i="18"/>
  <c r="DI67" i="18"/>
  <c r="CW67" i="18"/>
  <c r="BG67" i="18"/>
  <c r="AU67" i="18"/>
  <c r="KI67" i="18"/>
  <c r="JW67" i="18"/>
  <c r="IG67" i="18"/>
  <c r="HU67" i="18"/>
  <c r="FS67" i="18"/>
  <c r="FG67" i="18"/>
  <c r="DQ67" i="18"/>
  <c r="DE67" i="18"/>
  <c r="BC67" i="18"/>
  <c r="M67" i="18"/>
  <c r="AW67" i="18"/>
  <c r="CI67" i="18"/>
  <c r="DC67" i="18"/>
  <c r="GW67" i="18"/>
  <c r="II67" i="18"/>
  <c r="JE67" i="18"/>
  <c r="LK67" i="18"/>
  <c r="BC68" i="18"/>
  <c r="DK68" i="18"/>
  <c r="GD69" i="18"/>
  <c r="GE69" i="18" s="1"/>
  <c r="HH69" i="18"/>
  <c r="HI69" i="18" s="1"/>
  <c r="MO70" i="18"/>
  <c r="MP70" i="18" s="1"/>
  <c r="MW70" i="18"/>
  <c r="MX70" i="18" s="1"/>
  <c r="KT70" i="18"/>
  <c r="KU70" i="18" s="1"/>
  <c r="MA71" i="18"/>
  <c r="CA74" i="18"/>
  <c r="DC74" i="18"/>
  <c r="IG74" i="18"/>
  <c r="JA78" i="18"/>
  <c r="U61" i="18"/>
  <c r="AG61" i="18"/>
  <c r="BW61" i="18"/>
  <c r="CI61" i="18"/>
  <c r="GM61" i="18"/>
  <c r="GY61" i="18"/>
  <c r="JA61" i="18"/>
  <c r="JM61" i="18"/>
  <c r="LC61" i="18"/>
  <c r="LO61" i="18"/>
  <c r="W63" i="18"/>
  <c r="AI63" i="18"/>
  <c r="BY63" i="18"/>
  <c r="CK63" i="18"/>
  <c r="GO63" i="18"/>
  <c r="HA63" i="18"/>
  <c r="IQ63" i="18"/>
  <c r="JC63" i="18"/>
  <c r="JO63" i="18"/>
  <c r="LG63" i="18"/>
  <c r="LW63" i="18"/>
  <c r="W64" i="18"/>
  <c r="BA64" i="18"/>
  <c r="CR64" i="18"/>
  <c r="CS64" i="18" s="1"/>
  <c r="CG64" i="18"/>
  <c r="FY64" i="18"/>
  <c r="GS64" i="18"/>
  <c r="IA64" i="18"/>
  <c r="IS64" i="18"/>
  <c r="KA64" i="18"/>
  <c r="KS64" i="18"/>
  <c r="AC66" i="18"/>
  <c r="MQ66" i="18"/>
  <c r="MR66" i="18" s="1"/>
  <c r="DC66" i="18"/>
  <c r="DU66" i="18"/>
  <c r="FU66" i="18"/>
  <c r="KT66" i="18"/>
  <c r="KU66" i="18" s="1"/>
  <c r="MI67" i="18"/>
  <c r="MJ67" i="18" s="1"/>
  <c r="JG67" i="18"/>
  <c r="KQ67" i="18"/>
  <c r="LM67" i="18"/>
  <c r="S68" i="18"/>
  <c r="MG68" i="18"/>
  <c r="MH68" i="18" s="1"/>
  <c r="FQ68" i="18"/>
  <c r="HY68" i="18"/>
  <c r="JK68" i="18"/>
  <c r="MA69" i="18"/>
  <c r="CR69" i="18"/>
  <c r="CS69" i="18" s="1"/>
  <c r="MM70" i="18"/>
  <c r="MN70" i="18" s="1"/>
  <c r="GD72" i="18"/>
  <c r="GE72" i="18" s="1"/>
  <c r="AS73" i="18"/>
  <c r="MC73" i="18"/>
  <c r="MD73" i="18" s="1"/>
  <c r="BN73" i="18"/>
  <c r="BO73" i="18" s="1"/>
  <c r="GQ73" i="18"/>
  <c r="HH73" i="18"/>
  <c r="HI73" i="18" s="1"/>
  <c r="BG75" i="18"/>
  <c r="MQ75" i="18"/>
  <c r="MR75" i="18" s="1"/>
  <c r="JP63" i="18"/>
  <c r="JQ63" i="18" s="1"/>
  <c r="KY63" i="18" s="1"/>
  <c r="LX63" i="18"/>
  <c r="LY63" i="18" s="1"/>
  <c r="LW64" i="18"/>
  <c r="LK64" i="18"/>
  <c r="JI64" i="18"/>
  <c r="IW64" i="18"/>
  <c r="HG64" i="18"/>
  <c r="GU64" i="18"/>
  <c r="GI64" i="18"/>
  <c r="BC64" i="18"/>
  <c r="BU64" i="18"/>
  <c r="CY64" i="18"/>
  <c r="DM64" i="18"/>
  <c r="FK64" i="18"/>
  <c r="GA64" i="18"/>
  <c r="HM64" i="18"/>
  <c r="IC64" i="18"/>
  <c r="IU64" i="18"/>
  <c r="KC64" i="18"/>
  <c r="AY66" i="18"/>
  <c r="CR66" i="18"/>
  <c r="CS66" i="18" s="1"/>
  <c r="DV66" i="18"/>
  <c r="DW66" i="18" s="1"/>
  <c r="FW66" i="18"/>
  <c r="JI66" i="18"/>
  <c r="MI68" i="18"/>
  <c r="MJ68" i="18" s="1"/>
  <c r="AJ68" i="18"/>
  <c r="AK68" i="18" s="1"/>
  <c r="FS68" i="18"/>
  <c r="IA68" i="18"/>
  <c r="KG68" i="18"/>
  <c r="MM69" i="18"/>
  <c r="MN69" i="18" s="1"/>
  <c r="ME69" i="18"/>
  <c r="MF69" i="18" s="1"/>
  <c r="AJ70" i="18"/>
  <c r="AK70" i="18" s="1"/>
  <c r="MC70" i="18"/>
  <c r="MQ70" i="18"/>
  <c r="MR70" i="18" s="1"/>
  <c r="LX70" i="18"/>
  <c r="LY70" i="18" s="1"/>
  <c r="AJ72" i="18"/>
  <c r="AK72" i="18" s="1"/>
  <c r="MC72" i="18"/>
  <c r="MD72" i="18" s="1"/>
  <c r="MQ72" i="18"/>
  <c r="MR72" i="18" s="1"/>
  <c r="AC72" i="18"/>
  <c r="KT72" i="18"/>
  <c r="KU72" i="18" s="1"/>
  <c r="CK78" i="18"/>
  <c r="IQ61" i="18"/>
  <c r="M63" i="18"/>
  <c r="LK63" i="18"/>
  <c r="AO64" i="18"/>
  <c r="BE64" i="18"/>
  <c r="JK64" i="18"/>
  <c r="KE64" i="18"/>
  <c r="MU65" i="18"/>
  <c r="MV65" i="18" s="1"/>
  <c r="MM65" i="18"/>
  <c r="MN65" i="18" s="1"/>
  <c r="Q66" i="18"/>
  <c r="ME66" i="18"/>
  <c r="MF66" i="18" s="1"/>
  <c r="AJ66" i="18"/>
  <c r="AK66" i="18" s="1"/>
  <c r="BA66" i="18"/>
  <c r="IC66" i="18"/>
  <c r="KE66" i="18"/>
  <c r="LX66" i="18"/>
  <c r="LY66" i="18" s="1"/>
  <c r="MW67" i="18"/>
  <c r="MX67" i="18" s="1"/>
  <c r="BU67" i="18"/>
  <c r="CM67" i="18"/>
  <c r="GI67" i="18"/>
  <c r="HW67" i="18"/>
  <c r="IQ67" i="18"/>
  <c r="JI67" i="18"/>
  <c r="KS67" i="18"/>
  <c r="BG68" i="18"/>
  <c r="DO68" i="18"/>
  <c r="KI68" i="18"/>
  <c r="Y69" i="18"/>
  <c r="O70" i="18"/>
  <c r="MS70" i="18"/>
  <c r="MT70" i="18" s="1"/>
  <c r="O72" i="18"/>
  <c r="MO73" i="18"/>
  <c r="MP73" i="18" s="1"/>
  <c r="AA73" i="18"/>
  <c r="AC74" i="18"/>
  <c r="MK75" i="18"/>
  <c r="ML75" i="18" s="1"/>
  <c r="W75" i="18"/>
  <c r="BK78" i="18"/>
  <c r="MU78" i="18"/>
  <c r="MV78" i="18" s="1"/>
  <c r="M64" i="18"/>
  <c r="AA64" i="18"/>
  <c r="MO64" i="18"/>
  <c r="MP64" i="18" s="1"/>
  <c r="AQ64" i="18"/>
  <c r="BW64" i="18"/>
  <c r="DA64" i="18"/>
  <c r="DO64" i="18"/>
  <c r="FM64" i="18"/>
  <c r="GC64" i="18"/>
  <c r="GW64" i="18"/>
  <c r="HO64" i="18"/>
  <c r="IE64" i="18"/>
  <c r="DG66" i="18"/>
  <c r="HG66" i="18"/>
  <c r="IE66" i="18"/>
  <c r="IW66" i="18"/>
  <c r="KG66" i="18"/>
  <c r="MI66" i="18"/>
  <c r="MJ66" i="18" s="1"/>
  <c r="MA68" i="18"/>
  <c r="AQ68" i="18"/>
  <c r="BI68" i="18"/>
  <c r="CY68" i="18"/>
  <c r="DQ68" i="18"/>
  <c r="IY68" i="18"/>
  <c r="MO69" i="18"/>
  <c r="MP69" i="18" s="1"/>
  <c r="AA69" i="18"/>
  <c r="MG69" i="18"/>
  <c r="MH69" i="18" s="1"/>
  <c r="MK70" i="18"/>
  <c r="ML70" i="18" s="1"/>
  <c r="CR70" i="18"/>
  <c r="CS70" i="18" s="1"/>
  <c r="HO71" i="18"/>
  <c r="IL71" i="18"/>
  <c r="IM71" i="18" s="1"/>
  <c r="JP71" i="18"/>
  <c r="JQ71" i="18" s="1"/>
  <c r="KY71" i="18" s="1"/>
  <c r="JP72" i="18"/>
  <c r="JQ72" i="18" s="1"/>
  <c r="KY72" i="18" s="1"/>
  <c r="LX73" i="18"/>
  <c r="LY73" i="18" s="1"/>
  <c r="HH64" i="18"/>
  <c r="HI64" i="18" s="1"/>
  <c r="KG64" i="18"/>
  <c r="LC64" i="18"/>
  <c r="LQ64" i="18"/>
  <c r="MW65" i="18"/>
  <c r="MX65" i="18" s="1"/>
  <c r="AI65" i="18"/>
  <c r="MW66" i="18"/>
  <c r="MX66" i="18" s="1"/>
  <c r="DI66" i="18"/>
  <c r="FI66" i="18"/>
  <c r="GA66" i="18"/>
  <c r="MS67" i="18"/>
  <c r="MT67" i="18" s="1"/>
  <c r="FW68" i="18"/>
  <c r="IE68" i="18"/>
  <c r="IQ78" i="18"/>
  <c r="IA78" i="18"/>
  <c r="HO78" i="18"/>
  <c r="GM78" i="18"/>
  <c r="CI78" i="18"/>
  <c r="BW78" i="18"/>
  <c r="AG78" i="18"/>
  <c r="U78" i="18"/>
  <c r="KI78" i="18"/>
  <c r="JW78" i="18"/>
  <c r="CW78" i="18"/>
  <c r="JU78" i="18"/>
  <c r="LA78" i="18" s="1"/>
  <c r="KQ78" i="18"/>
  <c r="KE78" i="18"/>
  <c r="IG78" i="18"/>
  <c r="HU78" i="18"/>
  <c r="GS78" i="18"/>
  <c r="CO78" i="18"/>
  <c r="CC78" i="18"/>
  <c r="AA78" i="18"/>
  <c r="O78" i="18"/>
  <c r="KO78" i="18"/>
  <c r="KC78" i="18"/>
  <c r="AO78" i="18"/>
  <c r="M78" i="18"/>
  <c r="KK78" i="18"/>
  <c r="JY78" i="18"/>
  <c r="HA78" i="18"/>
  <c r="FY78" i="18"/>
  <c r="FM78" i="18"/>
  <c r="DK78" i="18"/>
  <c r="CY78" i="18"/>
  <c r="BI78" i="18"/>
  <c r="AW78" i="18"/>
  <c r="LM78" i="18"/>
  <c r="HW78" i="18"/>
  <c r="BY78" i="18"/>
  <c r="BS78" i="18"/>
  <c r="CG78" i="18"/>
  <c r="AI78" i="18"/>
  <c r="S78" i="18"/>
  <c r="LS78" i="18"/>
  <c r="GO78" i="18"/>
  <c r="CE78" i="18"/>
  <c r="Q78" i="18"/>
  <c r="AE78" i="18"/>
  <c r="AC78" i="18"/>
  <c r="HY78" i="18"/>
  <c r="GI78" i="18"/>
  <c r="IS78" i="18"/>
  <c r="GW78" i="18"/>
  <c r="IK78" i="18"/>
  <c r="W78" i="18"/>
  <c r="JI78" i="18"/>
  <c r="GU78" i="18"/>
  <c r="LK78" i="18"/>
  <c r="II78" i="18"/>
  <c r="HQ78" i="18"/>
  <c r="CQ78" i="18"/>
  <c r="BU78" i="18"/>
  <c r="HM78" i="18"/>
  <c r="GK78" i="18"/>
  <c r="AO61" i="18"/>
  <c r="JW63" i="18"/>
  <c r="KI63" i="18"/>
  <c r="ME64" i="18"/>
  <c r="MF64" i="18" s="1"/>
  <c r="AC64" i="18"/>
  <c r="DC64" i="18"/>
  <c r="DS64" i="18"/>
  <c r="GK64" i="18"/>
  <c r="II64" i="18"/>
  <c r="KI64" i="18"/>
  <c r="JP65" i="18"/>
  <c r="JQ65" i="18" s="1"/>
  <c r="KY65" i="18" s="1"/>
  <c r="MQ65" i="18"/>
  <c r="MR65" i="18" s="1"/>
  <c r="AI66" i="18"/>
  <c r="BE66" i="18"/>
  <c r="FK66" i="18"/>
  <c r="GC66" i="18"/>
  <c r="GU66" i="18"/>
  <c r="HO66" i="18"/>
  <c r="U67" i="18"/>
  <c r="AO67" i="18"/>
  <c r="BE67" i="18"/>
  <c r="CQ67" i="18"/>
  <c r="IA67" i="18"/>
  <c r="KG67" i="18"/>
  <c r="LC67" i="18"/>
  <c r="LU67" i="18"/>
  <c r="Y68" i="18"/>
  <c r="CG68" i="18"/>
  <c r="FG68" i="18"/>
  <c r="FY68" i="18"/>
  <c r="HO68" i="18"/>
  <c r="IG68" i="18"/>
  <c r="KM68" i="18"/>
  <c r="LX68" i="18"/>
  <c r="LY68" i="18" s="1"/>
  <c r="AG70" i="18"/>
  <c r="MU70" i="18"/>
  <c r="MV70" i="18" s="1"/>
  <c r="MQ71" i="18"/>
  <c r="MR71" i="18" s="1"/>
  <c r="AC71" i="18"/>
  <c r="MW72" i="18"/>
  <c r="MX72" i="18" s="1"/>
  <c r="JW73" i="18"/>
  <c r="KT73" i="18"/>
  <c r="KU73" i="18" s="1"/>
  <c r="GI74" i="18"/>
  <c r="BS74" i="18"/>
  <c r="JU74" i="18"/>
  <c r="LA74" i="18" s="1"/>
  <c r="AO74" i="18"/>
  <c r="JO74" i="18"/>
  <c r="LU74" i="18"/>
  <c r="IU74" i="18"/>
  <c r="HM74" i="18"/>
  <c r="BY74" i="18"/>
  <c r="LS74" i="18"/>
  <c r="KM74" i="18"/>
  <c r="IS74" i="18"/>
  <c r="DA74" i="18"/>
  <c r="BW74" i="18"/>
  <c r="W74" i="18"/>
  <c r="LE74" i="18"/>
  <c r="GS74" i="18"/>
  <c r="AI74" i="18"/>
  <c r="LQ74" i="18"/>
  <c r="JM74" i="18"/>
  <c r="IY74" i="18"/>
  <c r="HE74" i="18"/>
  <c r="GO74" i="18"/>
  <c r="CW74" i="18"/>
  <c r="AS74" i="18"/>
  <c r="JK74" i="18"/>
  <c r="GM74" i="18"/>
  <c r="DM74" i="18"/>
  <c r="CC74" i="18"/>
  <c r="BG74" i="18"/>
  <c r="HW74" i="18"/>
  <c r="HA74" i="18"/>
  <c r="KA74" i="18"/>
  <c r="GK74" i="18"/>
  <c r="CO74" i="18"/>
  <c r="BE74" i="18"/>
  <c r="KQ74" i="18"/>
  <c r="JG74" i="18"/>
  <c r="IQ74" i="18"/>
  <c r="GY74" i="18"/>
  <c r="DI74" i="18"/>
  <c r="LI74" i="18"/>
  <c r="JY74" i="18"/>
  <c r="FI74" i="18"/>
  <c r="CM74" i="18"/>
  <c r="AG74" i="18"/>
  <c r="DG74" i="18"/>
  <c r="O74" i="18"/>
  <c r="LG74" i="18"/>
  <c r="JC74" i="18"/>
  <c r="II74" i="18"/>
  <c r="DU74" i="18"/>
  <c r="CK74" i="18"/>
  <c r="BU74" i="18"/>
  <c r="AY74" i="18"/>
  <c r="AE74" i="18"/>
  <c r="KK74" i="18"/>
  <c r="M74" i="18"/>
  <c r="LC74" i="18"/>
  <c r="FU74" i="18"/>
  <c r="JY63" i="18"/>
  <c r="AE64" i="18"/>
  <c r="CO64" i="18"/>
  <c r="DG64" i="18"/>
  <c r="FS64" i="18"/>
  <c r="HU64" i="18"/>
  <c r="LU64" i="18"/>
  <c r="MA66" i="18"/>
  <c r="MS66" i="18"/>
  <c r="MT66" i="18" s="1"/>
  <c r="DM66" i="18"/>
  <c r="HS66" i="18"/>
  <c r="IK66" i="18"/>
  <c r="KM66" i="18"/>
  <c r="AQ67" i="18"/>
  <c r="CC67" i="18"/>
  <c r="CY67" i="18"/>
  <c r="GQ67" i="18"/>
  <c r="IL67" i="18"/>
  <c r="IM67" i="18" s="1"/>
  <c r="IY67" i="18"/>
  <c r="JP67" i="18"/>
  <c r="JQ67" i="18" s="1"/>
  <c r="KY67" i="18" s="1"/>
  <c r="KK67" i="18"/>
  <c r="LW67" i="18"/>
  <c r="AW68" i="18"/>
  <c r="BN68" i="18"/>
  <c r="BO68" i="18" s="1"/>
  <c r="DE68" i="18"/>
  <c r="GW68" i="18"/>
  <c r="MC69" i="18"/>
  <c r="MD69" i="18" s="1"/>
  <c r="O69" i="18"/>
  <c r="U70" i="18"/>
  <c r="MI70" i="18"/>
  <c r="MJ70" i="18" s="1"/>
  <c r="AJ71" i="18"/>
  <c r="AK71" i="18" s="1"/>
  <c r="MU71" i="18"/>
  <c r="MV71" i="18" s="1"/>
  <c r="MC71" i="18"/>
  <c r="MD71" i="18" s="1"/>
  <c r="U72" i="18"/>
  <c r="MI72" i="18"/>
  <c r="MJ72" i="18" s="1"/>
  <c r="BM74" i="18"/>
  <c r="MW74" i="18"/>
  <c r="MX74" i="18" s="1"/>
  <c r="JA74" i="18"/>
  <c r="HH75" i="18"/>
  <c r="HI75" i="18" s="1"/>
  <c r="S64" i="18"/>
  <c r="MU64" i="18"/>
  <c r="MV64" i="18" s="1"/>
  <c r="AW64" i="18"/>
  <c r="BK64" i="18"/>
  <c r="CC64" i="18"/>
  <c r="FU64" i="18"/>
  <c r="HW64" i="18"/>
  <c r="IL64" i="18"/>
  <c r="IM64" i="18" s="1"/>
  <c r="JC64" i="18"/>
  <c r="JU64" i="18"/>
  <c r="LA64" i="18" s="1"/>
  <c r="KM64" i="18"/>
  <c r="LG64" i="18"/>
  <c r="MK65" i="18"/>
  <c r="ML65" i="18" s="1"/>
  <c r="W65" i="18"/>
  <c r="MA65" i="18"/>
  <c r="MM66" i="18"/>
  <c r="MN66" i="18" s="1"/>
  <c r="CQ66" i="18"/>
  <c r="DO66" i="18"/>
  <c r="FO66" i="18"/>
  <c r="MM67" i="18"/>
  <c r="MN67" i="18" s="1"/>
  <c r="Y67" i="18"/>
  <c r="GD67" i="18"/>
  <c r="GE67" i="18" s="1"/>
  <c r="MC67" i="18"/>
  <c r="MD67" i="18" s="1"/>
  <c r="BU68" i="18"/>
  <c r="FK68" i="18"/>
  <c r="GC68" i="18"/>
  <c r="HS68" i="18"/>
  <c r="IK68" i="18"/>
  <c r="LM68" i="18"/>
  <c r="LX69" i="18"/>
  <c r="LY69" i="18" s="1"/>
  <c r="MS69" i="18"/>
  <c r="MT69" i="18" s="1"/>
  <c r="HH70" i="18"/>
  <c r="HI70" i="18" s="1"/>
  <c r="CR73" i="18"/>
  <c r="CS73" i="18" s="1"/>
  <c r="BW73" i="18"/>
  <c r="CR74" i="18"/>
  <c r="CS74" i="18" s="1"/>
  <c r="FW74" i="18"/>
  <c r="MQ74" i="18"/>
  <c r="MR74" i="18" s="1"/>
  <c r="MI64" i="18"/>
  <c r="MJ64" i="18" s="1"/>
  <c r="AG64" i="18"/>
  <c r="CQ64" i="18"/>
  <c r="HC64" i="18"/>
  <c r="JW64" i="18"/>
  <c r="KO64" i="18"/>
  <c r="LI64" i="18"/>
  <c r="GD65" i="18"/>
  <c r="GE65" i="18" s="1"/>
  <c r="AS66" i="18"/>
  <c r="BK66" i="18"/>
  <c r="FQ66" i="18"/>
  <c r="LW66" i="18"/>
  <c r="MU66" i="18"/>
  <c r="MV66" i="18" s="1"/>
  <c r="MU67" i="18"/>
  <c r="MV67" i="18" s="1"/>
  <c r="KT67" i="18"/>
  <c r="KU67" i="18" s="1"/>
  <c r="MC68" i="18"/>
  <c r="MD68" i="18" s="1"/>
  <c r="AE68" i="18"/>
  <c r="MS68" i="18"/>
  <c r="MT68" i="18" s="1"/>
  <c r="FM68" i="18"/>
  <c r="HU68" i="18"/>
  <c r="KA68" i="18"/>
  <c r="KS68" i="18"/>
  <c r="AJ69" i="18"/>
  <c r="AK69" i="18" s="1"/>
  <c r="MK69" i="18"/>
  <c r="ML69" i="18" s="1"/>
  <c r="BM69" i="18"/>
  <c r="KT69" i="18"/>
  <c r="KU69" i="18" s="1"/>
  <c r="MU69" i="18"/>
  <c r="MV69" i="18" s="1"/>
  <c r="ME71" i="18"/>
  <c r="MF71" i="18" s="1"/>
  <c r="Q71" i="18"/>
  <c r="MW71" i="18"/>
  <c r="MX71" i="18" s="1"/>
  <c r="BK72" i="18"/>
  <c r="MU72" i="18"/>
  <c r="MV72" i="18" s="1"/>
  <c r="S73" i="18"/>
  <c r="MG73" i="18"/>
  <c r="MH73" i="18" s="1"/>
  <c r="AU74" i="18"/>
  <c r="AE77" i="18"/>
  <c r="MS77" i="18"/>
  <c r="MT77" i="18" s="1"/>
  <c r="KA78" i="18"/>
  <c r="IE74" i="18"/>
  <c r="BC76" i="18"/>
  <c r="MM76" i="18"/>
  <c r="MN76" i="18" s="1"/>
  <c r="IL76" i="18"/>
  <c r="IM76" i="18" s="1"/>
  <c r="AC77" i="18"/>
  <c r="MQ77" i="18"/>
  <c r="MR77" i="18" s="1"/>
  <c r="DI78" i="18"/>
  <c r="FK78" i="18"/>
  <c r="HE78" i="18"/>
  <c r="LC78" i="18"/>
  <c r="LX78" i="18"/>
  <c r="LY78" i="18" s="1"/>
  <c r="IQ65" i="18"/>
  <c r="BN69" i="18"/>
  <c r="BO69" i="18" s="1"/>
  <c r="ME72" i="18"/>
  <c r="MF72" i="18" s="1"/>
  <c r="MA72" i="18"/>
  <c r="MI73" i="18"/>
  <c r="MJ73" i="18" s="1"/>
  <c r="AJ73" i="18"/>
  <c r="AK73" i="18" s="1"/>
  <c r="MS74" i="18"/>
  <c r="MT74" i="18" s="1"/>
  <c r="FY74" i="18"/>
  <c r="HO74" i="18"/>
  <c r="LW74" i="18"/>
  <c r="MA75" i="18"/>
  <c r="MI76" i="18"/>
  <c r="MJ76" i="18" s="1"/>
  <c r="U76" i="18"/>
  <c r="CR77" i="18"/>
  <c r="CS77" i="18" s="1"/>
  <c r="MC78" i="18"/>
  <c r="MD78" i="18" s="1"/>
  <c r="MW78" i="18"/>
  <c r="MX78" i="18" s="1"/>
  <c r="CM78" i="18"/>
  <c r="DM78" i="18"/>
  <c r="AW79" i="18"/>
  <c r="MG79" i="18"/>
  <c r="MH79" i="18" s="1"/>
  <c r="CR71" i="18"/>
  <c r="CS71" i="18" s="1"/>
  <c r="HH71" i="18"/>
  <c r="HI71" i="18" s="1"/>
  <c r="LX71" i="18"/>
  <c r="LY71" i="18" s="1"/>
  <c r="LX72" i="18"/>
  <c r="LY72" i="18" s="1"/>
  <c r="MD74" i="18"/>
  <c r="FG74" i="18"/>
  <c r="GA74" i="18"/>
  <c r="DO78" i="18"/>
  <c r="GQ78" i="18"/>
  <c r="GD82" i="18"/>
  <c r="GE82" i="18" s="1"/>
  <c r="M65" i="18"/>
  <c r="BN67" i="18"/>
  <c r="BO67" i="18" s="1"/>
  <c r="S71" i="18"/>
  <c r="AE71" i="18"/>
  <c r="MK73" i="18"/>
  <c r="ML73" i="18" s="1"/>
  <c r="MA73" i="18"/>
  <c r="BA74" i="18"/>
  <c r="MK74" i="18"/>
  <c r="ML74" i="18" s="1"/>
  <c r="DV74" i="18"/>
  <c r="DW74" i="18" s="1"/>
  <c r="GW74" i="18"/>
  <c r="HQ74" i="18"/>
  <c r="IK74" i="18"/>
  <c r="JE74" i="18"/>
  <c r="KO74" i="18"/>
  <c r="DV76" i="18"/>
  <c r="DW76" i="18" s="1"/>
  <c r="KT76" i="18"/>
  <c r="KU76" i="18" s="1"/>
  <c r="AI77" i="18"/>
  <c r="MW77" i="18"/>
  <c r="MX77" i="18" s="1"/>
  <c r="AS78" i="18"/>
  <c r="FS78" i="18"/>
  <c r="KG78" i="18"/>
  <c r="IL79" i="18"/>
  <c r="IM79" i="18" s="1"/>
  <c r="KT71" i="18"/>
  <c r="KU71" i="18" s="1"/>
  <c r="IL73" i="18"/>
  <c r="IM73" i="18" s="1"/>
  <c r="Q74" i="18"/>
  <c r="GD74" i="18"/>
  <c r="GE74" i="18" s="1"/>
  <c r="HS74" i="18"/>
  <c r="AS76" i="18"/>
  <c r="MC76" i="18"/>
  <c r="MD76" i="18" s="1"/>
  <c r="Q77" i="18"/>
  <c r="ME77" i="18"/>
  <c r="MF77" i="18" s="1"/>
  <c r="MA77" i="18"/>
  <c r="AU78" i="18"/>
  <c r="DS78" i="18"/>
  <c r="MG74" i="18"/>
  <c r="MH74" i="18" s="1"/>
  <c r="S74" i="18"/>
  <c r="AJ74" i="18"/>
  <c r="AK74" i="18" s="1"/>
  <c r="FK74" i="18"/>
  <c r="HU74" i="18"/>
  <c r="LK74" i="18"/>
  <c r="HO75" i="18"/>
  <c r="IL75" i="18"/>
  <c r="IM75" i="18" s="1"/>
  <c r="LX75" i="18"/>
  <c r="LY75" i="18" s="1"/>
  <c r="MK78" i="18"/>
  <c r="ML78" i="18" s="1"/>
  <c r="DU78" i="18"/>
  <c r="HS78" i="18"/>
  <c r="BC79" i="18"/>
  <c r="MM79" i="18"/>
  <c r="MN79" i="18" s="1"/>
  <c r="BN64" i="18"/>
  <c r="BO64" i="18" s="1"/>
  <c r="GD64" i="18"/>
  <c r="GE64" i="18" s="1"/>
  <c r="KT64" i="18"/>
  <c r="KU64" i="18" s="1"/>
  <c r="CR67" i="18"/>
  <c r="CS67" i="18" s="1"/>
  <c r="HH67" i="18"/>
  <c r="HI67" i="18" s="1"/>
  <c r="LX67" i="18"/>
  <c r="LY67" i="18" s="1"/>
  <c r="HM69" i="18"/>
  <c r="DV70" i="18"/>
  <c r="DW70" i="18" s="1"/>
  <c r="IL70" i="18"/>
  <c r="IM70" i="18" s="1"/>
  <c r="MK72" i="18"/>
  <c r="ML72" i="18" s="1"/>
  <c r="CR72" i="18"/>
  <c r="CS72" i="18" s="1"/>
  <c r="DV72" i="18"/>
  <c r="DW72" i="18" s="1"/>
  <c r="MM73" i="18"/>
  <c r="MN73" i="18" s="1"/>
  <c r="MI74" i="18"/>
  <c r="MJ74" i="18" s="1"/>
  <c r="DK74" i="18"/>
  <c r="KS74" i="18"/>
  <c r="MU75" i="18"/>
  <c r="MV75" i="18" s="1"/>
  <c r="BN76" i="18"/>
  <c r="BO76" i="18" s="1"/>
  <c r="GC76" i="18"/>
  <c r="IC76" i="18"/>
  <c r="AY78" i="18"/>
  <c r="MI78" i="18"/>
  <c r="MJ78" i="18" s="1"/>
  <c r="CA78" i="18"/>
  <c r="JK78" i="18"/>
  <c r="KM78" i="18"/>
  <c r="BS65" i="18"/>
  <c r="GI65" i="18"/>
  <c r="AI71" i="18"/>
  <c r="LO71" i="18"/>
  <c r="BC72" i="18"/>
  <c r="U74" i="18"/>
  <c r="CQ74" i="18"/>
  <c r="FO74" i="18"/>
  <c r="HH74" i="18"/>
  <c r="HI74" i="18" s="1"/>
  <c r="KC74" i="18"/>
  <c r="KT74" i="18"/>
  <c r="KU74" i="18" s="1"/>
  <c r="AG75" i="18"/>
  <c r="KT75" i="18"/>
  <c r="KU75" i="18" s="1"/>
  <c r="JU76" i="18"/>
  <c r="LA76" i="18" s="1"/>
  <c r="AO76" i="18"/>
  <c r="LS76" i="18"/>
  <c r="LG76" i="18"/>
  <c r="JE76" i="18"/>
  <c r="IS76" i="18"/>
  <c r="HC76" i="18"/>
  <c r="GQ76" i="18"/>
  <c r="IQ76" i="18"/>
  <c r="KM76" i="18"/>
  <c r="KA76" i="18"/>
  <c r="IK76" i="18"/>
  <c r="HY76" i="18"/>
  <c r="HM76" i="18"/>
  <c r="FW76" i="18"/>
  <c r="FK76" i="18"/>
  <c r="Q76" i="18"/>
  <c r="LK76" i="18"/>
  <c r="JM76" i="18"/>
  <c r="IW76" i="18"/>
  <c r="GY76" i="18"/>
  <c r="GI76" i="18"/>
  <c r="CQ76" i="18"/>
  <c r="CC76" i="18"/>
  <c r="LW76" i="18"/>
  <c r="JI76" i="18"/>
  <c r="GU76" i="18"/>
  <c r="CO76" i="18"/>
  <c r="CA76" i="18"/>
  <c r="AI76" i="18"/>
  <c r="AA76" i="18"/>
  <c r="MG76" i="18"/>
  <c r="MH76" i="18" s="1"/>
  <c r="BS76" i="18"/>
  <c r="DI76" i="18"/>
  <c r="GK76" i="18"/>
  <c r="IE76" i="18"/>
  <c r="JC76" i="18"/>
  <c r="KE76" i="18"/>
  <c r="LC76" i="18"/>
  <c r="LU76" i="18"/>
  <c r="GA78" i="18"/>
  <c r="AS65" i="18"/>
  <c r="BE65" i="18"/>
  <c r="CR65" i="18"/>
  <c r="CS65" i="18" s="1"/>
  <c r="DG65" i="18"/>
  <c r="DS65" i="18"/>
  <c r="FI65" i="18"/>
  <c r="FU65" i="18"/>
  <c r="HH65" i="18"/>
  <c r="HI65" i="18" s="1"/>
  <c r="HW65" i="18"/>
  <c r="II65" i="18"/>
  <c r="JY65" i="18"/>
  <c r="LX65" i="18"/>
  <c r="LY65" i="18" s="1"/>
  <c r="DV68" i="18"/>
  <c r="DW68" i="18" s="1"/>
  <c r="IL68" i="18"/>
  <c r="IM68" i="18" s="1"/>
  <c r="W70" i="18"/>
  <c r="AI70" i="18"/>
  <c r="BY70" i="18"/>
  <c r="CK70" i="18"/>
  <c r="GO70" i="18"/>
  <c r="HA70" i="18"/>
  <c r="IQ70" i="18"/>
  <c r="JC70" i="18"/>
  <c r="JO70" i="18"/>
  <c r="LE70" i="18"/>
  <c r="LQ70" i="18"/>
  <c r="MM71" i="18"/>
  <c r="MN71" i="18" s="1"/>
  <c r="FQ74" i="18"/>
  <c r="HC74" i="18"/>
  <c r="HY74" i="18"/>
  <c r="IW74" i="18"/>
  <c r="LO74" i="18"/>
  <c r="Q75" i="18"/>
  <c r="ME75" i="18"/>
  <c r="MF75" i="18" s="1"/>
  <c r="MW75" i="18"/>
  <c r="MX75" i="18" s="1"/>
  <c r="AI75" i="18"/>
  <c r="BU76" i="18"/>
  <c r="HE76" i="18"/>
  <c r="IG76" i="18"/>
  <c r="KG76" i="18"/>
  <c r="LE76" i="18"/>
  <c r="BC78" i="18"/>
  <c r="DC78" i="18"/>
  <c r="GC78" i="18"/>
  <c r="BM83" i="18"/>
  <c r="MW83" i="18"/>
  <c r="MX83" i="18" s="1"/>
  <c r="MI86" i="18"/>
  <c r="MJ86" i="18" s="1"/>
  <c r="U86" i="18"/>
  <c r="AJ86" i="18"/>
  <c r="AK86" i="18" s="1"/>
  <c r="M71" i="18"/>
  <c r="Y71" i="18"/>
  <c r="JI71" i="18"/>
  <c r="JY71" i="18"/>
  <c r="KM71" i="18"/>
  <c r="LC71" i="18"/>
  <c r="KO72" i="18"/>
  <c r="KC72" i="18"/>
  <c r="IA72" i="18"/>
  <c r="HO72" i="18"/>
  <c r="FY72" i="18"/>
  <c r="FM72" i="18"/>
  <c r="DK72" i="18"/>
  <c r="CY72" i="18"/>
  <c r="BI72" i="18"/>
  <c r="AW72" i="18"/>
  <c r="Y72" i="18"/>
  <c r="CK72" i="18"/>
  <c r="DS72" i="18"/>
  <c r="GI72" i="18"/>
  <c r="HM72" i="18"/>
  <c r="MS73" i="18"/>
  <c r="MT73" i="18" s="1"/>
  <c r="AE73" i="18"/>
  <c r="MM74" i="18"/>
  <c r="MN74" i="18" s="1"/>
  <c r="Y74" i="18"/>
  <c r="BI74" i="18"/>
  <c r="CE74" i="18"/>
  <c r="DO74" i="18"/>
  <c r="FS74" i="18"/>
  <c r="AJ75" i="18"/>
  <c r="AK75" i="18" s="1"/>
  <c r="AJ76" i="18"/>
  <c r="AK76" i="18" s="1"/>
  <c r="AC76" i="18"/>
  <c r="CM76" i="18"/>
  <c r="GM76" i="18"/>
  <c r="MK77" i="18"/>
  <c r="ML77" i="18" s="1"/>
  <c r="BE78" i="18"/>
  <c r="MO78" i="18"/>
  <c r="MP78" i="18" s="1"/>
  <c r="FG78" i="18"/>
  <c r="KS78" i="18"/>
  <c r="MI82" i="18"/>
  <c r="MJ82" i="18" s="1"/>
  <c r="AU83" i="18"/>
  <c r="ME83" i="18"/>
  <c r="MF83" i="18" s="1"/>
  <c r="MO72" i="18"/>
  <c r="MP72" i="18" s="1"/>
  <c r="HH72" i="18"/>
  <c r="HI72" i="18" s="1"/>
  <c r="IL72" i="18"/>
  <c r="IM72" i="18" s="1"/>
  <c r="MO74" i="18"/>
  <c r="MP74" i="18" s="1"/>
  <c r="CY74" i="18"/>
  <c r="IC74" i="18"/>
  <c r="KG74" i="18"/>
  <c r="MC75" i="18"/>
  <c r="MD75" i="18" s="1"/>
  <c r="HC78" i="18"/>
  <c r="HH78" i="18"/>
  <c r="HI78" i="18" s="1"/>
  <c r="GK79" i="18"/>
  <c r="HH79" i="18"/>
  <c r="HI79" i="18" s="1"/>
  <c r="HO73" i="18"/>
  <c r="IA73" i="18"/>
  <c r="IQ73" i="18"/>
  <c r="LO73" i="18"/>
  <c r="BC74" i="18"/>
  <c r="DQ74" i="18"/>
  <c r="HG74" i="18"/>
  <c r="JW74" i="18"/>
  <c r="MW76" i="18"/>
  <c r="MX76" i="18" s="1"/>
  <c r="BE76" i="18"/>
  <c r="MO76" i="18"/>
  <c r="MP76" i="18" s="1"/>
  <c r="DK76" i="18"/>
  <c r="FY76" i="18"/>
  <c r="HQ76" i="18"/>
  <c r="KI76" i="18"/>
  <c r="S77" i="18"/>
  <c r="MG77" i="18"/>
  <c r="MH77" i="18" s="1"/>
  <c r="HH77" i="18"/>
  <c r="HI77" i="18" s="1"/>
  <c r="BG78" i="18"/>
  <c r="DV78" i="18"/>
  <c r="DW78" i="18" s="1"/>
  <c r="FO78" i="18"/>
  <c r="HG78" i="18"/>
  <c r="IW78" i="18"/>
  <c r="KT78" i="18"/>
  <c r="KU78" i="18" s="1"/>
  <c r="MW82" i="18"/>
  <c r="MX82" i="18" s="1"/>
  <c r="HG82" i="18"/>
  <c r="JP83" i="18"/>
  <c r="JQ83" i="18" s="1"/>
  <c r="KY83" i="18" s="1"/>
  <c r="IS83" i="18"/>
  <c r="W73" i="18"/>
  <c r="AI73" i="18"/>
  <c r="BY73" i="18"/>
  <c r="CK73" i="18"/>
  <c r="GO73" i="18"/>
  <c r="HA73" i="18"/>
  <c r="JE73" i="18"/>
  <c r="JU73" i="18"/>
  <c r="LA73" i="18" s="1"/>
  <c r="KI73" i="18"/>
  <c r="FM74" i="18"/>
  <c r="GC74" i="18"/>
  <c r="GU74" i="18"/>
  <c r="IA74" i="18"/>
  <c r="MK76" i="18"/>
  <c r="ML76" i="18" s="1"/>
  <c r="DM76" i="18"/>
  <c r="GA76" i="18"/>
  <c r="HS76" i="18"/>
  <c r="KK76" i="18"/>
  <c r="DA78" i="18"/>
  <c r="FQ78" i="18"/>
  <c r="IY78" i="18"/>
  <c r="CY83" i="18"/>
  <c r="DV83" i="18"/>
  <c r="DW83" i="18" s="1"/>
  <c r="AC87" i="18"/>
  <c r="MQ87" i="18"/>
  <c r="MR87" i="18" s="1"/>
  <c r="ME84" i="18"/>
  <c r="MF84" i="18" s="1"/>
  <c r="AU84" i="18"/>
  <c r="MO86" i="18"/>
  <c r="MP86" i="18" s="1"/>
  <c r="CI86" i="18"/>
  <c r="M73" i="18"/>
  <c r="LC73" i="18"/>
  <c r="LS73" i="18"/>
  <c r="AQ74" i="18"/>
  <c r="DE74" i="18"/>
  <c r="JI74" i="18"/>
  <c r="AQ76" i="18"/>
  <c r="MA76" i="18"/>
  <c r="MS76" i="18"/>
  <c r="MT76" i="18" s="1"/>
  <c r="BI76" i="18"/>
  <c r="DQ76" i="18"/>
  <c r="FG76" i="18"/>
  <c r="GD76" i="18"/>
  <c r="GE76" i="18" s="1"/>
  <c r="HW76" i="18"/>
  <c r="KO76" i="18"/>
  <c r="LX77" i="18"/>
  <c r="LY77" i="18" s="1"/>
  <c r="BM78" i="18"/>
  <c r="DE78" i="18"/>
  <c r="FU78" i="18"/>
  <c r="IE78" i="18"/>
  <c r="LW78" i="18"/>
  <c r="MO80" i="18"/>
  <c r="MP80" i="18" s="1"/>
  <c r="AA80" i="18"/>
  <c r="AY81" i="18"/>
  <c r="MI81" i="18"/>
  <c r="MJ81" i="18" s="1"/>
  <c r="AJ82" i="18"/>
  <c r="AK82" i="18" s="1"/>
  <c r="HW83" i="18"/>
  <c r="IL83" i="18"/>
  <c r="IM83" i="18" s="1"/>
  <c r="KO86" i="18"/>
  <c r="MS86" i="18"/>
  <c r="MT86" i="18" s="1"/>
  <c r="DV88" i="18"/>
  <c r="DW88" i="18" s="1"/>
  <c r="DC88" i="18"/>
  <c r="FI76" i="18"/>
  <c r="KQ76" i="18"/>
  <c r="MM77" i="18"/>
  <c r="MN77" i="18" s="1"/>
  <c r="AQ78" i="18"/>
  <c r="DG78" i="18"/>
  <c r="FW78" i="18"/>
  <c r="JE78" i="18"/>
  <c r="LG78" i="18"/>
  <c r="FG79" i="18"/>
  <c r="GD79" i="18"/>
  <c r="GE79" i="18" s="1"/>
  <c r="KC79" i="18"/>
  <c r="KT79" i="18"/>
  <c r="KU79" i="18" s="1"/>
  <c r="MG88" i="18"/>
  <c r="MH88" i="18" s="1"/>
  <c r="AW88" i="18"/>
  <c r="JA73" i="18"/>
  <c r="MU74" i="18"/>
  <c r="MV74" i="18" s="1"/>
  <c r="BN74" i="18"/>
  <c r="BO74" i="18" s="1"/>
  <c r="KI74" i="18"/>
  <c r="BN75" i="18"/>
  <c r="BO75" i="18" s="1"/>
  <c r="CR75" i="18"/>
  <c r="CS75" i="18" s="1"/>
  <c r="GD75" i="18"/>
  <c r="GE75" i="18" s="1"/>
  <c r="MO75" i="18"/>
  <c r="MP75" i="18" s="1"/>
  <c r="AE76" i="18"/>
  <c r="AY76" i="18"/>
  <c r="CK76" i="18"/>
  <c r="DG76" i="18"/>
  <c r="FS76" i="18"/>
  <c r="II76" i="18"/>
  <c r="KC76" i="18"/>
  <c r="MQ78" i="18"/>
  <c r="MR78" i="18" s="1"/>
  <c r="BA78" i="18"/>
  <c r="DQ78" i="18"/>
  <c r="FI78" i="18"/>
  <c r="JP78" i="18"/>
  <c r="JQ78" i="18" s="1"/>
  <c r="KY78" i="18" s="1"/>
  <c r="LM80" i="18"/>
  <c r="LX80" i="18"/>
  <c r="LY80" i="18" s="1"/>
  <c r="HH83" i="18"/>
  <c r="HI83" i="18" s="1"/>
  <c r="FM87" i="18"/>
  <c r="GD87" i="18"/>
  <c r="GE87" i="18" s="1"/>
  <c r="MS82" i="18"/>
  <c r="MT82" i="18" s="1"/>
  <c r="AE82" i="18"/>
  <c r="GM77" i="18"/>
  <c r="GY77" i="18"/>
  <c r="JA77" i="18"/>
  <c r="JM77" i="18"/>
  <c r="LC77" i="18"/>
  <c r="LO77" i="18"/>
  <c r="FU79" i="18"/>
  <c r="GM79" i="18"/>
  <c r="IY79" i="18"/>
  <c r="MG80" i="18"/>
  <c r="MH80" i="18" s="1"/>
  <c r="AJ81" i="18"/>
  <c r="AK81" i="18" s="1"/>
  <c r="MQ81" i="18"/>
  <c r="MR81" i="18" s="1"/>
  <c r="JP81" i="18"/>
  <c r="JQ81" i="18" s="1"/>
  <c r="KY81" i="18" s="1"/>
  <c r="KT81" i="18"/>
  <c r="KU81" i="18" s="1"/>
  <c r="MC81" i="18"/>
  <c r="MD81" i="18" s="1"/>
  <c r="KS82" i="18"/>
  <c r="KG82" i="18"/>
  <c r="JU82" i="18"/>
  <c r="LA82" i="18" s="1"/>
  <c r="IE82" i="18"/>
  <c r="HS82" i="18"/>
  <c r="GC82" i="18"/>
  <c r="FQ82" i="18"/>
  <c r="DO82" i="18"/>
  <c r="DC82" i="18"/>
  <c r="BM82" i="18"/>
  <c r="BA82" i="18"/>
  <c r="AO82" i="18"/>
  <c r="M82" i="18"/>
  <c r="KO82" i="18"/>
  <c r="KC82" i="18"/>
  <c r="IA82" i="18"/>
  <c r="HO82" i="18"/>
  <c r="FY82" i="18"/>
  <c r="FM82" i="18"/>
  <c r="DK82" i="18"/>
  <c r="CY82" i="18"/>
  <c r="BI82" i="18"/>
  <c r="AW82" i="18"/>
  <c r="AC82" i="18"/>
  <c r="BK82" i="18"/>
  <c r="CG82" i="18"/>
  <c r="DA82" i="18"/>
  <c r="FS82" i="18"/>
  <c r="GM82" i="18"/>
  <c r="HE82" i="18"/>
  <c r="HW82" i="18"/>
  <c r="IK82" i="18"/>
  <c r="KA82" i="18"/>
  <c r="LK82" i="18"/>
  <c r="ME82" i="18"/>
  <c r="MF82" i="18" s="1"/>
  <c r="LX83" i="18"/>
  <c r="LY83" i="18" s="1"/>
  <c r="MQ84" i="18"/>
  <c r="MR84" i="18" s="1"/>
  <c r="CR84" i="18"/>
  <c r="CS84" i="18" s="1"/>
  <c r="GD85" i="18"/>
  <c r="GE85" i="18" s="1"/>
  <c r="II85" i="18"/>
  <c r="JA85" i="18"/>
  <c r="JO85" i="18"/>
  <c r="LE85" i="18"/>
  <c r="MA86" i="18"/>
  <c r="IQ77" i="18"/>
  <c r="AJ78" i="18"/>
  <c r="AK78" i="18" s="1"/>
  <c r="IU78" i="18"/>
  <c r="LE78" i="18"/>
  <c r="LU78" i="18"/>
  <c r="LQ79" i="18"/>
  <c r="LE79" i="18"/>
  <c r="JO79" i="18"/>
  <c r="JC79" i="18"/>
  <c r="IQ79" i="18"/>
  <c r="HA79" i="18"/>
  <c r="GO79" i="18"/>
  <c r="CW79" i="18"/>
  <c r="HC79" i="18"/>
  <c r="HU79" i="18"/>
  <c r="KK79" i="18"/>
  <c r="MI80" i="18"/>
  <c r="MJ80" i="18" s="1"/>
  <c r="O82" i="18"/>
  <c r="AG82" i="18"/>
  <c r="FG82" i="18"/>
  <c r="GO82" i="18"/>
  <c r="HY82" i="18"/>
  <c r="IS82" i="18"/>
  <c r="JK82" i="18"/>
  <c r="LO82" i="18"/>
  <c r="LX84" i="18"/>
  <c r="LY84" i="18" s="1"/>
  <c r="MW84" i="18"/>
  <c r="MX84" i="18" s="1"/>
  <c r="JC85" i="18"/>
  <c r="JW85" i="18"/>
  <c r="KO85" i="18"/>
  <c r="MC86" i="18"/>
  <c r="MD86" i="18" s="1"/>
  <c r="MC87" i="18"/>
  <c r="MD87" i="18" s="1"/>
  <c r="AJ87" i="18"/>
  <c r="AK87" i="18" s="1"/>
  <c r="LC93" i="18"/>
  <c r="MC93" i="18"/>
  <c r="MD93" i="18" s="1"/>
  <c r="AJ77" i="18"/>
  <c r="AK77" i="18" s="1"/>
  <c r="JP77" i="18"/>
  <c r="JQ77" i="18" s="1"/>
  <c r="KY77" i="18" s="1"/>
  <c r="Y78" i="18"/>
  <c r="M79" i="18"/>
  <c r="Y79" i="18"/>
  <c r="AO79" i="18"/>
  <c r="CY79" i="18"/>
  <c r="FY79" i="18"/>
  <c r="GQ79" i="18"/>
  <c r="MQ80" i="18"/>
  <c r="MR80" i="18" s="1"/>
  <c r="AC80" i="18"/>
  <c r="KT80" i="18"/>
  <c r="KU80" i="18" s="1"/>
  <c r="MK80" i="18"/>
  <c r="ML80" i="18" s="1"/>
  <c r="Q81" i="18"/>
  <c r="FG81" i="18"/>
  <c r="LX81" i="18"/>
  <c r="LY81" i="18" s="1"/>
  <c r="BS82" i="18"/>
  <c r="CK82" i="18"/>
  <c r="DE82" i="18"/>
  <c r="GQ82" i="18"/>
  <c r="HH82" i="18"/>
  <c r="HI82" i="18" s="1"/>
  <c r="IU82" i="18"/>
  <c r="JM82" i="18"/>
  <c r="MS83" i="18"/>
  <c r="MT83" i="18" s="1"/>
  <c r="DV84" i="18"/>
  <c r="DW84" i="18" s="1"/>
  <c r="IL85" i="18"/>
  <c r="IM85" i="18" s="1"/>
  <c r="KQ85" i="18"/>
  <c r="LI85" i="18"/>
  <c r="ME86" i="18"/>
  <c r="MF86" i="18" s="1"/>
  <c r="MB91" i="18"/>
  <c r="IS98" i="18"/>
  <c r="JP98" i="18"/>
  <c r="JQ98" i="18" s="1"/>
  <c r="KY98" i="18" s="1"/>
  <c r="IQ75" i="18"/>
  <c r="M77" i="18"/>
  <c r="Y77" i="18"/>
  <c r="JM78" i="18"/>
  <c r="AJ79" i="18"/>
  <c r="AK79" i="18" s="1"/>
  <c r="MC79" i="18"/>
  <c r="MD79" i="18" s="1"/>
  <c r="MO79" i="18"/>
  <c r="MP79" i="18" s="1"/>
  <c r="AQ79" i="18"/>
  <c r="DA79" i="18"/>
  <c r="DQ79" i="18"/>
  <c r="GA79" i="18"/>
  <c r="JU79" i="18"/>
  <c r="LA79" i="18" s="1"/>
  <c r="LS79" i="18"/>
  <c r="BI80" i="18"/>
  <c r="MG81" i="18"/>
  <c r="MH81" i="18" s="1"/>
  <c r="BC81" i="18"/>
  <c r="FI81" i="18"/>
  <c r="GA81" i="18"/>
  <c r="GS81" i="18"/>
  <c r="IC81" i="18"/>
  <c r="JK81" i="18"/>
  <c r="Q82" i="18"/>
  <c r="AI82" i="18"/>
  <c r="BU82" i="18"/>
  <c r="CM82" i="18"/>
  <c r="FW82" i="18"/>
  <c r="GS82" i="18"/>
  <c r="HM82" i="18"/>
  <c r="LQ82" i="18"/>
  <c r="MM82" i="18"/>
  <c r="MN82" i="18" s="1"/>
  <c r="AE83" i="18"/>
  <c r="BU83" i="18"/>
  <c r="GQ83" i="18"/>
  <c r="MA84" i="18"/>
  <c r="MO85" i="18"/>
  <c r="MP85" i="18" s="1"/>
  <c r="CW85" i="18"/>
  <c r="DO85" i="18"/>
  <c r="FS85" i="18"/>
  <c r="HA85" i="18"/>
  <c r="HW85" i="18"/>
  <c r="MA85" i="18"/>
  <c r="MM86" i="18"/>
  <c r="MN86" i="18" s="1"/>
  <c r="Y86" i="18"/>
  <c r="KI89" i="18"/>
  <c r="KT89" i="18"/>
  <c r="KU89" i="18" s="1"/>
  <c r="AO77" i="18"/>
  <c r="BA77" i="18"/>
  <c r="BM77" i="18"/>
  <c r="DC77" i="18"/>
  <c r="DO77" i="18"/>
  <c r="FQ77" i="18"/>
  <c r="GC77" i="18"/>
  <c r="HS77" i="18"/>
  <c r="IE77" i="18"/>
  <c r="JU77" i="18"/>
  <c r="LA77" i="18" s="1"/>
  <c r="KG77" i="18"/>
  <c r="KS77" i="18"/>
  <c r="BN78" i="18"/>
  <c r="BO78" i="18" s="1"/>
  <c r="GD78" i="18"/>
  <c r="GE78" i="18" s="1"/>
  <c r="JO78" i="18"/>
  <c r="LI78" i="18"/>
  <c r="O79" i="18"/>
  <c r="AA79" i="18"/>
  <c r="BG79" i="18"/>
  <c r="BY79" i="18"/>
  <c r="CK79" i="18"/>
  <c r="FK79" i="18"/>
  <c r="GS79" i="18"/>
  <c r="JP79" i="18"/>
  <c r="JQ79" i="18" s="1"/>
  <c r="KY79" i="18" s="1"/>
  <c r="JE79" i="18"/>
  <c r="JW79" i="18"/>
  <c r="KO79" i="18"/>
  <c r="LG79" i="18"/>
  <c r="AJ80" i="18"/>
  <c r="AK80" i="18" s="1"/>
  <c r="DV80" i="18"/>
  <c r="DW80" i="18" s="1"/>
  <c r="MW81" i="18"/>
  <c r="MX81" i="18" s="1"/>
  <c r="MG82" i="18"/>
  <c r="MH82" i="18" s="1"/>
  <c r="S82" i="18"/>
  <c r="BC82" i="18"/>
  <c r="BW82" i="18"/>
  <c r="CO82" i="18"/>
  <c r="DG82" i="18"/>
  <c r="DU82" i="18"/>
  <c r="IL82" i="18"/>
  <c r="IM82" i="18" s="1"/>
  <c r="IC82" i="18"/>
  <c r="IW82" i="18"/>
  <c r="JO82" i="18"/>
  <c r="LS82" i="18"/>
  <c r="MG83" i="18"/>
  <c r="MH83" i="18" s="1"/>
  <c r="MU83" i="18"/>
  <c r="MV83" i="18" s="1"/>
  <c r="LW85" i="18"/>
  <c r="LK85" i="18"/>
  <c r="JI85" i="18"/>
  <c r="IW85" i="18"/>
  <c r="HG85" i="18"/>
  <c r="GU85" i="18"/>
  <c r="GI85" i="18"/>
  <c r="CQ85" i="18"/>
  <c r="CE85" i="18"/>
  <c r="BS85" i="18"/>
  <c r="AC85" i="18"/>
  <c r="Q85" i="18"/>
  <c r="LS85" i="18"/>
  <c r="LG85" i="18"/>
  <c r="JE85" i="18"/>
  <c r="IS85" i="18"/>
  <c r="HC85" i="18"/>
  <c r="GQ85" i="18"/>
  <c r="CM85" i="18"/>
  <c r="CA85" i="18"/>
  <c r="Y85" i="18"/>
  <c r="M85" i="18"/>
  <c r="AA85" i="18"/>
  <c r="AU85" i="18"/>
  <c r="BM85" i="18"/>
  <c r="CY85" i="18"/>
  <c r="DQ85" i="18"/>
  <c r="FU85" i="18"/>
  <c r="JP85" i="18"/>
  <c r="JQ85" i="18" s="1"/>
  <c r="KY85" i="18" s="1"/>
  <c r="JG85" i="18"/>
  <c r="KA85" i="18"/>
  <c r="KS85" i="18"/>
  <c r="LX86" i="18"/>
  <c r="LY86" i="18" s="1"/>
  <c r="MK86" i="18"/>
  <c r="ML86" i="18" s="1"/>
  <c r="MG87" i="18"/>
  <c r="MH87" i="18" s="1"/>
  <c r="MU88" i="18"/>
  <c r="MV88" i="18" s="1"/>
  <c r="AG88" i="18"/>
  <c r="BU91" i="18"/>
  <c r="CR91" i="18"/>
  <c r="CS91" i="18" s="1"/>
  <c r="BN77" i="18"/>
  <c r="BO77" i="18" s="1"/>
  <c r="ME79" i="18"/>
  <c r="MF79" i="18" s="1"/>
  <c r="MQ79" i="18"/>
  <c r="MR79" i="18" s="1"/>
  <c r="BI79" i="18"/>
  <c r="FM79" i="18"/>
  <c r="HG79" i="18"/>
  <c r="IS79" i="18"/>
  <c r="JY79" i="18"/>
  <c r="KQ79" i="18"/>
  <c r="O80" i="18"/>
  <c r="AG80" i="18"/>
  <c r="HH80" i="18"/>
  <c r="HI80" i="18" s="1"/>
  <c r="AI81" i="18"/>
  <c r="IL81" i="18"/>
  <c r="IM81" i="18" s="1"/>
  <c r="MO81" i="18"/>
  <c r="MP81" i="18" s="1"/>
  <c r="U82" i="18"/>
  <c r="BN82" i="18"/>
  <c r="BO82" i="18" s="1"/>
  <c r="MO82" i="18"/>
  <c r="MP82" i="18" s="1"/>
  <c r="FK82" i="18"/>
  <c r="IY82" i="18"/>
  <c r="JP82" i="18"/>
  <c r="JQ82" i="18" s="1"/>
  <c r="KY82" i="18" s="1"/>
  <c r="KI82" i="18"/>
  <c r="LC82" i="18"/>
  <c r="LU82" i="18"/>
  <c r="S83" i="18"/>
  <c r="MK83" i="18"/>
  <c r="ML83" i="18" s="1"/>
  <c r="O84" i="18"/>
  <c r="AJ84" i="18"/>
  <c r="AK84" i="18" s="1"/>
  <c r="MU84" i="18"/>
  <c r="MV84" i="18" s="1"/>
  <c r="AG84" i="18"/>
  <c r="AJ85" i="18"/>
  <c r="AK85" i="18" s="1"/>
  <c r="MC85" i="18"/>
  <c r="MD85" i="18" s="1"/>
  <c r="AW85" i="18"/>
  <c r="BN85" i="18"/>
  <c r="BO85" i="18" s="1"/>
  <c r="CG85" i="18"/>
  <c r="DA85" i="18"/>
  <c r="DS85" i="18"/>
  <c r="GO85" i="18"/>
  <c r="KC85" i="18"/>
  <c r="KT85" i="18"/>
  <c r="KU85" i="18" s="1"/>
  <c r="LM85" i="18"/>
  <c r="HO86" i="18"/>
  <c r="IL86" i="18"/>
  <c r="IM86" i="18" s="1"/>
  <c r="MW87" i="18"/>
  <c r="MX87" i="18" s="1"/>
  <c r="JW87" i="18"/>
  <c r="KT87" i="18"/>
  <c r="KU87" i="18" s="1"/>
  <c r="MI97" i="18"/>
  <c r="MJ97" i="18" s="1"/>
  <c r="AY97" i="18"/>
  <c r="ME80" i="18"/>
  <c r="MF80" i="18" s="1"/>
  <c r="Q80" i="18"/>
  <c r="MK81" i="18"/>
  <c r="ML81" i="18" s="1"/>
  <c r="KT82" i="18"/>
  <c r="KU82" i="18" s="1"/>
  <c r="MU82" i="18"/>
  <c r="MV82" i="18" s="1"/>
  <c r="MI83" i="18"/>
  <c r="MJ83" i="18" s="1"/>
  <c r="CR85" i="18"/>
  <c r="CS85" i="18" s="1"/>
  <c r="LX85" i="18"/>
  <c r="LY85" i="18" s="1"/>
  <c r="MG85" i="18"/>
  <c r="MH85" i="18" s="1"/>
  <c r="HH86" i="18"/>
  <c r="HI86" i="18" s="1"/>
  <c r="BS77" i="18"/>
  <c r="GI77" i="18"/>
  <c r="JC78" i="18"/>
  <c r="MW79" i="18"/>
  <c r="MX79" i="18" s="1"/>
  <c r="GI79" i="18"/>
  <c r="IC79" i="18"/>
  <c r="LW79" i="18"/>
  <c r="W81" i="18"/>
  <c r="AQ81" i="18"/>
  <c r="BI81" i="18"/>
  <c r="DK81" i="18"/>
  <c r="FO81" i="18"/>
  <c r="GI81" i="18"/>
  <c r="GW81" i="18"/>
  <c r="HQ81" i="18"/>
  <c r="II81" i="18"/>
  <c r="LU81" i="18"/>
  <c r="W82" i="18"/>
  <c r="MC82" i="18"/>
  <c r="MD82" i="18" s="1"/>
  <c r="CA82" i="18"/>
  <c r="CR82" i="18"/>
  <c r="CS82" i="18" s="1"/>
  <c r="GY82" i="18"/>
  <c r="IG82" i="18"/>
  <c r="JW82" i="18"/>
  <c r="LE82" i="18"/>
  <c r="AJ83" i="18"/>
  <c r="AK83" i="18" s="1"/>
  <c r="BE83" i="18"/>
  <c r="GD84" i="18"/>
  <c r="GE84" i="18" s="1"/>
  <c r="JP84" i="18"/>
  <c r="JQ84" i="18" s="1"/>
  <c r="KY84" i="18" s="1"/>
  <c r="MK84" i="18"/>
  <c r="ML84" i="18" s="1"/>
  <c r="AE85" i="18"/>
  <c r="BU85" i="18"/>
  <c r="DC85" i="18"/>
  <c r="FG85" i="18"/>
  <c r="FY85" i="18"/>
  <c r="IC85" i="18"/>
  <c r="JK85" i="18"/>
  <c r="MG86" i="18"/>
  <c r="MH86" i="18" s="1"/>
  <c r="MQ86" i="18"/>
  <c r="MR86" i="18" s="1"/>
  <c r="BN87" i="18"/>
  <c r="BO87" i="18" s="1"/>
  <c r="MA87" i="18"/>
  <c r="IL87" i="18"/>
  <c r="IM87" i="18" s="1"/>
  <c r="MM80" i="18"/>
  <c r="MN80" i="18" s="1"/>
  <c r="BN80" i="18"/>
  <c r="BO80" i="18" s="1"/>
  <c r="MW80" i="18"/>
  <c r="MX80" i="18" s="1"/>
  <c r="MU81" i="18"/>
  <c r="MV81" i="18" s="1"/>
  <c r="LX82" i="18"/>
  <c r="LY82" i="18" s="1"/>
  <c r="MQ83" i="18"/>
  <c r="MR83" i="18" s="1"/>
  <c r="DV85" i="18"/>
  <c r="DW85" i="18" s="1"/>
  <c r="MU86" i="18"/>
  <c r="MV86" i="18" s="1"/>
  <c r="MK87" i="18"/>
  <c r="ML87" i="18" s="1"/>
  <c r="W87" i="18"/>
  <c r="CR76" i="18"/>
  <c r="CS76" i="18" s="1"/>
  <c r="HH76" i="18"/>
  <c r="HI76" i="18" s="1"/>
  <c r="LX76" i="18"/>
  <c r="LY76" i="18" s="1"/>
  <c r="GY78" i="18"/>
  <c r="IL78" i="18"/>
  <c r="IM78" i="18" s="1"/>
  <c r="LO78" i="18"/>
  <c r="MI79" i="18"/>
  <c r="MJ79" i="18" s="1"/>
  <c r="MU79" i="18"/>
  <c r="MV79" i="18" s="1"/>
  <c r="AY79" i="18"/>
  <c r="BN79" i="18"/>
  <c r="BO79" i="18" s="1"/>
  <c r="FS79" i="18"/>
  <c r="HO79" i="18"/>
  <c r="IW79" i="18"/>
  <c r="KE79" i="18"/>
  <c r="MA79" i="18"/>
  <c r="AQ80" i="18"/>
  <c r="BC80" i="18"/>
  <c r="AU81" i="18"/>
  <c r="BM81" i="18"/>
  <c r="DO81" i="18"/>
  <c r="GK81" i="18"/>
  <c r="JY81" i="18"/>
  <c r="KQ81" i="18"/>
  <c r="AA82" i="18"/>
  <c r="DV82" i="18"/>
  <c r="DW82" i="18" s="1"/>
  <c r="GI82" i="18"/>
  <c r="HA82" i="18"/>
  <c r="HU82" i="18"/>
  <c r="JE82" i="18"/>
  <c r="KM82" i="18"/>
  <c r="LI82" i="18"/>
  <c r="MA82" i="18"/>
  <c r="MM83" i="18"/>
  <c r="MN83" i="18" s="1"/>
  <c r="MI84" i="18"/>
  <c r="MJ84" i="18" s="1"/>
  <c r="U84" i="18"/>
  <c r="BN84" i="18"/>
  <c r="BO84" i="18" s="1"/>
  <c r="S85" i="18"/>
  <c r="AG85" i="18"/>
  <c r="BC85" i="18"/>
  <c r="CK85" i="18"/>
  <c r="DG85" i="18"/>
  <c r="HM85" i="18"/>
  <c r="IE85" i="18"/>
  <c r="IY85" i="18"/>
  <c r="KI85" i="18"/>
  <c r="LQ85" i="18"/>
  <c r="MM85" i="18"/>
  <c r="MN85" i="18" s="1"/>
  <c r="AG86" i="18"/>
  <c r="CY86" i="18"/>
  <c r="BG77" i="18"/>
  <c r="CW77" i="18"/>
  <c r="DI77" i="18"/>
  <c r="DU77" i="18"/>
  <c r="FK77" i="18"/>
  <c r="FW77" i="18"/>
  <c r="HM77" i="18"/>
  <c r="HY77" i="18"/>
  <c r="IK77" i="18"/>
  <c r="KA77" i="18"/>
  <c r="JG78" i="18"/>
  <c r="LQ78" i="18"/>
  <c r="U79" i="18"/>
  <c r="AG79" i="18"/>
  <c r="MK79" i="18"/>
  <c r="ML79" i="18" s="1"/>
  <c r="BS79" i="18"/>
  <c r="CE79" i="18"/>
  <c r="CQ79" i="18"/>
  <c r="DI79" i="18"/>
  <c r="GY79" i="18"/>
  <c r="HQ79" i="18"/>
  <c r="IG79" i="18"/>
  <c r="JK79" i="18"/>
  <c r="LX79" i="18"/>
  <c r="LY79" i="18" s="1"/>
  <c r="LM79" i="18"/>
  <c r="MC80" i="18"/>
  <c r="MD80" i="18" s="1"/>
  <c r="JU81" i="18"/>
  <c r="LA81" i="18" s="1"/>
  <c r="AO81" i="18"/>
  <c r="LS81" i="18"/>
  <c r="LG81" i="18"/>
  <c r="JE81" i="18"/>
  <c r="IS81" i="18"/>
  <c r="HC81" i="18"/>
  <c r="GQ81" i="18"/>
  <c r="CM81" i="18"/>
  <c r="CA81" i="18"/>
  <c r="Y81" i="18"/>
  <c r="M81" i="18"/>
  <c r="LO81" i="18"/>
  <c r="LC81" i="18"/>
  <c r="JM81" i="18"/>
  <c r="JA81" i="18"/>
  <c r="GY81" i="18"/>
  <c r="GM81" i="18"/>
  <c r="CI81" i="18"/>
  <c r="BW81" i="18"/>
  <c r="AG81" i="18"/>
  <c r="U81" i="18"/>
  <c r="HM81" i="18"/>
  <c r="CW81" i="18"/>
  <c r="AA81" i="18"/>
  <c r="BN81" i="18"/>
  <c r="BO81" i="18" s="1"/>
  <c r="CE81" i="18"/>
  <c r="DV81" i="18"/>
  <c r="DW81" i="18" s="1"/>
  <c r="FS81" i="18"/>
  <c r="HA81" i="18"/>
  <c r="HU81" i="18"/>
  <c r="IQ81" i="18"/>
  <c r="KA81" i="18"/>
  <c r="KS81" i="18"/>
  <c r="AU82" i="18"/>
  <c r="CE82" i="18"/>
  <c r="GK82" i="18"/>
  <c r="HC82" i="18"/>
  <c r="JG82" i="18"/>
  <c r="MC83" i="18"/>
  <c r="MD83" i="18" s="1"/>
  <c r="IL84" i="18"/>
  <c r="IM84" i="18" s="1"/>
  <c r="MO84" i="18"/>
  <c r="MP84" i="18" s="1"/>
  <c r="MI85" i="18"/>
  <c r="MJ85" i="18" s="1"/>
  <c r="MW85" i="18"/>
  <c r="MX85" i="18" s="1"/>
  <c r="BE85" i="18"/>
  <c r="FK85" i="18"/>
  <c r="GC85" i="18"/>
  <c r="HO85" i="18"/>
  <c r="IG85" i="18"/>
  <c r="KK85" i="18"/>
  <c r="MW86" i="18"/>
  <c r="MX86" i="18" s="1"/>
  <c r="AI86" i="18"/>
  <c r="JW86" i="18"/>
  <c r="KT86" i="18"/>
  <c r="KU86" i="18" s="1"/>
  <c r="MO87" i="18"/>
  <c r="MP87" i="18" s="1"/>
  <c r="JP87" i="18"/>
  <c r="JQ87" i="18" s="1"/>
  <c r="KY87" i="18" s="1"/>
  <c r="IS87" i="18"/>
  <c r="MC89" i="18"/>
  <c r="MD89" i="18" s="1"/>
  <c r="AJ89" i="18"/>
  <c r="AK89" i="18" s="1"/>
  <c r="MQ89" i="18"/>
  <c r="MR89" i="18" s="1"/>
  <c r="BS80" i="18"/>
  <c r="GI80" i="18"/>
  <c r="CW83" i="18"/>
  <c r="HM83" i="18"/>
  <c r="MA83" i="18"/>
  <c r="LW86" i="18"/>
  <c r="LK86" i="18"/>
  <c r="GD86" i="18"/>
  <c r="GE86" i="18" s="1"/>
  <c r="Q87" i="18"/>
  <c r="MS87" i="18"/>
  <c r="MT87" i="18" s="1"/>
  <c r="GC87" i="18"/>
  <c r="GU87" i="18"/>
  <c r="MM87" i="18"/>
  <c r="MN87" i="18" s="1"/>
  <c r="ME89" i="18"/>
  <c r="MF89" i="18" s="1"/>
  <c r="AG89" i="18"/>
  <c r="BC89" i="18"/>
  <c r="FQ89" i="18"/>
  <c r="GM89" i="18"/>
  <c r="JM89" i="18"/>
  <c r="Y90" i="18"/>
  <c r="HW90" i="18"/>
  <c r="BI95" i="18"/>
  <c r="MS95" i="18"/>
  <c r="MT95" i="18" s="1"/>
  <c r="MG97" i="18"/>
  <c r="MH97" i="18" s="1"/>
  <c r="CA97" i="18"/>
  <c r="MU97" i="18"/>
  <c r="MV97" i="18" s="1"/>
  <c r="GA97" i="18"/>
  <c r="Q88" i="18"/>
  <c r="ME88" i="18"/>
  <c r="MF88" i="18" s="1"/>
  <c r="MW88" i="18"/>
  <c r="MX88" i="18" s="1"/>
  <c r="AI88" i="18"/>
  <c r="AA90" i="18"/>
  <c r="MO90" i="18"/>
  <c r="MP90" i="18" s="1"/>
  <c r="AY90" i="18"/>
  <c r="MI90" i="18"/>
  <c r="MJ90" i="18" s="1"/>
  <c r="CY92" i="18"/>
  <c r="DV92" i="18"/>
  <c r="DW92" i="18" s="1"/>
  <c r="DV94" i="18"/>
  <c r="DW94" i="18" s="1"/>
  <c r="MM97" i="18"/>
  <c r="MN97" i="18" s="1"/>
  <c r="Y97" i="18"/>
  <c r="IQ84" i="18"/>
  <c r="MU87" i="18"/>
  <c r="MV87" i="18" s="1"/>
  <c r="HH87" i="18"/>
  <c r="HI87" i="18" s="1"/>
  <c r="LU87" i="18"/>
  <c r="AJ88" i="18"/>
  <c r="AK88" i="18" s="1"/>
  <c r="MM88" i="18"/>
  <c r="MN88" i="18" s="1"/>
  <c r="AI89" i="18"/>
  <c r="FU89" i="18"/>
  <c r="HE89" i="18"/>
  <c r="GY91" i="18"/>
  <c r="MO91" i="18"/>
  <c r="MP91" i="18" s="1"/>
  <c r="IL92" i="18"/>
  <c r="IM92" i="18" s="1"/>
  <c r="MQ93" i="18"/>
  <c r="MR93" i="18" s="1"/>
  <c r="MO102" i="18"/>
  <c r="MP102" i="18" s="1"/>
  <c r="LO102" i="18"/>
  <c r="W83" i="18"/>
  <c r="AI83" i="18"/>
  <c r="BY83" i="18"/>
  <c r="CK83" i="18"/>
  <c r="GO83" i="18"/>
  <c r="HA83" i="18"/>
  <c r="IQ83" i="18"/>
  <c r="JC83" i="18"/>
  <c r="JO83" i="18"/>
  <c r="LE83" i="18"/>
  <c r="LQ83" i="18"/>
  <c r="FO84" i="18"/>
  <c r="GA84" i="18"/>
  <c r="HQ84" i="18"/>
  <c r="IC84" i="18"/>
  <c r="KE84" i="18"/>
  <c r="KQ84" i="18"/>
  <c r="MI87" i="18"/>
  <c r="MJ87" i="18" s="1"/>
  <c r="MI88" i="18"/>
  <c r="MJ88" i="18" s="1"/>
  <c r="CR88" i="18"/>
  <c r="CS88" i="18" s="1"/>
  <c r="IL88" i="18"/>
  <c r="IM88" i="18" s="1"/>
  <c r="U89" i="18"/>
  <c r="AO89" i="18"/>
  <c r="MS89" i="18"/>
  <c r="MT89" i="18" s="1"/>
  <c r="DO89" i="18"/>
  <c r="IG89" i="18"/>
  <c r="JA89" i="18"/>
  <c r="JW89" i="18"/>
  <c r="KQ89" i="18"/>
  <c r="MW92" i="18"/>
  <c r="MX92" i="18" s="1"/>
  <c r="Y93" i="18"/>
  <c r="AJ93" i="18"/>
  <c r="AK93" i="18" s="1"/>
  <c r="MM93" i="18"/>
  <c r="MN93" i="18" s="1"/>
  <c r="ME93" i="18"/>
  <c r="MF93" i="18" s="1"/>
  <c r="FG102" i="18"/>
  <c r="GD102" i="18"/>
  <c r="GE102" i="18" s="1"/>
  <c r="U88" i="18"/>
  <c r="HH88" i="18"/>
  <c r="HI88" i="18" s="1"/>
  <c r="MO88" i="18"/>
  <c r="MP88" i="18" s="1"/>
  <c r="MK89" i="18"/>
  <c r="ML89" i="18" s="1"/>
  <c r="MA89" i="18"/>
  <c r="AQ89" i="18"/>
  <c r="BI89" i="18"/>
  <c r="CY89" i="18"/>
  <c r="DQ89" i="18"/>
  <c r="II89" i="18"/>
  <c r="JY89" i="18"/>
  <c r="KS90" i="18"/>
  <c r="KG90" i="18"/>
  <c r="JU90" i="18"/>
  <c r="LA90" i="18" s="1"/>
  <c r="IE90" i="18"/>
  <c r="HS90" i="18"/>
  <c r="LS90" i="18"/>
  <c r="LG90" i="18"/>
  <c r="JE90" i="18"/>
  <c r="IS90" i="18"/>
  <c r="HC90" i="18"/>
  <c r="GQ90" i="18"/>
  <c r="CM90" i="18"/>
  <c r="CA90" i="18"/>
  <c r="LQ90" i="18"/>
  <c r="LE90" i="18"/>
  <c r="JO90" i="18"/>
  <c r="JC90" i="18"/>
  <c r="IQ90" i="18"/>
  <c r="HA90" i="18"/>
  <c r="GO90" i="18"/>
  <c r="HM90" i="18"/>
  <c r="CW90" i="18"/>
  <c r="LC90" i="18"/>
  <c r="HU90" i="18"/>
  <c r="GI90" i="18"/>
  <c r="W90" i="18"/>
  <c r="GW90" i="18"/>
  <c r="CK90" i="18"/>
  <c r="BW90" i="18"/>
  <c r="BC90" i="18"/>
  <c r="AI90" i="18"/>
  <c r="GC90" i="18"/>
  <c r="DE90" i="18"/>
  <c r="U90" i="18"/>
  <c r="LO90" i="18"/>
  <c r="GU90" i="18"/>
  <c r="CI90" i="18"/>
  <c r="BU90" i="18"/>
  <c r="BA90" i="18"/>
  <c r="AG90" i="18"/>
  <c r="FG90" i="18"/>
  <c r="DC90" i="18"/>
  <c r="S90" i="18"/>
  <c r="JW90" i="18"/>
  <c r="JA90" i="18"/>
  <c r="HG90" i="18"/>
  <c r="DQ90" i="18"/>
  <c r="Q90" i="18"/>
  <c r="LK90" i="18"/>
  <c r="CE90" i="18"/>
  <c r="BM90" i="18"/>
  <c r="AC90" i="18"/>
  <c r="IY90" i="18"/>
  <c r="GM90" i="18"/>
  <c r="FS90" i="18"/>
  <c r="DO90" i="18"/>
  <c r="AE90" i="18"/>
  <c r="GD90" i="18"/>
  <c r="GE90" i="18" s="1"/>
  <c r="DV91" i="18"/>
  <c r="DW91" i="18" s="1"/>
  <c r="JP92" i="18"/>
  <c r="JQ92" i="18" s="1"/>
  <c r="KY92" i="18" s="1"/>
  <c r="AU93" i="18"/>
  <c r="HO95" i="18"/>
  <c r="MO96" i="18"/>
  <c r="MP96" i="18" s="1"/>
  <c r="KT97" i="18"/>
  <c r="KU97" i="18" s="1"/>
  <c r="MK88" i="18"/>
  <c r="ML88" i="18" s="1"/>
  <c r="W88" i="18"/>
  <c r="BN88" i="18"/>
  <c r="BO88" i="18" s="1"/>
  <c r="JP88" i="18"/>
  <c r="JQ88" i="18" s="1"/>
  <c r="KY88" i="18" s="1"/>
  <c r="LX88" i="18"/>
  <c r="LY88" i="18" s="1"/>
  <c r="GS89" i="18"/>
  <c r="HO89" i="18"/>
  <c r="JC89" i="18"/>
  <c r="MG92" i="18"/>
  <c r="MH92" i="18" s="1"/>
  <c r="DA96" i="18"/>
  <c r="MC96" i="18"/>
  <c r="MD96" i="18" s="1"/>
  <c r="KI99" i="18"/>
  <c r="KT99" i="18"/>
  <c r="KU99" i="18" s="1"/>
  <c r="AO83" i="18"/>
  <c r="JU83" i="18"/>
  <c r="LA83" i="18" s="1"/>
  <c r="BS86" i="18"/>
  <c r="CC87" i="18"/>
  <c r="CQ87" i="18"/>
  <c r="HS87" i="18"/>
  <c r="LX87" i="18"/>
  <c r="LY87" i="18" s="1"/>
  <c r="MM89" i="18"/>
  <c r="MN89" i="18" s="1"/>
  <c r="CG89" i="18"/>
  <c r="FI89" i="18"/>
  <c r="GA89" i="18"/>
  <c r="HQ89" i="18"/>
  <c r="BI90" i="18"/>
  <c r="CG90" i="18"/>
  <c r="GK90" i="18"/>
  <c r="IG90" i="18"/>
  <c r="JI90" i="18"/>
  <c r="LI90" i="18"/>
  <c r="S92" i="18"/>
  <c r="JP80" i="18"/>
  <c r="JQ80" i="18" s="1"/>
  <c r="KY80" i="18" s="1"/>
  <c r="O83" i="18"/>
  <c r="AA83" i="18"/>
  <c r="BN83" i="18"/>
  <c r="BO83" i="18" s="1"/>
  <c r="CC83" i="18"/>
  <c r="CO83" i="18"/>
  <c r="GD83" i="18"/>
  <c r="GE83" i="18" s="1"/>
  <c r="GS83" i="18"/>
  <c r="HE83" i="18"/>
  <c r="IU83" i="18"/>
  <c r="JG83" i="18"/>
  <c r="KT83" i="18"/>
  <c r="KU83" i="18" s="1"/>
  <c r="LI83" i="18"/>
  <c r="AQ84" i="18"/>
  <c r="BC84" i="18"/>
  <c r="DE84" i="18"/>
  <c r="DQ84" i="18"/>
  <c r="FG84" i="18"/>
  <c r="FS84" i="18"/>
  <c r="HU84" i="18"/>
  <c r="IG84" i="18"/>
  <c r="JW84" i="18"/>
  <c r="KI84" i="18"/>
  <c r="CR86" i="18"/>
  <c r="CS86" i="18" s="1"/>
  <c r="GO86" i="18"/>
  <c r="HA86" i="18"/>
  <c r="IC86" i="18"/>
  <c r="IS86" i="18"/>
  <c r="JE86" i="18"/>
  <c r="KG86" i="18"/>
  <c r="KK87" i="18"/>
  <c r="JY87" i="18"/>
  <c r="II87" i="18"/>
  <c r="HW87" i="18"/>
  <c r="FU87" i="18"/>
  <c r="FI87" i="18"/>
  <c r="DS87" i="18"/>
  <c r="DG87" i="18"/>
  <c r="BE87" i="18"/>
  <c r="AS87" i="18"/>
  <c r="GI87" i="18"/>
  <c r="BS87" i="18"/>
  <c r="JU87" i="18"/>
  <c r="LA87" i="18" s="1"/>
  <c r="BA87" i="18"/>
  <c r="CE87" i="18"/>
  <c r="DK87" i="18"/>
  <c r="FG87" i="18"/>
  <c r="FW87" i="18"/>
  <c r="GO87" i="18"/>
  <c r="HU87" i="18"/>
  <c r="IK87" i="18"/>
  <c r="JA87" i="18"/>
  <c r="KG87" i="18"/>
  <c r="MO89" i="18"/>
  <c r="MP89" i="18" s="1"/>
  <c r="BM89" i="18"/>
  <c r="DC89" i="18"/>
  <c r="GW89" i="18"/>
  <c r="AO90" i="18"/>
  <c r="BK90" i="18"/>
  <c r="MU90" i="18"/>
  <c r="MV90" i="18" s="1"/>
  <c r="DK90" i="18"/>
  <c r="KI90" i="18"/>
  <c r="MQ91" i="18"/>
  <c r="MR91" i="18" s="1"/>
  <c r="CG91" i="18"/>
  <c r="MM91" i="18"/>
  <c r="MN91" i="18" s="1"/>
  <c r="MI92" i="18"/>
  <c r="MJ92" i="18" s="1"/>
  <c r="MU95" i="18"/>
  <c r="MV95" i="18" s="1"/>
  <c r="DV95" i="18"/>
  <c r="DW95" i="18" s="1"/>
  <c r="CY95" i="18"/>
  <c r="MS97" i="18"/>
  <c r="MT97" i="18" s="1"/>
  <c r="CM97" i="18"/>
  <c r="BS84" i="18"/>
  <c r="JU86" i="18"/>
  <c r="LA86" i="18" s="1"/>
  <c r="KI86" i="18"/>
  <c r="AO87" i="18"/>
  <c r="CW87" i="18"/>
  <c r="KI87" i="18"/>
  <c r="ME87" i="18"/>
  <c r="MF87" i="18" s="1"/>
  <c r="AA89" i="18"/>
  <c r="AW89" i="18"/>
  <c r="BN89" i="18"/>
  <c r="BO89" i="18" s="1"/>
  <c r="CI89" i="18"/>
  <c r="DE89" i="18"/>
  <c r="GC89" i="18"/>
  <c r="HU89" i="18"/>
  <c r="IQ89" i="18"/>
  <c r="JG89" i="18"/>
  <c r="KE89" i="18"/>
  <c r="LU89" i="18"/>
  <c r="BN90" i="18"/>
  <c r="BO90" i="18" s="1"/>
  <c r="DM90" i="18"/>
  <c r="JK90" i="18"/>
  <c r="KK90" i="18"/>
  <c r="MK91" i="18"/>
  <c r="ML91" i="18" s="1"/>
  <c r="HO94" i="18"/>
  <c r="MA94" i="18"/>
  <c r="IL94" i="18"/>
  <c r="IM94" i="18" s="1"/>
  <c r="FG96" i="18"/>
  <c r="GD96" i="18"/>
  <c r="GE96" i="18" s="1"/>
  <c r="ME99" i="18"/>
  <c r="MF99" i="18" s="1"/>
  <c r="CR87" i="18"/>
  <c r="CS87" i="18" s="1"/>
  <c r="AC88" i="18"/>
  <c r="MQ88" i="18"/>
  <c r="MR88" i="18" s="1"/>
  <c r="KM89" i="18"/>
  <c r="KA89" i="18"/>
  <c r="IK89" i="18"/>
  <c r="HY89" i="18"/>
  <c r="HM89" i="18"/>
  <c r="FW89" i="18"/>
  <c r="FK89" i="18"/>
  <c r="DU89" i="18"/>
  <c r="DI89" i="18"/>
  <c r="CW89" i="18"/>
  <c r="BG89" i="18"/>
  <c r="AU89" i="18"/>
  <c r="LK89" i="18"/>
  <c r="JI89" i="18"/>
  <c r="IW89" i="18"/>
  <c r="HG89" i="18"/>
  <c r="GU89" i="18"/>
  <c r="GI89" i="18"/>
  <c r="CQ89" i="18"/>
  <c r="CE89" i="18"/>
  <c r="BS89" i="18"/>
  <c r="AC89" i="18"/>
  <c r="Q89" i="18"/>
  <c r="LW89" i="18"/>
  <c r="KS89" i="18"/>
  <c r="KG89" i="18"/>
  <c r="JU89" i="18"/>
  <c r="LA89" i="18" s="1"/>
  <c r="IE89" i="18"/>
  <c r="HS89" i="18"/>
  <c r="LG89" i="18"/>
  <c r="JE89" i="18"/>
  <c r="IS89" i="18"/>
  <c r="HC89" i="18"/>
  <c r="GQ89" i="18"/>
  <c r="CM89" i="18"/>
  <c r="CA89" i="18"/>
  <c r="Y89" i="18"/>
  <c r="M89" i="18"/>
  <c r="AY89" i="18"/>
  <c r="BU89" i="18"/>
  <c r="DG89" i="18"/>
  <c r="FM89" i="18"/>
  <c r="GD89" i="18"/>
  <c r="GE89" i="18" s="1"/>
  <c r="GY89" i="18"/>
  <c r="HW89" i="18"/>
  <c r="JP89" i="18"/>
  <c r="JQ89" i="18" s="1"/>
  <c r="KY89" i="18" s="1"/>
  <c r="CR92" i="18"/>
  <c r="CS92" i="18" s="1"/>
  <c r="HH92" i="18"/>
  <c r="HI92" i="18" s="1"/>
  <c r="GK92" i="18"/>
  <c r="MU93" i="18"/>
  <c r="MV93" i="18" s="1"/>
  <c r="AG93" i="18"/>
  <c r="O95" i="18"/>
  <c r="AJ95" i="18"/>
  <c r="AK95" i="18" s="1"/>
  <c r="MC95" i="18"/>
  <c r="MD95" i="18" s="1"/>
  <c r="MW95" i="18"/>
  <c r="MX95" i="18" s="1"/>
  <c r="AI95" i="18"/>
  <c r="IQ88" i="18"/>
  <c r="O90" i="18"/>
  <c r="AJ90" i="18"/>
  <c r="AK90" i="18" s="1"/>
  <c r="MC90" i="18"/>
  <c r="MD90" i="18" s="1"/>
  <c r="MQ90" i="18"/>
  <c r="MR90" i="18" s="1"/>
  <c r="AS90" i="18"/>
  <c r="HE90" i="18"/>
  <c r="IC90" i="18"/>
  <c r="KO90" i="18"/>
  <c r="MS91" i="18"/>
  <c r="MT91" i="18" s="1"/>
  <c r="AE91" i="18"/>
  <c r="BN92" i="18"/>
  <c r="BO92" i="18" s="1"/>
  <c r="DV93" i="18"/>
  <c r="DW93" i="18" s="1"/>
  <c r="MI94" i="18"/>
  <c r="MJ94" i="18" s="1"/>
  <c r="ME95" i="18"/>
  <c r="MF95" i="18" s="1"/>
  <c r="BY95" i="18"/>
  <c r="GD95" i="18"/>
  <c r="GE95" i="18" s="1"/>
  <c r="AA96" i="18"/>
  <c r="BA96" i="18"/>
  <c r="DQ96" i="18"/>
  <c r="FK96" i="18"/>
  <c r="KO96" i="18"/>
  <c r="AC97" i="18"/>
  <c r="MQ97" i="18"/>
  <c r="MR97" i="18" s="1"/>
  <c r="CQ97" i="18"/>
  <c r="IA97" i="18"/>
  <c r="JA97" i="18"/>
  <c r="LS97" i="18"/>
  <c r="MG99" i="18"/>
  <c r="MH99" i="18" s="1"/>
  <c r="S99" i="18"/>
  <c r="GU107" i="18"/>
  <c r="HH107" i="18"/>
  <c r="HI107" i="18" s="1"/>
  <c r="DA88" i="18"/>
  <c r="DM88" i="18"/>
  <c r="FO88" i="18"/>
  <c r="GA88" i="18"/>
  <c r="HQ88" i="18"/>
  <c r="IC88" i="18"/>
  <c r="KE88" i="18"/>
  <c r="KQ88" i="18"/>
  <c r="ME90" i="18"/>
  <c r="MF90" i="18" s="1"/>
  <c r="AU90" i="18"/>
  <c r="CY90" i="18"/>
  <c r="FU90" i="18"/>
  <c r="KT90" i="18"/>
  <c r="KU90" i="18" s="1"/>
  <c r="KQ90" i="18"/>
  <c r="MU91" i="18"/>
  <c r="MV91" i="18" s="1"/>
  <c r="AG91" i="18"/>
  <c r="MA95" i="18"/>
  <c r="MQ96" i="18"/>
  <c r="MR96" i="18" s="1"/>
  <c r="BC96" i="18"/>
  <c r="DV96" i="18"/>
  <c r="DW96" i="18" s="1"/>
  <c r="DS96" i="18"/>
  <c r="HH96" i="18"/>
  <c r="HI96" i="18" s="1"/>
  <c r="JW96" i="18"/>
  <c r="KQ96" i="18"/>
  <c r="LO96" i="18"/>
  <c r="AE97" i="18"/>
  <c r="CY97" i="18"/>
  <c r="FK97" i="18"/>
  <c r="IC97" i="18"/>
  <c r="KA97" i="18"/>
  <c r="LU97" i="18"/>
  <c r="AS101" i="18"/>
  <c r="BN101" i="18"/>
  <c r="BO101" i="18" s="1"/>
  <c r="MS102" i="18"/>
  <c r="MT102" i="18" s="1"/>
  <c r="AE102" i="18"/>
  <c r="BC102" i="18"/>
  <c r="BN102" i="18"/>
  <c r="BO102" i="18" s="1"/>
  <c r="MS90" i="18"/>
  <c r="MT90" i="18" s="1"/>
  <c r="AW90" i="18"/>
  <c r="DA90" i="18"/>
  <c r="FW90" i="18"/>
  <c r="MK94" i="18"/>
  <c r="ML94" i="18" s="1"/>
  <c r="JP94" i="18"/>
  <c r="JQ94" i="18" s="1"/>
  <c r="KY94" i="18" s="1"/>
  <c r="MI95" i="18"/>
  <c r="MJ95" i="18" s="1"/>
  <c r="CI96" i="18"/>
  <c r="BW96" i="18"/>
  <c r="AG96" i="18"/>
  <c r="U96" i="18"/>
  <c r="KM96" i="18"/>
  <c r="KA96" i="18"/>
  <c r="IK96" i="18"/>
  <c r="HM96" i="18"/>
  <c r="CW96" i="18"/>
  <c r="LM96" i="18"/>
  <c r="JK96" i="18"/>
  <c r="IY96" i="18"/>
  <c r="GW96" i="18"/>
  <c r="GK96" i="18"/>
  <c r="CG96" i="18"/>
  <c r="BU96" i="18"/>
  <c r="AE96" i="18"/>
  <c r="S96" i="18"/>
  <c r="LW96" i="18"/>
  <c r="LK96" i="18"/>
  <c r="JI96" i="18"/>
  <c r="IW96" i="18"/>
  <c r="HG96" i="18"/>
  <c r="GU96" i="18"/>
  <c r="GI96" i="18"/>
  <c r="CQ96" i="18"/>
  <c r="CE96" i="18"/>
  <c r="BS96" i="18"/>
  <c r="AC96" i="18"/>
  <c r="Q96" i="18"/>
  <c r="JU96" i="18"/>
  <c r="LA96" i="18" s="1"/>
  <c r="AO96" i="18"/>
  <c r="LS96" i="18"/>
  <c r="LG96" i="18"/>
  <c r="JE96" i="18"/>
  <c r="IS96" i="18"/>
  <c r="HC96" i="18"/>
  <c r="GQ96" i="18"/>
  <c r="CM96" i="18"/>
  <c r="CA96" i="18"/>
  <c r="Y96" i="18"/>
  <c r="M96" i="18"/>
  <c r="BE96" i="18"/>
  <c r="CY96" i="18"/>
  <c r="DU96" i="18"/>
  <c r="FM96" i="18"/>
  <c r="GM96" i="18"/>
  <c r="IC96" i="18"/>
  <c r="JA96" i="18"/>
  <c r="JY96" i="18"/>
  <c r="KS96" i="18"/>
  <c r="KO97" i="18"/>
  <c r="KC97" i="18"/>
  <c r="FY97" i="18"/>
  <c r="CI97" i="18"/>
  <c r="BW97" i="18"/>
  <c r="AG97" i="18"/>
  <c r="HM97" i="18"/>
  <c r="CW97" i="18"/>
  <c r="BG97" i="18"/>
  <c r="AU97" i="18"/>
  <c r="KK97" i="18"/>
  <c r="JY97" i="18"/>
  <c r="II97" i="18"/>
  <c r="HW97" i="18"/>
  <c r="FU97" i="18"/>
  <c r="FI97" i="18"/>
  <c r="DS97" i="18"/>
  <c r="DG97" i="18"/>
  <c r="BE97" i="18"/>
  <c r="AS97" i="18"/>
  <c r="GI97" i="18"/>
  <c r="BS97" i="18"/>
  <c r="KS97" i="18"/>
  <c r="KG97" i="18"/>
  <c r="JU97" i="18"/>
  <c r="LA97" i="18" s="1"/>
  <c r="IE97" i="18"/>
  <c r="HS97" i="18"/>
  <c r="GC97" i="18"/>
  <c r="FQ97" i="18"/>
  <c r="DO97" i="18"/>
  <c r="DC97" i="18"/>
  <c r="BM97" i="18"/>
  <c r="BA97" i="18"/>
  <c r="AO97" i="18"/>
  <c r="M97" i="18"/>
  <c r="BY97" i="18"/>
  <c r="DQ97" i="18"/>
  <c r="FM97" i="18"/>
  <c r="HC97" i="18"/>
  <c r="JC97" i="18"/>
  <c r="LC97" i="18"/>
  <c r="LW97" i="18"/>
  <c r="JP99" i="18"/>
  <c r="JQ99" i="18" s="1"/>
  <c r="KY99" i="18" s="1"/>
  <c r="IW99" i="18"/>
  <c r="CR90" i="18"/>
  <c r="CS90" i="18" s="1"/>
  <c r="DU90" i="18"/>
  <c r="GA90" i="18"/>
  <c r="HO90" i="18"/>
  <c r="II90" i="18"/>
  <c r="KA90" i="18"/>
  <c r="MG91" i="18"/>
  <c r="MH91" i="18" s="1"/>
  <c r="AJ91" i="18"/>
  <c r="AK91" i="18" s="1"/>
  <c r="S91" i="18"/>
  <c r="HH91" i="18"/>
  <c r="HI91" i="18" s="1"/>
  <c r="MW91" i="18"/>
  <c r="MX91" i="18" s="1"/>
  <c r="MO92" i="18"/>
  <c r="MP92" i="18" s="1"/>
  <c r="CK92" i="18"/>
  <c r="DI92" i="18"/>
  <c r="GO92" i="18"/>
  <c r="HG92" i="18"/>
  <c r="IE92" i="18"/>
  <c r="KO92" i="18"/>
  <c r="MW93" i="18"/>
  <c r="MX93" i="18" s="1"/>
  <c r="AI93" i="18"/>
  <c r="HH93" i="18"/>
  <c r="HI93" i="18" s="1"/>
  <c r="MM94" i="18"/>
  <c r="MN94" i="18" s="1"/>
  <c r="MK95" i="18"/>
  <c r="ML95" i="18" s="1"/>
  <c r="W95" i="18"/>
  <c r="O96" i="18"/>
  <c r="MW96" i="18"/>
  <c r="MX96" i="18" s="1"/>
  <c r="DC96" i="18"/>
  <c r="FQ96" i="18"/>
  <c r="IG96" i="18"/>
  <c r="LX96" i="18"/>
  <c r="LY96" i="18" s="1"/>
  <c r="MC97" i="18"/>
  <c r="MD97" i="18" s="1"/>
  <c r="AI97" i="18"/>
  <c r="CC97" i="18"/>
  <c r="DU97" i="18"/>
  <c r="GM97" i="18"/>
  <c r="HG97" i="18"/>
  <c r="IG97" i="18"/>
  <c r="JG97" i="18"/>
  <c r="LE97" i="18"/>
  <c r="DE101" i="18"/>
  <c r="MG101" i="18"/>
  <c r="MH101" i="18" s="1"/>
  <c r="DE88" i="18"/>
  <c r="DQ88" i="18"/>
  <c r="FG88" i="18"/>
  <c r="FS88" i="18"/>
  <c r="HU88" i="18"/>
  <c r="IG88" i="18"/>
  <c r="JW88" i="18"/>
  <c r="KI88" i="18"/>
  <c r="DV90" i="18"/>
  <c r="DW90" i="18" s="1"/>
  <c r="FI90" i="18"/>
  <c r="HQ90" i="18"/>
  <c r="IK90" i="18"/>
  <c r="JG90" i="18"/>
  <c r="KC90" i="18"/>
  <c r="LX90" i="18"/>
  <c r="LY90" i="18" s="1"/>
  <c r="MI91" i="18"/>
  <c r="MJ91" i="18" s="1"/>
  <c r="U91" i="18"/>
  <c r="KT92" i="18"/>
  <c r="KU92" i="18" s="1"/>
  <c r="MK92" i="18"/>
  <c r="ML92" i="18" s="1"/>
  <c r="MG93" i="18"/>
  <c r="MH93" i="18" s="1"/>
  <c r="MO94" i="18"/>
  <c r="MP94" i="18" s="1"/>
  <c r="MM95" i="18"/>
  <c r="MN95" i="18" s="1"/>
  <c r="ME96" i="18"/>
  <c r="MF96" i="18" s="1"/>
  <c r="AI96" i="18"/>
  <c r="BI96" i="18"/>
  <c r="DE96" i="18"/>
  <c r="FS96" i="18"/>
  <c r="IL96" i="18"/>
  <c r="IM96" i="18" s="1"/>
  <c r="II96" i="18"/>
  <c r="KC96" i="18"/>
  <c r="LC96" i="18"/>
  <c r="Q97" i="18"/>
  <c r="ME97" i="18"/>
  <c r="MF97" i="18" s="1"/>
  <c r="AJ97" i="18"/>
  <c r="AK97" i="18" s="1"/>
  <c r="CE97" i="18"/>
  <c r="HO97" i="18"/>
  <c r="JI97" i="18"/>
  <c r="LG97" i="18"/>
  <c r="MA98" i="18"/>
  <c r="LW104" i="18"/>
  <c r="LK104" i="18"/>
  <c r="LU104" i="18"/>
  <c r="LI104" i="18"/>
  <c r="JG104" i="18"/>
  <c r="IU104" i="18"/>
  <c r="HE104" i="18"/>
  <c r="GS104" i="18"/>
  <c r="CO104" i="18"/>
  <c r="CC104" i="18"/>
  <c r="AA104" i="18"/>
  <c r="O104" i="18"/>
  <c r="KS104" i="18"/>
  <c r="KG104" i="18"/>
  <c r="JU104" i="18"/>
  <c r="LA104" i="18" s="1"/>
  <c r="IE104" i="18"/>
  <c r="HS104" i="18"/>
  <c r="GC104" i="18"/>
  <c r="FQ104" i="18"/>
  <c r="DO104" i="18"/>
  <c r="DC104" i="18"/>
  <c r="BM104" i="18"/>
  <c r="BA104" i="18"/>
  <c r="AO104" i="18"/>
  <c r="M104" i="18"/>
  <c r="KM104" i="18"/>
  <c r="KA104" i="18"/>
  <c r="IK104" i="18"/>
  <c r="HY104" i="18"/>
  <c r="JO104" i="18"/>
  <c r="HM104" i="18"/>
  <c r="FW104" i="18"/>
  <c r="DU104" i="18"/>
  <c r="BE104" i="18"/>
  <c r="AI104" i="18"/>
  <c r="U104" i="18"/>
  <c r="KK104" i="18"/>
  <c r="JM104" i="18"/>
  <c r="IW104" i="18"/>
  <c r="HG104" i="18"/>
  <c r="LE104" i="18"/>
  <c r="JI104" i="18"/>
  <c r="Q104" i="18"/>
  <c r="IQ104" i="18"/>
  <c r="HA104" i="18"/>
  <c r="CG104" i="18"/>
  <c r="BS104" i="18"/>
  <c r="AW104" i="18"/>
  <c r="LC104" i="18"/>
  <c r="CW104" i="18"/>
  <c r="AC104" i="18"/>
  <c r="LQ104" i="18"/>
  <c r="JC104" i="18"/>
  <c r="FK104" i="18"/>
  <c r="CQ104" i="18"/>
  <c r="GU104" i="18"/>
  <c r="W104" i="18"/>
  <c r="CS104" i="18"/>
  <c r="AU104" i="18"/>
  <c r="FM104" i="18"/>
  <c r="DK104" i="18"/>
  <c r="LO104" i="18"/>
  <c r="GI104" i="18"/>
  <c r="BG104" i="18"/>
  <c r="GY104" i="18"/>
  <c r="CE104" i="18"/>
  <c r="FY104" i="18"/>
  <c r="IU105" i="18"/>
  <c r="MC105" i="18"/>
  <c r="MD105" i="18" s="1"/>
  <c r="DU108" i="18"/>
  <c r="MW108" i="18"/>
  <c r="MX108" i="18" s="1"/>
  <c r="BS88" i="18"/>
  <c r="GI88" i="18"/>
  <c r="CR89" i="18"/>
  <c r="CS89" i="18" s="1"/>
  <c r="HH89" i="18"/>
  <c r="HI89" i="18" s="1"/>
  <c r="LM89" i="18"/>
  <c r="MW90" i="18"/>
  <c r="MX90" i="18" s="1"/>
  <c r="FK90" i="18"/>
  <c r="IL90" i="18"/>
  <c r="IM90" i="18" s="1"/>
  <c r="KE90" i="18"/>
  <c r="IL91" i="18"/>
  <c r="IM91" i="18" s="1"/>
  <c r="GI92" i="18"/>
  <c r="BS92" i="18"/>
  <c r="KI92" i="18"/>
  <c r="JW92" i="18"/>
  <c r="IG92" i="18"/>
  <c r="HU92" i="18"/>
  <c r="FS92" i="18"/>
  <c r="FG92" i="18"/>
  <c r="DQ92" i="18"/>
  <c r="DE92" i="18"/>
  <c r="BC92" i="18"/>
  <c r="AQ92" i="18"/>
  <c r="LU92" i="18"/>
  <c r="LI92" i="18"/>
  <c r="JG92" i="18"/>
  <c r="IU92" i="18"/>
  <c r="HE92" i="18"/>
  <c r="GS92" i="18"/>
  <c r="CO92" i="18"/>
  <c r="CC92" i="18"/>
  <c r="AA92" i="18"/>
  <c r="O92" i="18"/>
  <c r="JU92" i="18"/>
  <c r="LA92" i="18" s="1"/>
  <c r="AO92" i="18"/>
  <c r="LS92" i="18"/>
  <c r="LG92" i="18"/>
  <c r="JE92" i="18"/>
  <c r="IS92" i="18"/>
  <c r="HC92" i="18"/>
  <c r="GQ92" i="18"/>
  <c r="CM92" i="18"/>
  <c r="CA92" i="18"/>
  <c r="Y92" i="18"/>
  <c r="M92" i="18"/>
  <c r="HM92" i="18"/>
  <c r="CW92" i="18"/>
  <c r="MS92" i="18"/>
  <c r="MT92" i="18" s="1"/>
  <c r="BA92" i="18"/>
  <c r="DM92" i="18"/>
  <c r="FU92" i="18"/>
  <c r="KS92" i="18"/>
  <c r="CR93" i="18"/>
  <c r="CS93" i="18" s="1"/>
  <c r="MG96" i="18"/>
  <c r="MH96" i="18" s="1"/>
  <c r="MA96" i="18"/>
  <c r="AQ96" i="18"/>
  <c r="BK96" i="18"/>
  <c r="DG96" i="18"/>
  <c r="FU96" i="18"/>
  <c r="HO96" i="18"/>
  <c r="KE96" i="18"/>
  <c r="LU96" i="18"/>
  <c r="S97" i="18"/>
  <c r="BI97" i="18"/>
  <c r="CG97" i="18"/>
  <c r="DE97" i="18"/>
  <c r="GO97" i="18"/>
  <c r="HQ97" i="18"/>
  <c r="IK97" i="18"/>
  <c r="JK97" i="18"/>
  <c r="KI97" i="18"/>
  <c r="LI97" i="18"/>
  <c r="MM98" i="18"/>
  <c r="MN98" i="18" s="1"/>
  <c r="Y98" i="18"/>
  <c r="MQ99" i="18"/>
  <c r="MR99" i="18" s="1"/>
  <c r="HH99" i="18"/>
  <c r="HI99" i="18" s="1"/>
  <c r="II104" i="18"/>
  <c r="S89" i="18"/>
  <c r="LO89" i="18"/>
  <c r="MK90" i="18"/>
  <c r="ML90" i="18" s="1"/>
  <c r="DG90" i="18"/>
  <c r="FM90" i="18"/>
  <c r="JP90" i="18"/>
  <c r="JQ90" i="18" s="1"/>
  <c r="KY90" i="18" s="1"/>
  <c r="AJ92" i="18"/>
  <c r="AK92" i="18" s="1"/>
  <c r="AE92" i="18"/>
  <c r="BY92" i="18"/>
  <c r="CQ92" i="18"/>
  <c r="DO92" i="18"/>
  <c r="FW92" i="18"/>
  <c r="GU92" i="18"/>
  <c r="HO92" i="18"/>
  <c r="II92" i="18"/>
  <c r="JC92" i="18"/>
  <c r="JY92" i="18"/>
  <c r="LO92" i="18"/>
  <c r="MI93" i="18"/>
  <c r="MJ93" i="18" s="1"/>
  <c r="U93" i="18"/>
  <c r="BN93" i="18"/>
  <c r="BO93" i="18" s="1"/>
  <c r="LX93" i="18"/>
  <c r="LY93" i="18" s="1"/>
  <c r="II94" i="18"/>
  <c r="HW94" i="18"/>
  <c r="FU94" i="18"/>
  <c r="FI94" i="18"/>
  <c r="DS94" i="18"/>
  <c r="DG94" i="18"/>
  <c r="BE94" i="18"/>
  <c r="AS94" i="18"/>
  <c r="LW94" i="18"/>
  <c r="LK94" i="18"/>
  <c r="JI94" i="18"/>
  <c r="IW94" i="18"/>
  <c r="HG94" i="18"/>
  <c r="GU94" i="18"/>
  <c r="GI94" i="18"/>
  <c r="CQ94" i="18"/>
  <c r="CE94" i="18"/>
  <c r="BS94" i="18"/>
  <c r="AC94" i="18"/>
  <c r="Q94" i="18"/>
  <c r="LU94" i="18"/>
  <c r="LI94" i="18"/>
  <c r="JG94" i="18"/>
  <c r="IU94" i="18"/>
  <c r="HE94" i="18"/>
  <c r="GS94" i="18"/>
  <c r="CO94" i="18"/>
  <c r="CC94" i="18"/>
  <c r="AA94" i="18"/>
  <c r="O94" i="18"/>
  <c r="JU94" i="18"/>
  <c r="LA94" i="18" s="1"/>
  <c r="AO94" i="18"/>
  <c r="LQ94" i="18"/>
  <c r="LE94" i="18"/>
  <c r="JO94" i="18"/>
  <c r="JC94" i="18"/>
  <c r="IQ94" i="18"/>
  <c r="HA94" i="18"/>
  <c r="GO94" i="18"/>
  <c r="CK94" i="18"/>
  <c r="BY94" i="18"/>
  <c r="AI94" i="18"/>
  <c r="W94" i="18"/>
  <c r="AE94" i="18"/>
  <c r="BC94" i="18"/>
  <c r="CA94" i="18"/>
  <c r="CY94" i="18"/>
  <c r="FK94" i="18"/>
  <c r="HC94" i="18"/>
  <c r="IC94" i="18"/>
  <c r="JW94" i="18"/>
  <c r="KQ94" i="18"/>
  <c r="MQ95" i="18"/>
  <c r="MR95" i="18" s="1"/>
  <c r="CK95" i="18"/>
  <c r="MI96" i="18"/>
  <c r="MJ96" i="18" s="1"/>
  <c r="AS96" i="18"/>
  <c r="BM96" i="18"/>
  <c r="DI96" i="18"/>
  <c r="FW96" i="18"/>
  <c r="GS96" i="18"/>
  <c r="HQ96" i="18"/>
  <c r="JG96" i="18"/>
  <c r="KG96" i="18"/>
  <c r="U97" i="18"/>
  <c r="AQ97" i="18"/>
  <c r="FS97" i="18"/>
  <c r="GQ97" i="18"/>
  <c r="IQ97" i="18"/>
  <c r="JM97" i="18"/>
  <c r="LK97" i="18"/>
  <c r="MO98" i="18"/>
  <c r="MP98" i="18" s="1"/>
  <c r="MS99" i="18"/>
  <c r="MT99" i="18" s="1"/>
  <c r="AE99" i="18"/>
  <c r="S88" i="18"/>
  <c r="AE88" i="18"/>
  <c r="BU88" i="18"/>
  <c r="CG88" i="18"/>
  <c r="GK88" i="18"/>
  <c r="GW88" i="18"/>
  <c r="IY88" i="18"/>
  <c r="JK88" i="18"/>
  <c r="LQ89" i="18"/>
  <c r="BE90" i="18"/>
  <c r="DI90" i="18"/>
  <c r="FO90" i="18"/>
  <c r="IU90" i="18"/>
  <c r="LU90" i="18"/>
  <c r="LX91" i="18"/>
  <c r="LY91" i="18" s="1"/>
  <c r="Q92" i="18"/>
  <c r="MU92" i="18"/>
  <c r="MV92" i="18" s="1"/>
  <c r="FY92" i="18"/>
  <c r="HQ92" i="18"/>
  <c r="IK92" i="18"/>
  <c r="KA92" i="18"/>
  <c r="MK93" i="18"/>
  <c r="ML93" i="18" s="1"/>
  <c r="W93" i="18"/>
  <c r="MU94" i="18"/>
  <c r="MV94" i="18" s="1"/>
  <c r="MK96" i="18"/>
  <c r="ML96" i="18" s="1"/>
  <c r="AJ96" i="18"/>
  <c r="AK96" i="18" s="1"/>
  <c r="AU96" i="18"/>
  <c r="BN96" i="18"/>
  <c r="BO96" i="18" s="1"/>
  <c r="CK96" i="18"/>
  <c r="HS96" i="18"/>
  <c r="IQ96" i="18"/>
  <c r="KI96" i="18"/>
  <c r="MK97" i="18"/>
  <c r="ML97" i="18" s="1"/>
  <c r="BK97" i="18"/>
  <c r="DI97" i="18"/>
  <c r="GS97" i="18"/>
  <c r="IS97" i="18"/>
  <c r="KM97" i="18"/>
  <c r="LM97" i="18"/>
  <c r="CR98" i="18"/>
  <c r="CS98" i="18" s="1"/>
  <c r="JP97" i="18"/>
  <c r="JQ97" i="18" s="1"/>
  <c r="KY97" i="18" s="1"/>
  <c r="MW100" i="18"/>
  <c r="MX100" i="18" s="1"/>
  <c r="MO101" i="18"/>
  <c r="MP101" i="18" s="1"/>
  <c r="MM102" i="18"/>
  <c r="MN102" i="18" s="1"/>
  <c r="LX103" i="18"/>
  <c r="LY103" i="18" s="1"/>
  <c r="IA104" i="18"/>
  <c r="MA92" i="18"/>
  <c r="MC94" i="18"/>
  <c r="MD94" i="18" s="1"/>
  <c r="IQ95" i="18"/>
  <c r="BA98" i="18"/>
  <c r="BM98" i="18"/>
  <c r="O99" i="18"/>
  <c r="AA99" i="18"/>
  <c r="MA99" i="18"/>
  <c r="BN99" i="18"/>
  <c r="BO99" i="18" s="1"/>
  <c r="LX99" i="18"/>
  <c r="LY99" i="18" s="1"/>
  <c r="AJ100" i="18"/>
  <c r="AK100" i="18" s="1"/>
  <c r="MC100" i="18"/>
  <c r="MD100" i="18" s="1"/>
  <c r="O100" i="18"/>
  <c r="AA101" i="18"/>
  <c r="MQ103" i="18"/>
  <c r="MR103" i="18" s="1"/>
  <c r="AC103" i="18"/>
  <c r="DV103" i="18"/>
  <c r="DW103" i="18" s="1"/>
  <c r="DG103" i="18"/>
  <c r="JE104" i="18"/>
  <c r="AA109" i="18"/>
  <c r="MO109" i="18"/>
  <c r="MP109" i="18" s="1"/>
  <c r="JP95" i="18"/>
  <c r="JQ95" i="18" s="1"/>
  <c r="KY95" i="18" s="1"/>
  <c r="BN98" i="18"/>
  <c r="BO98" i="18" s="1"/>
  <c r="GD98" i="18"/>
  <c r="GE98" i="18" s="1"/>
  <c r="KT98" i="18"/>
  <c r="KU98" i="18" s="1"/>
  <c r="ME100" i="18"/>
  <c r="MF100" i="18" s="1"/>
  <c r="Q100" i="18"/>
  <c r="AJ101" i="18"/>
  <c r="AK101" i="18" s="1"/>
  <c r="MC101" i="18"/>
  <c r="MD101" i="18" s="1"/>
  <c r="MA103" i="18"/>
  <c r="DG104" i="18"/>
  <c r="FI104" i="18"/>
  <c r="MA90" i="18"/>
  <c r="MC92" i="18"/>
  <c r="MD92" i="18" s="1"/>
  <c r="IQ93" i="18"/>
  <c r="M95" i="18"/>
  <c r="Y95" i="18"/>
  <c r="O97" i="18"/>
  <c r="AA97" i="18"/>
  <c r="BN97" i="18"/>
  <c r="BO97" i="18" s="1"/>
  <c r="AQ98" i="18"/>
  <c r="MI98" i="18"/>
  <c r="MJ98" i="18" s="1"/>
  <c r="MU98" i="18"/>
  <c r="MV98" i="18" s="1"/>
  <c r="Q99" i="18"/>
  <c r="AC99" i="18"/>
  <c r="O101" i="18"/>
  <c r="CI104" i="18"/>
  <c r="DI104" i="18"/>
  <c r="IG104" i="18"/>
  <c r="IQ91" i="18"/>
  <c r="ME92" i="18"/>
  <c r="MF92" i="18" s="1"/>
  <c r="MQ92" i="18"/>
  <c r="MR92" i="18" s="1"/>
  <c r="M93" i="18"/>
  <c r="MG94" i="18"/>
  <c r="MH94" i="18" s="1"/>
  <c r="MS94" i="18"/>
  <c r="MT94" i="18" s="1"/>
  <c r="BN95" i="18"/>
  <c r="BO95" i="18" s="1"/>
  <c r="MK100" i="18"/>
  <c r="ML100" i="18" s="1"/>
  <c r="CR102" i="18"/>
  <c r="CS102" i="18" s="1"/>
  <c r="BK104" i="18"/>
  <c r="GM104" i="18"/>
  <c r="KQ104" i="18"/>
  <c r="LS104" i="18"/>
  <c r="JP91" i="18"/>
  <c r="JQ91" i="18" s="1"/>
  <c r="KY91" i="18" s="1"/>
  <c r="BN94" i="18"/>
  <c r="BO94" i="18" s="1"/>
  <c r="GD94" i="18"/>
  <c r="GE94" i="18" s="1"/>
  <c r="KT94" i="18"/>
  <c r="KU94" i="18" s="1"/>
  <c r="JW95" i="18"/>
  <c r="KI95" i="18"/>
  <c r="CR97" i="18"/>
  <c r="CS97" i="18" s="1"/>
  <c r="HH97" i="18"/>
  <c r="HI97" i="18" s="1"/>
  <c r="LX97" i="18"/>
  <c r="LY97" i="18" s="1"/>
  <c r="MI99" i="18"/>
  <c r="MJ99" i="18" s="1"/>
  <c r="MU99" i="18"/>
  <c r="MV99" i="18" s="1"/>
  <c r="JP100" i="18"/>
  <c r="JQ100" i="18" s="1"/>
  <c r="KY100" i="18" s="1"/>
  <c r="MU101" i="18"/>
  <c r="MV101" i="18" s="1"/>
  <c r="AJ102" i="18"/>
  <c r="AK102" i="18" s="1"/>
  <c r="MW103" i="18"/>
  <c r="MX103" i="18" s="1"/>
  <c r="CR103" i="18"/>
  <c r="CS103" i="18" s="1"/>
  <c r="MC104" i="18"/>
  <c r="MD104" i="18" s="1"/>
  <c r="AS104" i="18"/>
  <c r="GO104" i="18"/>
  <c r="IL104" i="18"/>
  <c r="IM104" i="18" s="1"/>
  <c r="HO104" i="18"/>
  <c r="GK106" i="18"/>
  <c r="HH106" i="18"/>
  <c r="HI106" i="18" s="1"/>
  <c r="BS95" i="18"/>
  <c r="GI95" i="18"/>
  <c r="CW98" i="18"/>
  <c r="HM98" i="18"/>
  <c r="U99" i="18"/>
  <c r="AG99" i="18"/>
  <c r="DV99" i="18"/>
  <c r="DW99" i="18" s="1"/>
  <c r="IL99" i="18"/>
  <c r="IM99" i="18" s="1"/>
  <c r="GD100" i="18"/>
  <c r="GE100" i="18" s="1"/>
  <c r="MI100" i="18"/>
  <c r="MJ100" i="18" s="1"/>
  <c r="DV102" i="18"/>
  <c r="DW102" i="18" s="1"/>
  <c r="IL102" i="18"/>
  <c r="IM102" i="18" s="1"/>
  <c r="BU104" i="18"/>
  <c r="JW104" i="18"/>
  <c r="KT105" i="18"/>
  <c r="KU105" i="18" s="1"/>
  <c r="JY105" i="18"/>
  <c r="JU91" i="18"/>
  <c r="LA91" i="18" s="1"/>
  <c r="KG91" i="18"/>
  <c r="KS91" i="18"/>
  <c r="HU93" i="18"/>
  <c r="IG93" i="18"/>
  <c r="JW93" i="18"/>
  <c r="KI93" i="18"/>
  <c r="AS95" i="18"/>
  <c r="BE95" i="18"/>
  <c r="CR95" i="18"/>
  <c r="CS95" i="18" s="1"/>
  <c r="DG95" i="18"/>
  <c r="DS95" i="18"/>
  <c r="FI95" i="18"/>
  <c r="FU95" i="18"/>
  <c r="HH95" i="18"/>
  <c r="HI95" i="18" s="1"/>
  <c r="HW95" i="18"/>
  <c r="II95" i="18"/>
  <c r="JY95" i="18"/>
  <c r="KK95" i="18"/>
  <c r="LX95" i="18"/>
  <c r="LY95" i="18" s="1"/>
  <c r="DV98" i="18"/>
  <c r="DW98" i="18" s="1"/>
  <c r="IL98" i="18"/>
  <c r="IM98" i="18" s="1"/>
  <c r="MK99" i="18"/>
  <c r="ML99" i="18" s="1"/>
  <c r="MW99" i="18"/>
  <c r="MX99" i="18" s="1"/>
  <c r="HO99" i="18"/>
  <c r="JY99" i="18"/>
  <c r="LK99" i="18"/>
  <c r="MO100" i="18"/>
  <c r="MP100" i="18" s="1"/>
  <c r="AA100" i="18"/>
  <c r="MI101" i="18"/>
  <c r="MJ101" i="18" s="1"/>
  <c r="BW104" i="18"/>
  <c r="JY104" i="18"/>
  <c r="BN91" i="18"/>
  <c r="BO91" i="18" s="1"/>
  <c r="GD91" i="18"/>
  <c r="GE91" i="18" s="1"/>
  <c r="KT91" i="18"/>
  <c r="KU91" i="18" s="1"/>
  <c r="LI91" i="18"/>
  <c r="IW93" i="18"/>
  <c r="JI93" i="18"/>
  <c r="LK93" i="18"/>
  <c r="CR94" i="18"/>
  <c r="CS94" i="18" s="1"/>
  <c r="HH94" i="18"/>
  <c r="HI94" i="18" s="1"/>
  <c r="LX94" i="18"/>
  <c r="LY94" i="18" s="1"/>
  <c r="GW95" i="18"/>
  <c r="IY95" i="18"/>
  <c r="JK95" i="18"/>
  <c r="DV97" i="18"/>
  <c r="DW97" i="18" s="1"/>
  <c r="IL97" i="18"/>
  <c r="IM97" i="18" s="1"/>
  <c r="IQ99" i="18"/>
  <c r="KO99" i="18"/>
  <c r="KC99" i="18"/>
  <c r="LM99" i="18"/>
  <c r="LW99" i="18"/>
  <c r="W99" i="18"/>
  <c r="AI99" i="18"/>
  <c r="KQ99" i="18"/>
  <c r="MQ100" i="18"/>
  <c r="MR100" i="18" s="1"/>
  <c r="AC100" i="18"/>
  <c r="MG102" i="18"/>
  <c r="MH102" i="18" s="1"/>
  <c r="S102" i="18"/>
  <c r="KT102" i="18"/>
  <c r="KU102" i="18" s="1"/>
  <c r="MK104" i="18"/>
  <c r="ML104" i="18" s="1"/>
  <c r="BY104" i="18"/>
  <c r="DS104" i="18"/>
  <c r="FU104" i="18"/>
  <c r="HO106" i="18"/>
  <c r="IL106" i="18"/>
  <c r="IM106" i="18" s="1"/>
  <c r="CW95" i="18"/>
  <c r="HM95" i="18"/>
  <c r="W98" i="18"/>
  <c r="AI98" i="18"/>
  <c r="CK98" i="18"/>
  <c r="MM99" i="18"/>
  <c r="MN99" i="18" s="1"/>
  <c r="AJ99" i="18"/>
  <c r="AK99" i="18" s="1"/>
  <c r="LO99" i="18"/>
  <c r="KT100" i="18"/>
  <c r="KU100" i="18" s="1"/>
  <c r="MU100" i="18"/>
  <c r="MV100" i="18" s="1"/>
  <c r="MA101" i="18"/>
  <c r="AQ101" i="18"/>
  <c r="MA102" i="18"/>
  <c r="CA104" i="18"/>
  <c r="DV104" i="18"/>
  <c r="DW104" i="18" s="1"/>
  <c r="HW104" i="18"/>
  <c r="GD101" i="18"/>
  <c r="GE101" i="18" s="1"/>
  <c r="KT101" i="18"/>
  <c r="KU101" i="18" s="1"/>
  <c r="O103" i="18"/>
  <c r="AJ103" i="18"/>
  <c r="AK103" i="18" s="1"/>
  <c r="MC103" i="18"/>
  <c r="MD103" i="18" s="1"/>
  <c r="Y104" i="18"/>
  <c r="GA104" i="18"/>
  <c r="GW104" i="18"/>
  <c r="DV106" i="18"/>
  <c r="DW106" i="18" s="1"/>
  <c r="DA106" i="18"/>
  <c r="BN100" i="18"/>
  <c r="BO100" i="18" s="1"/>
  <c r="Q102" i="18"/>
  <c r="AC102" i="18"/>
  <c r="HW102" i="18"/>
  <c r="KA102" i="18"/>
  <c r="ME103" i="18"/>
  <c r="MF103" i="18" s="1"/>
  <c r="BY103" i="18"/>
  <c r="HH103" i="18"/>
  <c r="HI103" i="18" s="1"/>
  <c r="MI103" i="18"/>
  <c r="MJ103" i="18" s="1"/>
  <c r="MF104" i="18"/>
  <c r="HQ104" i="18"/>
  <c r="MI107" i="18"/>
  <c r="MJ107" i="18" s="1"/>
  <c r="U107" i="18"/>
  <c r="CE107" i="18"/>
  <c r="CR107" i="18"/>
  <c r="CS107" i="18" s="1"/>
  <c r="LX107" i="18"/>
  <c r="LY107" i="18" s="1"/>
  <c r="BS100" i="18"/>
  <c r="GI100" i="18"/>
  <c r="MK101" i="18"/>
  <c r="ML101" i="18" s="1"/>
  <c r="MW101" i="18"/>
  <c r="MX101" i="18" s="1"/>
  <c r="MG103" i="18"/>
  <c r="MH103" i="18" s="1"/>
  <c r="JW103" i="18"/>
  <c r="LQ103" i="18"/>
  <c r="MK103" i="18"/>
  <c r="ML103" i="18" s="1"/>
  <c r="DM104" i="18"/>
  <c r="FO104" i="18"/>
  <c r="GK104" i="18"/>
  <c r="HU104" i="18"/>
  <c r="KC104" i="18"/>
  <c r="MW105" i="18"/>
  <c r="MX105" i="18" s="1"/>
  <c r="AI105" i="18"/>
  <c r="HH105" i="18"/>
  <c r="HI105" i="18" s="1"/>
  <c r="AJ106" i="18"/>
  <c r="AK106" i="18" s="1"/>
  <c r="ME106" i="18"/>
  <c r="MF106" i="18" s="1"/>
  <c r="BN107" i="18"/>
  <c r="BO107" i="18" s="1"/>
  <c r="AU107" i="18"/>
  <c r="BE100" i="18"/>
  <c r="CR100" i="18"/>
  <c r="CS100" i="18" s="1"/>
  <c r="DG100" i="18"/>
  <c r="DS100" i="18"/>
  <c r="FI100" i="18"/>
  <c r="FU100" i="18"/>
  <c r="HH100" i="18"/>
  <c r="HI100" i="18" s="1"/>
  <c r="HW100" i="18"/>
  <c r="II100" i="18"/>
  <c r="JY100" i="18"/>
  <c r="KK100" i="18"/>
  <c r="LX100" i="18"/>
  <c r="LY100" i="18" s="1"/>
  <c r="GW101" i="18"/>
  <c r="IY101" i="18"/>
  <c r="JK101" i="18"/>
  <c r="LM101" i="18"/>
  <c r="KQ102" i="18"/>
  <c r="LG102" i="18"/>
  <c r="LS102" i="18"/>
  <c r="MU102" i="18"/>
  <c r="MV102" i="18" s="1"/>
  <c r="MS104" i="18"/>
  <c r="MT104" i="18" s="1"/>
  <c r="KE104" i="18"/>
  <c r="MA106" i="18"/>
  <c r="BN106" i="18"/>
  <c r="BO106" i="18" s="1"/>
  <c r="AQ106" i="18"/>
  <c r="MO106" i="18"/>
  <c r="MP106" i="18" s="1"/>
  <c r="MG107" i="18"/>
  <c r="MH107" i="18" s="1"/>
  <c r="CW101" i="18"/>
  <c r="HM101" i="18"/>
  <c r="MM101" i="18"/>
  <c r="MN101" i="18" s="1"/>
  <c r="U102" i="18"/>
  <c r="IQ102" i="18"/>
  <c r="KS102" i="18"/>
  <c r="GD103" i="18"/>
  <c r="GE103" i="18" s="1"/>
  <c r="JP103" i="18"/>
  <c r="JQ103" i="18" s="1"/>
  <c r="KY103" i="18" s="1"/>
  <c r="LU103" i="18"/>
  <c r="MM103" i="18"/>
  <c r="MN103" i="18" s="1"/>
  <c r="AE104" i="18"/>
  <c r="AY104" i="18"/>
  <c r="CY104" i="18"/>
  <c r="DQ104" i="18"/>
  <c r="FS104" i="18"/>
  <c r="HC104" i="18"/>
  <c r="IS104" i="18"/>
  <c r="LX104" i="18"/>
  <c r="LY104" i="18" s="1"/>
  <c r="MG106" i="18"/>
  <c r="MH106" i="18" s="1"/>
  <c r="S106" i="18"/>
  <c r="MS109" i="18"/>
  <c r="MT109" i="18" s="1"/>
  <c r="AU100" i="18"/>
  <c r="BG100" i="18"/>
  <c r="CW100" i="18"/>
  <c r="DI100" i="18"/>
  <c r="DU100" i="18"/>
  <c r="FK100" i="18"/>
  <c r="FW100" i="18"/>
  <c r="HM100" i="18"/>
  <c r="HY100" i="18"/>
  <c r="IK100" i="18"/>
  <c r="KA100" i="18"/>
  <c r="KM100" i="18"/>
  <c r="DV101" i="18"/>
  <c r="DW101" i="18" s="1"/>
  <c r="GM101" i="18"/>
  <c r="GY101" i="18"/>
  <c r="IL101" i="18"/>
  <c r="IM101" i="18" s="1"/>
  <c r="JA101" i="18"/>
  <c r="JM101" i="18"/>
  <c r="LC101" i="18"/>
  <c r="LO101" i="18"/>
  <c r="FM102" i="18"/>
  <c r="FY102" i="18"/>
  <c r="HO102" i="18"/>
  <c r="JP102" i="18"/>
  <c r="JQ102" i="18" s="1"/>
  <c r="KY102" i="18" s="1"/>
  <c r="KG102" i="18"/>
  <c r="LI102" i="18"/>
  <c r="LU102" i="18"/>
  <c r="MW102" i="18"/>
  <c r="MX102" i="18" s="1"/>
  <c r="AI103" i="18"/>
  <c r="HQ103" i="18"/>
  <c r="IU103" i="18"/>
  <c r="LE103" i="18"/>
  <c r="MG104" i="18"/>
  <c r="MH104" i="18" s="1"/>
  <c r="AJ104" i="18"/>
  <c r="AK104" i="18" s="1"/>
  <c r="MU104" i="18"/>
  <c r="MV104" i="18" s="1"/>
  <c r="DA104" i="18"/>
  <c r="JK104" i="18"/>
  <c r="KI104" i="18"/>
  <c r="LG104" i="18"/>
  <c r="IL105" i="18"/>
  <c r="IM105" i="18" s="1"/>
  <c r="HO105" i="18"/>
  <c r="JP106" i="18"/>
  <c r="JQ106" i="18" s="1"/>
  <c r="KY106" i="18" s="1"/>
  <c r="AC107" i="18"/>
  <c r="MQ107" i="18"/>
  <c r="MR107" i="18" s="1"/>
  <c r="MU107" i="18"/>
  <c r="MV107" i="18" s="1"/>
  <c r="W108" i="18"/>
  <c r="MK108" i="18"/>
  <c r="ML108" i="18" s="1"/>
  <c r="MA108" i="18"/>
  <c r="AQ108" i="18"/>
  <c r="BN108" i="18"/>
  <c r="BO108" i="18" s="1"/>
  <c r="DV100" i="18"/>
  <c r="DW100" i="18" s="1"/>
  <c r="IL100" i="18"/>
  <c r="IM100" i="18" s="1"/>
  <c r="W102" i="18"/>
  <c r="IE103" i="18"/>
  <c r="S104" i="18"/>
  <c r="AG104" i="18"/>
  <c r="BC104" i="18"/>
  <c r="LX105" i="18"/>
  <c r="LY105" i="18" s="1"/>
  <c r="IS107" i="18"/>
  <c r="JP107" i="18"/>
  <c r="JQ107" i="18" s="1"/>
  <c r="KY107" i="18" s="1"/>
  <c r="IQ101" i="18"/>
  <c r="IE102" i="18"/>
  <c r="BN103" i="18"/>
  <c r="BO103" i="18" s="1"/>
  <c r="BC103" i="18"/>
  <c r="DM103" i="18"/>
  <c r="HS103" i="18"/>
  <c r="LI103" i="18"/>
  <c r="MI104" i="18"/>
  <c r="MJ104" i="18" s="1"/>
  <c r="MO104" i="18"/>
  <c r="MP104" i="18" s="1"/>
  <c r="DE104" i="18"/>
  <c r="FG104" i="18"/>
  <c r="GQ104" i="18"/>
  <c r="MK105" i="18"/>
  <c r="ML105" i="18" s="1"/>
  <c r="W105" i="18"/>
  <c r="MO105" i="18"/>
  <c r="MP105" i="18" s="1"/>
  <c r="LX108" i="18"/>
  <c r="LY108" i="18" s="1"/>
  <c r="MQ109" i="18"/>
  <c r="MR109" i="18" s="1"/>
  <c r="W100" i="18"/>
  <c r="AI100" i="18"/>
  <c r="BY100" i="18"/>
  <c r="CK100" i="18"/>
  <c r="GO100" i="18"/>
  <c r="HA100" i="18"/>
  <c r="IQ100" i="18"/>
  <c r="JC100" i="18"/>
  <c r="JO100" i="18"/>
  <c r="LE100" i="18"/>
  <c r="LQ100" i="18"/>
  <c r="DA101" i="18"/>
  <c r="DM101" i="18"/>
  <c r="FO101" i="18"/>
  <c r="GA101" i="18"/>
  <c r="HQ101" i="18"/>
  <c r="IC101" i="18"/>
  <c r="JP101" i="18"/>
  <c r="JQ101" i="18" s="1"/>
  <c r="KY101" i="18" s="1"/>
  <c r="KE101" i="18"/>
  <c r="M102" i="18"/>
  <c r="Y102" i="18"/>
  <c r="CA102" i="18"/>
  <c r="CM102" i="18"/>
  <c r="GQ102" i="18"/>
  <c r="HC102" i="18"/>
  <c r="HS102" i="18"/>
  <c r="IU102" i="18"/>
  <c r="JG102" i="18"/>
  <c r="JW102" i="18"/>
  <c r="LX102" i="18"/>
  <c r="LY102" i="18" s="1"/>
  <c r="FW103" i="18"/>
  <c r="IG103" i="18"/>
  <c r="KQ103" i="18"/>
  <c r="CM104" i="18"/>
  <c r="HH104" i="18"/>
  <c r="HI104" i="18" s="1"/>
  <c r="IC104" i="18"/>
  <c r="IY104" i="18"/>
  <c r="LM104" i="18"/>
  <c r="MM105" i="18"/>
  <c r="MN105" i="18" s="1"/>
  <c r="Y105" i="18"/>
  <c r="KT106" i="18"/>
  <c r="KU106" i="18" s="1"/>
  <c r="MC107" i="18"/>
  <c r="MD107" i="18" s="1"/>
  <c r="CR108" i="18"/>
  <c r="CS108" i="18" s="1"/>
  <c r="MC109" i="18"/>
  <c r="MD109" i="18" s="1"/>
  <c r="AS109" i="18"/>
  <c r="AO102" i="18"/>
  <c r="LS103" i="18"/>
  <c r="LG103" i="18"/>
  <c r="JE103" i="18"/>
  <c r="IS103" i="18"/>
  <c r="HC103" i="18"/>
  <c r="GQ103" i="18"/>
  <c r="CM103" i="18"/>
  <c r="CA103" i="18"/>
  <c r="Y103" i="18"/>
  <c r="AA103" i="18"/>
  <c r="DO103" i="18"/>
  <c r="HE103" i="18"/>
  <c r="HU103" i="18"/>
  <c r="KE103" i="18"/>
  <c r="AQ104" i="18"/>
  <c r="MQ104" i="18"/>
  <c r="MR104" i="18" s="1"/>
  <c r="KO104" i="18"/>
  <c r="MQ106" i="18"/>
  <c r="MR106" i="18" s="1"/>
  <c r="CR106" i="18"/>
  <c r="CS106" i="18" s="1"/>
  <c r="BY106" i="18"/>
  <c r="GD106" i="18"/>
  <c r="GE106" i="18" s="1"/>
  <c r="JW107" i="18"/>
  <c r="KT107" i="18"/>
  <c r="KU107" i="18" s="1"/>
  <c r="KT108" i="18"/>
  <c r="KU108" i="18" s="1"/>
  <c r="ME109" i="18"/>
  <c r="MF109" i="18" s="1"/>
  <c r="AU109" i="18"/>
  <c r="CW105" i="18"/>
  <c r="IC105" i="18"/>
  <c r="JP105" i="18"/>
  <c r="JQ105" i="18" s="1"/>
  <c r="KY105" i="18" s="1"/>
  <c r="JE105" i="18"/>
  <c r="LM105" i="18"/>
  <c r="MA105" i="18"/>
  <c r="HY106" i="18"/>
  <c r="KG106" i="18"/>
  <c r="MQ108" i="18"/>
  <c r="MR108" i="18" s="1"/>
  <c r="U109" i="18"/>
  <c r="MI109" i="18"/>
  <c r="MJ109" i="18" s="1"/>
  <c r="AJ109" i="18"/>
  <c r="AK109" i="18" s="1"/>
  <c r="MA109" i="18"/>
  <c r="CR109" i="18"/>
  <c r="CS109" i="18" s="1"/>
  <c r="BU109" i="18"/>
  <c r="CY110" i="18"/>
  <c r="DV110" i="18"/>
  <c r="DW110" i="18" s="1"/>
  <c r="IA110" i="18"/>
  <c r="IL110" i="18"/>
  <c r="IM110" i="18" s="1"/>
  <c r="MA104" i="18"/>
  <c r="MM104" i="18"/>
  <c r="MN104" i="18" s="1"/>
  <c r="U105" i="18"/>
  <c r="AG105" i="18"/>
  <c r="BW105" i="18"/>
  <c r="CI105" i="18"/>
  <c r="GM105" i="18"/>
  <c r="HQ105" i="18"/>
  <c r="IS105" i="18"/>
  <c r="JW105" i="18"/>
  <c r="O106" i="18"/>
  <c r="BE106" i="18"/>
  <c r="BU106" i="18"/>
  <c r="CY106" i="18"/>
  <c r="FS106" i="18"/>
  <c r="GI106" i="18"/>
  <c r="JC106" i="18"/>
  <c r="KI106" i="18"/>
  <c r="LM106" i="18"/>
  <c r="ME107" i="18"/>
  <c r="MF107" i="18" s="1"/>
  <c r="HH108" i="18"/>
  <c r="HI108" i="18" s="1"/>
  <c r="BN110" i="18"/>
  <c r="BO110" i="18" s="1"/>
  <c r="AU106" i="18"/>
  <c r="BW106" i="18"/>
  <c r="IS106" i="18"/>
  <c r="JW106" i="18"/>
  <c r="LO106" i="18"/>
  <c r="MW107" i="18"/>
  <c r="MX107" i="18" s="1"/>
  <c r="GD107" i="18"/>
  <c r="GE107" i="18" s="1"/>
  <c r="MM108" i="18"/>
  <c r="MN108" i="18" s="1"/>
  <c r="CR110" i="18"/>
  <c r="CS110" i="18" s="1"/>
  <c r="JP104" i="18"/>
  <c r="JQ104" i="18" s="1"/>
  <c r="KY104" i="18" s="1"/>
  <c r="M105" i="18"/>
  <c r="JK105" i="18"/>
  <c r="KA105" i="18"/>
  <c r="CM106" i="18"/>
  <c r="DC106" i="18"/>
  <c r="FK106" i="18"/>
  <c r="GM106" i="18"/>
  <c r="AJ107" i="18"/>
  <c r="AK107" i="18" s="1"/>
  <c r="JG107" i="18"/>
  <c r="JY107" i="18"/>
  <c r="LS107" i="18"/>
  <c r="MK107" i="18"/>
  <c r="ML107" i="18" s="1"/>
  <c r="MO108" i="18"/>
  <c r="MP108" i="18" s="1"/>
  <c r="IS109" i="18"/>
  <c r="MC110" i="18"/>
  <c r="MD110" i="18" s="1"/>
  <c r="AJ110" i="18"/>
  <c r="AK110" i="18" s="1"/>
  <c r="MI110" i="18"/>
  <c r="MJ110" i="18" s="1"/>
  <c r="AO105" i="18"/>
  <c r="IY105" i="18"/>
  <c r="LS105" i="18"/>
  <c r="MI106" i="18"/>
  <c r="MJ106" i="18" s="1"/>
  <c r="AG106" i="18"/>
  <c r="CA106" i="18"/>
  <c r="IE106" i="18"/>
  <c r="JI106" i="18"/>
  <c r="KA106" i="18"/>
  <c r="LS106" i="18"/>
  <c r="DV107" i="18"/>
  <c r="DW107" i="18" s="1"/>
  <c r="DK107" i="18"/>
  <c r="JI107" i="18"/>
  <c r="LU107" i="18"/>
  <c r="MC108" i="18"/>
  <c r="MD108" i="18" s="1"/>
  <c r="MU108" i="18"/>
  <c r="MV108" i="18" s="1"/>
  <c r="BK108" i="18"/>
  <c r="FG108" i="18"/>
  <c r="ME108" i="18"/>
  <c r="MF108" i="18" s="1"/>
  <c r="HH109" i="18"/>
  <c r="HI109" i="18" s="1"/>
  <c r="O110" i="18"/>
  <c r="O105" i="18"/>
  <c r="AA105" i="18"/>
  <c r="CC105" i="18"/>
  <c r="CO105" i="18"/>
  <c r="GS105" i="18"/>
  <c r="HW105" i="18"/>
  <c r="JM105" i="18"/>
  <c r="KC105" i="18"/>
  <c r="KQ105" i="18"/>
  <c r="LG105" i="18"/>
  <c r="U106" i="18"/>
  <c r="AY106" i="18"/>
  <c r="CO106" i="18"/>
  <c r="DE106" i="18"/>
  <c r="FM106" i="18"/>
  <c r="GO106" i="18"/>
  <c r="HC106" i="18"/>
  <c r="HS106" i="18"/>
  <c r="IW106" i="18"/>
  <c r="LG106" i="18"/>
  <c r="MM107" i="18"/>
  <c r="MN107" i="18" s="1"/>
  <c r="BC107" i="18"/>
  <c r="CI107" i="18"/>
  <c r="CY107" i="18"/>
  <c r="FU107" i="18"/>
  <c r="GM107" i="18"/>
  <c r="HA107" i="18"/>
  <c r="HQ107" i="18"/>
  <c r="IE107" i="18"/>
  <c r="IU107" i="18"/>
  <c r="MO107" i="18"/>
  <c r="MP107" i="18" s="1"/>
  <c r="MI108" i="18"/>
  <c r="MJ108" i="18" s="1"/>
  <c r="GD109" i="18"/>
  <c r="GE109" i="18" s="1"/>
  <c r="LX109" i="18"/>
  <c r="LY109" i="18" s="1"/>
  <c r="MU110" i="18"/>
  <c r="MV110" i="18" s="1"/>
  <c r="BN104" i="18"/>
  <c r="BO104" i="18" s="1"/>
  <c r="GD104" i="18"/>
  <c r="GE104" i="18" s="1"/>
  <c r="KT104" i="18"/>
  <c r="KU104" i="18" s="1"/>
  <c r="ME105" i="18"/>
  <c r="MF105" i="18" s="1"/>
  <c r="MQ105" i="18"/>
  <c r="MR105" i="18" s="1"/>
  <c r="AQ105" i="18"/>
  <c r="BC105" i="18"/>
  <c r="DE105" i="18"/>
  <c r="DQ105" i="18"/>
  <c r="FG105" i="18"/>
  <c r="FS105" i="18"/>
  <c r="HG105" i="18"/>
  <c r="IK105" i="18"/>
  <c r="JA105" i="18"/>
  <c r="KE105" i="18"/>
  <c r="LU105" i="18"/>
  <c r="AI106" i="18"/>
  <c r="BM106" i="18"/>
  <c r="CC106" i="18"/>
  <c r="DS106" i="18"/>
  <c r="GA106" i="18"/>
  <c r="GQ106" i="18"/>
  <c r="IG106" i="18"/>
  <c r="MK106" i="18"/>
  <c r="ML106" i="18" s="1"/>
  <c r="GI107" i="18"/>
  <c r="BS107" i="18"/>
  <c r="JU107" i="18"/>
  <c r="LA107" i="18" s="1"/>
  <c r="AO107" i="18"/>
  <c r="Y107" i="18"/>
  <c r="AQ107" i="18"/>
  <c r="FI107" i="18"/>
  <c r="HS107" i="18"/>
  <c r="IW107" i="18"/>
  <c r="KO107" i="18"/>
  <c r="IL109" i="18"/>
  <c r="IM109" i="18" s="1"/>
  <c r="AG110" i="18"/>
  <c r="KT110" i="18"/>
  <c r="KU110" i="18" s="1"/>
  <c r="Q105" i="18"/>
  <c r="AC105" i="18"/>
  <c r="BS105" i="18"/>
  <c r="GI105" i="18"/>
  <c r="HY105" i="18"/>
  <c r="BA106" i="18"/>
  <c r="DU106" i="18"/>
  <c r="BE107" i="18"/>
  <c r="BW107" i="18"/>
  <c r="DO107" i="18"/>
  <c r="JM107" i="18"/>
  <c r="KC107" i="18"/>
  <c r="MS108" i="18"/>
  <c r="MT108" i="18" s="1"/>
  <c r="AG109" i="18"/>
  <c r="MU109" i="18"/>
  <c r="MV109" i="18" s="1"/>
  <c r="MK109" i="18"/>
  <c r="ML109" i="18" s="1"/>
  <c r="DG105" i="18"/>
  <c r="DS105" i="18"/>
  <c r="FI105" i="18"/>
  <c r="FU105" i="18"/>
  <c r="GW105" i="18"/>
  <c r="HM105" i="18"/>
  <c r="JC105" i="18"/>
  <c r="KG105" i="18"/>
  <c r="M106" i="18"/>
  <c r="HM106" i="18"/>
  <c r="CW106" i="18"/>
  <c r="Y106" i="18"/>
  <c r="MM106" i="18"/>
  <c r="MN106" i="18" s="1"/>
  <c r="AO106" i="18"/>
  <c r="CE106" i="18"/>
  <c r="DI106" i="18"/>
  <c r="GC106" i="18"/>
  <c r="GS106" i="18"/>
  <c r="II106" i="18"/>
  <c r="JM106" i="18"/>
  <c r="KE106" i="18"/>
  <c r="KS106" i="18"/>
  <c r="LW106" i="18"/>
  <c r="KQ107" i="18"/>
  <c r="LI107" i="18"/>
  <c r="MG108" i="18"/>
  <c r="MH108" i="18" s="1"/>
  <c r="DV108" i="18"/>
  <c r="DW108" i="18" s="1"/>
  <c r="IQ108" i="18"/>
  <c r="BN109" i="18"/>
  <c r="BO109" i="18" s="1"/>
  <c r="KA108" i="18"/>
  <c r="MW109" i="18"/>
  <c r="MX109" i="18" s="1"/>
  <c r="AI110" i="18"/>
  <c r="CK110" i="18"/>
  <c r="GM110" i="18"/>
  <c r="JY110" i="18"/>
  <c r="HM108" i="18"/>
  <c r="CW108" i="18"/>
  <c r="LU108" i="18"/>
  <c r="LI108" i="18"/>
  <c r="JG108" i="18"/>
  <c r="IU108" i="18"/>
  <c r="HE108" i="18"/>
  <c r="JU108" i="18"/>
  <c r="LA108" i="18" s="1"/>
  <c r="AO108" i="18"/>
  <c r="BA108" i="18"/>
  <c r="HU108" i="18"/>
  <c r="JM108" i="18"/>
  <c r="DV109" i="18"/>
  <c r="DW109" i="18" s="1"/>
  <c r="KS110" i="18"/>
  <c r="KG110" i="18"/>
  <c r="JU110" i="18"/>
  <c r="LA110" i="18" s="1"/>
  <c r="IE110" i="18"/>
  <c r="HS110" i="18"/>
  <c r="GC110" i="18"/>
  <c r="FQ110" i="18"/>
  <c r="KQ110" i="18"/>
  <c r="KE110" i="18"/>
  <c r="HQ110" i="18"/>
  <c r="GA110" i="18"/>
  <c r="IQ110" i="18"/>
  <c r="HU110" i="18"/>
  <c r="GK110" i="18"/>
  <c r="LC110" i="18"/>
  <c r="IY110" i="18"/>
  <c r="HO110" i="18"/>
  <c r="DI110" i="18"/>
  <c r="BE110" i="18"/>
  <c r="AS110" i="18"/>
  <c r="KI110" i="18"/>
  <c r="JM110" i="18"/>
  <c r="GU110" i="18"/>
  <c r="FK110" i="18"/>
  <c r="CQ110" i="18"/>
  <c r="CE110" i="18"/>
  <c r="BS110" i="18"/>
  <c r="AC110" i="18"/>
  <c r="Q110" i="18"/>
  <c r="HM110" i="18"/>
  <c r="Y110" i="18"/>
  <c r="MA110" i="18"/>
  <c r="AQ110" i="18"/>
  <c r="BI110" i="18"/>
  <c r="CA110" i="18"/>
  <c r="GS110" i="18"/>
  <c r="IG110" i="18"/>
  <c r="JG110" i="18"/>
  <c r="MO110" i="18"/>
  <c r="MP110" i="18" s="1"/>
  <c r="LX110" i="18"/>
  <c r="LY110" i="18" s="1"/>
  <c r="IQ109" i="18"/>
  <c r="FU110" i="18"/>
  <c r="HE110" i="18"/>
  <c r="ME110" i="18"/>
  <c r="MF110" i="18" s="1"/>
  <c r="MQ110" i="18"/>
  <c r="MR110" i="18" s="1"/>
  <c r="DG110" i="18"/>
  <c r="IC110" i="18"/>
  <c r="LQ110" i="18"/>
  <c r="AQ109" i="18"/>
  <c r="BC109" i="18"/>
  <c r="DE109" i="18"/>
  <c r="DQ109" i="18"/>
  <c r="FG109" i="18"/>
  <c r="FS109" i="18"/>
  <c r="HU109" i="18"/>
  <c r="IG109" i="18"/>
  <c r="JW109" i="18"/>
  <c r="KI109" i="18"/>
  <c r="LS110" i="18"/>
  <c r="GI109" i="18"/>
  <c r="GU109" i="18"/>
  <c r="HG109" i="18"/>
  <c r="IW109" i="18"/>
  <c r="JI109" i="18"/>
  <c r="LK109" i="18"/>
  <c r="MG110" i="18"/>
  <c r="MH110" i="18" s="1"/>
  <c r="MS110" i="18"/>
  <c r="MT110" i="18" s="1"/>
  <c r="JO110" i="18"/>
  <c r="KK110" i="18"/>
  <c r="LU110" i="18"/>
  <c r="MK110" i="18"/>
  <c r="ML110" i="18" s="1"/>
  <c r="MW110" i="18"/>
  <c r="MX110" i="18" s="1"/>
  <c r="DO110" i="18"/>
  <c r="HA110" i="18"/>
  <c r="JE110" i="18"/>
  <c r="JP110" i="18"/>
  <c r="JQ110" i="18" s="1"/>
  <c r="KY110" i="18" s="1"/>
  <c r="IQ6" i="18" l="1"/>
  <c r="DU6" i="18"/>
  <c r="LE18" i="18"/>
  <c r="MG47" i="18"/>
  <c r="MH47" i="18" s="1"/>
  <c r="MI18" i="18"/>
  <c r="MJ18" i="18" s="1"/>
  <c r="Y42" i="18"/>
  <c r="MO47" i="18"/>
  <c r="MP47" i="18" s="1"/>
  <c r="M19" i="18"/>
  <c r="AC42" i="18"/>
  <c r="LA18" i="18"/>
  <c r="MC18" i="18"/>
  <c r="MD18" i="18" s="1"/>
  <c r="MU18" i="18"/>
  <c r="MV18" i="18" s="1"/>
  <c r="MQ43" i="18"/>
  <c r="MR43" i="18" s="1"/>
  <c r="MQ18" i="18"/>
  <c r="MR18" i="18" s="1"/>
  <c r="MM19" i="18"/>
  <c r="MN19" i="18" s="1"/>
  <c r="ME42" i="18"/>
  <c r="MF42" i="18" s="1"/>
  <c r="MC42" i="18"/>
  <c r="MD42" i="18" s="1"/>
  <c r="MO18" i="18"/>
  <c r="MP18" i="18" s="1"/>
  <c r="AE19" i="18"/>
  <c r="LK18" i="18"/>
  <c r="LJ111" i="18" s="1"/>
  <c r="LJ112" i="18" s="1"/>
  <c r="MI43" i="18"/>
  <c r="MJ43" i="18" s="1"/>
  <c r="MG18" i="18"/>
  <c r="MH18" i="18" s="1"/>
  <c r="MU42" i="18"/>
  <c r="MV42" i="18" s="1"/>
  <c r="MO42" i="18"/>
  <c r="MP42" i="18" s="1"/>
  <c r="MS18" i="18"/>
  <c r="MT18" i="18" s="1"/>
  <c r="FO43" i="18"/>
  <c r="O19" i="18"/>
  <c r="LM18" i="18"/>
  <c r="LL111" i="18" s="1"/>
  <c r="LL112" i="18" s="1"/>
  <c r="MS47" i="18"/>
  <c r="MT47" i="18" s="1"/>
  <c r="U42" i="18"/>
  <c r="MA43" i="18"/>
  <c r="MB43" i="18" s="1"/>
  <c r="M43" i="18"/>
  <c r="MM43" i="18"/>
  <c r="MN43" i="18" s="1"/>
  <c r="AJ28" i="18"/>
  <c r="AK28" i="18" s="1"/>
  <c r="GC47" i="18"/>
  <c r="GB111" i="18" s="1"/>
  <c r="GB113" i="18" s="1"/>
  <c r="MW18" i="18"/>
  <c r="MX18" i="18" s="1"/>
  <c r="LX18" i="18"/>
  <c r="LY18" i="18" s="1"/>
  <c r="AC43" i="18"/>
  <c r="EF111" i="18"/>
  <c r="EV111" i="18"/>
  <c r="EJ111" i="18"/>
  <c r="GD28" i="18"/>
  <c r="GE28" i="18" s="1"/>
  <c r="ED111" i="18"/>
  <c r="GD23" i="18"/>
  <c r="GE23" i="18" s="1"/>
  <c r="EP111" i="18"/>
  <c r="EZ111" i="18"/>
  <c r="EB111" i="18"/>
  <c r="EL111" i="18"/>
  <c r="DZ111" i="18"/>
  <c r="EX111" i="18"/>
  <c r="GD22" i="18"/>
  <c r="GE22" i="18" s="1"/>
  <c r="ET111" i="18"/>
  <c r="AJ32" i="18"/>
  <c r="AK32" i="18" s="1"/>
  <c r="EH111" i="18"/>
  <c r="ER111" i="18"/>
  <c r="EN111" i="18"/>
  <c r="MM13" i="18"/>
  <c r="MN13" i="18" s="1"/>
  <c r="FS23" i="18"/>
  <c r="FR111" i="18" s="1"/>
  <c r="FR112" i="18" s="1"/>
  <c r="AC19" i="18"/>
  <c r="MU13" i="18"/>
  <c r="MV13" i="18" s="1"/>
  <c r="MS44" i="18"/>
  <c r="MT44" i="18" s="1"/>
  <c r="MU43" i="18"/>
  <c r="MV43" i="18" s="1"/>
  <c r="ME43" i="18"/>
  <c r="MF43" i="18" s="1"/>
  <c r="MA13" i="18"/>
  <c r="MB13" i="18" s="1"/>
  <c r="MM47" i="18"/>
  <c r="MN47" i="18" s="1"/>
  <c r="MQ44" i="18"/>
  <c r="MR44" i="18" s="1"/>
  <c r="MY15" i="18"/>
  <c r="MZ15" i="18" s="1"/>
  <c r="MY6" i="18"/>
  <c r="MZ6" i="18" s="1"/>
  <c r="MY81" i="18"/>
  <c r="MZ81" i="18" s="1"/>
  <c r="S19" i="18"/>
  <c r="LX13" i="18"/>
  <c r="LY13" i="18" s="1"/>
  <c r="MS14" i="18"/>
  <c r="MT14" i="18" s="1"/>
  <c r="GD25" i="18"/>
  <c r="GE25" i="18" s="1"/>
  <c r="MG42" i="18"/>
  <c r="MH42" i="18" s="1"/>
  <c r="S42" i="18"/>
  <c r="MU47" i="18"/>
  <c r="MV47" i="18" s="1"/>
  <c r="DV34" i="18"/>
  <c r="DW34" i="18" s="1"/>
  <c r="MY8" i="18"/>
  <c r="MZ8" i="18" s="1"/>
  <c r="MM44" i="18"/>
  <c r="MN44" i="18" s="1"/>
  <c r="DB111" i="18"/>
  <c r="DB112" i="18" s="1"/>
  <c r="FP111" i="18"/>
  <c r="FP112" i="18" s="1"/>
  <c r="CN111" i="18"/>
  <c r="CN113" i="18" s="1"/>
  <c r="CZ111" i="18"/>
  <c r="CZ113" i="18" s="1"/>
  <c r="JT111" i="18"/>
  <c r="JT114" i="18" s="1"/>
  <c r="GX111" i="18"/>
  <c r="GX114" i="18" s="1"/>
  <c r="KX111" i="18"/>
  <c r="KX114" i="18" s="1"/>
  <c r="GT111" i="18"/>
  <c r="GT112" i="18" s="1"/>
  <c r="FV111" i="18"/>
  <c r="FV114" i="18" s="1"/>
  <c r="IV111" i="18"/>
  <c r="IV113" i="18" s="1"/>
  <c r="BZ111" i="18"/>
  <c r="BZ113" i="18" s="1"/>
  <c r="BX111" i="18"/>
  <c r="BX112" i="18" s="1"/>
  <c r="JB111" i="18"/>
  <c r="JB113" i="18" s="1"/>
  <c r="DP111" i="18"/>
  <c r="DP112" i="18" s="1"/>
  <c r="KP111" i="18"/>
  <c r="KP112" i="18" s="1"/>
  <c r="KN111" i="18"/>
  <c r="KN114" i="18" s="1"/>
  <c r="FJ111" i="18"/>
  <c r="FJ113" i="18" s="1"/>
  <c r="FT111" i="18"/>
  <c r="FT112" i="18" s="1"/>
  <c r="HF111" i="18"/>
  <c r="HF113" i="18" s="1"/>
  <c r="JF111" i="18"/>
  <c r="JF113" i="18" s="1"/>
  <c r="BJ111" i="18"/>
  <c r="BJ114" i="18" s="1"/>
  <c r="KD111" i="18"/>
  <c r="KD114" i="18" s="1"/>
  <c r="BF111" i="18"/>
  <c r="BF114" i="18" s="1"/>
  <c r="JL111" i="18"/>
  <c r="JL114" i="18" s="1"/>
  <c r="JJ111" i="18"/>
  <c r="JJ112" i="18" s="1"/>
  <c r="JN111" i="18"/>
  <c r="JN112" i="18" s="1"/>
  <c r="DT111" i="18"/>
  <c r="DT112" i="18" s="1"/>
  <c r="IT111" i="18"/>
  <c r="IT114" i="18" s="1"/>
  <c r="GN111" i="18"/>
  <c r="GN112" i="18" s="1"/>
  <c r="FX111" i="18"/>
  <c r="FX114" i="18" s="1"/>
  <c r="JZ111" i="18"/>
  <c r="JZ112" i="18" s="1"/>
  <c r="LV111" i="18"/>
  <c r="LV114" i="18" s="1"/>
  <c r="KJ111" i="18"/>
  <c r="KJ112" i="18" s="1"/>
  <c r="JH111" i="18"/>
  <c r="JH114" i="18" s="1"/>
  <c r="AX111" i="18"/>
  <c r="AX112" i="18" s="1"/>
  <c r="AN111" i="18"/>
  <c r="AN112" i="18" s="1"/>
  <c r="DH111" i="18"/>
  <c r="DH113" i="18" s="1"/>
  <c r="DF111" i="18"/>
  <c r="DF114" i="18" s="1"/>
  <c r="CP111" i="18"/>
  <c r="CP112" i="18" s="1"/>
  <c r="HD111" i="18"/>
  <c r="HD114" i="18" s="1"/>
  <c r="KR111" i="18"/>
  <c r="KR112" i="18" s="1"/>
  <c r="KH111" i="18"/>
  <c r="KH113" i="18" s="1"/>
  <c r="GV111" i="18"/>
  <c r="GV113" i="18" s="1"/>
  <c r="JX111" i="18"/>
  <c r="JX114" i="18" s="1"/>
  <c r="IZ111" i="18"/>
  <c r="IZ113" i="18" s="1"/>
  <c r="DL111" i="18"/>
  <c r="DL112" i="18" s="1"/>
  <c r="FZ111" i="18"/>
  <c r="FZ112" i="18" s="1"/>
  <c r="LT111" i="18"/>
  <c r="LT113" i="18" s="1"/>
  <c r="KB111" i="18"/>
  <c r="KB114" i="18" s="1"/>
  <c r="CD111" i="18"/>
  <c r="CD114" i="18" s="1"/>
  <c r="GR111" i="18"/>
  <c r="GR112" i="18" s="1"/>
  <c r="KF111" i="18"/>
  <c r="KF114" i="18" s="1"/>
  <c r="JP111" i="18"/>
  <c r="JP114" i="18" s="1"/>
  <c r="CH111" i="18"/>
  <c r="CH113" i="18" s="1"/>
  <c r="CV111" i="18"/>
  <c r="CV113" i="18" s="1"/>
  <c r="GH111" i="18"/>
  <c r="GH112" i="18" s="1"/>
  <c r="AZ111" i="18"/>
  <c r="AZ113" i="18" s="1"/>
  <c r="LB111" i="18"/>
  <c r="LB114" i="18" s="1"/>
  <c r="LN111" i="18"/>
  <c r="LN112" i="18" s="1"/>
  <c r="BR111" i="18"/>
  <c r="BR112" i="18" s="1"/>
  <c r="BV111" i="18"/>
  <c r="BV112" i="18" s="1"/>
  <c r="CF111" i="18"/>
  <c r="CF114" i="18" s="1"/>
  <c r="DN111" i="18"/>
  <c r="DN112" i="18" s="1"/>
  <c r="LH111" i="18"/>
  <c r="LH114" i="18" s="1"/>
  <c r="BL111" i="18"/>
  <c r="BL112" i="18" s="1"/>
  <c r="GL111" i="18"/>
  <c r="GL112" i="18" s="1"/>
  <c r="FD111" i="18"/>
  <c r="FD113" i="18" s="1"/>
  <c r="DD111" i="18"/>
  <c r="DD113" i="18" s="1"/>
  <c r="CB111" i="18"/>
  <c r="CB112" i="18" s="1"/>
  <c r="BD111" i="18"/>
  <c r="BD113" i="18" s="1"/>
  <c r="CL111" i="18"/>
  <c r="CL113" i="18" s="1"/>
  <c r="LP111" i="18"/>
  <c r="LP112" i="18" s="1"/>
  <c r="KL111" i="18"/>
  <c r="KL113" i="18" s="1"/>
  <c r="GZ111" i="18"/>
  <c r="GZ113" i="18" s="1"/>
  <c r="CJ111" i="18"/>
  <c r="CJ112" i="18" s="1"/>
  <c r="IX111" i="18"/>
  <c r="IX114" i="18" s="1"/>
  <c r="FL111" i="18"/>
  <c r="FL113" i="18" s="1"/>
  <c r="DR111" i="18"/>
  <c r="DR112" i="18" s="1"/>
  <c r="MD64" i="18"/>
  <c r="MY64" i="18"/>
  <c r="MZ64" i="18" s="1"/>
  <c r="MI13" i="18"/>
  <c r="MJ13" i="18" s="1"/>
  <c r="U13" i="18"/>
  <c r="HB111" i="18"/>
  <c r="MU14" i="18"/>
  <c r="MV14" i="18" s="1"/>
  <c r="IQ4" i="18"/>
  <c r="MB101" i="18"/>
  <c r="MY101" i="18"/>
  <c r="MZ101" i="18" s="1"/>
  <c r="MY92" i="18"/>
  <c r="MZ92" i="18" s="1"/>
  <c r="MB92" i="18"/>
  <c r="MY97" i="18"/>
  <c r="MZ97" i="18" s="1"/>
  <c r="MY95" i="18"/>
  <c r="MZ95" i="18" s="1"/>
  <c r="MB95" i="18"/>
  <c r="MY87" i="18"/>
  <c r="MZ87" i="18" s="1"/>
  <c r="MB87" i="18"/>
  <c r="MY76" i="18"/>
  <c r="MZ76" i="18" s="1"/>
  <c r="MB76" i="18"/>
  <c r="MY74" i="18"/>
  <c r="MZ74" i="18" s="1"/>
  <c r="MB61" i="18"/>
  <c r="MY61" i="18"/>
  <c r="MZ61" i="18" s="1"/>
  <c r="MA42" i="18"/>
  <c r="AJ42" i="18"/>
  <c r="AK42" i="18" s="1"/>
  <c r="M42" i="18"/>
  <c r="MY55" i="18"/>
  <c r="MZ55" i="18" s="1"/>
  <c r="MB55" i="18"/>
  <c r="FG36" i="18"/>
  <c r="GD36" i="18"/>
  <c r="GE36" i="18" s="1"/>
  <c r="MY49" i="18"/>
  <c r="MZ49" i="18" s="1"/>
  <c r="MB49" i="18"/>
  <c r="MB39" i="18"/>
  <c r="MY39" i="18"/>
  <c r="MZ39" i="18" s="1"/>
  <c r="M31" i="18"/>
  <c r="AJ31" i="18"/>
  <c r="AK31" i="18" s="1"/>
  <c r="MK31" i="18"/>
  <c r="ML31" i="18" s="1"/>
  <c r="W31" i="18"/>
  <c r="AC30" i="18"/>
  <c r="U24" i="18"/>
  <c r="GP111" i="18"/>
  <c r="MO14" i="18"/>
  <c r="MP14" i="18" s="1"/>
  <c r="AA14" i="18"/>
  <c r="MK14" i="18"/>
  <c r="ML14" i="18" s="1"/>
  <c r="DV13" i="18"/>
  <c r="DW13" i="18" s="1"/>
  <c r="MO13" i="18"/>
  <c r="MP13" i="18" s="1"/>
  <c r="MY12" i="18"/>
  <c r="MZ12" i="18" s="1"/>
  <c r="MC43" i="18"/>
  <c r="MD43" i="18" s="1"/>
  <c r="AE45" i="18"/>
  <c r="MS45" i="18"/>
  <c r="MT45" i="18" s="1"/>
  <c r="AQ14" i="18"/>
  <c r="BN14" i="18"/>
  <c r="BO14" i="18" s="1"/>
  <c r="MY104" i="18"/>
  <c r="MZ104" i="18" s="1"/>
  <c r="MB104" i="18"/>
  <c r="MY108" i="18"/>
  <c r="MZ108" i="18" s="1"/>
  <c r="MB108" i="18"/>
  <c r="MY90" i="18"/>
  <c r="MZ90" i="18" s="1"/>
  <c r="MB90" i="18"/>
  <c r="MY94" i="18"/>
  <c r="MZ94" i="18" s="1"/>
  <c r="MB94" i="18"/>
  <c r="MB85" i="18"/>
  <c r="MY85" i="18"/>
  <c r="MZ85" i="18" s="1"/>
  <c r="MY71" i="18"/>
  <c r="MZ71" i="18" s="1"/>
  <c r="MB71" i="18"/>
  <c r="FG47" i="18"/>
  <c r="GD47" i="18"/>
  <c r="GE47" i="18" s="1"/>
  <c r="S31" i="18"/>
  <c r="JW44" i="18"/>
  <c r="JV111" i="18" s="1"/>
  <c r="KT44" i="18"/>
  <c r="KU44" i="18" s="1"/>
  <c r="KT111" i="18" s="1"/>
  <c r="HO34" i="18"/>
  <c r="IL34" i="18"/>
  <c r="IM34" i="18" s="1"/>
  <c r="FG30" i="18"/>
  <c r="GD30" i="18"/>
  <c r="GE30" i="18" s="1"/>
  <c r="MA45" i="18"/>
  <c r="M45" i="18"/>
  <c r="AJ45" i="18"/>
  <c r="AK45" i="18" s="1"/>
  <c r="IF36" i="18"/>
  <c r="IG36" i="18" s="1"/>
  <c r="IF111" i="18" s="1"/>
  <c r="HT36" i="18"/>
  <c r="HU36" i="18" s="1"/>
  <c r="HT111" i="18" s="1"/>
  <c r="ID36" i="18"/>
  <c r="IE36" i="18" s="1"/>
  <c r="ID111" i="18" s="1"/>
  <c r="HR36" i="18"/>
  <c r="HS36" i="18" s="1"/>
  <c r="HR111" i="18" s="1"/>
  <c r="IB36" i="18"/>
  <c r="IC36" i="18" s="1"/>
  <c r="IB111" i="18" s="1"/>
  <c r="HQ36" i="18"/>
  <c r="HP111" i="18" s="1"/>
  <c r="HM36" i="18"/>
  <c r="HL111" i="18" s="1"/>
  <c r="IJ36" i="18"/>
  <c r="IK36" i="18" s="1"/>
  <c r="IJ111" i="18" s="1"/>
  <c r="HX36" i="18"/>
  <c r="HY36" i="18" s="1"/>
  <c r="HX111" i="18" s="1"/>
  <c r="IH36" i="18"/>
  <c r="II36" i="18" s="1"/>
  <c r="IH111" i="18" s="1"/>
  <c r="HZ36" i="18"/>
  <c r="IA36" i="18" s="1"/>
  <c r="HZ111" i="18" s="1"/>
  <c r="HV36" i="18"/>
  <c r="HW36" i="18" s="1"/>
  <c r="HV111" i="18" s="1"/>
  <c r="Y25" i="18"/>
  <c r="S30" i="18"/>
  <c r="BN24" i="18"/>
  <c r="BO24" i="18" s="1"/>
  <c r="MM22" i="18"/>
  <c r="MN22" i="18" s="1"/>
  <c r="Y22" i="18"/>
  <c r="MO20" i="18"/>
  <c r="MP20" i="18" s="1"/>
  <c r="AA20" i="18"/>
  <c r="IL33" i="18"/>
  <c r="IM33" i="18" s="1"/>
  <c r="LX14" i="18"/>
  <c r="LY14" i="18" s="1"/>
  <c r="LE14" i="18"/>
  <c r="Q30" i="18"/>
  <c r="ME30" i="18"/>
  <c r="MF30" i="18" s="1"/>
  <c r="MY77" i="18"/>
  <c r="MZ77" i="18" s="1"/>
  <c r="MB77" i="18"/>
  <c r="MB65" i="18"/>
  <c r="MY65" i="18"/>
  <c r="MZ65" i="18" s="1"/>
  <c r="MY66" i="18"/>
  <c r="MZ66" i="18" s="1"/>
  <c r="MB66" i="18"/>
  <c r="MB68" i="18"/>
  <c r="MY68" i="18"/>
  <c r="MZ68" i="18" s="1"/>
  <c r="MY63" i="18"/>
  <c r="MZ63" i="18" s="1"/>
  <c r="MB63" i="18"/>
  <c r="MB59" i="18"/>
  <c r="MY59" i="18"/>
  <c r="MZ59" i="18" s="1"/>
  <c r="FI27" i="18"/>
  <c r="GD27" i="18"/>
  <c r="GE27" i="18" s="1"/>
  <c r="MM45" i="18"/>
  <c r="MN45" i="18" s="1"/>
  <c r="Y45" i="18"/>
  <c r="MB38" i="18"/>
  <c r="MY38" i="18"/>
  <c r="MZ38" i="18" s="1"/>
  <c r="AA27" i="18"/>
  <c r="FG34" i="18"/>
  <c r="GD34" i="18"/>
  <c r="GE34" i="18" s="1"/>
  <c r="AE30" i="18"/>
  <c r="MS30" i="18"/>
  <c r="MT30" i="18" s="1"/>
  <c r="Q22" i="18"/>
  <c r="MA20" i="18"/>
  <c r="AJ20" i="18"/>
  <c r="AK20" i="18" s="1"/>
  <c r="M20" i="18"/>
  <c r="GD26" i="18"/>
  <c r="GE26" i="18" s="1"/>
  <c r="DJ111" i="18"/>
  <c r="MW13" i="18"/>
  <c r="MX13" i="18" s="1"/>
  <c r="AI13" i="18"/>
  <c r="MK45" i="18"/>
  <c r="ML45" i="18" s="1"/>
  <c r="W45" i="18"/>
  <c r="MB47" i="18"/>
  <c r="AC20" i="18"/>
  <c r="MQ20" i="18"/>
  <c r="MR20" i="18" s="1"/>
  <c r="MY93" i="18"/>
  <c r="MZ93" i="18" s="1"/>
  <c r="MB72" i="18"/>
  <c r="MY72" i="18"/>
  <c r="MZ72" i="18" s="1"/>
  <c r="MB69" i="18"/>
  <c r="MY69" i="18"/>
  <c r="MZ69" i="18" s="1"/>
  <c r="CY44" i="18"/>
  <c r="CX111" i="18" s="1"/>
  <c r="DV44" i="18"/>
  <c r="DW44" i="18" s="1"/>
  <c r="LA56" i="18"/>
  <c r="Q45" i="18"/>
  <c r="ME45" i="18"/>
  <c r="MF45" i="18" s="1"/>
  <c r="W33" i="18"/>
  <c r="MK33" i="18"/>
  <c r="ML33" i="18" s="1"/>
  <c r="U30" i="18"/>
  <c r="MI30" i="18"/>
  <c r="MJ30" i="18" s="1"/>
  <c r="MC20" i="18"/>
  <c r="MD20" i="18" s="1"/>
  <c r="O20" i="18"/>
  <c r="MU22" i="18"/>
  <c r="MV22" i="18" s="1"/>
  <c r="AG22" i="18"/>
  <c r="MU20" i="18"/>
  <c r="MV20" i="18" s="1"/>
  <c r="AQ13" i="18"/>
  <c r="BN13" i="18"/>
  <c r="BO13" i="18" s="1"/>
  <c r="BN27" i="18"/>
  <c r="BO27" i="18" s="1"/>
  <c r="AS27" i="18"/>
  <c r="AR111" i="18" s="1"/>
  <c r="HH14" i="18"/>
  <c r="HI14" i="18" s="1"/>
  <c r="GK14" i="18"/>
  <c r="MK13" i="18"/>
  <c r="ML13" i="18" s="1"/>
  <c r="W13" i="18"/>
  <c r="MB7" i="18"/>
  <c r="MY7" i="18"/>
  <c r="MZ7" i="18" s="1"/>
  <c r="DV14" i="18"/>
  <c r="DW14" i="18" s="1"/>
  <c r="MC13" i="18"/>
  <c r="MD13" i="18" s="1"/>
  <c r="MW14" i="18"/>
  <c r="MX14" i="18" s="1"/>
  <c r="Q31" i="18"/>
  <c r="MW31" i="18"/>
  <c r="MX31" i="18" s="1"/>
  <c r="AI31" i="18"/>
  <c r="MU24" i="18"/>
  <c r="MV24" i="18" s="1"/>
  <c r="AG24" i="18"/>
  <c r="MC14" i="18"/>
  <c r="MD14" i="18" s="1"/>
  <c r="O14" i="18"/>
  <c r="MY103" i="18"/>
  <c r="MZ103" i="18" s="1"/>
  <c r="MB103" i="18"/>
  <c r="MB99" i="18"/>
  <c r="MY99" i="18"/>
  <c r="MZ99" i="18" s="1"/>
  <c r="AI44" i="18"/>
  <c r="MW44" i="18"/>
  <c r="MX44" i="18" s="1"/>
  <c r="AU36" i="18"/>
  <c r="AT111" i="18" s="1"/>
  <c r="BN36" i="18"/>
  <c r="BO36" i="18" s="1"/>
  <c r="AC45" i="18"/>
  <c r="MQ45" i="18"/>
  <c r="MR45" i="18" s="1"/>
  <c r="MB37" i="18"/>
  <c r="MY37" i="18"/>
  <c r="MZ37" i="18" s="1"/>
  <c r="MO44" i="18"/>
  <c r="MP44" i="18" s="1"/>
  <c r="MG44" i="18"/>
  <c r="MH44" i="18" s="1"/>
  <c r="AG30" i="18"/>
  <c r="AI20" i="18"/>
  <c r="MW20" i="18"/>
  <c r="MX20" i="18" s="1"/>
  <c r="BH111" i="18"/>
  <c r="M14" i="18"/>
  <c r="MA14" i="18"/>
  <c r="AJ14" i="18"/>
  <c r="AK14" i="18" s="1"/>
  <c r="IQ14" i="18" s="1"/>
  <c r="MQ13" i="18"/>
  <c r="MR13" i="18" s="1"/>
  <c r="AC13" i="18"/>
  <c r="MK20" i="18"/>
  <c r="ML20" i="18" s="1"/>
  <c r="MY4" i="18"/>
  <c r="MZ4" i="18" s="1"/>
  <c r="MY105" i="18"/>
  <c r="MZ105" i="18" s="1"/>
  <c r="MB105" i="18"/>
  <c r="MY106" i="18"/>
  <c r="MZ106" i="18" s="1"/>
  <c r="MB106" i="18"/>
  <c r="MB89" i="18"/>
  <c r="MY89" i="18"/>
  <c r="MZ89" i="18" s="1"/>
  <c r="MB79" i="18"/>
  <c r="MY79" i="18"/>
  <c r="MZ79" i="18" s="1"/>
  <c r="MY91" i="18"/>
  <c r="MZ91" i="18" s="1"/>
  <c r="MB73" i="18"/>
  <c r="MY73" i="18"/>
  <c r="MZ73" i="18" s="1"/>
  <c r="MD70" i="18"/>
  <c r="MY70" i="18"/>
  <c r="MZ70" i="18" s="1"/>
  <c r="W44" i="18"/>
  <c r="MK44" i="18"/>
  <c r="ML44" i="18" s="1"/>
  <c r="AJ44" i="18"/>
  <c r="AK44" i="18" s="1"/>
  <c r="MI47" i="18"/>
  <c r="MJ47" i="18" s="1"/>
  <c r="FO47" i="18"/>
  <c r="FI29" i="18"/>
  <c r="GD29" i="18"/>
  <c r="GE29" i="18" s="1"/>
  <c r="MO45" i="18"/>
  <c r="MP45" i="18" s="1"/>
  <c r="AA45" i="18"/>
  <c r="AG25" i="18"/>
  <c r="MU25" i="18"/>
  <c r="MV25" i="18" s="1"/>
  <c r="U45" i="18"/>
  <c r="MI45" i="18"/>
  <c r="MJ45" i="18" s="1"/>
  <c r="MU44" i="18"/>
  <c r="MV44" i="18" s="1"/>
  <c r="AI19" i="18"/>
  <c r="MW19" i="18"/>
  <c r="MX19" i="18" s="1"/>
  <c r="MS13" i="18"/>
  <c r="MT13" i="18" s="1"/>
  <c r="AE13" i="18"/>
  <c r="ME13" i="18"/>
  <c r="MF13" i="18" s="1"/>
  <c r="Q13" i="18"/>
  <c r="AJ13" i="18"/>
  <c r="AK13" i="18" s="1"/>
  <c r="IQ13" i="18" s="1"/>
  <c r="MY11" i="18"/>
  <c r="MZ11" i="18" s="1"/>
  <c r="Y31" i="18"/>
  <c r="W43" i="18"/>
  <c r="MK43" i="18"/>
  <c r="ML43" i="18" s="1"/>
  <c r="MB56" i="18"/>
  <c r="MY56" i="18"/>
  <c r="MZ56" i="18" s="1"/>
  <c r="GD44" i="18"/>
  <c r="GE44" i="18" s="1"/>
  <c r="ME47" i="18"/>
  <c r="MF47" i="18" s="1"/>
  <c r="MB40" i="18"/>
  <c r="MY40" i="18"/>
  <c r="MZ40" i="18" s="1"/>
  <c r="FG32" i="18"/>
  <c r="GD32" i="18"/>
  <c r="GE32" i="18" s="1"/>
  <c r="Q25" i="18"/>
  <c r="MU45" i="18"/>
  <c r="MV45" i="18" s="1"/>
  <c r="AG45" i="18"/>
  <c r="MY50" i="18"/>
  <c r="MZ50" i="18" s="1"/>
  <c r="MC44" i="18"/>
  <c r="MD44" i="18" s="1"/>
  <c r="MK19" i="18"/>
  <c r="ML19" i="18" s="1"/>
  <c r="W19" i="18"/>
  <c r="MB18" i="18"/>
  <c r="MK30" i="18"/>
  <c r="ML30" i="18" s="1"/>
  <c r="MG13" i="18"/>
  <c r="MH13" i="18" s="1"/>
  <c r="S13" i="18"/>
  <c r="MG20" i="18"/>
  <c r="MH20" i="18" s="1"/>
  <c r="MY10" i="18"/>
  <c r="MZ10" i="18" s="1"/>
  <c r="GD33" i="18"/>
  <c r="GE33" i="18" s="1"/>
  <c r="FG33" i="18"/>
  <c r="M22" i="18"/>
  <c r="MA22" i="18"/>
  <c r="AJ22" i="18"/>
  <c r="AK22" i="18" s="1"/>
  <c r="MB98" i="18"/>
  <c r="MY98" i="18"/>
  <c r="MZ98" i="18" s="1"/>
  <c r="MY67" i="18"/>
  <c r="MZ67" i="18" s="1"/>
  <c r="AG32" i="18"/>
  <c r="MY46" i="18"/>
  <c r="MZ46" i="18" s="1"/>
  <c r="DV36" i="18"/>
  <c r="DW36" i="18" s="1"/>
  <c r="GD43" i="18"/>
  <c r="GE43" i="18" s="1"/>
  <c r="MS43" i="18"/>
  <c r="MT43" i="18" s="1"/>
  <c r="AJ43" i="18"/>
  <c r="AK43" i="18" s="1"/>
  <c r="MC47" i="18"/>
  <c r="MD47" i="18" s="1"/>
  <c r="MW43" i="18"/>
  <c r="MX43" i="18" s="1"/>
  <c r="MA30" i="18"/>
  <c r="M30" i="18"/>
  <c r="AJ30" i="18"/>
  <c r="AK30" i="18" s="1"/>
  <c r="GD24" i="18"/>
  <c r="GE24" i="18" s="1"/>
  <c r="FG24" i="18"/>
  <c r="HH13" i="18"/>
  <c r="HI13" i="18" s="1"/>
  <c r="GK13" i="18"/>
  <c r="LR111" i="18"/>
  <c r="ME14" i="18"/>
  <c r="MF14" i="18" s="1"/>
  <c r="MY110" i="18"/>
  <c r="MZ110" i="18" s="1"/>
  <c r="MB110" i="18"/>
  <c r="MB109" i="18"/>
  <c r="MY109" i="18"/>
  <c r="MZ109" i="18" s="1"/>
  <c r="MY107" i="18"/>
  <c r="MZ107" i="18" s="1"/>
  <c r="MY78" i="18"/>
  <c r="MZ78" i="18" s="1"/>
  <c r="MB75" i="18"/>
  <c r="MY75" i="18"/>
  <c r="MZ75" i="18" s="1"/>
  <c r="MY60" i="18"/>
  <c r="MZ60" i="18" s="1"/>
  <c r="MB60" i="18"/>
  <c r="MI44" i="18"/>
  <c r="MJ44" i="18" s="1"/>
  <c r="AI42" i="18"/>
  <c r="MW42" i="18"/>
  <c r="MX42" i="18" s="1"/>
  <c r="MB35" i="18"/>
  <c r="MY35" i="18"/>
  <c r="MZ35" i="18" s="1"/>
  <c r="Q32" i="18"/>
  <c r="AJ27" i="18"/>
  <c r="AK27" i="18" s="1"/>
  <c r="O27" i="18"/>
  <c r="MC27" i="18"/>
  <c r="MD27" i="18" s="1"/>
  <c r="MW45" i="18"/>
  <c r="MX45" i="18" s="1"/>
  <c r="AI45" i="18"/>
  <c r="MB48" i="18"/>
  <c r="MY48" i="18"/>
  <c r="MZ48" i="18" s="1"/>
  <c r="MM30" i="18"/>
  <c r="MN30" i="18" s="1"/>
  <c r="Y30" i="18"/>
  <c r="MB28" i="18"/>
  <c r="BN30" i="18"/>
  <c r="BO30" i="18" s="1"/>
  <c r="AJ24" i="18"/>
  <c r="AK24" i="18" s="1"/>
  <c r="M24" i="18"/>
  <c r="MA24" i="18"/>
  <c r="LF111" i="18"/>
  <c r="ME19" i="18"/>
  <c r="MF19" i="18" s="1"/>
  <c r="AJ19" i="18"/>
  <c r="AK19" i="18" s="1"/>
  <c r="MI14" i="18"/>
  <c r="MJ14" i="18" s="1"/>
  <c r="U14" i="18"/>
  <c r="MY9" i="18"/>
  <c r="MZ9" i="18" s="1"/>
  <c r="AE20" i="18"/>
  <c r="MS20" i="18"/>
  <c r="MT20" i="18" s="1"/>
  <c r="MA31" i="18"/>
  <c r="MY86" i="18"/>
  <c r="MZ86" i="18" s="1"/>
  <c r="MB86" i="18"/>
  <c r="W42" i="18"/>
  <c r="MK42" i="18"/>
  <c r="ML42" i="18" s="1"/>
  <c r="FG31" i="18"/>
  <c r="GD31" i="18"/>
  <c r="GE31" i="18" s="1"/>
  <c r="O45" i="18"/>
  <c r="MC45" i="18"/>
  <c r="MD45" i="18" s="1"/>
  <c r="MG43" i="18"/>
  <c r="MH43" i="18" s="1"/>
  <c r="MB41" i="18"/>
  <c r="MY41" i="18"/>
  <c r="MZ41" i="18" s="1"/>
  <c r="MQ47" i="18"/>
  <c r="MR47" i="18" s="1"/>
  <c r="BU36" i="18"/>
  <c r="CR36" i="18"/>
  <c r="CS36" i="18" s="1"/>
  <c r="ME44" i="18"/>
  <c r="MF44" i="18" s="1"/>
  <c r="O30" i="18"/>
  <c r="AJ25" i="18"/>
  <c r="AK25" i="18" s="1"/>
  <c r="MM20" i="18"/>
  <c r="MN20" i="18" s="1"/>
  <c r="Y20" i="18"/>
  <c r="MQ24" i="18"/>
  <c r="MR24" i="18" s="1"/>
  <c r="AC24" i="18"/>
  <c r="U20" i="18"/>
  <c r="MI20" i="18"/>
  <c r="MJ20" i="18" s="1"/>
  <c r="MB16" i="18"/>
  <c r="MY16" i="18"/>
  <c r="MZ16" i="18" s="1"/>
  <c r="CR13" i="18"/>
  <c r="CS13" i="18" s="1"/>
  <c r="BU13" i="18"/>
  <c r="JD111" i="18"/>
  <c r="CR14" i="18"/>
  <c r="CS14" i="18" s="1"/>
  <c r="BU14" i="18"/>
  <c r="MY52" i="18"/>
  <c r="MZ52" i="18" s="1"/>
  <c r="MY102" i="18"/>
  <c r="MZ102" i="18" s="1"/>
  <c r="MB102" i="18"/>
  <c r="MY100" i="18"/>
  <c r="MZ100" i="18" s="1"/>
  <c r="MB96" i="18"/>
  <c r="MY96" i="18"/>
  <c r="MZ96" i="18" s="1"/>
  <c r="MY83" i="18"/>
  <c r="MZ83" i="18" s="1"/>
  <c r="MB83" i="18"/>
  <c r="MB82" i="18"/>
  <c r="MY82" i="18"/>
  <c r="MZ82" i="18" s="1"/>
  <c r="MY80" i="18"/>
  <c r="MZ80" i="18" s="1"/>
  <c r="MB84" i="18"/>
  <c r="MY84" i="18"/>
  <c r="MZ84" i="18" s="1"/>
  <c r="MY88" i="18"/>
  <c r="MZ88" i="18" s="1"/>
  <c r="MY58" i="18"/>
  <c r="MZ58" i="18" s="1"/>
  <c r="MB58" i="18"/>
  <c r="MB62" i="18"/>
  <c r="MY62" i="18"/>
  <c r="MZ62" i="18" s="1"/>
  <c r="MB57" i="18"/>
  <c r="MY57" i="18"/>
  <c r="MZ57" i="18" s="1"/>
  <c r="MO43" i="18"/>
  <c r="MP43" i="18" s="1"/>
  <c r="MB54" i="18"/>
  <c r="MY54" i="18"/>
  <c r="MZ54" i="18" s="1"/>
  <c r="MA44" i="18"/>
  <c r="AC31" i="18"/>
  <c r="MQ31" i="18"/>
  <c r="MR31" i="18" s="1"/>
  <c r="MY51" i="18"/>
  <c r="MZ51" i="18" s="1"/>
  <c r="S45" i="18"/>
  <c r="MG45" i="18"/>
  <c r="MH45" i="18" s="1"/>
  <c r="AA30" i="18"/>
  <c r="MO30" i="18"/>
  <c r="MP30" i="18" s="1"/>
  <c r="Q20" i="18"/>
  <c r="ME20" i="18"/>
  <c r="MF20" i="18" s="1"/>
  <c r="Q24" i="18"/>
  <c r="AJ33" i="18"/>
  <c r="AK33" i="18" s="1"/>
  <c r="MB27" i="18"/>
  <c r="MI19" i="18"/>
  <c r="MJ19" i="18" s="1"/>
  <c r="AC14" i="18"/>
  <c r="MQ14" i="18"/>
  <c r="MR14" i="18" s="1"/>
  <c r="IR111" i="18"/>
  <c r="MB17" i="18"/>
  <c r="MY17" i="18"/>
  <c r="MZ17" i="18" s="1"/>
  <c r="MU19" i="18"/>
  <c r="MV19" i="18" s="1"/>
  <c r="BC14" i="18"/>
  <c r="BB111" i="18" s="1"/>
  <c r="MM14" i="18"/>
  <c r="MN14" i="18" s="1"/>
  <c r="AW14" i="18"/>
  <c r="AV111" i="18" s="1"/>
  <c r="MG14" i="18"/>
  <c r="MH14" i="18" s="1"/>
  <c r="MY5" i="18"/>
  <c r="MZ5" i="18" s="1"/>
  <c r="LD111" i="18" l="1"/>
  <c r="LD112" i="18" s="1"/>
  <c r="KZ111" i="18"/>
  <c r="KZ112" i="18" s="1"/>
  <c r="FN111" i="18"/>
  <c r="FN113" i="18" s="1"/>
  <c r="JT112" i="18"/>
  <c r="FJ114" i="18"/>
  <c r="JF114" i="18"/>
  <c r="JF112" i="18"/>
  <c r="JL113" i="18"/>
  <c r="JL112" i="18"/>
  <c r="GJ111" i="18"/>
  <c r="GJ113" i="18" s="1"/>
  <c r="IT112" i="18"/>
  <c r="IT113" i="18"/>
  <c r="KJ114" i="18"/>
  <c r="CH114" i="18"/>
  <c r="FZ113" i="18"/>
  <c r="FZ114" i="18"/>
  <c r="BX114" i="18"/>
  <c r="BX113" i="18"/>
  <c r="MY18" i="18"/>
  <c r="MZ18" i="18" s="1"/>
  <c r="JB112" i="18"/>
  <c r="JB114" i="18"/>
  <c r="DL114" i="18"/>
  <c r="DL113" i="18"/>
  <c r="HH111" i="18"/>
  <c r="HH112" i="18" s="1"/>
  <c r="AZ114" i="18"/>
  <c r="GT113" i="18"/>
  <c r="GL114" i="18"/>
  <c r="GT114" i="18"/>
  <c r="GZ112" i="18"/>
  <c r="AZ112" i="18"/>
  <c r="CZ112" i="18"/>
  <c r="CZ114" i="18"/>
  <c r="CV112" i="18"/>
  <c r="CD113" i="18"/>
  <c r="CB113" i="18"/>
  <c r="CP114" i="18"/>
  <c r="CB114" i="18"/>
  <c r="CH112" i="18"/>
  <c r="BV113" i="18"/>
  <c r="CD112" i="18"/>
  <c r="LL114" i="18"/>
  <c r="LV113" i="18"/>
  <c r="LV112" i="18"/>
  <c r="LL113" i="18"/>
  <c r="LJ114" i="18"/>
  <c r="LJ113" i="18"/>
  <c r="KN112" i="18"/>
  <c r="KN113" i="18"/>
  <c r="KL112" i="18"/>
  <c r="KH112" i="18"/>
  <c r="DZ112" i="18"/>
  <c r="DZ114" i="18"/>
  <c r="DZ113" i="18"/>
  <c r="EL114" i="18"/>
  <c r="EL112" i="18"/>
  <c r="EL113" i="18"/>
  <c r="EB112" i="18"/>
  <c r="EB113" i="18"/>
  <c r="EB114" i="18"/>
  <c r="EZ112" i="18"/>
  <c r="EZ113" i="18"/>
  <c r="EZ114" i="18"/>
  <c r="EP113" i="18"/>
  <c r="EP114" i="18"/>
  <c r="EP112" i="18"/>
  <c r="EN113" i="18"/>
  <c r="EN112" i="18"/>
  <c r="EN114" i="18"/>
  <c r="BV114" i="18"/>
  <c r="ER112" i="18"/>
  <c r="ER114" i="18"/>
  <c r="ER113" i="18"/>
  <c r="ED114" i="18"/>
  <c r="ED112" i="18"/>
  <c r="ED113" i="18"/>
  <c r="EH113" i="18"/>
  <c r="EH114" i="18"/>
  <c r="EH112" i="18"/>
  <c r="EJ114" i="18"/>
  <c r="EJ112" i="18"/>
  <c r="EJ113" i="18"/>
  <c r="LB113" i="18"/>
  <c r="ET112" i="18"/>
  <c r="ET113" i="18"/>
  <c r="ET114" i="18"/>
  <c r="EV113" i="18"/>
  <c r="EV114" i="18"/>
  <c r="EV112" i="18"/>
  <c r="KL114" i="18"/>
  <c r="CP113" i="18"/>
  <c r="EF113" i="18"/>
  <c r="EF112" i="18"/>
  <c r="EF114" i="18"/>
  <c r="EX112" i="18"/>
  <c r="EX114" i="18"/>
  <c r="EX113" i="18"/>
  <c r="LX111" i="18"/>
  <c r="LX113" i="18" s="1"/>
  <c r="LH112" i="18"/>
  <c r="CN112" i="18"/>
  <c r="KB113" i="18"/>
  <c r="FP114" i="18"/>
  <c r="DF113" i="18"/>
  <c r="DT114" i="18"/>
  <c r="BJ113" i="18"/>
  <c r="KB112" i="18"/>
  <c r="FP113" i="18"/>
  <c r="LP114" i="18"/>
  <c r="DF112" i="18"/>
  <c r="DT113" i="18"/>
  <c r="BJ112" i="18"/>
  <c r="LP113" i="18"/>
  <c r="CN114" i="18"/>
  <c r="BR114" i="18"/>
  <c r="DH114" i="18"/>
  <c r="KP114" i="18"/>
  <c r="DB114" i="18"/>
  <c r="KJ113" i="18"/>
  <c r="BD112" i="18"/>
  <c r="BR113" i="18"/>
  <c r="AN114" i="18"/>
  <c r="KP113" i="18"/>
  <c r="DB113" i="18"/>
  <c r="BD114" i="18"/>
  <c r="AN113" i="18"/>
  <c r="JJ114" i="18"/>
  <c r="LN114" i="18"/>
  <c r="BT111" i="18"/>
  <c r="BT112" i="18" s="1"/>
  <c r="LB112" i="18"/>
  <c r="DP113" i="18"/>
  <c r="JJ113" i="18"/>
  <c r="FV113" i="18"/>
  <c r="LH113" i="18"/>
  <c r="GZ114" i="18"/>
  <c r="JT113" i="18"/>
  <c r="JP113" i="18"/>
  <c r="JZ113" i="18"/>
  <c r="FJ112" i="18"/>
  <c r="KX112" i="18"/>
  <c r="KF113" i="18"/>
  <c r="KR114" i="18"/>
  <c r="FX112" i="18"/>
  <c r="JP112" i="18"/>
  <c r="KX113" i="18"/>
  <c r="FL112" i="18"/>
  <c r="KF112" i="18"/>
  <c r="KR113" i="18"/>
  <c r="FX113" i="18"/>
  <c r="IX112" i="18"/>
  <c r="GR114" i="18"/>
  <c r="HF112" i="18"/>
  <c r="JZ114" i="18"/>
  <c r="GX112" i="18"/>
  <c r="IX113" i="18"/>
  <c r="CF113" i="18"/>
  <c r="GR113" i="18"/>
  <c r="HD113" i="18"/>
  <c r="GN114" i="18"/>
  <c r="HF114" i="18"/>
  <c r="GX113" i="18"/>
  <c r="DN114" i="18"/>
  <c r="CF112" i="18"/>
  <c r="HD112" i="18"/>
  <c r="GN113" i="18"/>
  <c r="CL112" i="18"/>
  <c r="DN113" i="18"/>
  <c r="CJ114" i="18"/>
  <c r="FT114" i="18"/>
  <c r="CJ113" i="18"/>
  <c r="FR114" i="18"/>
  <c r="FT113" i="18"/>
  <c r="FR113" i="18"/>
  <c r="FD112" i="18"/>
  <c r="FD114" i="18"/>
  <c r="BF113" i="18"/>
  <c r="GL113" i="18"/>
  <c r="BL114" i="18"/>
  <c r="DR114" i="18"/>
  <c r="BL113" i="18"/>
  <c r="GV112" i="18"/>
  <c r="DR113" i="18"/>
  <c r="GV114" i="18"/>
  <c r="FV112" i="18"/>
  <c r="FL114" i="18"/>
  <c r="CV114" i="18"/>
  <c r="KH114" i="18"/>
  <c r="BF112" i="18"/>
  <c r="AX113" i="18"/>
  <c r="IZ114" i="18"/>
  <c r="DH112" i="18"/>
  <c r="CR111" i="18"/>
  <c r="CR113" i="18" s="1"/>
  <c r="GB112" i="18"/>
  <c r="IZ112" i="18"/>
  <c r="JN114" i="18"/>
  <c r="FH111" i="18"/>
  <c r="FH112" i="18" s="1"/>
  <c r="LT112" i="18"/>
  <c r="JH113" i="18"/>
  <c r="GB114" i="18"/>
  <c r="JN113" i="18"/>
  <c r="KD113" i="18"/>
  <c r="BZ114" i="18"/>
  <c r="FF111" i="18"/>
  <c r="FF113" i="18" s="1"/>
  <c r="LT114" i="18"/>
  <c r="JH112" i="18"/>
  <c r="GH114" i="18"/>
  <c r="KD112" i="18"/>
  <c r="GD111" i="18"/>
  <c r="GD112" i="18" s="1"/>
  <c r="DV111" i="18"/>
  <c r="DV113" i="18" s="1"/>
  <c r="GH113" i="18"/>
  <c r="IV112" i="18"/>
  <c r="AX114" i="18"/>
  <c r="CL114" i="18"/>
  <c r="IV114" i="18"/>
  <c r="BN111" i="18"/>
  <c r="BN112" i="18" s="1"/>
  <c r="DD112" i="18"/>
  <c r="DP114" i="18"/>
  <c r="AP111" i="18"/>
  <c r="AP113" i="18" s="1"/>
  <c r="JX112" i="18"/>
  <c r="DD114" i="18"/>
  <c r="JX113" i="18"/>
  <c r="LN113" i="18"/>
  <c r="BZ112" i="18"/>
  <c r="HX114" i="18"/>
  <c r="HX113" i="18"/>
  <c r="HX112" i="18"/>
  <c r="IJ112" i="18"/>
  <c r="IJ113" i="18"/>
  <c r="IJ114" i="18"/>
  <c r="HP112" i="18"/>
  <c r="HP113" i="18"/>
  <c r="HP114" i="18"/>
  <c r="BB112" i="18"/>
  <c r="BB114" i="18"/>
  <c r="BB113" i="18"/>
  <c r="AT112" i="18"/>
  <c r="AT113" i="18"/>
  <c r="AT114" i="18"/>
  <c r="LD114" i="18"/>
  <c r="HR112" i="18"/>
  <c r="HR113" i="18"/>
  <c r="HR114" i="18"/>
  <c r="ID114" i="18"/>
  <c r="ID112" i="18"/>
  <c r="ID113" i="18"/>
  <c r="AV112" i="18"/>
  <c r="AV113" i="18"/>
  <c r="AV114" i="18"/>
  <c r="IB113" i="18"/>
  <c r="IB114" i="18"/>
  <c r="IB112" i="18"/>
  <c r="HT112" i="18"/>
  <c r="HT113" i="18"/>
  <c r="HT114" i="18"/>
  <c r="MB31" i="18"/>
  <c r="HV113" i="18"/>
  <c r="HV114" i="18"/>
  <c r="HV112" i="18"/>
  <c r="IF112" i="18"/>
  <c r="IF113" i="18"/>
  <c r="IF114" i="18"/>
  <c r="KT113" i="18"/>
  <c r="KT114" i="18"/>
  <c r="KT112" i="18"/>
  <c r="CX113" i="18"/>
  <c r="CX114" i="18"/>
  <c r="CX112" i="18"/>
  <c r="AR112" i="18"/>
  <c r="AR113" i="18"/>
  <c r="AR114" i="18"/>
  <c r="IH112" i="18"/>
  <c r="IH113" i="18"/>
  <c r="IH114" i="18"/>
  <c r="JD114" i="18"/>
  <c r="JD112" i="18"/>
  <c r="JD113" i="18"/>
  <c r="MB30" i="18"/>
  <c r="MI22" i="18"/>
  <c r="MJ22" i="18" s="1"/>
  <c r="MG33" i="18"/>
  <c r="MH33" i="18" s="1"/>
  <c r="MS31" i="18"/>
  <c r="MT31" i="18" s="1"/>
  <c r="MB24" i="18"/>
  <c r="MY14" i="18"/>
  <c r="MZ14" i="18" s="1"/>
  <c r="MB14" i="18"/>
  <c r="MI27" i="18"/>
  <c r="MS33" i="18"/>
  <c r="MT33" i="18" s="1"/>
  <c r="MG31" i="18"/>
  <c r="MH31" i="18" s="1"/>
  <c r="MU31" i="18"/>
  <c r="MV31" i="18" s="1"/>
  <c r="ME32" i="18"/>
  <c r="MF32" i="18" s="1"/>
  <c r="MB22" i="18"/>
  <c r="MQ22" i="18"/>
  <c r="MR22" i="18" s="1"/>
  <c r="MI33" i="18"/>
  <c r="MJ33" i="18" s="1"/>
  <c r="MM25" i="18"/>
  <c r="MN25" i="18" s="1"/>
  <c r="MY42" i="18"/>
  <c r="MZ42" i="18" s="1"/>
  <c r="MB42" i="18"/>
  <c r="ME24" i="18"/>
  <c r="MF24" i="18" s="1"/>
  <c r="MI31" i="18"/>
  <c r="MJ31" i="18" s="1"/>
  <c r="BH113" i="18"/>
  <c r="BH114" i="18"/>
  <c r="BH112" i="18"/>
  <c r="MU33" i="18"/>
  <c r="MV33" i="18" s="1"/>
  <c r="MM24" i="18"/>
  <c r="MN24" i="18" s="1"/>
  <c r="MQ32" i="18"/>
  <c r="MR32" i="18" s="1"/>
  <c r="MA25" i="18"/>
  <c r="MY47" i="18"/>
  <c r="MZ47" i="18" s="1"/>
  <c r="MY20" i="18"/>
  <c r="MZ20" i="18" s="1"/>
  <c r="MB20" i="18"/>
  <c r="MW30" i="18"/>
  <c r="MX30" i="18" s="1"/>
  <c r="GP112" i="18"/>
  <c r="GP113" i="18"/>
  <c r="GP114" i="18"/>
  <c r="MY13" i="18"/>
  <c r="MZ13" i="18" s="1"/>
  <c r="MB44" i="18"/>
  <c r="MY44" i="18"/>
  <c r="MZ44" i="18" s="1"/>
  <c r="MA32" i="18"/>
  <c r="MY43" i="18"/>
  <c r="MZ43" i="18" s="1"/>
  <c r="MQ25" i="18"/>
  <c r="MR25" i="18" s="1"/>
  <c r="MI28" i="18"/>
  <c r="MJ28" i="18" s="1"/>
  <c r="MW33" i="18"/>
  <c r="MX33" i="18" s="1"/>
  <c r="ME22" i="18"/>
  <c r="MF22" i="18" s="1"/>
  <c r="MI24" i="18"/>
  <c r="MJ24" i="18" s="1"/>
  <c r="IP111" i="18"/>
  <c r="HL112" i="18"/>
  <c r="HL113" i="18"/>
  <c r="HL114" i="18"/>
  <c r="MO28" i="18"/>
  <c r="MP28" i="18" s="1"/>
  <c r="HO36" i="18"/>
  <c r="HN111" i="18" s="1"/>
  <c r="IL36" i="18"/>
  <c r="IM36" i="18" s="1"/>
  <c r="IL111" i="18" s="1"/>
  <c r="HZ112" i="18"/>
  <c r="HZ114" i="18"/>
  <c r="HZ113" i="18"/>
  <c r="MA33" i="18"/>
  <c r="MB45" i="18"/>
  <c r="MY45" i="18"/>
  <c r="MZ45" i="18" s="1"/>
  <c r="MC30" i="18"/>
  <c r="MD30" i="18" s="1"/>
  <c r="MM33" i="18"/>
  <c r="MN33" i="18" s="1"/>
  <c r="IR112" i="18"/>
  <c r="IR113" i="18"/>
  <c r="IR114" i="18"/>
  <c r="MI32" i="18"/>
  <c r="MJ32" i="18" s="1"/>
  <c r="MC28" i="18"/>
  <c r="HB113" i="18"/>
  <c r="HB114" i="18"/>
  <c r="HB112" i="18"/>
  <c r="MC31" i="18"/>
  <c r="MD31" i="18" s="1"/>
  <c r="MC33" i="18"/>
  <c r="MD33" i="18" s="1"/>
  <c r="MO31" i="18"/>
  <c r="MP31" i="18" s="1"/>
  <c r="MM32" i="18"/>
  <c r="MN32" i="18" s="1"/>
  <c r="LR112" i="18"/>
  <c r="LR113" i="18"/>
  <c r="LR114" i="18"/>
  <c r="MU32" i="18"/>
  <c r="MV32" i="18" s="1"/>
  <c r="ME31" i="18"/>
  <c r="MF31" i="18" s="1"/>
  <c r="MU28" i="18"/>
  <c r="MV28" i="18" s="1"/>
  <c r="MO33" i="18"/>
  <c r="MP33" i="18" s="1"/>
  <c r="MQ30" i="18"/>
  <c r="MR30" i="18" s="1"/>
  <c r="MI25" i="18"/>
  <c r="MJ25" i="18" s="1"/>
  <c r="LF113" i="18"/>
  <c r="LF114" i="18"/>
  <c r="LF112" i="18"/>
  <c r="MM31" i="18"/>
  <c r="MN31" i="18" s="1"/>
  <c r="ME33" i="18"/>
  <c r="MF33" i="18" s="1"/>
  <c r="JV113" i="18"/>
  <c r="JV114" i="18"/>
  <c r="JV112" i="18"/>
  <c r="ME25" i="18"/>
  <c r="MF25" i="18" s="1"/>
  <c r="MB19" i="18"/>
  <c r="MY19" i="18"/>
  <c r="MZ19" i="18" s="1"/>
  <c r="MU30" i="18"/>
  <c r="MV30" i="18" s="1"/>
  <c r="MU27" i="18"/>
  <c r="MV27" i="18" s="1"/>
  <c r="DJ114" i="18"/>
  <c r="DJ112" i="18"/>
  <c r="DJ113" i="18"/>
  <c r="MQ33" i="18"/>
  <c r="MR33" i="18" s="1"/>
  <c r="MO27" i="18"/>
  <c r="MP27" i="18" s="1"/>
  <c r="MG30" i="18"/>
  <c r="MH30" i="18" s="1"/>
  <c r="LD113" i="18" l="1"/>
  <c r="KZ114" i="18"/>
  <c r="KZ113" i="18"/>
  <c r="FN114" i="18"/>
  <c r="FN112" i="18"/>
  <c r="JF115" i="18"/>
  <c r="KJ115" i="18"/>
  <c r="JT115" i="18"/>
  <c r="IT115" i="18"/>
  <c r="FJ115" i="18"/>
  <c r="JL115" i="18"/>
  <c r="LJ115" i="18"/>
  <c r="BX115" i="18"/>
  <c r="DL115" i="18"/>
  <c r="EB115" i="18"/>
  <c r="GJ114" i="18"/>
  <c r="GJ112" i="18"/>
  <c r="FZ115" i="18"/>
  <c r="KH115" i="18"/>
  <c r="JB115" i="18"/>
  <c r="KL115" i="18"/>
  <c r="IZ115" i="18"/>
  <c r="CH115" i="18"/>
  <c r="E6" i="22"/>
  <c r="F6" i="22" s="1"/>
  <c r="FT115" i="18"/>
  <c r="E4" i="22"/>
  <c r="F4" i="22" s="1"/>
  <c r="CJ115" i="18"/>
  <c r="AZ115" i="18"/>
  <c r="DZ115" i="18"/>
  <c r="HH113" i="18"/>
  <c r="HH114" i="18"/>
  <c r="BL115" i="18"/>
  <c r="BD115" i="18"/>
  <c r="FP115" i="18"/>
  <c r="KN115" i="18"/>
  <c r="CB115" i="18"/>
  <c r="FX115" i="18"/>
  <c r="KB115" i="18"/>
  <c r="JZ115" i="18"/>
  <c r="KR115" i="18"/>
  <c r="LL115" i="18"/>
  <c r="EF115" i="18"/>
  <c r="CD115" i="18"/>
  <c r="ED115" i="18"/>
  <c r="FL115" i="18"/>
  <c r="CV115" i="18"/>
  <c r="GZ115" i="18"/>
  <c r="GT115" i="18"/>
  <c r="GL115" i="18"/>
  <c r="CZ115" i="18"/>
  <c r="DF115" i="18"/>
  <c r="CL115" i="18"/>
  <c r="BR115" i="18"/>
  <c r="CP115" i="18"/>
  <c r="CN115" i="18"/>
  <c r="BV115" i="18"/>
  <c r="LV115" i="18"/>
  <c r="LP115" i="18"/>
  <c r="LN115" i="18"/>
  <c r="LX114" i="18"/>
  <c r="LX112" i="18"/>
  <c r="LH115" i="18"/>
  <c r="LB115" i="18"/>
  <c r="KX115" i="18"/>
  <c r="EN115" i="18"/>
  <c r="EX115" i="18"/>
  <c r="ET115" i="18"/>
  <c r="ER115" i="18"/>
  <c r="EV115" i="18"/>
  <c r="EP115" i="18"/>
  <c r="EL115" i="18"/>
  <c r="EJ115" i="18"/>
  <c r="EH115" i="18"/>
  <c r="EZ115" i="18"/>
  <c r="GV115" i="18"/>
  <c r="IX115" i="18"/>
  <c r="BF115" i="18"/>
  <c r="BZ115" i="18"/>
  <c r="GX115" i="18"/>
  <c r="FV115" i="18"/>
  <c r="FR115" i="18"/>
  <c r="GN115" i="18"/>
  <c r="JJ115" i="18"/>
  <c r="BT114" i="18"/>
  <c r="AN115" i="18"/>
  <c r="DH115" i="18"/>
  <c r="DV114" i="18"/>
  <c r="DR115" i="18"/>
  <c r="DB115" i="18"/>
  <c r="BJ115" i="18"/>
  <c r="HB115" i="18"/>
  <c r="DP115" i="18"/>
  <c r="KP115" i="18"/>
  <c r="DT115" i="18"/>
  <c r="DN115" i="18"/>
  <c r="DJ115" i="18"/>
  <c r="FD115" i="18"/>
  <c r="FH113" i="18"/>
  <c r="IB115" i="18"/>
  <c r="LD115" i="18"/>
  <c r="DV112" i="18"/>
  <c r="DD115" i="18"/>
  <c r="BT113" i="18"/>
  <c r="GR115" i="18"/>
  <c r="KF115" i="18"/>
  <c r="JP115" i="18"/>
  <c r="FH114" i="18"/>
  <c r="JH115" i="18"/>
  <c r="JN115" i="18"/>
  <c r="FF112" i="18"/>
  <c r="FF114" i="18"/>
  <c r="HD115" i="18"/>
  <c r="HF115" i="18"/>
  <c r="GP115" i="18"/>
  <c r="CF115" i="18"/>
  <c r="HR115" i="18"/>
  <c r="IJ115" i="18"/>
  <c r="JD115" i="18"/>
  <c r="AV115" i="18"/>
  <c r="CR114" i="18"/>
  <c r="KD115" i="18"/>
  <c r="CR112" i="18"/>
  <c r="HT115" i="18"/>
  <c r="AT115" i="18"/>
  <c r="HX115" i="18"/>
  <c r="IH115" i="18"/>
  <c r="BN114" i="18"/>
  <c r="IR115" i="18"/>
  <c r="BN113" i="18"/>
  <c r="AX115" i="18"/>
  <c r="JV115" i="18"/>
  <c r="LF115" i="18"/>
  <c r="AR115" i="18"/>
  <c r="ID115" i="18"/>
  <c r="HL115" i="18"/>
  <c r="CX115" i="18"/>
  <c r="IF115" i="18"/>
  <c r="GD113" i="18"/>
  <c r="LT115" i="18"/>
  <c r="HV115" i="18"/>
  <c r="AP114" i="18"/>
  <c r="HZ115" i="18"/>
  <c r="AP112" i="18"/>
  <c r="GD114" i="18"/>
  <c r="JX115" i="18"/>
  <c r="BB115" i="18"/>
  <c r="HP115" i="18"/>
  <c r="IV115" i="18"/>
  <c r="GH115" i="18"/>
  <c r="GB115" i="18"/>
  <c r="KT115" i="18"/>
  <c r="BH115" i="18"/>
  <c r="LR115" i="18"/>
  <c r="HN112" i="18"/>
  <c r="HN113" i="18"/>
  <c r="HN114" i="18"/>
  <c r="IL112" i="18"/>
  <c r="IL113" i="18"/>
  <c r="IL114" i="18"/>
  <c r="MB32" i="18"/>
  <c r="MY32" i="18"/>
  <c r="MZ32" i="18" s="1"/>
  <c r="MB25" i="18"/>
  <c r="MY25" i="18"/>
  <c r="MZ25" i="18" s="1"/>
  <c r="MY22" i="18"/>
  <c r="MZ22" i="18" s="1"/>
  <c r="MY30" i="18"/>
  <c r="MZ30" i="18" s="1"/>
  <c r="MD28" i="18"/>
  <c r="MY28" i="18"/>
  <c r="MZ28" i="18" s="1"/>
  <c r="MY24" i="18"/>
  <c r="MZ24" i="18" s="1"/>
  <c r="IP112" i="18"/>
  <c r="IP113" i="18"/>
  <c r="IP114" i="18"/>
  <c r="MY31" i="18"/>
  <c r="MZ31" i="18" s="1"/>
  <c r="MB33" i="18"/>
  <c r="MY33" i="18"/>
  <c r="MZ33" i="18" s="1"/>
  <c r="MJ27" i="18"/>
  <c r="MY27" i="18"/>
  <c r="MZ27" i="18" s="1"/>
  <c r="KZ115" i="18" l="1"/>
  <c r="FN115" i="18"/>
  <c r="GJ115" i="18"/>
  <c r="FF115" i="18"/>
  <c r="HH115" i="18"/>
  <c r="AP115" i="18"/>
  <c r="DV115" i="18"/>
  <c r="LX115" i="18"/>
  <c r="BT115" i="18"/>
  <c r="FH115" i="18"/>
  <c r="BN115" i="18"/>
  <c r="HN115" i="18"/>
  <c r="IL115" i="18"/>
  <c r="IP115" i="18"/>
  <c r="CR115" i="18"/>
  <c r="GD115" i="18"/>
  <c r="X21" i="18"/>
  <c r="MM21" i="18" s="1"/>
  <c r="MN21" i="18" s="1"/>
  <c r="P21" i="18"/>
  <c r="Q21" i="18" s="1"/>
  <c r="I26" i="18"/>
  <c r="X26" i="18" s="1"/>
  <c r="K26" i="18"/>
  <c r="T21" i="18"/>
  <c r="MI21" i="18" s="1"/>
  <c r="MJ21" i="18" s="1"/>
  <c r="AB21" i="18"/>
  <c r="AC21" i="18" s="1"/>
  <c r="MQ21" i="18"/>
  <c r="MR21" i="18" s="1"/>
  <c r="AD21" i="18"/>
  <c r="MS21" i="18" s="1"/>
  <c r="MT21" i="18" s="1"/>
  <c r="AF21" i="18"/>
  <c r="AG21" i="18" s="1"/>
  <c r="N34" i="18"/>
  <c r="O34" i="18" s="1"/>
  <c r="MC34" i="18"/>
  <c r="MD34" i="18" s="1"/>
  <c r="I23" i="18"/>
  <c r="AF23" i="18" s="1"/>
  <c r="K21" i="18"/>
  <c r="Z21" i="18"/>
  <c r="AA21" i="18" s="1"/>
  <c r="AH21" i="18"/>
  <c r="MW21" i="18" s="1"/>
  <c r="MX21" i="18" s="1"/>
  <c r="R21" i="18"/>
  <c r="S21" i="18" s="1"/>
  <c r="MG21" i="18"/>
  <c r="MH21" i="18" s="1"/>
  <c r="L21" i="18"/>
  <c r="MA21" i="18" s="1"/>
  <c r="N21" i="18"/>
  <c r="MC21" i="18" s="1"/>
  <c r="MD21" i="18" s="1"/>
  <c r="O21" i="18"/>
  <c r="X36" i="18"/>
  <c r="MM36" i="18" s="1"/>
  <c r="MN36" i="18" s="1"/>
  <c r="V21" i="18"/>
  <c r="MK21" i="18" s="1"/>
  <c r="ML21" i="18" s="1"/>
  <c r="W21" i="18"/>
  <c r="I34" i="18"/>
  <c r="K34" i="18" s="1"/>
  <c r="I36" i="18"/>
  <c r="AD36" i="18" s="1"/>
  <c r="T36" i="18"/>
  <c r="MI36" i="18" s="1"/>
  <c r="MJ36" i="18" s="1"/>
  <c r="MC29" i="18"/>
  <c r="MD29" i="18" s="1"/>
  <c r="I29" i="18"/>
  <c r="K29" i="18" s="1"/>
  <c r="N29" i="18"/>
  <c r="O29" i="18" s="1"/>
  <c r="AF29" i="18" l="1"/>
  <c r="AH36" i="18"/>
  <c r="AI36" i="18" s="1"/>
  <c r="U36" i="18"/>
  <c r="T34" i="18"/>
  <c r="AF26" i="18"/>
  <c r="N36" i="18"/>
  <c r="MC36" i="18" s="1"/>
  <c r="MD36" i="18" s="1"/>
  <c r="MC111" i="18" s="1"/>
  <c r="MC114" i="18" s="1"/>
  <c r="Z34" i="18"/>
  <c r="MO34" i="18" s="1"/>
  <c r="MP34" i="18" s="1"/>
  <c r="Y36" i="18"/>
  <c r="L23" i="18"/>
  <c r="M23" i="18" s="1"/>
  <c r="Z29" i="18"/>
  <c r="T29" i="18"/>
  <c r="V36" i="18"/>
  <c r="MK36" i="18" s="1"/>
  <c r="ML36" i="18" s="1"/>
  <c r="Z36" i="18"/>
  <c r="AA36" i="18" s="1"/>
  <c r="L36" i="18"/>
  <c r="M36" i="18" s="1"/>
  <c r="L34" i="18"/>
  <c r="MA34" i="18" s="1"/>
  <c r="AE36" i="18"/>
  <c r="MS36" i="18"/>
  <c r="MT36" i="18" s="1"/>
  <c r="MU23" i="18"/>
  <c r="MV23" i="18" s="1"/>
  <c r="AG23" i="18"/>
  <c r="MM26" i="18"/>
  <c r="MN26" i="18" s="1"/>
  <c r="Y26" i="18"/>
  <c r="MB21" i="18"/>
  <c r="P36" i="18"/>
  <c r="MW36" i="18"/>
  <c r="MX36" i="18" s="1"/>
  <c r="MU21" i="18"/>
  <c r="MV21" i="18" s="1"/>
  <c r="X23" i="18"/>
  <c r="T26" i="18"/>
  <c r="Y21" i="18"/>
  <c r="MO36" i="18"/>
  <c r="MP36" i="18" s="1"/>
  <c r="R34" i="18"/>
  <c r="K23" i="18"/>
  <c r="J111" i="18" s="1"/>
  <c r="V34" i="18"/>
  <c r="AD34" i="18"/>
  <c r="P23" i="18"/>
  <c r="AF34" i="18"/>
  <c r="M21" i="18"/>
  <c r="AB34" i="18"/>
  <c r="L26" i="18"/>
  <c r="AH34" i="18"/>
  <c r="ME21" i="18"/>
  <c r="MF21" i="18" s="1"/>
  <c r="AB36" i="18"/>
  <c r="MA36" i="18"/>
  <c r="X34" i="18"/>
  <c r="K36" i="18"/>
  <c r="AE21" i="18"/>
  <c r="AB23" i="18"/>
  <c r="R36" i="18"/>
  <c r="MO21" i="18"/>
  <c r="MP21" i="18" s="1"/>
  <c r="AI21" i="18"/>
  <c r="AB26" i="18"/>
  <c r="P34" i="18"/>
  <c r="AJ21" i="18"/>
  <c r="AK21" i="18" s="1"/>
  <c r="T23" i="18"/>
  <c r="U21" i="18"/>
  <c r="P26" i="18"/>
  <c r="AF36" i="18"/>
  <c r="M34" i="18"/>
  <c r="U29" i="18" l="1"/>
  <c r="MI29" i="18"/>
  <c r="AJ29" i="18"/>
  <c r="AK29" i="18" s="1"/>
  <c r="MO29" i="18"/>
  <c r="MP29" i="18" s="1"/>
  <c r="MO111" i="18" s="1"/>
  <c r="MO112" i="18" s="1"/>
  <c r="AA29" i="18"/>
  <c r="MA23" i="18"/>
  <c r="MB23" i="18" s="1"/>
  <c r="MU26" i="18"/>
  <c r="MV26" i="18" s="1"/>
  <c r="AG26" i="18"/>
  <c r="AA34" i="18"/>
  <c r="Z111" i="18" s="1"/>
  <c r="Z112" i="18" s="1"/>
  <c r="U34" i="18"/>
  <c r="MI34" i="18"/>
  <c r="MJ34" i="18" s="1"/>
  <c r="W36" i="18"/>
  <c r="O36" i="18"/>
  <c r="N111" i="18" s="1"/>
  <c r="MU29" i="18"/>
  <c r="MV29" i="18" s="1"/>
  <c r="AG29" i="18"/>
  <c r="MC112" i="18"/>
  <c r="MC113" i="18"/>
  <c r="J113" i="18"/>
  <c r="J114" i="18"/>
  <c r="J112" i="18"/>
  <c r="N112" i="18"/>
  <c r="N114" i="18"/>
  <c r="N113" i="18"/>
  <c r="MM23" i="18"/>
  <c r="MN23" i="18" s="1"/>
  <c r="Y23" i="18"/>
  <c r="MW34" i="18"/>
  <c r="MX34" i="18" s="1"/>
  <c r="MW111" i="18" s="1"/>
  <c r="AI34" i="18"/>
  <c r="AH111" i="18" s="1"/>
  <c r="AJ26" i="18"/>
  <c r="AK26" i="18" s="1"/>
  <c r="M26" i="18"/>
  <c r="L111" i="18" s="1"/>
  <c r="MA26" i="18"/>
  <c r="MU34" i="18"/>
  <c r="MV34" i="18" s="1"/>
  <c r="AG34" i="18"/>
  <c r="MK34" i="18"/>
  <c r="ML34" i="18" s="1"/>
  <c r="MK111" i="18" s="1"/>
  <c r="W34" i="18"/>
  <c r="MI26" i="18"/>
  <c r="MJ26" i="18" s="1"/>
  <c r="U26" i="18"/>
  <c r="MQ34" i="18"/>
  <c r="MR34" i="18" s="1"/>
  <c r="AC34" i="18"/>
  <c r="S36" i="18"/>
  <c r="MG36" i="18"/>
  <c r="MH36" i="18" s="1"/>
  <c r="AJ23" i="18"/>
  <c r="AK23" i="18" s="1"/>
  <c r="AJ111" i="18" s="1"/>
  <c r="ME23" i="18"/>
  <c r="MF23" i="18" s="1"/>
  <c r="Q23" i="18"/>
  <c r="AG36" i="18"/>
  <c r="MU36" i="18"/>
  <c r="MV36" i="18" s="1"/>
  <c r="Y34" i="18"/>
  <c r="MM34" i="18"/>
  <c r="MN34" i="18" s="1"/>
  <c r="MY21" i="18"/>
  <c r="MZ21" i="18" s="1"/>
  <c r="MS34" i="18"/>
  <c r="MT34" i="18" s="1"/>
  <c r="MS111" i="18" s="1"/>
  <c r="AE34" i="18"/>
  <c r="AD111" i="18" s="1"/>
  <c r="AC26" i="18"/>
  <c r="MQ26" i="18"/>
  <c r="MR26" i="18" s="1"/>
  <c r="AC23" i="18"/>
  <c r="MQ23" i="18"/>
  <c r="MR23" i="18" s="1"/>
  <c r="MB34" i="18"/>
  <c r="AJ36" i="18"/>
  <c r="AK36" i="18" s="1"/>
  <c r="ME36" i="18"/>
  <c r="MF36" i="18" s="1"/>
  <c r="Q36" i="18"/>
  <c r="ME26" i="18"/>
  <c r="MF26" i="18" s="1"/>
  <c r="Q26" i="18"/>
  <c r="AJ34" i="18"/>
  <c r="AK34" i="18" s="1"/>
  <c r="U23" i="18"/>
  <c r="MI23" i="18"/>
  <c r="MJ23" i="18" s="1"/>
  <c r="MB36" i="18"/>
  <c r="S34" i="18"/>
  <c r="R111" i="18" s="1"/>
  <c r="MG34" i="18"/>
  <c r="MH34" i="18" s="1"/>
  <c r="MQ36" i="18"/>
  <c r="MR36" i="18" s="1"/>
  <c r="AC36" i="18"/>
  <c r="Q34" i="18"/>
  <c r="ME34" i="18"/>
  <c r="MF34" i="18" s="1"/>
  <c r="MC115" i="18" l="1"/>
  <c r="Z113" i="18"/>
  <c r="N115" i="18"/>
  <c r="Z114" i="18"/>
  <c r="T111" i="18"/>
  <c r="T113" i="18" s="1"/>
  <c r="V111" i="18"/>
  <c r="V112" i="18" s="1"/>
  <c r="X111" i="18"/>
  <c r="X112" i="18" s="1"/>
  <c r="MJ29" i="18"/>
  <c r="MI111" i="18" s="1"/>
  <c r="MI114" i="18" s="1"/>
  <c r="MY29" i="18"/>
  <c r="MZ29" i="18" s="1"/>
  <c r="MG111" i="18"/>
  <c r="MG113" i="18" s="1"/>
  <c r="P111" i="18"/>
  <c r="P113" i="18" s="1"/>
  <c r="AF111" i="18"/>
  <c r="AF114" i="18" s="1"/>
  <c r="J115" i="18"/>
  <c r="MO113" i="18"/>
  <c r="MO114" i="18"/>
  <c r="MU111" i="18"/>
  <c r="MU113" i="18" s="1"/>
  <c r="MQ111" i="18"/>
  <c r="MQ113" i="18" s="1"/>
  <c r="ME111" i="18"/>
  <c r="ME112" i="18" s="1"/>
  <c r="Z115" i="18"/>
  <c r="X113" i="18"/>
  <c r="X114" i="18"/>
  <c r="L113" i="18"/>
  <c r="L112" i="18"/>
  <c r="L114" i="18"/>
  <c r="AH112" i="18"/>
  <c r="AH113" i="18"/>
  <c r="AH114" i="18"/>
  <c r="AH115" i="18"/>
  <c r="AD114" i="18"/>
  <c r="AD112" i="18"/>
  <c r="AD113" i="18"/>
  <c r="MB26" i="18"/>
  <c r="MA111" i="18" s="1"/>
  <c r="MY26" i="18"/>
  <c r="MZ26" i="18" s="1"/>
  <c r="MY36" i="18"/>
  <c r="MZ36" i="18" s="1"/>
  <c r="MS112" i="18"/>
  <c r="MS113" i="18"/>
  <c r="MS114" i="18"/>
  <c r="MW114" i="18"/>
  <c r="MW112" i="18"/>
  <c r="MW113" i="18"/>
  <c r="AB111" i="18"/>
  <c r="MY23" i="18"/>
  <c r="MZ23" i="18" s="1"/>
  <c r="V113" i="18"/>
  <c r="MM111" i="18"/>
  <c r="AJ113" i="18"/>
  <c r="AJ114" i="18"/>
  <c r="AJ112" i="18"/>
  <c r="AJ115" i="18" s="1"/>
  <c r="R114" i="18"/>
  <c r="R113" i="18"/>
  <c r="R112" i="18"/>
  <c r="MY34" i="18"/>
  <c r="MZ34" i="18" s="1"/>
  <c r="MK113" i="18"/>
  <c r="MK112" i="18"/>
  <c r="MK114" i="18"/>
  <c r="MG112" i="18" l="1"/>
  <c r="P112" i="18"/>
  <c r="T114" i="18"/>
  <c r="V114" i="18"/>
  <c r="V115" i="18" s="1"/>
  <c r="T112" i="18"/>
  <c r="T115" i="18" s="1"/>
  <c r="MO115" i="18"/>
  <c r="MI113" i="18"/>
  <c r="MG114" i="18"/>
  <c r="R115" i="18"/>
  <c r="MK115" i="18"/>
  <c r="P114" i="18"/>
  <c r="P115" i="18" s="1"/>
  <c r="AF112" i="18"/>
  <c r="AF113" i="18"/>
  <c r="E5" i="22"/>
  <c r="E7" i="22" s="1"/>
  <c r="AF115" i="18"/>
  <c r="MU114" i="18"/>
  <c r="MU112" i="18"/>
  <c r="MI112" i="18"/>
  <c r="ME114" i="18"/>
  <c r="ME113" i="18"/>
  <c r="ME115" i="18" s="1"/>
  <c r="MQ114" i="18"/>
  <c r="MW115" i="18"/>
  <c r="MQ112" i="18"/>
  <c r="X115" i="18"/>
  <c r="MS115" i="18"/>
  <c r="AD115" i="18"/>
  <c r="L115" i="18"/>
  <c r="MM114" i="18"/>
  <c r="MM113" i="18"/>
  <c r="MM112" i="18"/>
  <c r="AB114" i="18"/>
  <c r="AB112" i="18"/>
  <c r="AB113" i="18"/>
  <c r="MY111" i="18"/>
  <c r="MA112" i="18"/>
  <c r="MA114" i="18"/>
  <c r="MA113" i="18"/>
  <c r="MG115" i="18" l="1"/>
  <c r="MI115" i="18"/>
  <c r="MU115" i="18"/>
  <c r="MQ115" i="18"/>
  <c r="F5" i="22"/>
  <c r="F7" i="22" s="1"/>
  <c r="F9" i="22" s="1"/>
  <c r="F21" i="22" s="1"/>
  <c r="F23" i="22" s="1"/>
  <c r="MA115" i="18"/>
  <c r="MM115" i="18"/>
  <c r="AB115" i="18"/>
  <c r="MY114" i="18"/>
  <c r="MY113" i="18"/>
  <c r="MY112" i="18"/>
  <c r="MY115" i="18" l="1"/>
  <c r="C5" i="31" s="1"/>
  <c r="C15" i="31" s="1"/>
  <c r="C18" i="31" s="1"/>
</calcChain>
</file>

<file path=xl/sharedStrings.xml><?xml version="1.0" encoding="utf-8"?>
<sst xmlns="http://schemas.openxmlformats.org/spreadsheetml/2006/main" count="879" uniqueCount="308">
  <si>
    <t>PLAZA DE PTO COLOMBIA (presupuesto mes)</t>
  </si>
  <si>
    <t>PLAYA MANGLARES (presupuesto mes)</t>
  </si>
  <si>
    <t>SALGAR PLAYAS DEL COUNTRY 1 (presupuesto mes)</t>
  </si>
  <si>
    <t>SALGAR PLAYAS DE SABANAILLA 2 (presupuesto mes)</t>
  </si>
  <si>
    <t>PLAYAS DE MIRAMAR SECTOR EL FARO (presupuesto mes)</t>
  </si>
  <si>
    <t>CENTRO GASTRONOMICO (presupuesto mes)</t>
  </si>
  <si>
    <t>SALINAS DEL REY (cantidad presupuesto mes)</t>
  </si>
  <si>
    <t>MERCADO LA SAZÓN (presupuesto mes)</t>
  </si>
  <si>
    <t>SENDERO SANTA VERÓNICA (presupuesto mes)</t>
  </si>
  <si>
    <t>CASTILLO SALGAR (cantidad presupuesto mes)</t>
  </si>
  <si>
    <t>PLAYA PUNTA ASTILLEROS (presupuesto mes)</t>
  </si>
  <si>
    <t>ÍTEM</t>
  </si>
  <si>
    <t>DESCRIPCIÓN</t>
  </si>
  <si>
    <t>UNID</t>
  </si>
  <si>
    <t>CANT.</t>
  </si>
  <si>
    <t>Vr. UNITARIO 2025</t>
  </si>
  <si>
    <t>FREC.</t>
  </si>
  <si>
    <t>PRECIO TOTAL</t>
  </si>
  <si>
    <t>V/TOTAL</t>
  </si>
  <si>
    <t>FREC</t>
  </si>
  <si>
    <t>CANT.,</t>
  </si>
  <si>
    <t>CANTIDAD</t>
  </si>
  <si>
    <t>MANTENIMIENTO DE PLAYAS</t>
  </si>
  <si>
    <t>1.01</t>
  </si>
  <si>
    <t>SUMINISTRO DE PERSONAL, INSUMOS Y HERRAMIENTAS PARA LIMPIEZA MANUAL DE INFRAESTRUCTURA COSTERA.</t>
  </si>
  <si>
    <t>M2-MES</t>
  </si>
  <si>
    <t>1.02</t>
  </si>
  <si>
    <t>APOYO LOGISTICO EN EL DESARROLLO DE EVENTOS  Y/O TEMPORADAS.</t>
  </si>
  <si>
    <t>M2</t>
  </si>
  <si>
    <t>1.03</t>
  </si>
  <si>
    <t xml:space="preserve">PERSONAL ADICIONAL PARA EVENTOS Y/O TEMPORADAS... INCLUYE ALIMENTACIÓN, TRANSPORTES, DOTACIÓN Y TODOS LOS ELEMENTOS NECESARIOS PARA LA PRESTACIÓN DEL SERVICIO </t>
  </si>
  <si>
    <t>jr</t>
  </si>
  <si>
    <t>1.04</t>
  </si>
  <si>
    <t>VACIADO DE PAPELERA Y PUNTO Y DISPOSICIÓN DE ACOPIO</t>
  </si>
  <si>
    <t>UND</t>
  </si>
  <si>
    <t>1.05</t>
  </si>
  <si>
    <t>MOVIMIENTO DE TIERRA</t>
  </si>
  <si>
    <t>M3</t>
  </si>
  <si>
    <t>1.06</t>
  </si>
  <si>
    <t>CONFORMACION DE TIERRA</t>
  </si>
  <si>
    <t>1.07</t>
  </si>
  <si>
    <t>EXCAVACIÓN MECANICA  EN TERRENO NATURAL SIN RETIRO</t>
  </si>
  <si>
    <t>1.08</t>
  </si>
  <si>
    <t>EXCAVACIÓN MANUAL EN TERRENO NATURAL SIN RETIRO</t>
  </si>
  <si>
    <t>1.09</t>
  </si>
  <si>
    <t>CORTE DE TRONCOS DE MADERA EN PLAYA (LONG MAX DE 8 m)</t>
  </si>
  <si>
    <t>1.10</t>
  </si>
  <si>
    <t>TRASIEGO CON MAQUINARIA EN SITIO ESTRATEGICO</t>
  </si>
  <si>
    <t>1.11</t>
  </si>
  <si>
    <t>CARGUE CON MAQUINARIA DE MATERIAL ACOPIADO  Y CLASIFICADO EN VOLQUETAS</t>
  </si>
  <si>
    <t>1.12</t>
  </si>
  <si>
    <t>RETIRO Y DISPOSICIÓN FINAL DE MATERIAL ORGÁNICO Y/O TRONCOS DE MADERA EN PLAYAS.( INC. LA GESTIÓN FINAL DEL USUARIO)</t>
  </si>
  <si>
    <t>1.13</t>
  </si>
  <si>
    <t>RETIRO Y DISPOSICIÓN FINAL DE MATERIAL INORGÁNICO Y/O OTROS TIPOS DE RESIDUO (INC. LA GESTIÓN FINAL DEL USUARIO)</t>
  </si>
  <si>
    <t>1.14</t>
  </si>
  <si>
    <t>SUMINISTRO DE PERSONAL, INSUMOS, HERRAMIENTAS Y EQUIPOS PARA NIVELACIÓN MECÁNICA DE PLAYAS</t>
  </si>
  <si>
    <t>1.15</t>
  </si>
  <si>
    <t>SUMINISTRO Y DISPOSICIÓN DE  EQUIPOS Y PERSONAL ESPECIALIZADO PARA LIMPIEZA Y OXIGENACIÓN MECÁNICA DE PLAYAS</t>
  </si>
  <si>
    <t xml:space="preserve">MANTENIMIENTO DE ZONAS VERDES </t>
  </si>
  <si>
    <t>2.01</t>
  </si>
  <si>
    <r>
      <rPr>
        <b/>
        <sz val="10"/>
        <rFont val="Roboto"/>
      </rPr>
      <t>CONTROL DE MALEZAS MECANICA</t>
    </r>
    <r>
      <rPr>
        <sz val="10"/>
        <rFont val="Roboto"/>
      </rPr>
      <t xml:space="preserve"> DE </t>
    </r>
    <r>
      <rPr>
        <b/>
        <sz val="10"/>
        <rFont val="Roboto"/>
      </rPr>
      <t>ARBUSTOS Y CUBRESUELOS</t>
    </r>
    <r>
      <rPr>
        <sz val="10"/>
        <rFont val="Roboto"/>
      </rPr>
      <t>, INCLUYE TODAS LAS HERRAMIENTAS Y EQUIPOS NECESARIOS PARA LA CORRECTA EJECUCIÓN DE LA ACTIVIDAD.</t>
    </r>
  </si>
  <si>
    <t>2.02</t>
  </si>
  <si>
    <r>
      <rPr>
        <b/>
        <sz val="10"/>
        <rFont val="Roboto"/>
      </rPr>
      <t>CONTROL DE MALEZAS MECANICA</t>
    </r>
    <r>
      <rPr>
        <sz val="10"/>
        <rFont val="Roboto"/>
      </rPr>
      <t xml:space="preserve"> DE </t>
    </r>
    <r>
      <rPr>
        <b/>
        <sz val="10"/>
        <rFont val="Roboto"/>
      </rPr>
      <t>GRAMA</t>
    </r>
    <r>
      <rPr>
        <sz val="10"/>
        <rFont val="Roboto"/>
      </rPr>
      <t>, INCLUYE TODAS LAS HERRAMIENTAS Y EQUIPOS NECESARIOS PARA LA CORRECTA EJECUCIÓN DE LA ACTIVIDAD</t>
    </r>
  </si>
  <si>
    <t>2.03</t>
  </si>
  <si>
    <r>
      <rPr>
        <b/>
        <sz val="10"/>
        <rFont val="Roboto"/>
      </rPr>
      <t>CONTROL DE MALEZAS MECANICA</t>
    </r>
    <r>
      <rPr>
        <sz val="10"/>
        <rFont val="Roboto"/>
      </rPr>
      <t xml:space="preserve"> DE </t>
    </r>
    <r>
      <rPr>
        <b/>
        <sz val="10"/>
        <rFont val="Roboto"/>
      </rPr>
      <t>ARBOLES Y PALMAS</t>
    </r>
    <r>
      <rPr>
        <sz val="10"/>
        <rFont val="Roboto"/>
      </rPr>
      <t>, INCLUYE TODAS LAS HERRAMIENTAS Y EQUIPOS NECESARIOS PARA LA CORRECTA EJECUCIÓN DE LA ACTIVIDAD</t>
    </r>
  </si>
  <si>
    <t>UND-MES</t>
  </si>
  <si>
    <t>2.04</t>
  </si>
  <si>
    <r>
      <t xml:space="preserve">SUMINISTRO Y APLICACIÓN DE </t>
    </r>
    <r>
      <rPr>
        <b/>
        <sz val="10"/>
        <rFont val="Roboto"/>
      </rPr>
      <t>HERBICIDAS</t>
    </r>
    <r>
      <rPr>
        <sz val="10"/>
        <rFont val="Roboto"/>
      </rPr>
      <t xml:space="preserve"> PARA CONTROL DE MALEZAS QUIMICO DE </t>
    </r>
    <r>
      <rPr>
        <b/>
        <sz val="10"/>
        <rFont val="Roboto"/>
      </rPr>
      <t>GRAMA</t>
    </r>
    <r>
      <rPr>
        <sz val="10"/>
        <rFont val="Roboto"/>
      </rPr>
      <t>, INCLUYE TODOS LOS INSUMOS, HERRAMIENTAS Y EQUIPOS PARA EL CORRECTO CONTROL Y EJECUCIÓN DE LA ACTIVIDAD.</t>
    </r>
  </si>
  <si>
    <t>2.05</t>
  </si>
  <si>
    <r>
      <t xml:space="preserve">SUMINISTRO Y APLICACIÓN DE </t>
    </r>
    <r>
      <rPr>
        <b/>
        <sz val="10"/>
        <rFont val="Roboto"/>
      </rPr>
      <t>HERBICIDAS</t>
    </r>
    <r>
      <rPr>
        <sz val="10"/>
        <rFont val="Roboto"/>
      </rPr>
      <t xml:space="preserve"> PARA CONTROL DE MALEZAS QUIMICO DE </t>
    </r>
    <r>
      <rPr>
        <b/>
        <sz val="10"/>
        <rFont val="Roboto"/>
      </rPr>
      <t>ARBOLES</t>
    </r>
    <r>
      <rPr>
        <sz val="10"/>
        <rFont val="Roboto"/>
      </rPr>
      <t xml:space="preserve">, INCLUYE TODOS LOS INSUMOS, HERRAMIENTAS Y EQUIPOS PARA EL CORRECTO CONTROL Y EJECUCIÓN DE LA ACTIVIDAD. </t>
    </r>
  </si>
  <si>
    <t>2.06</t>
  </si>
  <si>
    <r>
      <t xml:space="preserve">SUMINISTRO Y APLICACIÓN DE </t>
    </r>
    <r>
      <rPr>
        <b/>
        <sz val="10"/>
        <rFont val="Roboto"/>
      </rPr>
      <t>FUNGICIDAS E INSECTICIDAS</t>
    </r>
    <r>
      <rPr>
        <sz val="10"/>
        <rFont val="Roboto"/>
      </rPr>
      <t xml:space="preserve"> SEGÚN CONTROL FITOSANITARIO PARA </t>
    </r>
    <r>
      <rPr>
        <b/>
        <sz val="10"/>
        <rFont val="Roboto"/>
      </rPr>
      <t>ARBUSTOS, CUBRESUELOS</t>
    </r>
    <r>
      <rPr>
        <sz val="10"/>
        <rFont val="Roboto"/>
      </rPr>
      <t>, INCLUYE TODOS LOS INSUMOS, HERRAMIENTAS Y EQUIPOS PARA EL CORRECTO CONTROL Y EJECUCIÓN DE LA ACTIVIDAD.</t>
    </r>
  </si>
  <si>
    <t>2.07</t>
  </si>
  <si>
    <r>
      <t xml:space="preserve">SUMINISTRO Y APLICACIÓN DE </t>
    </r>
    <r>
      <rPr>
        <b/>
        <sz val="10"/>
        <rFont val="Roboto"/>
      </rPr>
      <t>FUNGICIDAS E INSECTICIDAS</t>
    </r>
    <r>
      <rPr>
        <sz val="10"/>
        <rFont val="Roboto"/>
      </rPr>
      <t xml:space="preserve"> SEGÚN CONTROL FITOSANITARIO DE </t>
    </r>
    <r>
      <rPr>
        <b/>
        <sz val="10"/>
        <rFont val="Roboto"/>
      </rPr>
      <t>GRAMA</t>
    </r>
    <r>
      <rPr>
        <sz val="10"/>
        <rFont val="Roboto"/>
      </rPr>
      <t>, INCLUYE TODOS LOS INSUMOS, HERRAMIENTAS Y EQUIPOS PARA EL CORRECTO CONTROL Y EJECUCIÓN DE LA ACTIVIDAD.</t>
    </r>
  </si>
  <si>
    <t>2.08</t>
  </si>
  <si>
    <r>
      <t xml:space="preserve">SUMINISTRO Y APLICACIÓN DE </t>
    </r>
    <r>
      <rPr>
        <b/>
        <sz val="10"/>
        <rFont val="Roboto"/>
      </rPr>
      <t>FUNGICIDAS E INSECTICIDAS</t>
    </r>
    <r>
      <rPr>
        <sz val="10"/>
        <rFont val="Roboto"/>
      </rPr>
      <t xml:space="preserve"> SEGÚN CONTROL FITOSANITARIO DE </t>
    </r>
    <r>
      <rPr>
        <b/>
        <sz val="10"/>
        <rFont val="Roboto"/>
      </rPr>
      <t>ARBOLES Y PALMAS</t>
    </r>
    <r>
      <rPr>
        <sz val="10"/>
        <rFont val="Roboto"/>
      </rPr>
      <t>, INCLUYE TODOS LOS INSUMOS, HERRAMIENTAS Y EQUIPOS PARA EL CORRECTO CONTROL Y EJECUCIÓN DE LA ACTIVIDAD.</t>
    </r>
  </si>
  <si>
    <t>2.09</t>
  </si>
  <si>
    <r>
      <t xml:space="preserve">SUMINISTRO Y APLICACIÓN DE </t>
    </r>
    <r>
      <rPr>
        <b/>
        <sz val="10"/>
        <rFont val="Roboto"/>
      </rPr>
      <t>FERTILIZANTES</t>
    </r>
    <r>
      <rPr>
        <sz val="10"/>
        <rFont val="Roboto"/>
      </rPr>
      <t xml:space="preserve"> PARA </t>
    </r>
    <r>
      <rPr>
        <b/>
        <sz val="10"/>
        <rFont val="Roboto"/>
      </rPr>
      <t>ARBUSTOS Y CUBRESUELOS</t>
    </r>
    <r>
      <rPr>
        <sz val="10"/>
        <rFont val="Roboto"/>
      </rPr>
      <t>, FERTILIZACIÓN DE SISTESIS ORGANICA, , INCLUYE TODOS LOS INSUMOS, HERRAMIENTAS Y EQUIPOS PARA EL CORRECTO CONTROL Y EJECUCIÓN DE LA ACTIVIDAD.</t>
    </r>
  </si>
  <si>
    <t>2.10</t>
  </si>
  <si>
    <r>
      <t xml:space="preserve">SUMINISTRO Y APLICACIÓN DE </t>
    </r>
    <r>
      <rPr>
        <b/>
        <sz val="10"/>
        <rFont val="Roboto"/>
      </rPr>
      <t>FERTILIZANTES</t>
    </r>
    <r>
      <rPr>
        <sz val="10"/>
        <rFont val="Roboto"/>
      </rPr>
      <t xml:space="preserve"> PARA </t>
    </r>
    <r>
      <rPr>
        <b/>
        <sz val="10"/>
        <rFont val="Roboto"/>
      </rPr>
      <t>GRAMA</t>
    </r>
    <r>
      <rPr>
        <sz val="10"/>
        <rFont val="Roboto"/>
      </rPr>
      <t>, FERTILIZACIÓN DE SISTESIS ORGANICA , INCLUYE TODOS LOS INSUMOS, HERRAMIENTAS Y EQUIPOS PARA EL CORRECTO CONTROL Y EJECUCIÓN DE LA ACTIVIDAD.</t>
    </r>
  </si>
  <si>
    <t>2.11</t>
  </si>
  <si>
    <r>
      <t xml:space="preserve">SUMINISTRO Y APLICACIÓN DE </t>
    </r>
    <r>
      <rPr>
        <b/>
        <sz val="10"/>
        <rFont val="Roboto"/>
      </rPr>
      <t>FERTILIZANTES</t>
    </r>
    <r>
      <rPr>
        <sz val="10"/>
        <rFont val="Roboto"/>
      </rPr>
      <t xml:space="preserve"> PARA MANEJO NUTRICIONAL </t>
    </r>
    <r>
      <rPr>
        <b/>
        <sz val="10"/>
        <rFont val="Roboto"/>
      </rPr>
      <t>ARBOLES Y PALMAS</t>
    </r>
    <r>
      <rPr>
        <sz val="10"/>
        <rFont val="Roboto"/>
      </rPr>
      <t>, FERTILIZACIÓN DE SISTESIS ORGANICA, , INCLUYE TODOS LOS INSUMOS, HERRAMIENTAS Y EQUIPOS PARA EL CORRECTO CONTROL Y EJECUCIÓN DE LA ACTIVIDAD.</t>
    </r>
  </si>
  <si>
    <t>2.12</t>
  </si>
  <si>
    <r>
      <t xml:space="preserve">SUMINISTRO DE INSUMOS Y PERSONAL PARA </t>
    </r>
    <r>
      <rPr>
        <b/>
        <sz val="10"/>
        <rFont val="Roboto"/>
      </rPr>
      <t>PODA TECNICA</t>
    </r>
    <r>
      <rPr>
        <sz val="10"/>
        <rFont val="Roboto"/>
      </rPr>
      <t xml:space="preserve"> Y FORMATIVA DE </t>
    </r>
    <r>
      <rPr>
        <b/>
        <sz val="10"/>
        <rFont val="Roboto"/>
      </rPr>
      <t>ARBUSTOS Y CUBRESUELOS</t>
    </r>
    <r>
      <rPr>
        <sz val="10"/>
        <rFont val="Roboto"/>
      </rPr>
      <t>, INCLUYE TODOS LOS INSUMOS, HERRAMIENTAS Y EQUIPOS PARA EL CORRECTO CONTROL Y EJECUCIÓN DE LA ACTIVIDAD.</t>
    </r>
  </si>
  <si>
    <t>2.13</t>
  </si>
  <si>
    <r>
      <t xml:space="preserve">SUMINISTRO DE INSUMOS Y PERSONAL PARA </t>
    </r>
    <r>
      <rPr>
        <b/>
        <sz val="10"/>
        <rFont val="Roboto"/>
      </rPr>
      <t>PODA TECNICA</t>
    </r>
    <r>
      <rPr>
        <sz val="10"/>
        <rFont val="Roboto"/>
      </rPr>
      <t xml:space="preserve"> DE </t>
    </r>
    <r>
      <rPr>
        <b/>
        <sz val="10"/>
        <rFont val="Roboto"/>
      </rPr>
      <t>GRAMA</t>
    </r>
    <r>
      <rPr>
        <sz val="10"/>
        <rFont val="Roboto"/>
      </rPr>
      <t xml:space="preserve"> CON MAQUINA, INCLUYE TODOS LOS INSUMOS, HERRAMIENTAS Y EQUIPOS PARA EL CORRECTO CONTROL Y EJECUCIÓN DE LA ACTIVIDAD.</t>
    </r>
  </si>
  <si>
    <t>2.14</t>
  </si>
  <si>
    <r>
      <t xml:space="preserve">SUMINISTRO DE INSUMOS Y PERSONAL PARA </t>
    </r>
    <r>
      <rPr>
        <b/>
        <sz val="10"/>
        <rFont val="Roboto"/>
      </rPr>
      <t>PODA TECNICA</t>
    </r>
    <r>
      <rPr>
        <sz val="10"/>
        <rFont val="Roboto"/>
      </rPr>
      <t xml:space="preserve"> Y FORMATICA DE </t>
    </r>
    <r>
      <rPr>
        <b/>
        <sz val="10"/>
        <rFont val="Roboto"/>
      </rPr>
      <t>ARBOLES Y PALMAS</t>
    </r>
    <r>
      <rPr>
        <sz val="10"/>
        <rFont val="Roboto"/>
      </rPr>
      <t>, INCLUYE TODOS LOS INSUMOS, HERRAMIENTAS Y EQUIPOS PARA EL CORRECTO CONTROL Y EJECUCIÓN DE LA ACTIVIDAD.</t>
    </r>
  </si>
  <si>
    <t>2.15</t>
  </si>
  <si>
    <r>
      <t xml:space="preserve">SUMINISTRO DE INSUMOS Y PERSONAL PARA </t>
    </r>
    <r>
      <rPr>
        <b/>
        <sz val="10"/>
        <rFont val="Roboto"/>
      </rPr>
      <t>BORDEADA DE GRAMA</t>
    </r>
    <r>
      <rPr>
        <sz val="10"/>
        <rFont val="Roboto"/>
      </rPr>
      <t>, INCLUYE LOS EQUIPOS NECESARIOS PARA LA CORRECTA EJECUCIÓN DE LA ACTIVIDAD.</t>
    </r>
  </si>
  <si>
    <t>ML-MES</t>
  </si>
  <si>
    <t>2.16</t>
  </si>
  <si>
    <r>
      <rPr>
        <b/>
        <sz val="10"/>
        <rFont val="Roboto"/>
      </rPr>
      <t xml:space="preserve">APLICACIÓN DE AGUA MEDIANTE PUNTO DE AGUA CON MANGUERA </t>
    </r>
    <r>
      <rPr>
        <sz val="10"/>
        <rFont val="Roboto"/>
      </rPr>
      <t>EN ZONAS VERDES, INCLUYE LOS EQUIPOS NECESARIOS PARA LA CORRECTA EJECUCIÓN DE LA ACTIVIDAD.</t>
    </r>
  </si>
  <si>
    <t>2.17</t>
  </si>
  <si>
    <t>AGUA EN CARRO TANQUE PARA RIEGO</t>
  </si>
  <si>
    <t>VJE</t>
  </si>
  <si>
    <t>2.18</t>
  </si>
  <si>
    <r>
      <t xml:space="preserve">SUMINISTRO DE INSUMOS Y PERSONAL </t>
    </r>
    <r>
      <rPr>
        <b/>
        <sz val="10"/>
        <rFont val="Roboto"/>
      </rPr>
      <t>ASEO Y LIMPIEZA DE ZONAS VERDES</t>
    </r>
    <r>
      <rPr>
        <sz val="10"/>
        <rFont val="Roboto"/>
      </rPr>
      <t>, INCLUYE TODOS LOS INSUMOS, HERRAMIENTAS Y EQUIPOS PARA LA CORRECTA EJECUCIÓN DE LA ACTIVIDAD.</t>
    </r>
  </si>
  <si>
    <r>
      <t xml:space="preserve">CONTROL DE </t>
    </r>
    <r>
      <rPr>
        <b/>
        <sz val="10"/>
        <rFont val="Roboto"/>
      </rPr>
      <t>MALEZAS MECANICA</t>
    </r>
    <r>
      <rPr>
        <sz val="10"/>
        <rFont val="Roboto"/>
      </rPr>
      <t xml:space="preserve"> DE ARBUSTOS Y CUBRESUELOS </t>
    </r>
    <r>
      <rPr>
        <b/>
        <sz val="10"/>
        <rFont val="Roboto"/>
      </rPr>
      <t>MURO VERTICAL</t>
    </r>
    <r>
      <rPr>
        <sz val="10"/>
        <rFont val="Roboto"/>
      </rPr>
      <t>, INCLUYE TODAS LAS HERRAMIENTAS Y EQUIPOS NECESARIOS PARA LA CORRECTA EJECUCIÓN DE LA ACTIVIDAD.</t>
    </r>
  </si>
  <si>
    <r>
      <t xml:space="preserve">SUMINISTRO DE INSUMOS Y PERSONAL PARA </t>
    </r>
    <r>
      <rPr>
        <b/>
        <sz val="10"/>
        <rFont val="Roboto"/>
      </rPr>
      <t>PODA TECNICA</t>
    </r>
    <r>
      <rPr>
        <sz val="10"/>
        <rFont val="Roboto"/>
      </rPr>
      <t xml:space="preserve"> Y FORMATIVA DE ARBUSTOS Y CUBRESUELOS </t>
    </r>
    <r>
      <rPr>
        <b/>
        <sz val="10"/>
        <rFont val="Roboto"/>
      </rPr>
      <t>MURO VERTICAL</t>
    </r>
    <r>
      <rPr>
        <sz val="10"/>
        <rFont val="Roboto"/>
      </rPr>
      <t>, INCLUYE TODOS LOS INSUMOS, HERRAMIENTAS Y EQUIPOS PARA EL CORRECTO CONTROL Y EJECUCIÓN DE LA ACTIVIDAD.</t>
    </r>
  </si>
  <si>
    <r>
      <t xml:space="preserve">SUMINISTRO Y APLICACIÓN DE FUNGICIDAS E INSECTICIDAS SEGÚN CONTROL FITOSANITARIO PARA ARBUSTOS Y CUBRESUELOS </t>
    </r>
    <r>
      <rPr>
        <b/>
        <sz val="10"/>
        <rFont val="Roboto"/>
      </rPr>
      <t>MURO VERTICAL</t>
    </r>
    <r>
      <rPr>
        <sz val="10"/>
        <rFont val="Roboto"/>
      </rPr>
      <t>, INCLUYE TODOS LOS INSUMOS, HERRAMIENTAS Y EQUIPOS PARA EL CORRECTO CONTROL Y EJECUCIÓN DE LA ACTIVIDAD.</t>
    </r>
  </si>
  <si>
    <r>
      <t xml:space="preserve">SUMINISTRO Y APLICACIÓN DE FERTILIZANTES PARA ARBUSTOS Y CUBRESUELOS </t>
    </r>
    <r>
      <rPr>
        <b/>
        <sz val="10"/>
        <rFont val="Roboto"/>
      </rPr>
      <t>MURO VERTICAL</t>
    </r>
    <r>
      <rPr>
        <sz val="10"/>
        <rFont val="Roboto"/>
      </rPr>
      <t>, FERTILIZACIÓN DE SISTESIS ORGANICA, , INCLUYE TODOS LOS INSUMOS, HERRAMIENTAS Y EQUIPOS PARA EL CORRECTO CONTROL Y EJECUCIÓN DE LA ACTIVIDAD.</t>
    </r>
  </si>
  <si>
    <t>ZONA DURA</t>
  </si>
  <si>
    <t>SUMINISTRO DE INSUMOS  Y PULIDA DE BARANDAS Y ELEMENTOS EN ACERO INOXIDABLE, INCLUYE REMOCIÓN DE PINTURAS, ESMALTES, CHICLES Y DEMAS ELEMENTOS QUE NO HAGAN PARTE DE SU FUNCIONALIDAD.</t>
  </si>
  <si>
    <t>CONTROL DE MALEZAS MECANICO DE ZONAS DURAS, INCLUYE TODAS LAS HERRAMIENTAS Y EQUIPOS NECESARIOS PARA LA CORRECTA EJECUCIÓN DE LA ACTIVIDAD</t>
  </si>
  <si>
    <t>SUMINISTRO DE INSUMOS Y PERSONAL ASEO Y LIMPIEZA DE ZONAS DURAS, INCLUYE TODOS LOS INSUMOS, HERRAMIENTAS Y EQUIPOS PARA LA CORRECTA EJECUCIÓN DE LA ACTIVIDAD.</t>
  </si>
  <si>
    <t>LAVADA A PRESIÓN DE ZONAS DURAS, INCLUYE TODOS LOS INSUMOS, HERRAMIENTAS Y EQUIPOS PARA LA CORRECTA EJECUCIÓN DE LA ACTIVIDAD.</t>
  </si>
  <si>
    <t>SUMINISTRO Y APLICACIÓN DE HERBICIDAS PARA CONTROL DE MALEZAS QUIMICO DE ZONAS DURAS</t>
  </si>
  <si>
    <r>
      <rPr>
        <b/>
        <sz val="10"/>
        <rFont val="Roboto"/>
      </rPr>
      <t>PULIDO Y ENCERADO DE PISOS DE MARMOL</t>
    </r>
    <r>
      <rPr>
        <sz val="10"/>
        <rFont val="Roboto"/>
      </rPr>
      <t xml:space="preserve"> POR MEDIOS MECÁNICOS Y MANUALES</t>
    </r>
  </si>
  <si>
    <r>
      <t xml:space="preserve">SUMINISTRO DE INSUMOS Y PERSONAL </t>
    </r>
    <r>
      <rPr>
        <b/>
        <sz val="10"/>
        <rFont val="Roboto"/>
      </rPr>
      <t>ASEO Y LIMPIEZA DE UNIDAD SANITARIA DE BAÑO</t>
    </r>
    <r>
      <rPr>
        <sz val="10"/>
        <rFont val="Roboto"/>
      </rPr>
      <t>, INCLUYE TODOS LOS INSUMOS, HERRAMIENTAS Y EQUIPOS PARA LA CORRECTA EJECUCIÓN DE LA ACTIVIDAD.</t>
    </r>
  </si>
  <si>
    <t>UND.SANITARIA-MES</t>
  </si>
  <si>
    <t>SUMINISTRO DE INSUMOS  PARA LIMPIEZA DE BARANDAS Y ELEMENTOS EN PVC, INCLUYE REMOCIÓN DE PINTURAS, ESMALTES, CHICLES Y DEMAS ELEMENTOS QUE NO HAGAN PARTE DE SU FUNCIONALIDAD.</t>
  </si>
  <si>
    <t>SUMINISTRO DE INSUMOS Y PERSONAL PARA ASEO, LIMPIEZA Y MANTENIMIENTO PREVENTIVO SIN SUMNISTRO DE REPUESTOS DE ESCALERA ELECTRICA. INCLUYE ACTIVIDADES DE INSPECCIÓN, AJUSTE Y LUBRICACIÓN PERIODICA DE ELEMENTOS Y ARTES PROPIAS DEL EQUIPO</t>
  </si>
  <si>
    <t>SUMINISTRO DE INSUMOS Y PERSONAL PARA ASEO Y LIMPIEZA PERIODICA DE FUENTE DE AGUA, ASI COMO DEL TRATAMIENTO QUIMICO PARA DESINFECCIÓN DEL AGUA</t>
  </si>
  <si>
    <t>SUMINISTRO DE PERSONAL E INSUMOS PARA MANTENIMIENTO PREVENTIVO Y CORRECTIVO DE SISTEMA DE AGUA CONDENSADA , INCLUYE LIMPIZA DE FILTROS, CAMBIO DE AGUA DE ESTANQUE, TRATAMIENTO AGUA, ENGRASE PARTES RODANTES, LIMPIEZA PARTES ELECTRICAS, BALANCEO Y NIVELADO DE AGUA.</t>
  </si>
  <si>
    <t>SUMINISTRO DE INSUMOS Y PERSONAL PARA ASEO,  LIMPIEZA Y ORGANIZACIÓN DIARIA DE MUEBLES, MESAS Y SILLAS EN ZONAS COMUNES.   INCLUYE TODOS LOS INSUMOS, HERRAMIENTAS Y EQUIPOS PARA LA CORRECTA EJECUCIÓN DE LA ACTIVIDAD.</t>
  </si>
  <si>
    <t xml:space="preserve">ARBORIZACIÓN Y ORNAMENTACIÓN </t>
  </si>
  <si>
    <t>4.01</t>
  </si>
  <si>
    <t>ORNAMENTACION Y JARDINERIA - SIEMBRA DE OLIVO NEGRO. NC.  BUCIDAS BUCERAS</t>
  </si>
  <si>
    <t>ARBOLADA (10 UND)</t>
  </si>
  <si>
    <t>4.02</t>
  </si>
  <si>
    <t>ORNAMENTACION Y JARDINERIA - SIEMBRA DE PEREGRINA. NC.  JATROPHA INTEGERRIMA</t>
  </si>
  <si>
    <t>4.03</t>
  </si>
  <si>
    <t>ORNAMENTACION Y JARDINERIA - SIEMBRA DE SAN JOAQUIN. NC.  CORDIA SEBESTENA</t>
  </si>
  <si>
    <t>4.04</t>
  </si>
  <si>
    <t>ORNAMENTACION Y JARDINERIA - SIEMBRA DE TULIPAN AFRICANO. NC.  SPATHODEA CAMPANULATA</t>
  </si>
  <si>
    <t>4.05</t>
  </si>
  <si>
    <t>ORNAMENTACION Y JARDINERIA - SIEMBRA DE PASTOFUENTE AFRICANO. NC.  PENNISETUM SETACEUM</t>
  </si>
  <si>
    <t>4.06</t>
  </si>
  <si>
    <t>SUMINISTRO, TRANSPORTE Y SIEMBRA DE EUPHORBIA MILII (TU Y YO) H PROM 20CM, NO INCLUYE EXCAVACIÓN NI SUMINISTRO Y CONFORMACIÓN DE TIERRA NEGRA.</t>
  </si>
  <si>
    <t>4.07</t>
  </si>
  <si>
    <t>SUMINISTRO, TRANSPORTE Y SIEMBRA DE DURANTA REPENS (DURANTA GOLD) H PROM 20CM, NO INCLUYE EXCAVACIÓN NI SUMINISTRO Y CONFORMACIÓN DE TIERRA NEGRA.</t>
  </si>
  <si>
    <t>4.08</t>
  </si>
  <si>
    <t>SUMINISTRO, TRANSPORTE Y SIEMBRA DE HELICONIA PSITTACORUM (AVE DEL PARAISO) H PROM 30CM, INCLUYE EXCAVACIÓN NI SUMINISTRO Y CONFORMACIÓN DE TIERRA NEGRA.</t>
  </si>
  <si>
    <t>4.09</t>
  </si>
  <si>
    <t>SUMINISTRO, TRANSPORTE Y SIEMBRA DE IXORA COCCINEA NORA GRANT (CORAL PATILLA) H PROM 40CM , NO INCLUYE EXCAVACIÓN NI SUMINISTRO Y CONFORMACIÓN DE TIERRA NEGRA.</t>
  </si>
  <si>
    <t>4.10</t>
  </si>
  <si>
    <t>SUMINISTRO, TRANSPORTE Y SIEMBRA DE CHEFFLERA ARBORICOLA TRINETTE (CHEFLERA SENSACIÓN) H PROM 40CM, NO INCLUYE EXCAVACIÓN NI SUMINISTRO Y CONFORMACIÓN DE TIERRA NEGRA.</t>
  </si>
  <si>
    <t>4.11</t>
  </si>
  <si>
    <t>SUMINISTRO, TRANSPORTE Y SIEMBRA DE TRADESCANTIA PALLIDA PURPUREA (BARQUITO MORADO) H PROM 20CM, NO INCLUYE EXCAVACIÓN NI SUMINISTRO Y CONFORMACIÓN DE TIERRA NEGRA.</t>
  </si>
  <si>
    <t>4.12</t>
  </si>
  <si>
    <t>SUMINISTRO, TRANSPORTE Y SIEMBRA DE PHILODENDRO LEMONADE (FILODENDRO LIMÓN) H PROM 30CM, NO INCLUYE EXCAVACIÓN NI SUMINISTRO Y CONFORMACIÓN DE TIERRA NEGRA.</t>
  </si>
  <si>
    <t>4.13</t>
  </si>
  <si>
    <t>SUMINISTRO, TRANSPORTE Y SIEMBRA DE EPIPREMNUM AUREUM (MIAMI) H PROM 20CM, NO INCLUYE EXCAVACIÓN NI SUMINISTRO Y CONFORMACIÓN DE TIERRA NEGRA.</t>
  </si>
  <si>
    <t>4.14</t>
  </si>
  <si>
    <t>SUMINISTRO, TRANSPORTE Y SIEMBRA DE DIANELLA TASMANICA  (DIANELLA) H PROM 30CM, NO INCLUYE EXCAVACIÓN NI SUMINISTRO Y CONFORMACIÓN DE TIERRA NEGRA.</t>
  </si>
  <si>
    <t>4.15</t>
  </si>
  <si>
    <t>SUMINISTRO, TRANSPORTE Y SIEMBRA DE CONOCARPUS ERECTUS (MANGLE VERDE), H PROM 30CM NO INCLUYE EXCAVACIÓN NI SUMINISTRO Y CONFORMACIÓN DE TIERRA NEGRA.</t>
  </si>
  <si>
    <t>4.16</t>
  </si>
  <si>
    <t>SUMINISTRO, TRANSPORTE Y SIEMBRA DE ALTERNANTHERA BETTZICKIANNA ( DURANTA ROJA ) H PROM 25CM, NO INCLUYE EXCAVACIÓN NI SUMINISTRO Y CONFORMACIÓN DE TIERRA NEGRA.</t>
  </si>
  <si>
    <t>4.17</t>
  </si>
  <si>
    <t>SUMINISTRO, TRANSPORTE Y SIEMBRA DE BOUGAINVILLIA GLABRA -SPECTABILIS - VARIEGATA (TRINITARIA MORADA, TRINITARIA SURTIDA, TRINITARIA JUANITA) H PROM 40CM,  NO INCLUYE EXCAVACIÓN NI SUMINISTRO Y CONFORMACIÓN DE TIERRA NEGRA.</t>
  </si>
  <si>
    <t>4.18</t>
  </si>
  <si>
    <t>SUMINISTRO, TRANSPORTE Y SIEMBRA DE TRADESCANTIA SPATHACEA (CINTA MORADA) H PROM 20CM, NO INCLUYE EXCAVACIÓN NI SUMINISTRO Y CONFORMACIÓN DE TIERRA NEGRA.</t>
  </si>
  <si>
    <t>4.19</t>
  </si>
  <si>
    <t>SUMINISTRO, TRANSPORTE Y SIEMBRA DE AGAVE BORDE AMARILLO (AGAVE) H PROM 40CM, NO INCLUYE EXCAVACIÓN NI SUMINISTRO Y CONFORMACIÓN DE TIERRA NEGRA.</t>
  </si>
  <si>
    <t>4.20</t>
  </si>
  <si>
    <t>SUMINISTRO, TRANSPORTE Y SIEMBRA DE COCCOLOVA UVIFERA (UVA DE PLAYA) H PROM 30CM, NO INCLUYE EXCAVACIÓN NI SUMINISTRO Y CONFORMACIÓN DE TIERRA NEGRA.</t>
  </si>
  <si>
    <t>4.21</t>
  </si>
  <si>
    <t>SUMINISTRO, TRANSPORTE Y SIEMBRA DE CARISSA MACROCARPA (CARISSA) H PROM 20CM, NO INCLUYE EXCAVACIÓN NI SUMINISTRO Y CONFORMACIÓN DE TIERRA NEGRA.</t>
  </si>
  <si>
    <t>4.22</t>
  </si>
  <si>
    <t>SUMINISTRO, TRANSPORTE Y SIEMBRA DE ASPARAGUS DESINFLORUS SPRENGERI (ESMERALDA CASTILLO) H PROM 25CM, NO INCLUYE EXCAVACIÓN NI SUMINISTRO Y CONFORMACIÓN DE TIERRA NEGRA.</t>
  </si>
  <si>
    <t>4.23</t>
  </si>
  <si>
    <t>SUMINISTRO, TRANSPORTE Y SIEMBRA DE ASPARAGUS MEYERII (ESPARRAGO) H PROM 20CM, NO INCLUYE EXCAVACIÓN NI SUMINISTRO Y CONFORMACIÓN DE TIERRA NEGRA.</t>
  </si>
  <si>
    <t>4.24</t>
  </si>
  <si>
    <t>SUMINISTRO, TRANSPORTE Y SIEMBRA DE PHILODENDRON CONGO (FILODENDRO CONGO) H PROM 35CM, NO INCLUYE EXCAVACIÓN NI SUMINISTRO Y CONFORMACIÓN DE TIERRA NEGRA.</t>
  </si>
  <si>
    <t>4.25</t>
  </si>
  <si>
    <t>SUMINISTRO, TRANSPORTE Y SIEMBRA DE WEDELIA TRILOBATA (WEDELIA AMARILLA) H PROM 20CM, NO INCLUYE EXCAVACIÓN NI SUMINISTRO Y CONFORMACIÓN DE TIERRA NEGRA.</t>
  </si>
  <si>
    <t>4.26</t>
  </si>
  <si>
    <t>SUMINISTRO, TRANSPORTE Y SIEMBRA DE MONSTERA DELICIOSA (BALAZO)H PROM 45CM, NO INCLUYE EXCAVACIÓN NI SUMINISTRO Y CONFORMACIÓN DE TIERRA NEGRA.</t>
  </si>
  <si>
    <t>4.27</t>
  </si>
  <si>
    <t>SUMINISTRO, TRANSPORTE Y SIEMBRA DE CONOCARPUS ERECTUS SERICEUS (MANGLE PLATEADO) H PROM 30CM, NO INCLUYE EXCAVACIÓN NI SUMINISTRO Y CONFORMACIÓN DE TIERRA NEGRA.</t>
  </si>
  <si>
    <t>4.28</t>
  </si>
  <si>
    <t>SUMINISTRO, TRANSPORTE Y SIEMBRA DE CORDYLINE TERMINALIS (CAÑA DE LA INDIA) H PROM 45CM, NO INCLUYE EXCAVACIÓN NI SUMINISTRO Y CONFORMACIÓN DE TIERRA NEGRA.</t>
  </si>
  <si>
    <t>4.29</t>
  </si>
  <si>
    <t>SUMINISTRO, TRANSPORTE Y SIEMBRA DE SANSEVIERA TRIFACIATA LAURENTII (LENGUA DE SUEGRA) H PROM 40CM,  NO INCLUYE EXCAVACIÓN NI SUMINISTRO Y CONFORMACIÓN DE TIERRA NEGRA.</t>
  </si>
  <si>
    <t>4.30</t>
  </si>
  <si>
    <t>SUMINISTRO, TRANSPORTE Y SIEMBRA DE PENNISETUM RUBRUM (PASTO MORADO)H PROM 40CM, NO INCLUYE EXCAVACIÓN NI SUMINISTRO Y CONFORMACIÓN DE TIERRA NEGRA.</t>
  </si>
  <si>
    <t>4.31</t>
  </si>
  <si>
    <t>SUMINISTRO, TRANSPORTE Y SIEMBRA DE PENNISETUM ALBA (PASTO VERDE) H PROM 40CM, NO INCLUYE EXCAVACIÓN NI SUMINISTRO Y CONFORMACIÓN DE TIERRA NEGRA.</t>
  </si>
  <si>
    <t>4.32</t>
  </si>
  <si>
    <t>SUMINISTRO, TRANSPORTE Y SIEMBRA DE M2 GRAMA EN TAPETE TIPO ZOYSIA NO INCLUYE EXCAVACIÓN NI SUMINISTRO Y CONFORMACIÓN DE TIERRA NEGRA.</t>
  </si>
  <si>
    <t>4.33</t>
  </si>
  <si>
    <t>SUMINISTRO E INSTALACIÓN DE PIEDRA DECORATIVA MIXTA ESPESOR DE LA CAPA DE 5 CM</t>
  </si>
  <si>
    <t>4.34</t>
  </si>
  <si>
    <t>SUMINISTRO, APLICACIÓN Y CONFORMACIÓN DE TIERRA NEGRA PARA SIEMBRA</t>
  </si>
  <si>
    <t>4.35</t>
  </si>
  <si>
    <t>SUMINISTRO, TRANSPORTE Y SIEMBRA DE  ALISTONIA SCHOLARIS (ALISTONIA) 3-5M , NO INCLUYE EXCAVACIÓN NI SUMINISTRO Y CONFORMACIÓN DE TIERRA NEGRA.</t>
  </si>
  <si>
    <t>4.36</t>
  </si>
  <si>
    <t>SUMINISTRO, TRANSPORTE Y SIEMBRA DE  ALBIZIA LEBBECK (ALGARROBO BLANCO) 3-5M , NO INCLUYE EXCAVACIÓN NI SUMINISTRO Y CONFORMACIÓN DE TIERRA NEGRA.</t>
  </si>
  <si>
    <t>4.37</t>
  </si>
  <si>
    <t>SUMINISTRO, TRANSPORTE Y SIEMBRA DE  DELONIX REGIA (ARBOL ACACIA ROJO) 3-5M , NO INCLUYE EXCAVACIÓN NI SUMINISTRO Y CONFORMACIÓN DE TIERRA NEGRA.</t>
  </si>
  <si>
    <t>4.38</t>
  </si>
  <si>
    <t>SUMINISTRO, TRANSPORTE Y SIEMBRA DE  TABEBUIA IMPRETIGINOSA (ROBLE MORADO) 3-4M , NO INCLUYE EXCAVACIÓN NI SUMINISTRO Y CONFORMACIÓN DE TIERRA NEGRA.</t>
  </si>
  <si>
    <t>4.39</t>
  </si>
  <si>
    <t>SUMINISTRO, TRANSPORTE Y SIEMBRA DE  CONOCARPUS ERECTUS TALLO LIBRE (MANGLE VERDE ARBOL) 3-4M , NO INCLUYE EXCAVACIÓN NI SUMINISTRO Y CONFORMACIÓN DE TIERRA NEGRA.</t>
  </si>
  <si>
    <t>4.40</t>
  </si>
  <si>
    <t>SUMINISTRO, TRANSPORTE Y SIEMBRA DE  COCCOLOVA UVIFERA TALLO LIBRE (UVA DE PLAYA ARBOL) 3-4M , NO INCLUYE EXCAVACIÓN NI SUMINISTRO Y CONFORMACIÓN DE TIERRA NEGRA.</t>
  </si>
  <si>
    <t>4.41</t>
  </si>
  <si>
    <t>SUMINISTRO, TRANSPORTE Y SIEMBRA DE  PLUMERIA RUBRA (ARBOL FLORON) 3-4M , NO INCLUYE EXCAVACIÓN NI SUMINISTRO Y CONFORMACIÓN DE TIERRA NEGRA.</t>
  </si>
  <si>
    <t>4.42</t>
  </si>
  <si>
    <t>SUMINISTRO, TRANSPORTE Y SIEMBRA DE  COCOS NUCIFERA (PALMA DE COCO) 5-7M , NO INCLUYE EXCAVACIÓN NI SUMINISTRO Y CONFORMACIÓN DE TIERRA NEGRA.</t>
  </si>
  <si>
    <t>4.43</t>
  </si>
  <si>
    <t>SUMINISTRO, TRANSPORTE Y SIEMBRA DE  COCOS NUCIFERA (PALMA DE COCO) 8-10M , NO INCLUYE EXCAVACIÓN NI SUMINISTRO Y CONFORMACIÓN DE TIERRA NEGRA.</t>
  </si>
  <si>
    <t>4.44</t>
  </si>
  <si>
    <t>SUMINISTRO, TRANSPORTE Y SIEMBRA DE  DYPSIS DECARYII (PALMA TRIANGULO) 4-6M , NO INCLUYE EXCAVACIÓN NI SUMINISTRO Y CONFORMACIÓN DE TIERRA NEGRA.</t>
  </si>
  <si>
    <t>4.45</t>
  </si>
  <si>
    <t>SUMINISTRO, TRANSPORTE Y SIEMBRA DE  WODYETIA BIFURCARTA (PALMA COLA DE ZORRO) 6-7M , NO INCLUYE EXCAVACIÓN NI SUMINISTRO Y CONFORMACIÓN DE TIERRA NEGRA.</t>
  </si>
  <si>
    <t>4.46</t>
  </si>
  <si>
    <t>SUMINISTRO, TRANSPORTE Y SIEMBRA DE  WODYETIA BIFURCARTA (PALMA COLA DE ZORRO) 7-8M , NO INCLUYE EXCAVACIÓN NI SUMINISTRO Y CONFORMACIÓN DE TIERRA NEGRA.</t>
  </si>
  <si>
    <t>4.47</t>
  </si>
  <si>
    <t>SUMINISTRO, TRANSPORTE Y SIEMBRA DE  PHOENIX DACTYLIFERA (PALMA DATIL) 6-7M , NO INCLUYE EXCAVACIÓN NI SUMINISTRO Y CONFORMACIÓN DE TIERRA NEGRA.</t>
  </si>
  <si>
    <t>4.48</t>
  </si>
  <si>
    <t>SUMINISTRO, TRANSPORTE Y SIEMBRA DE  PHOENIX DACTYLIFERA (PALMA DATIL) 7-8M , NO INCLUYE EXCAVACIÓN NI SUMINISTRO Y CONFORMACIÓN DE TIERRA NEGRA.</t>
  </si>
  <si>
    <t>4.49</t>
  </si>
  <si>
    <t>SUMINISTRO, TRANSPORTE Y SIEMBRA DE  WASHINGTONIA ROBUSTA (PALMA WASHINGTONIA) 3-6M , NO INCLUYE EXCAVACIÓN NI SUMINISTRO Y CONFORMACIÓN DE TIERRA NEGRA.</t>
  </si>
  <si>
    <t>4.50</t>
  </si>
  <si>
    <t>SUMINISTRO, TRANSPORTE Y SIEMBRA DE  WASHINGTONIA ROBUSTA (PALMA WASHINGTONIA) 8-9M , NO INCLUYE EXCAVACIÓN NI SUMINISTRO Y CONFORMACIÓN DE TIERRA NEGRA.</t>
  </si>
  <si>
    <t>4.51</t>
  </si>
  <si>
    <t>SUMINISTRO, TRANSPORTE Y SIEMBRA DE  COCCOTHRINAX DOBLE (COCOTRINAS DOBLE) 3-4M , NO INCLUYE EXCAVACIÓN NI SUMINISTRO Y CONFORMACIÓN DE TIERRA NEGRA.</t>
  </si>
  <si>
    <t>4.52</t>
  </si>
  <si>
    <t>SUMINISTRO, TRANSPORTE Y SIEMBRA DE  COCCOTHRINAX SENCILLA (COCOTRINAS SENCILLA) 3-4M , NO INCLUYE EXCAVACIÓN NI SUMINISTRO Y CONFORMACIÓN DE TIERRA NEGRA.</t>
  </si>
  <si>
    <t>4.53</t>
  </si>
  <si>
    <t>SUMINISTRO, TRANSPORTE Y SIEMBRA DE  ACCOELORRAPHE WRIGHTII (PALMA PAUROTIS) 4-5M , NO INCLUYE EXCAVACIÓN NI SUMINISTRO Y CONFORMACIÓN DE TIERRA NEGRA.</t>
  </si>
  <si>
    <t>4.54</t>
  </si>
  <si>
    <t>SUMINISTRO, TRANSPORTE Y SIEMBRA DE  CARPENTARIA ACUMINATA DOBLE (PALMA CARPENTARIA) 3-6M , NO INCLUYE EXCAVACIÓN NI SUMINISTRO Y CONFORMACIÓN DE TIERRA NEGRA.</t>
  </si>
  <si>
    <t>4.55</t>
  </si>
  <si>
    <t>SUMINISTRO, TRANSPORTE Y SIEMBRA DE   ROYSTENEA REGIA  (PALMA REAL) 6-8M , NO INCLUYE EXCAVACIÓN NI SUMINISTRO Y CONFORMACIÓN DE TIERRA NEGRA.</t>
  </si>
  <si>
    <t>4.56</t>
  </si>
  <si>
    <t>SUMINISTRO, TRANSPORTE Y SIEMBRA DE  ROYSTENEA REGIA (PALMA REAL) 9-10M , NO INCLUYE EXCAVACIÓN NI SUMINISTRO Y CONFORMACIÓN DE TIERRA NEGRA.</t>
  </si>
  <si>
    <t>TOTAL COSTOS DIRECTOS</t>
  </si>
  <si>
    <t>ADMINISTRACION 20%</t>
  </si>
  <si>
    <t>IMPREVISTOS 5%</t>
  </si>
  <si>
    <t>UTILIDAD 5%</t>
  </si>
  <si>
    <t>TOTAL A PAGAR 2024</t>
  </si>
  <si>
    <t>AREAS DE MANTENIMIENTO RUTINARIO</t>
  </si>
  <si>
    <t>Vr. CD 2025</t>
  </si>
  <si>
    <t>Vr. CD + AIU (30%)</t>
  </si>
  <si>
    <t>Playas</t>
  </si>
  <si>
    <t>Zonas Verdes</t>
  </si>
  <si>
    <t>Zonas Duras</t>
  </si>
  <si>
    <t>SUBTOTAL CD MANTENIMIENTO RUTINARIO</t>
  </si>
  <si>
    <t>MAYOR EJECUCIÓN 2024</t>
  </si>
  <si>
    <t>SUBTOTAL RUTINARIO</t>
  </si>
  <si>
    <t>OBRAS CIVILES, PAISAJISMO Y OTROS</t>
  </si>
  <si>
    <t>CANT</t>
  </si>
  <si>
    <t>VR. UNIT</t>
  </si>
  <si>
    <t>Vr. CD</t>
  </si>
  <si>
    <t>DISEÑO Y EJECUCIÓN PAISAJISMO PROY. NAUTICO SALINAS DEL REY FASE 1</t>
  </si>
  <si>
    <t>DISEÑO Y EJECUCIÓN PAISAJISMO PROY. NAUTICO SALINAS DEL REY FASE 2</t>
  </si>
  <si>
    <t>*</t>
  </si>
  <si>
    <t>FABRICACIÓN Y SUMINISTRO DE TOTEMS  INFORMATIVOS PARA PLAZA PTO COLOMBIA, INCLUYE INSTALACIÓN Y FABRICACIÓN DE BASES EN CONCRETO</t>
  </si>
  <si>
    <t>PROYECTO EN PLAYA PUNTA ASTILLEROS (PORTICOS, SENDEROS, TERRAZAS, KIOSCOS, SEÑALETICA Y BATERÍA DE BAÑOS)</t>
  </si>
  <si>
    <t>FABRICACIÓN E INSTALACION PORTAL ESCULTORICO DE IDENTIDAD CULTURAL Y TURISTICA PARA NAUTICA SALINAS DEL REY</t>
  </si>
  <si>
    <t>Ver calculo</t>
  </si>
  <si>
    <t>DISEÑO Y EJECUCIÓN DE MURAL PESCADORES EN MOSAICO EN CERAMICA ARTISTICA EN PLAYA PESCADORES - PTO COLOMBIA</t>
  </si>
  <si>
    <t>SEÑALETICA SALINAS DEL REY Y OTRAS</t>
  </si>
  <si>
    <t>Valor aprox</t>
  </si>
  <si>
    <t>SUBTOTAL CD OBRAS CIVILES Y OTROS</t>
  </si>
  <si>
    <t>GRAN TOTAL RUTINARIO + OBRAS CIVILES:</t>
  </si>
  <si>
    <t>PPTO DISPONIBLE SEGÚN CONTRATO:</t>
  </si>
  <si>
    <t>SALDO FALTANTE:</t>
  </si>
  <si>
    <t>FABRICACIÓN E INSTALACION CASETAS SALVAVIDAS EN MADERA</t>
  </si>
  <si>
    <t>Vr. UNITARIO 2026</t>
  </si>
  <si>
    <t>Aumento ICOCIV</t>
  </si>
  <si>
    <t>Presupuesto contractual 2026:</t>
  </si>
  <si>
    <t>Salón Social Muelle</t>
  </si>
  <si>
    <t>Rutinario proyectado - POA 2026</t>
  </si>
  <si>
    <t>Proyecto Punta Astilleros</t>
  </si>
  <si>
    <t>Parqueadero Muelle</t>
  </si>
  <si>
    <t>Proyectos artisticos Surfskate - Mercado La Sazón y Escultura Nadadora</t>
  </si>
  <si>
    <t>Rampa Salinas del Rey (Requisito Bandera Azul)</t>
  </si>
  <si>
    <t>Valor aprox 2026 - Paisajismo Mercado La Sazón</t>
  </si>
  <si>
    <t>Valor aprox 2026 - Paisajismo Miramar Zona 3</t>
  </si>
  <si>
    <t>Señaletica Playa Pescadores - Valor 2025</t>
  </si>
  <si>
    <t>Valor Total (Incl. AIU)</t>
  </si>
  <si>
    <t>Total Proyecciones</t>
  </si>
  <si>
    <t xml:space="preserve">Saldo </t>
  </si>
  <si>
    <t>Conceptos</t>
  </si>
  <si>
    <t>Provisión señaleticas 2026 (Sta Verónica, Mercado, Muelle)</t>
  </si>
  <si>
    <t>SUMINISTRO DE PERSONAL E INSUMOS PARA MANTENIMIENTO PREVENTIVO DE PLANTA ELÉCTRICA GH619CSX POWER, INCLUYE CAMBIO DE ACEITE Y FILTROS</t>
  </si>
  <si>
    <t>Und</t>
  </si>
  <si>
    <t>Saldo ejecución Dic-2025</t>
  </si>
  <si>
    <r>
      <t>MANTENIMIENTO PREVENTIVO TIPO A D</t>
    </r>
    <r>
      <rPr>
        <b/>
        <sz val="10"/>
        <rFont val="Roboto"/>
      </rPr>
      <t>E BOMBAS CENTRIFUGAS</t>
    </r>
    <r>
      <rPr>
        <sz val="10"/>
        <rFont val="Roboto"/>
      </rPr>
      <t xml:space="preserve">  PARA SUMINISTRO DE AGUA POTABLE Y CRUDA PARA BAÑOS, FUENTE DE AGUA,SISTEMA DE RIEGO, ACHIQUE, FILTRADO Y REDES CONTRA INCENDIO. INCLUYE: MATERIALES E INSUMOS PARA CALIBRACIÓN DE TANQUES HIDROFLOW,AJUSTE DE PRESOSTATO PARA PRUEBA DE OPERACIÓN DE NIVELES Y CALIBRACIÓN DE PRESIONES DE TRABAJO, INSPECCIÓN DE CHEQUES DE RETENCIÓN, REVISIÓN Y CAMBIO DE SELLOS MECANICOS, REVISIÓN Y CAMBIO DE RODAMIENTOS, REVISIÓN DE TABLEROS DE CONTROL, REVISIÓN DE BOMBINAS Y TODOS LOS ELEMENTOS NECESARIOS PARA CORRECTA EJECUCIÓN </t>
    </r>
  </si>
  <si>
    <t>ACUMULADO ACTAS ENE-DIC. 2026 PLAZA PUERTO COLOMBIA</t>
  </si>
  <si>
    <t>ACTA 32 - ENE. 2026</t>
  </si>
  <si>
    <t>ACTA 33 - FEB. 2026</t>
  </si>
  <si>
    <t>ACTA 34- MAR. 2026</t>
  </si>
  <si>
    <t>ACTA 35 - ABR. 2026</t>
  </si>
  <si>
    <t>ACTA 36 - MAY. 2026</t>
  </si>
  <si>
    <t>ACTA 37 - JUN. 2026</t>
  </si>
  <si>
    <t>ACTA 38 - JUL. 2026</t>
  </si>
  <si>
    <t>ACTA 39 - AGO. 2026</t>
  </si>
  <si>
    <t>ACTA 40 - SEP. 2026</t>
  </si>
  <si>
    <t>ACTA 41 - OCT. 2026</t>
  </si>
  <si>
    <t>ACTA 42 - NOV. 2026</t>
  </si>
  <si>
    <t>ACTA 43 - DIC. 2026</t>
  </si>
  <si>
    <t>ACUMULADO ACTAS 2026</t>
  </si>
  <si>
    <t>ACUMULADO ACTAS ENE. -DIC.  2026 MERCADO LA SAZÓN</t>
  </si>
  <si>
    <t>ACUMULADO ACTAS ENE. - DIC. 2026 PLAYA MANGLARES</t>
  </si>
  <si>
    <t>ACUMULADO ACTAS ENE. - DIC. 2026 SALGAR PLAYAS DEL COUNTRY</t>
  </si>
  <si>
    <t>ACUMULADO ACTAS ENE. - DIC. 2026 SALGAR PLAYAS DE SABANILLA 2</t>
  </si>
  <si>
    <t>ACUMULADO ACTAS ENE. - DIC. 2026 PLAYAS DE MIRAMAR Y
SECTOR EL FARO</t>
  </si>
  <si>
    <t>ACUMULADO ACTAS ENE. - DIC. 2026 CENTRO GASTRONOMICO</t>
  </si>
  <si>
    <t>ACUMULADO ACTAS ENE. - DIC. 2026 SALINAS DEL REY</t>
  </si>
  <si>
    <t>ACUMULADO ACTAS ENE. -DIC.  2026 SENDERO SANTA VERONICA</t>
  </si>
  <si>
    <t>ACUMULADO ACTAS ENE. - DIC. 2026 CASTILLO SALGAR</t>
  </si>
  <si>
    <t>ACUMULADO ACTAS ENE. - DIC. 2026 PUNTA ASTILLEROS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</si>
</sst>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 #,##0.00_-;\-&quot;$&quot;\ * #,##0.00_-;_-&quot;$&quot;\ * &quot;-&quot;??_-;_-@_-"/>
    <numFmt numFmtId="43" formatCode="_-* #,##0.00_-;\-* #,##0.00_-;_-* &quot;-&quot;??_-;_-@_-"/>
    <numFmt numFmtId="164" formatCode="_-* #,##0_-;\-* #,##0_-;_-* &quot;-&quot;??_-;_-@_-"/>
    <numFmt numFmtId="165" formatCode="_-&quot;$&quot;\ * #,##0_-;\-&quot;$&quot;\ * #,##0_-;_-&quot;$&quot;\ * &quot;-&quot;??_-;_-@_-"/>
    <numFmt numFmtId="166" formatCode="_-&quot;$&quot;\ * #,##0.0_-;\-&quot;$&quot;\ * #,##0.0_-;_-&quot;$&quot;\ * &quot;-&quot;??_-;_-@_-"/>
    <numFmt numFmtId="167" formatCode="_-&quot;$&quot;\ * #,##0.0_-;\-&quot;$&quot;\ * #,##0.0_-;_-&quot;$&quot;\ * &quot;-&quot;?_-;_-@_-"/>
    <numFmt numFmtId="168" formatCode="_-* #,##0.0_-;\-* #,##0.0_-;_-* &quot;-&quot;??_-;_-@_-"/>
    <numFmt numFmtId="169" formatCode="_-&quot;$&quot;* #,##0_-;\-&quot;$&quot;* #,##0_-;_-&quot;$&quot;* &quot;-&quot;_-;_-@"/>
    <numFmt numFmtId="170" formatCode="0.000"/>
    <numFmt numFmtId="171" formatCode="0.0%"/>
    <numFmt numFmtId="172" formatCode="_-&quot;$&quot;\ * #,##0_-;\-&quot;$&quot;\ * #,##0_-;_-&quot;$&quot;\ * &quot;-&quot;?_-;_-@_-"/>
    <numFmt numFmtId="173" formatCode="&quot;$&quot;\ #,##0"/>
  </numFmts>
  <fonts count="24" x14ac:knownFonts="1">
    <font>
      <sz val="11"/>
      <color theme="1"/>
      <name val="Calibri"/>
      <family val="2"/>
      <scheme val="minor"/>
    </font>
    <font>
      <sz val="11"/>
      <color theme="1"/>
      <name val="Calibri"/>
      <family val="2"/>
      <scheme val="minor"/>
    </font>
    <font>
      <b/>
      <sz val="10"/>
      <name val="Roboto"/>
    </font>
    <font>
      <sz val="10"/>
      <name val="Roboto"/>
    </font>
    <font>
      <b/>
      <sz val="11"/>
      <color theme="1"/>
      <name val="Roboto"/>
    </font>
    <font>
      <b/>
      <sz val="11"/>
      <name val="Roboto"/>
    </font>
    <font>
      <sz val="11"/>
      <color theme="1"/>
      <name val="Roboto"/>
    </font>
    <font>
      <sz val="11"/>
      <name val="Roboto"/>
    </font>
    <font>
      <sz val="12"/>
      <name val="Roboto"/>
    </font>
    <font>
      <sz val="16"/>
      <name val="Roboto"/>
    </font>
    <font>
      <sz val="12"/>
      <color rgb="FFFF0000"/>
      <name val="Roboto"/>
    </font>
    <font>
      <b/>
      <sz val="14"/>
      <color theme="1"/>
      <name val="Roboto"/>
    </font>
    <font>
      <u/>
      <sz val="11"/>
      <color theme="10"/>
      <name val="Calibri"/>
      <family val="2"/>
      <scheme val="minor"/>
    </font>
    <font>
      <b/>
      <sz val="14"/>
      <color rgb="FFFF0000"/>
      <name val="Roboto"/>
    </font>
    <font>
      <b/>
      <sz val="14"/>
      <color theme="0"/>
      <name val="Roboto"/>
    </font>
    <font>
      <sz val="10"/>
      <name val="Arial"/>
      <family val="2"/>
    </font>
    <font>
      <sz val="11"/>
      <color theme="1"/>
      <name val="Calibri"/>
      <family val="2"/>
    </font>
    <font>
      <sz val="11"/>
      <color theme="1"/>
      <name val="Gadugi"/>
      <family val="2"/>
    </font>
    <font>
      <b/>
      <sz val="12"/>
      <color theme="1"/>
      <name val="Gadugi"/>
      <family val="2"/>
    </font>
    <font>
      <sz val="10"/>
      <color theme="1"/>
      <name val="Gadugi"/>
      <family val="2"/>
    </font>
    <font>
      <sz val="12"/>
      <color theme="1"/>
      <name val="Gadugi"/>
      <family val="2"/>
    </font>
    <font>
      <b/>
      <sz val="11"/>
      <color theme="1"/>
      <name val="Gadugi"/>
      <family val="2"/>
    </font>
    <font>
      <sz val="14"/>
      <color theme="1"/>
      <name val="Gadugi"/>
      <family val="2"/>
    </font>
    <font>
      <sz val="14"/>
      <color rgb="FFFF0000"/>
      <name val="Gadugi"/>
      <family val="2"/>
    </font>
  </fonts>
  <fills count="10">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rgb="FF002060"/>
        <bgColor indexed="64"/>
      </patternFill>
    </fill>
    <fill>
      <patternFill patternType="solid">
        <fgColor theme="8" tint="0.79998168889431442"/>
        <bgColor indexed="64"/>
      </patternFill>
    </fill>
  </fills>
  <borders count="174">
    <border>
      <left/>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auto="1"/>
      </right>
      <top style="thin">
        <color auto="1"/>
      </top>
      <bottom style="thin">
        <color auto="1"/>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rgb="FF000000"/>
      </left>
      <right/>
      <top/>
      <bottom style="thin">
        <color rgb="FF000000"/>
      </bottom>
      <diagonal/>
    </border>
    <border>
      <left/>
      <right style="double">
        <color rgb="FF000000"/>
      </right>
      <top/>
      <bottom style="thin">
        <color rgb="FF000000"/>
      </bottom>
      <diagonal/>
    </border>
    <border>
      <left style="double">
        <color rgb="FF000000"/>
      </left>
      <right/>
      <top style="thin">
        <color indexed="64"/>
      </top>
      <bottom style="thin">
        <color rgb="FF000000"/>
      </bottom>
      <diagonal/>
    </border>
    <border>
      <left/>
      <right style="double">
        <color rgb="FF000000"/>
      </right>
      <top style="thin">
        <color indexed="64"/>
      </top>
      <bottom style="thin">
        <color rgb="FF000000"/>
      </bottom>
      <diagonal/>
    </border>
    <border>
      <left style="double">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double">
        <color rgb="FF000000"/>
      </left>
      <right/>
      <top style="thin">
        <color rgb="FF000000"/>
      </top>
      <bottom/>
      <diagonal/>
    </border>
    <border>
      <left/>
      <right style="double">
        <color rgb="FF000000"/>
      </right>
      <top style="thin">
        <color rgb="FF000000"/>
      </top>
      <bottom/>
      <diagonal/>
    </border>
    <border>
      <left style="double">
        <color rgb="FF000000"/>
      </left>
      <right/>
      <top style="thin">
        <color rgb="FF000000"/>
      </top>
      <bottom style="double">
        <color rgb="FF000000"/>
      </bottom>
      <diagonal/>
    </border>
    <border>
      <left/>
      <right style="double">
        <color rgb="FF000000"/>
      </right>
      <top style="thin">
        <color rgb="FF000000"/>
      </top>
      <bottom style="double">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thin">
        <color auto="1"/>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auto="1"/>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hair">
        <color indexed="64"/>
      </right>
      <top style="hair">
        <color auto="1"/>
      </top>
      <bottom style="hair">
        <color auto="1"/>
      </bottom>
      <diagonal/>
    </border>
    <border>
      <left style="medium">
        <color indexed="64"/>
      </left>
      <right style="hair">
        <color indexed="64"/>
      </right>
      <top style="hair">
        <color auto="1"/>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dashed">
        <color indexed="64"/>
      </right>
      <top style="medium">
        <color indexed="64"/>
      </top>
      <bottom style="hair">
        <color indexed="64"/>
      </bottom>
      <diagonal/>
    </border>
    <border>
      <left style="dashed">
        <color indexed="64"/>
      </left>
      <right style="thin">
        <color indexed="64"/>
      </right>
      <top style="medium">
        <color indexed="64"/>
      </top>
      <bottom style="hair">
        <color indexed="64"/>
      </bottom>
      <diagonal/>
    </border>
    <border>
      <left style="medium">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medium">
        <color indexed="64"/>
      </left>
      <right style="dashed">
        <color indexed="64"/>
      </right>
      <top style="hair">
        <color indexed="64"/>
      </top>
      <bottom style="medium">
        <color indexed="64"/>
      </bottom>
      <diagonal/>
    </border>
    <border>
      <left style="dashed">
        <color indexed="64"/>
      </left>
      <right style="thin">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thin">
        <color indexed="64"/>
      </left>
      <right style="medium">
        <color indexed="64"/>
      </right>
      <top style="medium">
        <color indexed="64"/>
      </top>
      <bottom style="medium">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medium">
        <color indexed="64"/>
      </bottom>
      <diagonal/>
    </border>
    <border>
      <left style="hair">
        <color indexed="64"/>
      </left>
      <right style="double">
        <color indexed="64"/>
      </right>
      <top style="medium">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medium">
        <color indexed="64"/>
      </bottom>
      <diagonal/>
    </border>
    <border>
      <left style="thin">
        <color indexed="64"/>
      </left>
      <right style="double">
        <color indexed="64"/>
      </right>
      <top style="thin">
        <color indexed="64"/>
      </top>
      <bottom style="thin">
        <color indexed="64"/>
      </bottom>
      <diagonal/>
    </border>
    <border>
      <left/>
      <right style="double">
        <color indexed="64"/>
      </right>
      <top/>
      <bottom style="thin">
        <color rgb="FF000000"/>
      </bottom>
      <diagonal/>
    </border>
    <border>
      <left/>
      <right style="double">
        <color indexed="64"/>
      </right>
      <top style="thin">
        <color rgb="FF000000"/>
      </top>
      <bottom style="thin">
        <color rgb="FF000000"/>
      </bottom>
      <diagonal/>
    </border>
    <border>
      <left/>
      <right style="double">
        <color indexed="64"/>
      </right>
      <top style="thin">
        <color rgb="FF000000"/>
      </top>
      <bottom/>
      <diagonal/>
    </border>
    <border>
      <left/>
      <right style="double">
        <color indexed="64"/>
      </right>
      <top style="thin">
        <color rgb="FF000000"/>
      </top>
      <bottom style="double">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hair">
        <color indexed="64"/>
      </right>
      <top style="medium">
        <color indexed="64"/>
      </top>
      <bottom/>
      <diagonal/>
    </border>
    <border>
      <left style="hair">
        <color indexed="64"/>
      </left>
      <right style="thin">
        <color indexed="64"/>
      </right>
      <top style="medium">
        <color indexed="64"/>
      </top>
      <bottom/>
      <diagonal/>
    </border>
    <border>
      <left style="thin">
        <color indexed="64"/>
      </left>
      <right style="hair">
        <color indexed="64"/>
      </right>
      <top style="medium">
        <color indexed="64"/>
      </top>
      <bottom/>
      <diagonal/>
    </border>
    <border>
      <left style="hair">
        <color indexed="64"/>
      </left>
      <right style="double">
        <color indexed="64"/>
      </right>
      <top style="medium">
        <color indexed="64"/>
      </top>
      <bottom/>
      <diagonal/>
    </border>
    <border>
      <left style="medium">
        <color indexed="64"/>
      </left>
      <right style="thin">
        <color auto="1"/>
      </right>
      <top/>
      <bottom style="hair">
        <color indexed="64"/>
      </bottom>
      <diagonal/>
    </border>
    <border>
      <left style="thin">
        <color indexed="64"/>
      </left>
      <right style="thin">
        <color indexed="64"/>
      </right>
      <top/>
      <bottom style="hair">
        <color indexed="64"/>
      </bottom>
      <diagonal/>
    </border>
    <border>
      <left style="medium">
        <color indexed="64"/>
      </left>
      <right style="hair">
        <color indexed="64"/>
      </right>
      <top/>
      <bottom style="hair">
        <color auto="1"/>
      </bottom>
      <diagonal/>
    </border>
    <border>
      <left style="hair">
        <color indexed="64"/>
      </left>
      <right style="double">
        <color indexed="64"/>
      </right>
      <top/>
      <bottom style="hair">
        <color auto="1"/>
      </bottom>
      <diagonal/>
    </border>
    <border>
      <left style="medium">
        <color indexed="64"/>
      </left>
      <right style="hair">
        <color indexed="64"/>
      </right>
      <top style="medium">
        <color indexed="64"/>
      </top>
      <bottom style="medium">
        <color indexed="64"/>
      </bottom>
      <diagonal/>
    </border>
    <border>
      <left style="dashed">
        <color indexed="64"/>
      </left>
      <right/>
      <top style="medium">
        <color indexed="64"/>
      </top>
      <bottom style="hair">
        <color indexed="64"/>
      </bottom>
      <diagonal/>
    </border>
    <border>
      <left style="dashed">
        <color indexed="64"/>
      </left>
      <right/>
      <top style="hair">
        <color indexed="64"/>
      </top>
      <bottom style="hair">
        <color indexed="64"/>
      </bottom>
      <diagonal/>
    </border>
    <border>
      <left style="dashed">
        <color indexed="64"/>
      </left>
      <right/>
      <top style="hair">
        <color indexed="64"/>
      </top>
      <bottom style="medium">
        <color indexed="64"/>
      </bottom>
      <diagonal/>
    </border>
    <border>
      <left style="medium">
        <color indexed="64"/>
      </left>
      <right style="dashed">
        <color indexed="64"/>
      </right>
      <top style="medium">
        <color indexed="64"/>
      </top>
      <bottom style="medium">
        <color indexed="64"/>
      </bottom>
      <diagonal/>
    </border>
    <border>
      <left style="dashed">
        <color indexed="64"/>
      </left>
      <right style="thin">
        <color indexed="64"/>
      </right>
      <top style="medium">
        <color indexed="64"/>
      </top>
      <bottom style="medium">
        <color indexed="64"/>
      </bottom>
      <diagonal/>
    </border>
    <border>
      <left style="medium">
        <color indexed="64"/>
      </left>
      <right style="dashed">
        <color indexed="64"/>
      </right>
      <top/>
      <bottom style="hair">
        <color auto="1"/>
      </bottom>
      <diagonal/>
    </border>
    <border>
      <left style="dashed">
        <color indexed="64"/>
      </left>
      <right style="thin">
        <color indexed="64"/>
      </right>
      <top/>
      <bottom style="hair">
        <color indexed="64"/>
      </bottom>
      <diagonal/>
    </border>
    <border>
      <left style="thin">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thin">
        <color indexed="64"/>
      </left>
      <right style="dashed">
        <color indexed="64"/>
      </right>
      <top/>
      <bottom style="hair">
        <color auto="1"/>
      </bottom>
      <diagonal/>
    </border>
    <border>
      <left style="dashed">
        <color indexed="64"/>
      </left>
      <right style="medium">
        <color indexed="64"/>
      </right>
      <top/>
      <bottom style="hair">
        <color indexed="64"/>
      </bottom>
      <diagonal/>
    </border>
    <border>
      <left style="thin">
        <color indexed="64"/>
      </left>
      <right style="dashed">
        <color indexed="64"/>
      </right>
      <top style="hair">
        <color auto="1"/>
      </top>
      <bottom style="hair">
        <color auto="1"/>
      </bottom>
      <diagonal/>
    </border>
    <border>
      <left style="dashed">
        <color indexed="64"/>
      </left>
      <right style="medium">
        <color indexed="64"/>
      </right>
      <top style="hair">
        <color indexed="64"/>
      </top>
      <bottom style="hair">
        <color indexed="64"/>
      </bottom>
      <diagonal/>
    </border>
    <border>
      <left style="thin">
        <color indexed="64"/>
      </left>
      <right style="dashed">
        <color indexed="64"/>
      </right>
      <top style="hair">
        <color auto="1"/>
      </top>
      <bottom style="medium">
        <color indexed="64"/>
      </bottom>
      <diagonal/>
    </border>
    <border>
      <left style="dashed">
        <color indexed="64"/>
      </left>
      <right style="medium">
        <color indexed="64"/>
      </right>
      <top style="hair">
        <color indexed="64"/>
      </top>
      <bottom style="medium">
        <color indexed="64"/>
      </bottom>
      <diagonal/>
    </border>
    <border>
      <left style="thin">
        <color indexed="64"/>
      </left>
      <right style="dashed">
        <color indexed="64"/>
      </right>
      <top style="medium">
        <color indexed="64"/>
      </top>
      <bottom style="hair">
        <color indexed="64"/>
      </bottom>
      <diagonal/>
    </border>
    <border>
      <left style="dashed">
        <color indexed="64"/>
      </left>
      <right style="medium">
        <color indexed="64"/>
      </right>
      <top style="medium">
        <color indexed="64"/>
      </top>
      <bottom style="hair">
        <color indexed="64"/>
      </bottom>
      <diagonal/>
    </border>
    <border>
      <left style="hair">
        <color indexed="64"/>
      </left>
      <right style="double">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dashed">
        <color indexed="64"/>
      </right>
      <top style="thin">
        <color auto="1"/>
      </top>
      <bottom style="medium">
        <color indexed="64"/>
      </bottom>
      <diagonal/>
    </border>
    <border>
      <left style="thin">
        <color indexed="64"/>
      </left>
      <right style="double">
        <color indexed="64"/>
      </right>
      <top/>
      <bottom style="thin">
        <color indexed="64"/>
      </bottom>
      <diagonal/>
    </border>
    <border>
      <left style="dashed">
        <color indexed="64"/>
      </left>
      <right style="double">
        <color indexed="64"/>
      </right>
      <top style="hair">
        <color indexed="64"/>
      </top>
      <bottom style="hair">
        <color indexed="64"/>
      </bottom>
      <diagonal/>
    </border>
    <border>
      <left style="dashed">
        <color indexed="64"/>
      </left>
      <right style="double">
        <color indexed="64"/>
      </right>
      <top style="hair">
        <color indexed="64"/>
      </top>
      <bottom style="medium">
        <color indexed="64"/>
      </bottom>
      <diagonal/>
    </border>
    <border>
      <left style="dashed">
        <color indexed="64"/>
      </left>
      <right style="double">
        <color indexed="64"/>
      </right>
      <top/>
      <bottom style="hair">
        <color indexed="64"/>
      </bottom>
      <diagonal/>
    </border>
    <border>
      <left style="dashed">
        <color indexed="64"/>
      </left>
      <right style="double">
        <color indexed="64"/>
      </right>
      <top style="thin">
        <color auto="1"/>
      </top>
      <bottom style="medium">
        <color indexed="64"/>
      </bottom>
      <diagonal/>
    </border>
    <border>
      <left/>
      <right style="hair">
        <color indexed="64"/>
      </right>
      <top style="medium">
        <color indexed="64"/>
      </top>
      <bottom/>
      <diagonal/>
    </border>
    <border>
      <left/>
      <right style="dashed">
        <color indexed="64"/>
      </right>
      <top style="medium">
        <color indexed="64"/>
      </top>
      <bottom style="medium">
        <color indexed="64"/>
      </bottom>
      <diagonal/>
    </border>
    <border>
      <left style="dashed">
        <color indexed="64"/>
      </left>
      <right/>
      <top/>
      <bottom style="hair">
        <color indexed="64"/>
      </bottom>
      <diagonal/>
    </border>
    <border>
      <left style="thin">
        <color indexed="64"/>
      </left>
      <right style="double">
        <color indexed="64"/>
      </right>
      <top style="medium">
        <color indexed="64"/>
      </top>
      <bottom style="thin">
        <color indexed="64"/>
      </bottom>
      <diagonal/>
    </border>
    <border>
      <left style="thin">
        <color indexed="64"/>
      </left>
      <right style="thick">
        <color indexed="64"/>
      </right>
      <top style="medium">
        <color indexed="64"/>
      </top>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bottom style="hair">
        <color auto="1"/>
      </bottom>
      <diagonal/>
    </border>
    <border>
      <left style="thin">
        <color indexed="64"/>
      </left>
      <right style="thick">
        <color indexed="64"/>
      </right>
      <top style="hair">
        <color indexed="64"/>
      </top>
      <bottom style="hair">
        <color indexed="64"/>
      </bottom>
      <diagonal/>
    </border>
    <border>
      <left style="thin">
        <color indexed="64"/>
      </left>
      <right style="thick">
        <color indexed="64"/>
      </right>
      <top style="hair">
        <color indexed="64"/>
      </top>
      <bottom style="medium">
        <color indexed="64"/>
      </bottom>
      <diagonal/>
    </border>
    <border>
      <left style="dashed">
        <color indexed="64"/>
      </left>
      <right style="double">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thin">
        <color indexed="64"/>
      </bottom>
      <diagonal/>
    </border>
    <border>
      <left style="thick">
        <color indexed="64"/>
      </left>
      <right style="dashed">
        <color indexed="64"/>
      </right>
      <top style="hair">
        <color indexed="64"/>
      </top>
      <bottom style="hair">
        <color indexed="64"/>
      </bottom>
      <diagonal/>
    </border>
    <border>
      <left style="thick">
        <color indexed="64"/>
      </left>
      <right style="dashed">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dashed">
        <color indexed="64"/>
      </left>
      <right style="thick">
        <color indexed="64"/>
      </right>
      <top/>
      <bottom style="hair">
        <color indexed="64"/>
      </bottom>
      <diagonal/>
    </border>
    <border>
      <left style="dashed">
        <color indexed="64"/>
      </left>
      <right style="thick">
        <color indexed="64"/>
      </right>
      <top style="hair">
        <color indexed="64"/>
      </top>
      <bottom style="hair">
        <color indexed="64"/>
      </bottom>
      <diagonal/>
    </border>
    <border>
      <left style="dashed">
        <color indexed="64"/>
      </left>
      <right style="thick">
        <color indexed="64"/>
      </right>
      <top style="hair">
        <color indexed="64"/>
      </top>
      <bottom style="medium">
        <color indexed="64"/>
      </bottom>
      <diagonal/>
    </border>
    <border>
      <left style="dashed">
        <color indexed="64"/>
      </left>
      <right style="thick">
        <color indexed="64"/>
      </right>
      <top style="medium">
        <color indexed="64"/>
      </top>
      <bottom style="hair">
        <color indexed="64"/>
      </bottom>
      <diagonal/>
    </border>
    <border>
      <left/>
      <right/>
      <top/>
      <bottom style="thick">
        <color auto="1"/>
      </bottom>
      <diagonal/>
    </border>
    <border>
      <left style="medium">
        <color indexed="64"/>
      </left>
      <right style="thin">
        <color auto="1"/>
      </right>
      <top style="hair">
        <color indexed="64"/>
      </top>
      <bottom/>
      <diagonal/>
    </border>
    <border>
      <left style="thin">
        <color auto="1"/>
      </left>
      <right style="thin">
        <color auto="1"/>
      </right>
      <top style="hair">
        <color indexed="64"/>
      </top>
      <bottom/>
      <diagonal/>
    </border>
    <border>
      <left style="thin">
        <color auto="1"/>
      </left>
      <right style="medium">
        <color indexed="64"/>
      </right>
      <top style="hair">
        <color indexed="64"/>
      </top>
      <bottom/>
      <diagonal/>
    </border>
    <border>
      <left style="medium">
        <color indexed="64"/>
      </left>
      <right style="dashed">
        <color indexed="64"/>
      </right>
      <top style="hair">
        <color indexed="64"/>
      </top>
      <bottom/>
      <diagonal/>
    </border>
    <border>
      <left style="dashed">
        <color indexed="64"/>
      </left>
      <right style="double">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auto="1"/>
      </top>
      <bottom/>
      <diagonal/>
    </border>
    <border>
      <left style="dashed">
        <color indexed="64"/>
      </left>
      <right/>
      <top style="hair">
        <color indexed="64"/>
      </top>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style="double">
        <color indexed="64"/>
      </left>
      <right style="medium">
        <color indexed="64"/>
      </right>
      <top style="hair">
        <color indexed="64"/>
      </top>
      <bottom/>
      <diagonal/>
    </border>
    <border>
      <left style="double">
        <color indexed="64"/>
      </left>
      <right style="medium">
        <color indexed="64"/>
      </right>
      <top/>
      <bottom/>
      <diagonal/>
    </border>
    <border>
      <left style="medium">
        <color indexed="64"/>
      </left>
      <right style="thin">
        <color auto="1"/>
      </right>
      <top/>
      <bottom/>
      <diagonal/>
    </border>
    <border>
      <left style="thin">
        <color indexed="64"/>
      </left>
      <right style="thick">
        <color indexed="64"/>
      </right>
      <top/>
      <bottom style="thin">
        <color indexed="64"/>
      </bottom>
      <diagonal/>
    </border>
    <border>
      <left/>
      <right style="thick">
        <color indexed="64"/>
      </right>
      <top style="hair">
        <color indexed="64"/>
      </top>
      <bottom style="hair">
        <color indexed="64"/>
      </bottom>
      <diagonal/>
    </border>
    <border>
      <left style="dashed">
        <color indexed="64"/>
      </left>
      <right style="double">
        <color indexed="64"/>
      </right>
      <top style="medium">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medium">
        <color indexed="64"/>
      </bottom>
      <diagonal/>
    </border>
    <border>
      <left style="dashed">
        <color indexed="64"/>
      </left>
      <right style="dashed">
        <color indexed="64"/>
      </right>
      <top style="hair">
        <color indexed="64"/>
      </top>
      <bottom/>
      <diagonal/>
    </border>
    <border>
      <left style="dashed">
        <color indexed="64"/>
      </left>
      <right style="thick">
        <color indexed="64"/>
      </right>
      <top style="hair">
        <color indexed="64"/>
      </top>
      <bottom/>
      <diagonal/>
    </border>
    <border>
      <left style="dashed">
        <color indexed="64"/>
      </left>
      <right style="medium">
        <color indexed="64"/>
      </right>
      <top style="hair">
        <color indexed="64"/>
      </top>
      <bottom/>
      <diagonal/>
    </border>
    <border>
      <left style="thick">
        <color indexed="64"/>
      </left>
      <right style="dashed">
        <color indexed="64"/>
      </right>
      <top style="hair">
        <color indexed="64"/>
      </top>
      <bottom/>
      <diagonal/>
    </border>
    <border>
      <left/>
      <right/>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right/>
      <top style="hair">
        <color indexed="64"/>
      </top>
      <bottom/>
      <diagonal/>
    </border>
    <border>
      <left style="thin">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thin">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top/>
      <bottom style="thin">
        <color indexed="64"/>
      </bottom>
      <diagonal/>
    </border>
    <border>
      <left style="dashed">
        <color indexed="64"/>
      </left>
      <right/>
      <top style="thin">
        <color indexed="64"/>
      </top>
      <bottom style="thin">
        <color indexed="64"/>
      </bottom>
      <diagonal/>
    </border>
    <border>
      <left style="medium">
        <color auto="1"/>
      </left>
      <right style="dashed">
        <color indexed="64"/>
      </right>
      <top/>
      <bottom style="thin">
        <color indexed="64"/>
      </bottom>
      <diagonal/>
    </border>
    <border>
      <left style="thin">
        <color indexed="64"/>
      </left>
      <right style="double">
        <color indexed="64"/>
      </right>
      <top/>
      <bottom style="hair">
        <color auto="1"/>
      </bottom>
      <diagonal/>
    </border>
    <border>
      <left style="double">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double">
        <color indexed="64"/>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medium">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ck">
        <color indexed="64"/>
      </top>
      <bottom style="medium">
        <color indexed="64"/>
      </bottom>
      <diagonal/>
    </border>
    <border>
      <left/>
      <right style="thick">
        <color indexed="64"/>
      </right>
      <top style="thick">
        <color indexed="64"/>
      </top>
      <bottom style="medium">
        <color indexed="64"/>
      </bottom>
      <diagonal/>
    </border>
    <border>
      <left/>
      <right/>
      <top style="thick">
        <color auto="1"/>
      </top>
      <bottom/>
      <diagonal/>
    </border>
    <border>
      <left/>
      <right/>
      <top style="thick">
        <color auto="1"/>
      </top>
      <bottom style="hair">
        <color auto="1"/>
      </bottom>
      <diagonal/>
    </border>
    <border>
      <left/>
      <right/>
      <top style="hair">
        <color indexed="64"/>
      </top>
      <bottom style="thick">
        <color indexed="64"/>
      </bottom>
      <diagonal/>
    </border>
    <border>
      <left/>
      <right/>
      <top style="thin">
        <color indexed="64"/>
      </top>
      <bottom style="thin">
        <color indexed="64"/>
      </bottom>
      <diagonal/>
    </border>
    <border>
      <left/>
      <right style="double">
        <color indexed="64"/>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top/>
      <bottom style="thick">
        <color rgb="FF0070C0"/>
      </bottom>
      <diagonal/>
    </border>
    <border>
      <left/>
      <right/>
      <top style="thick">
        <color rgb="FF0070C0"/>
      </top>
      <bottom style="thick">
        <color rgb="FF0070C0"/>
      </bottom>
      <diagonal/>
    </border>
  </borders>
  <cellStyleXfs count="14">
    <xf numFmtId="0" fontId="0" fillId="0" borderId="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15" fillId="0" borderId="0"/>
    <xf numFmtId="43" fontId="1" fillId="0" borderId="0" applyFont="0" applyFill="0" applyBorder="0" applyAlignment="0" applyProtection="0"/>
    <xf numFmtId="44" fontId="1"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0" fontId="1" fillId="0" borderId="0"/>
    <xf numFmtId="44" fontId="1" fillId="0" borderId="0" applyFont="0" applyFill="0" applyBorder="0" applyAlignment="0" applyProtection="0"/>
  </cellStyleXfs>
  <cellXfs count="562">
    <xf numFmtId="0" fontId="0" fillId="0" borderId="0" xfId="0"/>
    <xf numFmtId="164" fontId="3" fillId="0" borderId="5" xfId="1"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2" fontId="3" fillId="7" borderId="2" xfId="0" applyNumberFormat="1" applyFont="1" applyFill="1" applyBorder="1" applyAlignment="1">
      <alignment horizontal="center" vertical="center"/>
    </xf>
    <xf numFmtId="2" fontId="3" fillId="7" borderId="5" xfId="0" applyNumberFormat="1" applyFont="1" applyFill="1" applyBorder="1" applyAlignment="1">
      <alignment horizontal="center" vertical="center"/>
    </xf>
    <xf numFmtId="2" fontId="3" fillId="7" borderId="13" xfId="0" applyNumberFormat="1" applyFont="1" applyFill="1" applyBorder="1" applyAlignment="1">
      <alignment horizontal="center" vertical="center"/>
    </xf>
    <xf numFmtId="164" fontId="3" fillId="0" borderId="13" xfId="1" applyNumberFormat="1" applyFont="1" applyBorder="1" applyAlignment="1">
      <alignment horizontal="center" vertical="center" wrapText="1"/>
    </xf>
    <xf numFmtId="2" fontId="3" fillId="0" borderId="13" xfId="0" applyNumberFormat="1" applyFont="1" applyBorder="1" applyAlignment="1">
      <alignment horizontal="center" vertical="center" wrapText="1"/>
    </xf>
    <xf numFmtId="2" fontId="3" fillId="3" borderId="28" xfId="0" applyNumberFormat="1" applyFont="1" applyFill="1" applyBorder="1" applyAlignment="1">
      <alignment horizontal="center" vertical="center" wrapText="1"/>
    </xf>
    <xf numFmtId="2" fontId="3" fillId="3" borderId="32" xfId="0" applyNumberFormat="1" applyFont="1" applyFill="1" applyBorder="1" applyAlignment="1">
      <alignment horizontal="center" vertical="center" wrapText="1"/>
    </xf>
    <xf numFmtId="0" fontId="3" fillId="4" borderId="32" xfId="0" applyFont="1" applyFill="1" applyBorder="1" applyAlignment="1">
      <alignment horizontal="center" vertical="center" wrapText="1"/>
    </xf>
    <xf numFmtId="2" fontId="3" fillId="3" borderId="36" xfId="0" applyNumberFormat="1" applyFont="1" applyFill="1" applyBorder="1" applyAlignment="1">
      <alignment horizontal="center" vertical="center" wrapText="1"/>
    </xf>
    <xf numFmtId="164" fontId="3" fillId="4" borderId="31" xfId="1" applyNumberFormat="1" applyFont="1" applyFill="1" applyBorder="1" applyAlignment="1">
      <alignment horizontal="center" vertical="center" wrapText="1"/>
    </xf>
    <xf numFmtId="2" fontId="3" fillId="5" borderId="28" xfId="0" applyNumberFormat="1" applyFont="1" applyFill="1" applyBorder="1" applyAlignment="1">
      <alignment horizontal="center" vertical="center"/>
    </xf>
    <xf numFmtId="2" fontId="3" fillId="5" borderId="32" xfId="0" applyNumberFormat="1" applyFont="1" applyFill="1" applyBorder="1" applyAlignment="1">
      <alignment horizontal="center" vertical="center"/>
    </xf>
    <xf numFmtId="2" fontId="3" fillId="5" borderId="36" xfId="0" applyNumberFormat="1" applyFont="1" applyFill="1" applyBorder="1" applyAlignment="1">
      <alignment horizontal="center" vertical="center"/>
    </xf>
    <xf numFmtId="2" fontId="3" fillId="6" borderId="28" xfId="0" applyNumberFormat="1" applyFont="1" applyFill="1" applyBorder="1" applyAlignment="1">
      <alignment horizontal="center" vertical="center"/>
    </xf>
    <xf numFmtId="2" fontId="3" fillId="6" borderId="32" xfId="0" applyNumberFormat="1" applyFont="1" applyFill="1" applyBorder="1" applyAlignment="1">
      <alignment horizontal="center" vertical="center"/>
    </xf>
    <xf numFmtId="164" fontId="3" fillId="0" borderId="38" xfId="1" applyNumberFormat="1" applyFont="1" applyBorder="1" applyAlignment="1">
      <alignment horizontal="center" vertical="center" wrapText="1"/>
    </xf>
    <xf numFmtId="2" fontId="3" fillId="0" borderId="38" xfId="0" applyNumberFormat="1" applyFont="1" applyBorder="1" applyAlignment="1">
      <alignment horizontal="center" vertical="center" wrapText="1"/>
    </xf>
    <xf numFmtId="0" fontId="2" fillId="0" borderId="43" xfId="0" applyFont="1" applyBorder="1" applyAlignment="1">
      <alignment horizontal="center" vertical="center" wrapText="1"/>
    </xf>
    <xf numFmtId="0" fontId="2" fillId="0" borderId="20" xfId="0" applyFont="1" applyBorder="1"/>
    <xf numFmtId="0" fontId="2" fillId="0" borderId="22" xfId="0" applyFont="1" applyBorder="1"/>
    <xf numFmtId="0" fontId="4" fillId="0" borderId="0" xfId="0" applyFont="1" applyAlignment="1">
      <alignment vertical="center"/>
    </xf>
    <xf numFmtId="164" fontId="3" fillId="0" borderId="31" xfId="1" applyNumberFormat="1" applyFont="1" applyBorder="1" applyAlignment="1">
      <alignment horizontal="center" vertical="center" wrapText="1"/>
    </xf>
    <xf numFmtId="2" fontId="3" fillId="0" borderId="32" xfId="0" applyNumberFormat="1" applyFont="1" applyBorder="1" applyAlignment="1">
      <alignment horizontal="center" vertical="center" wrapText="1"/>
    </xf>
    <xf numFmtId="164" fontId="3" fillId="0" borderId="31" xfId="1" applyNumberFormat="1" applyFont="1" applyFill="1" applyBorder="1" applyAlignment="1">
      <alignment horizontal="center" vertical="center" wrapText="1"/>
    </xf>
    <xf numFmtId="164" fontId="3" fillId="0" borderId="68" xfId="1" applyNumberFormat="1" applyFont="1" applyBorder="1" applyAlignment="1">
      <alignment horizontal="center" vertical="center" wrapText="1"/>
    </xf>
    <xf numFmtId="2" fontId="3" fillId="0" borderId="69" xfId="0" applyNumberFormat="1" applyFont="1" applyBorder="1" applyAlignment="1">
      <alignment horizontal="center" vertical="center" wrapText="1"/>
    </xf>
    <xf numFmtId="164" fontId="3" fillId="0" borderId="35" xfId="1" applyNumberFormat="1" applyFont="1" applyBorder="1" applyAlignment="1">
      <alignment horizontal="center" vertical="center" wrapText="1"/>
    </xf>
    <xf numFmtId="164" fontId="3" fillId="0" borderId="8" xfId="1" applyNumberFormat="1" applyFont="1" applyBorder="1" applyAlignment="1">
      <alignment horizontal="center" vertical="center" wrapText="1"/>
    </xf>
    <xf numFmtId="164" fontId="3" fillId="0" borderId="108" xfId="1" applyNumberFormat="1" applyFont="1" applyBorder="1" applyAlignment="1">
      <alignment horizontal="center" vertical="center" wrapText="1"/>
    </xf>
    <xf numFmtId="164" fontId="3" fillId="0" borderId="12" xfId="1" applyNumberFormat="1" applyFont="1" applyBorder="1" applyAlignment="1">
      <alignment horizontal="center" vertical="center" wrapText="1"/>
    </xf>
    <xf numFmtId="2" fontId="3" fillId="5" borderId="121" xfId="0" applyNumberFormat="1" applyFont="1" applyFill="1" applyBorder="1" applyAlignment="1">
      <alignment horizontal="center" vertical="center"/>
    </xf>
    <xf numFmtId="0" fontId="6" fillId="0" borderId="0" xfId="0" applyFont="1" applyAlignment="1">
      <alignment vertical="center"/>
    </xf>
    <xf numFmtId="2" fontId="3" fillId="6" borderId="121" xfId="0" applyNumberFormat="1" applyFont="1" applyFill="1" applyBorder="1" applyAlignment="1">
      <alignment horizontal="center" vertical="center"/>
    </xf>
    <xf numFmtId="0" fontId="3" fillId="0" borderId="0" xfId="0" applyFont="1"/>
    <xf numFmtId="164" fontId="3" fillId="0" borderId="0" xfId="1" applyNumberFormat="1" applyFont="1" applyFill="1"/>
    <xf numFmtId="0" fontId="3" fillId="0" borderId="0" xfId="0" applyFont="1" applyAlignment="1">
      <alignment shrinkToFit="1"/>
    </xf>
    <xf numFmtId="164" fontId="3" fillId="0" borderId="0" xfId="1" applyNumberFormat="1" applyFont="1"/>
    <xf numFmtId="44" fontId="3" fillId="0" borderId="0" xfId="2" applyFont="1"/>
    <xf numFmtId="2" fontId="2" fillId="0" borderId="40" xfId="0" applyNumberFormat="1" applyFont="1" applyBorder="1" applyAlignment="1">
      <alignment horizontal="center" vertical="center" wrapText="1"/>
    </xf>
    <xf numFmtId="0" fontId="2" fillId="0" borderId="43" xfId="0" applyFont="1" applyBorder="1" applyAlignment="1">
      <alignment horizontal="justify" vertical="center" wrapText="1"/>
    </xf>
    <xf numFmtId="165" fontId="2" fillId="0" borderId="51" xfId="2" applyNumberFormat="1" applyFont="1" applyFill="1" applyBorder="1" applyAlignment="1">
      <alignment horizontal="center" vertical="center" wrapText="1"/>
    </xf>
    <xf numFmtId="0" fontId="2" fillId="0" borderId="40" xfId="0" applyFont="1" applyBorder="1" applyAlignment="1">
      <alignment horizontal="center" vertical="center" wrapText="1"/>
    </xf>
    <xf numFmtId="44" fontId="2" fillId="0" borderId="103" xfId="2" applyFont="1" applyBorder="1" applyAlignment="1">
      <alignment horizontal="center" vertical="center" shrinkToFit="1"/>
    </xf>
    <xf numFmtId="0" fontId="2" fillId="0" borderId="80"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99"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90"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7" xfId="0" applyFont="1" applyBorder="1" applyAlignment="1">
      <alignment horizontal="center" vertical="center" wrapText="1"/>
    </xf>
    <xf numFmtId="44" fontId="2" fillId="0" borderId="103" xfId="2" applyFont="1" applyBorder="1" applyAlignment="1">
      <alignment horizontal="center" vertical="center" wrapText="1"/>
    </xf>
    <xf numFmtId="0" fontId="2" fillId="0" borderId="76" xfId="0" applyFont="1" applyBorder="1" applyAlignment="1">
      <alignment horizontal="center" vertical="center" wrapText="1"/>
    </xf>
    <xf numFmtId="0" fontId="2" fillId="0" borderId="107" xfId="0" applyFont="1" applyBorder="1" applyAlignment="1">
      <alignment horizontal="center" vertical="center" wrapText="1"/>
    </xf>
    <xf numFmtId="0" fontId="2" fillId="0" borderId="91" xfId="0" applyFont="1" applyBorder="1" applyAlignment="1">
      <alignment horizontal="center" vertical="center" wrapText="1"/>
    </xf>
    <xf numFmtId="0" fontId="2" fillId="0" borderId="113" xfId="0" applyFont="1" applyBorder="1" applyAlignment="1">
      <alignment horizontal="center" vertical="center" wrapText="1"/>
    </xf>
    <xf numFmtId="44" fontId="2" fillId="0" borderId="114" xfId="2" applyFont="1" applyBorder="1" applyAlignment="1">
      <alignment horizontal="center" vertical="center" wrapText="1"/>
    </xf>
    <xf numFmtId="2" fontId="3" fillId="3" borderId="27" xfId="0" applyNumberFormat="1" applyFont="1" applyFill="1" applyBorder="1" applyAlignment="1">
      <alignment horizontal="center" vertical="center" wrapText="1"/>
    </xf>
    <xf numFmtId="0" fontId="3" fillId="3" borderId="28" xfId="0" applyFont="1" applyFill="1" applyBorder="1" applyAlignment="1">
      <alignment horizontal="justify" vertical="center" wrapText="1"/>
    </xf>
    <xf numFmtId="0" fontId="3" fillId="3" borderId="28" xfId="0" applyFont="1" applyFill="1" applyBorder="1" applyAlignment="1">
      <alignment horizontal="center" vertical="center" wrapText="1"/>
    </xf>
    <xf numFmtId="0" fontId="3" fillId="0" borderId="0" xfId="0" applyFont="1" applyAlignment="1">
      <alignment vertical="center" wrapText="1"/>
    </xf>
    <xf numFmtId="0" fontId="3" fillId="0" borderId="69" xfId="0" applyFont="1" applyBorder="1" applyAlignment="1">
      <alignment horizontal="center" vertical="center" wrapText="1"/>
    </xf>
    <xf numFmtId="167" fontId="3" fillId="0" borderId="115" xfId="0" applyNumberFormat="1" applyFont="1" applyBorder="1" applyAlignment="1">
      <alignment vertical="center" wrapText="1"/>
    </xf>
    <xf numFmtId="164" fontId="3" fillId="0" borderId="82" xfId="1" applyNumberFormat="1" applyFont="1" applyBorder="1" applyAlignment="1">
      <alignment vertical="center" wrapText="1"/>
    </xf>
    <xf numFmtId="167" fontId="3" fillId="0" borderId="79" xfId="0" applyNumberFormat="1" applyFont="1" applyBorder="1" applyAlignment="1">
      <alignment vertical="center" wrapText="1"/>
    </xf>
    <xf numFmtId="167" fontId="3" fillId="0" borderId="100" xfId="0" applyNumberFormat="1" applyFont="1" applyBorder="1" applyAlignment="1">
      <alignment vertical="center" wrapText="1"/>
    </xf>
    <xf numFmtId="3" fontId="3" fillId="0" borderId="82" xfId="0" applyNumberFormat="1" applyFont="1" applyBorder="1" applyAlignment="1">
      <alignment vertical="center" wrapText="1"/>
    </xf>
    <xf numFmtId="164" fontId="3" fillId="0" borderId="70" xfId="0" applyNumberFormat="1" applyFont="1" applyBorder="1" applyAlignment="1">
      <alignment vertical="center" wrapText="1"/>
    </xf>
    <xf numFmtId="44" fontId="3" fillId="0" borderId="104" xfId="2" applyFont="1" applyBorder="1" applyAlignment="1">
      <alignment horizontal="center" vertical="center" wrapText="1" shrinkToFit="1"/>
    </xf>
    <xf numFmtId="164" fontId="3" fillId="0" borderId="78" xfId="0" applyNumberFormat="1" applyFont="1" applyBorder="1" applyAlignment="1">
      <alignment vertical="center" wrapText="1"/>
    </xf>
    <xf numFmtId="167" fontId="3" fillId="0" borderId="96" xfId="0" applyNumberFormat="1" applyFont="1" applyBorder="1" applyAlignment="1">
      <alignment vertical="center" wrapText="1"/>
    </xf>
    <xf numFmtId="165" fontId="3" fillId="0" borderId="104" xfId="2" applyNumberFormat="1" applyFont="1" applyBorder="1" applyAlignment="1">
      <alignment horizontal="center" vertical="center" wrapText="1"/>
    </xf>
    <xf numFmtId="44" fontId="3" fillId="0" borderId="104" xfId="2" applyFont="1" applyBorder="1" applyAlignment="1">
      <alignment horizontal="center" vertical="center" wrapText="1"/>
    </xf>
    <xf numFmtId="164" fontId="3" fillId="0" borderId="68" xfId="1" applyNumberFormat="1" applyFont="1" applyBorder="1" applyAlignment="1">
      <alignment vertical="center" wrapText="1"/>
    </xf>
    <xf numFmtId="44" fontId="3" fillId="0" borderId="104" xfId="2" applyFont="1" applyBorder="1" applyAlignment="1">
      <alignment horizontal="right" vertical="center" wrapText="1" shrinkToFit="1"/>
    </xf>
    <xf numFmtId="164" fontId="3" fillId="0" borderId="68" xfId="0" applyNumberFormat="1" applyFont="1" applyBorder="1" applyAlignment="1">
      <alignment vertical="center" wrapText="1"/>
    </xf>
    <xf numFmtId="167" fontId="3" fillId="0" borderId="104" xfId="0" applyNumberFormat="1" applyFont="1" applyBorder="1" applyAlignment="1">
      <alignment vertical="center" wrapText="1"/>
    </xf>
    <xf numFmtId="2" fontId="3" fillId="3" borderId="31" xfId="0" applyNumberFormat="1" applyFont="1" applyFill="1" applyBorder="1" applyAlignment="1">
      <alignment horizontal="center" vertical="center" wrapText="1"/>
    </xf>
    <xf numFmtId="0" fontId="3" fillId="3" borderId="32" xfId="0" applyFont="1" applyFill="1" applyBorder="1" applyAlignment="1">
      <alignment horizontal="justify" vertical="center" wrapText="1"/>
    </xf>
    <xf numFmtId="0" fontId="3" fillId="3" borderId="32" xfId="0" applyFont="1" applyFill="1" applyBorder="1" applyAlignment="1">
      <alignment horizontal="center" vertical="center" wrapText="1"/>
    </xf>
    <xf numFmtId="0" fontId="3" fillId="0" borderId="32" xfId="0" applyFont="1" applyBorder="1" applyAlignment="1">
      <alignment horizontal="center" vertical="center" wrapText="1"/>
    </xf>
    <xf numFmtId="167" fontId="3" fillId="0" borderId="116" xfId="0" applyNumberFormat="1" applyFont="1" applyBorder="1" applyAlignment="1">
      <alignment vertical="center" wrapText="1"/>
    </xf>
    <xf numFmtId="164" fontId="3" fillId="0" borderId="84" xfId="1" applyNumberFormat="1" applyFont="1" applyBorder="1" applyAlignment="1">
      <alignment vertical="center" wrapText="1"/>
    </xf>
    <xf numFmtId="167" fontId="3" fillId="0" borderId="47" xfId="0" applyNumberFormat="1" applyFont="1" applyBorder="1" applyAlignment="1">
      <alignment vertical="center" wrapText="1"/>
    </xf>
    <xf numFmtId="167" fontId="3" fillId="0" borderId="74" xfId="0" applyNumberFormat="1" applyFont="1" applyBorder="1" applyAlignment="1">
      <alignment vertical="center" wrapText="1"/>
    </xf>
    <xf numFmtId="164" fontId="3" fillId="0" borderId="41" xfId="0" applyNumberFormat="1" applyFont="1" applyBorder="1" applyAlignment="1">
      <alignment vertical="center" wrapText="1"/>
    </xf>
    <xf numFmtId="44" fontId="3" fillId="0" borderId="105" xfId="2" applyFont="1" applyBorder="1" applyAlignment="1">
      <alignment horizontal="center" vertical="center" wrapText="1" shrinkToFit="1"/>
    </xf>
    <xf numFmtId="164" fontId="3" fillId="0" borderId="46" xfId="0" applyNumberFormat="1" applyFont="1" applyBorder="1" applyAlignment="1">
      <alignment vertical="center" wrapText="1"/>
    </xf>
    <xf numFmtId="167" fontId="3" fillId="0" borderId="94" xfId="0" applyNumberFormat="1" applyFont="1" applyBorder="1" applyAlignment="1">
      <alignment vertical="center" wrapText="1"/>
    </xf>
    <xf numFmtId="165" fontId="3" fillId="0" borderId="105" xfId="2" applyNumberFormat="1" applyFont="1" applyFill="1" applyBorder="1" applyAlignment="1">
      <alignment horizontal="center" vertical="center" wrapText="1"/>
    </xf>
    <xf numFmtId="44" fontId="3" fillId="0" borderId="105" xfId="2" applyFont="1" applyFill="1" applyBorder="1" applyAlignment="1">
      <alignment horizontal="center" vertical="center" wrapText="1"/>
    </xf>
    <xf numFmtId="164" fontId="3" fillId="0" borderId="31" xfId="1" applyNumberFormat="1" applyFont="1" applyFill="1" applyBorder="1" applyAlignment="1">
      <alignment vertical="center" wrapText="1"/>
    </xf>
    <xf numFmtId="44" fontId="3" fillId="0" borderId="105" xfId="2" applyFont="1" applyBorder="1" applyAlignment="1">
      <alignment horizontal="center" vertical="center" wrapText="1"/>
    </xf>
    <xf numFmtId="44" fontId="3" fillId="0" borderId="105" xfId="2" applyFont="1" applyBorder="1" applyAlignment="1">
      <alignment horizontal="right" vertical="center" wrapText="1" shrinkToFit="1"/>
    </xf>
    <xf numFmtId="164" fontId="3" fillId="0" borderId="31" xfId="1" applyNumberFormat="1" applyFont="1" applyBorder="1" applyAlignment="1">
      <alignment vertical="center" wrapText="1"/>
    </xf>
    <xf numFmtId="164" fontId="3" fillId="0" borderId="31" xfId="0" applyNumberFormat="1" applyFont="1" applyBorder="1" applyAlignment="1">
      <alignment vertical="center" wrapText="1"/>
    </xf>
    <xf numFmtId="167" fontId="3" fillId="0" borderId="105" xfId="0" applyNumberFormat="1" applyFont="1" applyBorder="1" applyAlignment="1">
      <alignment vertical="center" wrapText="1"/>
    </xf>
    <xf numFmtId="165" fontId="3" fillId="0" borderId="105" xfId="2" applyNumberFormat="1" applyFont="1" applyBorder="1" applyAlignment="1">
      <alignment horizontal="center" vertical="center" wrapText="1"/>
    </xf>
    <xf numFmtId="168" fontId="3" fillId="0" borderId="31" xfId="1" applyNumberFormat="1" applyFont="1" applyBorder="1" applyAlignment="1">
      <alignment vertical="center" wrapText="1"/>
    </xf>
    <xf numFmtId="2" fontId="3" fillId="3" borderId="35" xfId="0" applyNumberFormat="1" applyFont="1" applyFill="1" applyBorder="1" applyAlignment="1">
      <alignment horizontal="center" vertical="center" wrapText="1"/>
    </xf>
    <xf numFmtId="0" fontId="3" fillId="3" borderId="36" xfId="0" applyFont="1" applyFill="1" applyBorder="1" applyAlignment="1">
      <alignment horizontal="justify" vertical="center" wrapText="1"/>
    </xf>
    <xf numFmtId="0" fontId="3" fillId="3" borderId="36" xfId="0" applyFont="1" applyFill="1" applyBorder="1" applyAlignment="1">
      <alignment horizontal="center" vertical="center" wrapText="1"/>
    </xf>
    <xf numFmtId="0" fontId="3" fillId="0" borderId="36" xfId="0" applyFont="1" applyBorder="1" applyAlignment="1">
      <alignment horizontal="center" vertical="center" wrapText="1"/>
    </xf>
    <xf numFmtId="167" fontId="3" fillId="0" borderId="117" xfId="0" applyNumberFormat="1" applyFont="1" applyBorder="1" applyAlignment="1">
      <alignment vertical="center" wrapText="1"/>
    </xf>
    <xf numFmtId="164" fontId="3" fillId="0" borderId="86" xfId="1" applyNumberFormat="1" applyFont="1" applyBorder="1" applyAlignment="1">
      <alignment vertical="center" wrapText="1"/>
    </xf>
    <xf numFmtId="167" fontId="3" fillId="0" borderId="49" xfId="0" applyNumberFormat="1" applyFont="1" applyBorder="1" applyAlignment="1">
      <alignment vertical="center" wrapText="1"/>
    </xf>
    <xf numFmtId="167" fontId="3" fillId="0" borderId="75" xfId="0" applyNumberFormat="1" applyFont="1" applyBorder="1" applyAlignment="1">
      <alignment vertical="center" wrapText="1"/>
    </xf>
    <xf numFmtId="164" fontId="3" fillId="0" borderId="42" xfId="0" applyNumberFormat="1" applyFont="1" applyBorder="1" applyAlignment="1">
      <alignment vertical="center" wrapText="1"/>
    </xf>
    <xf numFmtId="44" fontId="3" fillId="0" borderId="106" xfId="2" applyFont="1" applyBorder="1" applyAlignment="1">
      <alignment horizontal="center" vertical="center" wrapText="1" shrinkToFit="1"/>
    </xf>
    <xf numFmtId="164" fontId="3" fillId="0" borderId="48" xfId="0" applyNumberFormat="1" applyFont="1" applyBorder="1" applyAlignment="1">
      <alignment vertical="center" wrapText="1"/>
    </xf>
    <xf numFmtId="167" fontId="3" fillId="0" borderId="95" xfId="0" applyNumberFormat="1" applyFont="1" applyBorder="1" applyAlignment="1">
      <alignment vertical="center" wrapText="1"/>
    </xf>
    <xf numFmtId="164" fontId="3" fillId="0" borderId="35" xfId="1" applyNumberFormat="1" applyFont="1" applyFill="1" applyBorder="1" applyAlignment="1">
      <alignment horizontal="center" vertical="center" wrapText="1"/>
    </xf>
    <xf numFmtId="165" fontId="3" fillId="0" borderId="106" xfId="2" applyNumberFormat="1" applyFont="1" applyFill="1" applyBorder="1" applyAlignment="1">
      <alignment horizontal="center" vertical="center" wrapText="1"/>
    </xf>
    <xf numFmtId="3" fontId="3" fillId="0" borderId="48" xfId="0" applyNumberFormat="1" applyFont="1" applyBorder="1" applyAlignment="1">
      <alignment vertical="center" wrapText="1"/>
    </xf>
    <xf numFmtId="44" fontId="3" fillId="0" borderId="106" xfId="2" applyFont="1" applyFill="1" applyBorder="1" applyAlignment="1">
      <alignment horizontal="center" vertical="center" wrapText="1"/>
    </xf>
    <xf numFmtId="164" fontId="3" fillId="0" borderId="35" xfId="1" applyNumberFormat="1" applyFont="1" applyFill="1" applyBorder="1" applyAlignment="1">
      <alignment vertical="center" wrapText="1"/>
    </xf>
    <xf numFmtId="44" fontId="3" fillId="0" borderId="106" xfId="2" applyFont="1" applyBorder="1" applyAlignment="1">
      <alignment horizontal="center" vertical="center" wrapText="1"/>
    </xf>
    <xf numFmtId="44" fontId="3" fillId="0" borderId="106" xfId="2" applyFont="1" applyBorder="1" applyAlignment="1">
      <alignment horizontal="right" vertical="center" wrapText="1" shrinkToFit="1"/>
    </xf>
    <xf numFmtId="164" fontId="3" fillId="0" borderId="35" xfId="1" applyNumberFormat="1" applyFont="1" applyBorder="1" applyAlignment="1">
      <alignment vertical="center" wrapText="1"/>
    </xf>
    <xf numFmtId="164" fontId="3" fillId="0" borderId="35" xfId="0" applyNumberFormat="1" applyFont="1" applyBorder="1" applyAlignment="1">
      <alignment vertical="center" wrapText="1"/>
    </xf>
    <xf numFmtId="167" fontId="3" fillId="0" borderId="106" xfId="0" applyNumberFormat="1" applyFont="1" applyBorder="1" applyAlignment="1">
      <alignment vertical="center" wrapText="1"/>
    </xf>
    <xf numFmtId="0" fontId="3" fillId="5" borderId="28" xfId="0" applyFont="1" applyFill="1" applyBorder="1" applyAlignment="1">
      <alignment horizontal="justify" vertical="center" wrapText="1"/>
    </xf>
    <xf numFmtId="0" fontId="3" fillId="5" borderId="28" xfId="0" applyFont="1" applyFill="1" applyBorder="1" applyAlignment="1">
      <alignment horizontal="center" vertical="center" wrapText="1"/>
    </xf>
    <xf numFmtId="0" fontId="3" fillId="0" borderId="0" xfId="0" applyFont="1" applyAlignment="1">
      <alignment vertical="center"/>
    </xf>
    <xf numFmtId="164" fontId="3" fillId="4" borderId="27" xfId="1" applyNumberFormat="1" applyFont="1" applyFill="1" applyBorder="1" applyAlignment="1">
      <alignment horizontal="center" vertical="center"/>
    </xf>
    <xf numFmtId="0" fontId="3" fillId="4" borderId="28" xfId="0" applyFont="1" applyFill="1" applyBorder="1" applyAlignment="1">
      <alignment horizontal="center" vertical="center"/>
    </xf>
    <xf numFmtId="167" fontId="3" fillId="0" borderId="118" xfId="0" applyNumberFormat="1" applyFont="1" applyBorder="1" applyAlignment="1">
      <alignment vertical="center"/>
    </xf>
    <xf numFmtId="164" fontId="3" fillId="0" borderId="88" xfId="1" applyNumberFormat="1" applyFont="1" applyBorder="1" applyAlignment="1">
      <alignment vertical="center"/>
    </xf>
    <xf numFmtId="164" fontId="3" fillId="0" borderId="50" xfId="0" applyNumberFormat="1" applyFont="1" applyBorder="1" applyAlignment="1">
      <alignment vertical="center"/>
    </xf>
    <xf numFmtId="164" fontId="3" fillId="4" borderId="68" xfId="1" applyNumberFormat="1" applyFont="1" applyFill="1" applyBorder="1" applyAlignment="1">
      <alignment horizontal="center" vertical="center"/>
    </xf>
    <xf numFmtId="0" fontId="3" fillId="4" borderId="69" xfId="0" applyFont="1" applyFill="1" applyBorder="1" applyAlignment="1">
      <alignment horizontal="center" vertical="center"/>
    </xf>
    <xf numFmtId="44" fontId="3" fillId="0" borderId="104" xfId="2" applyFont="1" applyBorder="1" applyAlignment="1">
      <alignment horizontal="center" vertical="center" shrinkToFit="1"/>
    </xf>
    <xf numFmtId="164" fontId="3" fillId="0" borderId="82" xfId="1" applyNumberFormat="1" applyFont="1" applyBorder="1" applyAlignment="1">
      <alignment vertical="center"/>
    </xf>
    <xf numFmtId="167" fontId="3" fillId="0" borderId="79" xfId="0" applyNumberFormat="1" applyFont="1" applyBorder="1" applyAlignment="1">
      <alignment vertical="center"/>
    </xf>
    <xf numFmtId="167" fontId="3" fillId="0" borderId="100" xfId="0" applyNumberFormat="1" applyFont="1" applyBorder="1" applyAlignment="1">
      <alignment vertical="center"/>
    </xf>
    <xf numFmtId="164" fontId="3" fillId="0" borderId="78" xfId="0" applyNumberFormat="1" applyFont="1" applyBorder="1" applyAlignment="1">
      <alignment vertical="center"/>
    </xf>
    <xf numFmtId="167" fontId="3" fillId="0" borderId="96" xfId="0" applyNumberFormat="1" applyFont="1" applyBorder="1" applyAlignment="1">
      <alignment vertical="center"/>
    </xf>
    <xf numFmtId="165" fontId="3" fillId="0" borderId="104" xfId="2" applyNumberFormat="1" applyFont="1" applyBorder="1" applyAlignment="1">
      <alignment horizontal="center" vertical="center"/>
    </xf>
    <xf numFmtId="44" fontId="3" fillId="0" borderId="104" xfId="2" applyFont="1" applyBorder="1" applyAlignment="1">
      <alignment horizontal="center" vertical="center"/>
    </xf>
    <xf numFmtId="43" fontId="3" fillId="0" borderId="68" xfId="1" applyFont="1" applyBorder="1" applyAlignment="1">
      <alignment vertical="center"/>
    </xf>
    <xf numFmtId="43" fontId="3" fillId="4" borderId="68" xfId="1" applyFont="1" applyFill="1" applyBorder="1" applyAlignment="1">
      <alignment horizontal="center" vertical="center"/>
    </xf>
    <xf numFmtId="164" fontId="3" fillId="0" borderId="68" xfId="1" applyNumberFormat="1" applyFont="1" applyBorder="1" applyAlignment="1">
      <alignment vertical="center"/>
    </xf>
    <xf numFmtId="164" fontId="3" fillId="0" borderId="68" xfId="0" applyNumberFormat="1" applyFont="1" applyBorder="1" applyAlignment="1">
      <alignment vertical="center"/>
    </xf>
    <xf numFmtId="167" fontId="3" fillId="0" borderId="104" xfId="0" applyNumberFormat="1" applyFont="1" applyBorder="1" applyAlignment="1">
      <alignment vertical="center"/>
    </xf>
    <xf numFmtId="0" fontId="3" fillId="5" borderId="32" xfId="0" applyFont="1" applyFill="1" applyBorder="1" applyAlignment="1">
      <alignment horizontal="justify" vertical="center" wrapText="1"/>
    </xf>
    <xf numFmtId="0" fontId="3" fillId="5" borderId="32" xfId="0" applyFont="1" applyFill="1" applyBorder="1" applyAlignment="1">
      <alignment horizontal="center" vertical="center" wrapText="1"/>
    </xf>
    <xf numFmtId="164" fontId="3" fillId="4" borderId="31" xfId="1" applyNumberFormat="1" applyFont="1" applyFill="1" applyBorder="1" applyAlignment="1">
      <alignment horizontal="center" vertical="center"/>
    </xf>
    <xf numFmtId="0" fontId="3" fillId="4" borderId="32" xfId="0" applyFont="1" applyFill="1" applyBorder="1" applyAlignment="1">
      <alignment horizontal="center" vertical="center"/>
    </xf>
    <xf numFmtId="167" fontId="3" fillId="0" borderId="116" xfId="0" applyNumberFormat="1" applyFont="1" applyBorder="1" applyAlignment="1">
      <alignment vertical="center"/>
    </xf>
    <xf numFmtId="164" fontId="3" fillId="0" borderId="84" xfId="1" applyNumberFormat="1" applyFont="1" applyBorder="1" applyAlignment="1">
      <alignment vertical="center"/>
    </xf>
    <xf numFmtId="167" fontId="3" fillId="0" borderId="47" xfId="0" applyNumberFormat="1" applyFont="1" applyBorder="1" applyAlignment="1">
      <alignment vertical="center"/>
    </xf>
    <xf numFmtId="167" fontId="3" fillId="0" borderId="74" xfId="0" applyNumberFormat="1" applyFont="1" applyBorder="1" applyAlignment="1">
      <alignment vertical="center"/>
    </xf>
    <xf numFmtId="167" fontId="3" fillId="0" borderId="85" xfId="0" applyNumberFormat="1" applyFont="1" applyBorder="1" applyAlignment="1">
      <alignment vertical="center"/>
    </xf>
    <xf numFmtId="164" fontId="3" fillId="0" borderId="41" xfId="0" applyNumberFormat="1" applyFont="1" applyBorder="1" applyAlignment="1">
      <alignment vertical="center"/>
    </xf>
    <xf numFmtId="44" fontId="3" fillId="0" borderId="105" xfId="2" applyFont="1" applyBorder="1" applyAlignment="1">
      <alignment horizontal="center" vertical="center" shrinkToFit="1"/>
    </xf>
    <xf numFmtId="164" fontId="3" fillId="0" borderId="46" xfId="0" applyNumberFormat="1" applyFont="1" applyBorder="1" applyAlignment="1">
      <alignment vertical="center"/>
    </xf>
    <xf numFmtId="167" fontId="3" fillId="0" borderId="94" xfId="0" applyNumberFormat="1" applyFont="1" applyBorder="1" applyAlignment="1">
      <alignment vertical="center"/>
    </xf>
    <xf numFmtId="165" fontId="3" fillId="0" borderId="105" xfId="2" applyNumberFormat="1" applyFont="1" applyBorder="1" applyAlignment="1">
      <alignment horizontal="center" vertical="center"/>
    </xf>
    <xf numFmtId="44" fontId="3" fillId="0" borderId="105" xfId="2" applyFont="1" applyBorder="1" applyAlignment="1">
      <alignment horizontal="center" vertical="center"/>
    </xf>
    <xf numFmtId="43" fontId="3" fillId="0" borderId="31" xfId="1" applyFont="1" applyBorder="1" applyAlignment="1">
      <alignment vertical="center"/>
    </xf>
    <xf numFmtId="43" fontId="3" fillId="4" borderId="31" xfId="1" applyFont="1" applyFill="1" applyBorder="1" applyAlignment="1">
      <alignment horizontal="center" vertical="center"/>
    </xf>
    <xf numFmtId="164" fontId="3" fillId="0" borderId="31" xfId="1" applyNumberFormat="1" applyFont="1" applyBorder="1" applyAlignment="1">
      <alignment vertical="center"/>
    </xf>
    <xf numFmtId="164" fontId="3" fillId="0" borderId="31" xfId="0" applyNumberFormat="1" applyFont="1" applyBorder="1" applyAlignment="1">
      <alignment vertical="center"/>
    </xf>
    <xf numFmtId="167" fontId="3" fillId="0" borderId="105" xfId="0" applyNumberFormat="1" applyFont="1" applyBorder="1" applyAlignment="1">
      <alignment vertical="center"/>
    </xf>
    <xf numFmtId="2" fontId="3" fillId="4" borderId="32" xfId="0" applyNumberFormat="1" applyFont="1" applyFill="1" applyBorder="1" applyAlignment="1">
      <alignment horizontal="center" vertical="center"/>
    </xf>
    <xf numFmtId="170" fontId="3" fillId="4" borderId="32" xfId="0" applyNumberFormat="1" applyFont="1" applyFill="1" applyBorder="1" applyAlignment="1">
      <alignment horizontal="center" vertical="center"/>
    </xf>
    <xf numFmtId="164" fontId="3" fillId="0" borderId="84" xfId="1" applyNumberFormat="1" applyFont="1" applyFill="1" applyBorder="1" applyAlignment="1">
      <alignment vertical="center"/>
    </xf>
    <xf numFmtId="168" fontId="3" fillId="4" borderId="31" xfId="1" applyNumberFormat="1" applyFont="1" applyFill="1" applyBorder="1" applyAlignment="1">
      <alignment horizontal="center" vertical="center"/>
    </xf>
    <xf numFmtId="164" fontId="3" fillId="0" borderId="31" xfId="1" applyNumberFormat="1" applyFont="1" applyFill="1" applyBorder="1" applyAlignment="1">
      <alignment horizontal="center" vertical="center"/>
    </xf>
    <xf numFmtId="164" fontId="3" fillId="0" borderId="31" xfId="1" applyNumberFormat="1" applyFont="1" applyFill="1" applyBorder="1" applyAlignment="1">
      <alignment vertical="center"/>
    </xf>
    <xf numFmtId="0" fontId="3" fillId="0" borderId="32" xfId="0" applyFont="1" applyBorder="1" applyAlignment="1">
      <alignment horizontal="center" vertical="center"/>
    </xf>
    <xf numFmtId="165" fontId="3" fillId="0" borderId="105" xfId="2" applyNumberFormat="1" applyFont="1" applyFill="1" applyBorder="1" applyAlignment="1">
      <alignment horizontal="center" vertical="center"/>
    </xf>
    <xf numFmtId="44" fontId="3" fillId="0" borderId="105" xfId="2" applyFont="1" applyFill="1" applyBorder="1" applyAlignment="1">
      <alignment horizontal="center" vertical="center"/>
    </xf>
    <xf numFmtId="0" fontId="3" fillId="0" borderId="128" xfId="0" applyFont="1" applyBorder="1" applyAlignment="1">
      <alignment vertical="center"/>
    </xf>
    <xf numFmtId="2" fontId="2" fillId="5" borderId="121" xfId="0" applyNumberFormat="1" applyFont="1" applyFill="1" applyBorder="1" applyAlignment="1">
      <alignment horizontal="center" vertical="center"/>
    </xf>
    <xf numFmtId="0" fontId="3" fillId="5" borderId="121" xfId="0" applyFont="1" applyFill="1" applyBorder="1" applyAlignment="1">
      <alignment horizontal="justify" vertical="center" wrapText="1"/>
    </xf>
    <xf numFmtId="0" fontId="3" fillId="0" borderId="129" xfId="0" applyFont="1" applyBorder="1" applyAlignment="1">
      <alignment vertical="center"/>
    </xf>
    <xf numFmtId="164" fontId="3" fillId="0" borderId="123" xfId="0" applyNumberFormat="1" applyFont="1" applyBorder="1" applyAlignment="1">
      <alignment vertical="center"/>
    </xf>
    <xf numFmtId="167" fontId="3" fillId="0" borderId="124" xfId="0" applyNumberFormat="1" applyFont="1" applyBorder="1" applyAlignment="1">
      <alignment vertical="center"/>
    </xf>
    <xf numFmtId="164" fontId="3" fillId="4" borderId="120" xfId="1" applyNumberFormat="1" applyFont="1" applyFill="1" applyBorder="1" applyAlignment="1">
      <alignment horizontal="center" vertical="center"/>
    </xf>
    <xf numFmtId="0" fontId="3" fillId="4" borderId="121" xfId="0" applyFont="1" applyFill="1" applyBorder="1" applyAlignment="1">
      <alignment horizontal="center" vertical="center"/>
    </xf>
    <xf numFmtId="164" fontId="3" fillId="0" borderId="126" xfId="1" applyNumberFormat="1" applyFont="1" applyBorder="1" applyAlignment="1">
      <alignment vertical="center"/>
    </xf>
    <xf numFmtId="167" fontId="3" fillId="0" borderId="125" xfId="0" applyNumberFormat="1" applyFont="1" applyBorder="1" applyAlignment="1">
      <alignment vertical="center"/>
    </xf>
    <xf numFmtId="2" fontId="2" fillId="5" borderId="36" xfId="0" applyNumberFormat="1" applyFont="1" applyFill="1" applyBorder="1" applyAlignment="1">
      <alignment horizontal="center" vertical="center"/>
    </xf>
    <xf numFmtId="0" fontId="3" fillId="5" borderId="36" xfId="0" applyFont="1" applyFill="1" applyBorder="1" applyAlignment="1">
      <alignment horizontal="justify" vertical="center" wrapText="1"/>
    </xf>
    <xf numFmtId="0" fontId="3" fillId="5" borderId="36" xfId="0" applyFont="1" applyFill="1" applyBorder="1" applyAlignment="1">
      <alignment horizontal="center" vertical="center" wrapText="1"/>
    </xf>
    <xf numFmtId="164" fontId="3" fillId="4" borderId="35" xfId="1" applyNumberFormat="1" applyFont="1" applyFill="1" applyBorder="1" applyAlignment="1">
      <alignment horizontal="center" vertical="center"/>
    </xf>
    <xf numFmtId="0" fontId="3" fillId="4" borderId="36" xfId="0" applyFont="1" applyFill="1" applyBorder="1" applyAlignment="1">
      <alignment horizontal="center" vertical="center"/>
    </xf>
    <xf numFmtId="167" fontId="3" fillId="0" borderId="117" xfId="0" applyNumberFormat="1" applyFont="1" applyBorder="1" applyAlignment="1">
      <alignment vertical="center"/>
    </xf>
    <xf numFmtId="164" fontId="3" fillId="0" borderId="86" xfId="1" applyNumberFormat="1" applyFont="1" applyBorder="1" applyAlignment="1">
      <alignment vertical="center"/>
    </xf>
    <xf numFmtId="167" fontId="3" fillId="0" borderId="49" xfId="0" applyNumberFormat="1" applyFont="1" applyBorder="1" applyAlignment="1">
      <alignment vertical="center"/>
    </xf>
    <xf numFmtId="167" fontId="3" fillId="0" borderId="75" xfId="0" applyNumberFormat="1" applyFont="1" applyBorder="1" applyAlignment="1">
      <alignment vertical="center"/>
    </xf>
    <xf numFmtId="167" fontId="3" fillId="0" borderId="87" xfId="0" applyNumberFormat="1" applyFont="1" applyBorder="1" applyAlignment="1">
      <alignment vertical="center"/>
    </xf>
    <xf numFmtId="164" fontId="3" fillId="0" borderId="48" xfId="0" applyNumberFormat="1" applyFont="1" applyBorder="1" applyAlignment="1">
      <alignment vertical="center"/>
    </xf>
    <xf numFmtId="167" fontId="3" fillId="0" borderId="95" xfId="0" applyNumberFormat="1" applyFont="1" applyBorder="1" applyAlignment="1">
      <alignment vertical="center"/>
    </xf>
    <xf numFmtId="44" fontId="3" fillId="0" borderId="106" xfId="2" applyFont="1" applyBorder="1" applyAlignment="1">
      <alignment horizontal="center" vertical="center" shrinkToFit="1"/>
    </xf>
    <xf numFmtId="164" fontId="3" fillId="0" borderId="35" xfId="1" applyNumberFormat="1" applyFont="1" applyFill="1" applyBorder="1" applyAlignment="1">
      <alignment horizontal="center" vertical="center"/>
    </xf>
    <xf numFmtId="165" fontId="3" fillId="0" borderId="106" xfId="2" applyNumberFormat="1" applyFont="1" applyBorder="1" applyAlignment="1">
      <alignment horizontal="center" vertical="center"/>
    </xf>
    <xf numFmtId="0" fontId="3" fillId="0" borderId="130" xfId="0" applyFont="1" applyBorder="1" applyAlignment="1">
      <alignment vertical="center"/>
    </xf>
    <xf numFmtId="44" fontId="3" fillId="0" borderId="106" xfId="2" applyFont="1" applyBorder="1" applyAlignment="1">
      <alignment horizontal="center" vertical="center"/>
    </xf>
    <xf numFmtId="164" fontId="3" fillId="0" borderId="35" xfId="1" applyNumberFormat="1" applyFont="1" applyFill="1" applyBorder="1" applyAlignment="1">
      <alignment vertical="center"/>
    </xf>
    <xf numFmtId="164" fontId="3" fillId="0" borderId="35" xfId="1" applyNumberFormat="1" applyFont="1" applyBorder="1" applyAlignment="1">
      <alignment vertical="center"/>
    </xf>
    <xf numFmtId="164" fontId="3" fillId="0" borderId="35" xfId="0" applyNumberFormat="1" applyFont="1" applyBorder="1" applyAlignment="1">
      <alignment vertical="center"/>
    </xf>
    <xf numFmtId="167" fontId="3" fillId="0" borderId="106" xfId="0" applyNumberFormat="1" applyFont="1" applyBorder="1" applyAlignment="1">
      <alignment vertical="center"/>
    </xf>
    <xf numFmtId="2" fontId="3" fillId="6" borderId="27" xfId="0" applyNumberFormat="1" applyFont="1" applyFill="1" applyBorder="1" applyAlignment="1">
      <alignment horizontal="center" vertical="center"/>
    </xf>
    <xf numFmtId="0" fontId="3" fillId="6" borderId="28" xfId="0" applyFont="1" applyFill="1" applyBorder="1" applyAlignment="1">
      <alignment horizontal="justify" vertical="center" wrapText="1"/>
    </xf>
    <xf numFmtId="0" fontId="3" fillId="6" borderId="28" xfId="0" applyFont="1" applyFill="1" applyBorder="1" applyAlignment="1">
      <alignment horizontal="center" vertical="center" wrapText="1"/>
    </xf>
    <xf numFmtId="164" fontId="3" fillId="0" borderId="44" xfId="1" applyNumberFormat="1" applyFont="1" applyBorder="1" applyAlignment="1">
      <alignment vertical="center"/>
    </xf>
    <xf numFmtId="0" fontId="3" fillId="0" borderId="131" xfId="0" applyFont="1" applyBorder="1" applyAlignment="1">
      <alignment vertical="center"/>
    </xf>
    <xf numFmtId="2" fontId="3" fillId="6" borderId="31" xfId="0" applyNumberFormat="1" applyFont="1" applyFill="1" applyBorder="1" applyAlignment="1">
      <alignment horizontal="center" vertical="center"/>
    </xf>
    <xf numFmtId="0" fontId="3" fillId="6" borderId="32" xfId="0" applyFont="1" applyFill="1" applyBorder="1" applyAlignment="1">
      <alignment horizontal="justify" vertical="center" wrapText="1"/>
    </xf>
    <xf numFmtId="0" fontId="3" fillId="6" borderId="32" xfId="0" applyFont="1" applyFill="1" applyBorder="1" applyAlignment="1">
      <alignment horizontal="center" vertical="center" wrapText="1"/>
    </xf>
    <xf numFmtId="164" fontId="3" fillId="0" borderId="46" xfId="1" applyNumberFormat="1" applyFont="1" applyBorder="1" applyAlignment="1">
      <alignment vertical="center"/>
    </xf>
    <xf numFmtId="167" fontId="3" fillId="0" borderId="134" xfId="0" applyNumberFormat="1" applyFont="1" applyBorder="1" applyAlignment="1">
      <alignment vertical="center"/>
    </xf>
    <xf numFmtId="164" fontId="3" fillId="4" borderId="46" xfId="1" applyNumberFormat="1" applyFont="1" applyFill="1" applyBorder="1" applyAlignment="1">
      <alignment horizontal="center" vertical="center"/>
    </xf>
    <xf numFmtId="0" fontId="3" fillId="4" borderId="136" xfId="0" applyFont="1" applyFill="1" applyBorder="1" applyAlignment="1">
      <alignment horizontal="center" vertical="center"/>
    </xf>
    <xf numFmtId="164" fontId="3" fillId="0" borderId="111" xfId="1" applyNumberFormat="1" applyFont="1" applyBorder="1" applyAlignment="1">
      <alignment vertical="center"/>
    </xf>
    <xf numFmtId="2" fontId="3" fillId="6" borderId="120" xfId="0" applyNumberFormat="1" applyFont="1" applyFill="1" applyBorder="1" applyAlignment="1">
      <alignment horizontal="center" vertical="center"/>
    </xf>
    <xf numFmtId="0" fontId="3" fillId="6" borderId="121" xfId="0" applyFont="1" applyFill="1" applyBorder="1" applyAlignment="1">
      <alignment horizontal="justify" vertical="center" wrapText="1"/>
    </xf>
    <xf numFmtId="0" fontId="3" fillId="6" borderId="121" xfId="0" applyFont="1" applyFill="1" applyBorder="1" applyAlignment="1">
      <alignment horizontal="center" vertical="center" wrapText="1"/>
    </xf>
    <xf numFmtId="164" fontId="3" fillId="4" borderId="123" xfId="1" applyNumberFormat="1" applyFont="1" applyFill="1" applyBorder="1" applyAlignment="1">
      <alignment horizontal="center" vertical="center"/>
    </xf>
    <xf numFmtId="0" fontId="3" fillId="4" borderId="138" xfId="0" applyFont="1" applyFill="1" applyBorder="1" applyAlignment="1">
      <alignment horizontal="center" vertical="center"/>
    </xf>
    <xf numFmtId="167" fontId="3" fillId="0" borderId="139" xfId="0" applyNumberFormat="1" applyFont="1" applyBorder="1" applyAlignment="1">
      <alignment vertical="center"/>
    </xf>
    <xf numFmtId="167" fontId="3" fillId="0" borderId="140" xfId="0" applyNumberFormat="1" applyFont="1" applyBorder="1" applyAlignment="1">
      <alignment vertical="center"/>
    </xf>
    <xf numFmtId="164" fontId="3" fillId="0" borderId="123" xfId="1" applyNumberFormat="1" applyFont="1" applyBorder="1" applyAlignment="1">
      <alignment vertical="center"/>
    </xf>
    <xf numFmtId="164" fontId="3" fillId="0" borderId="141" xfId="1" applyNumberFormat="1" applyFont="1" applyBorder="1" applyAlignment="1">
      <alignment vertical="center"/>
    </xf>
    <xf numFmtId="164" fontId="3" fillId="4" borderId="48" xfId="1" applyNumberFormat="1" applyFont="1" applyFill="1" applyBorder="1" applyAlignment="1">
      <alignment horizontal="center" vertical="center"/>
    </xf>
    <xf numFmtId="0" fontId="3" fillId="4" borderId="137" xfId="0" applyFont="1" applyFill="1" applyBorder="1" applyAlignment="1">
      <alignment horizontal="center" vertical="center"/>
    </xf>
    <xf numFmtId="164" fontId="3" fillId="0" borderId="48" xfId="1" applyNumberFormat="1" applyFont="1" applyBorder="1" applyAlignment="1">
      <alignment vertical="center"/>
    </xf>
    <xf numFmtId="2" fontId="3" fillId="7" borderId="3" xfId="0" applyNumberFormat="1" applyFont="1" applyFill="1" applyBorder="1" applyAlignment="1">
      <alignment horizontal="center" vertical="center"/>
    </xf>
    <xf numFmtId="0" fontId="3" fillId="7" borderId="2" xfId="0" applyFont="1" applyFill="1" applyBorder="1" applyAlignment="1">
      <alignment horizontal="justify" vertical="center" wrapText="1"/>
    </xf>
    <xf numFmtId="0" fontId="3" fillId="7" borderId="2" xfId="0" applyFont="1" applyFill="1" applyBorder="1" applyAlignment="1">
      <alignment horizontal="center" vertical="center" wrapText="1"/>
    </xf>
    <xf numFmtId="167" fontId="3" fillId="0" borderId="133" xfId="0" applyNumberFormat="1" applyFont="1" applyBorder="1"/>
    <xf numFmtId="164" fontId="3" fillId="0" borderId="38" xfId="1" applyNumberFormat="1" applyFont="1" applyBorder="1"/>
    <xf numFmtId="167" fontId="3" fillId="0" borderId="39" xfId="0" applyNumberFormat="1" applyFont="1" applyBorder="1"/>
    <xf numFmtId="167" fontId="3" fillId="0" borderId="38" xfId="0" applyNumberFormat="1" applyFont="1" applyBorder="1"/>
    <xf numFmtId="164" fontId="3" fillId="0" borderId="38" xfId="0" applyNumberFormat="1" applyFont="1" applyBorder="1"/>
    <xf numFmtId="167" fontId="3" fillId="0" borderId="93" xfId="0" applyNumberFormat="1" applyFont="1" applyBorder="1"/>
    <xf numFmtId="44" fontId="3" fillId="0" borderId="39" xfId="2" applyFont="1" applyBorder="1" applyAlignment="1">
      <alignment horizontal="center" vertical="center" shrinkToFit="1"/>
    </xf>
    <xf numFmtId="44" fontId="3" fillId="0" borderId="38" xfId="2" applyFont="1" applyBorder="1" applyAlignment="1">
      <alignment horizontal="center" vertical="center"/>
    </xf>
    <xf numFmtId="164" fontId="3" fillId="0" borderId="108" xfId="1" applyNumberFormat="1" applyFont="1" applyBorder="1"/>
    <xf numFmtId="44" fontId="3" fillId="0" borderId="39" xfId="2" applyFont="1" applyBorder="1" applyAlignment="1">
      <alignment horizontal="center" vertical="center"/>
    </xf>
    <xf numFmtId="2" fontId="3" fillId="7" borderId="8" xfId="0" applyNumberFormat="1" applyFont="1" applyFill="1" applyBorder="1" applyAlignment="1">
      <alignment horizontal="center" vertical="center"/>
    </xf>
    <xf numFmtId="0" fontId="3" fillId="7" borderId="5" xfId="0" applyFont="1" applyFill="1" applyBorder="1" applyAlignment="1">
      <alignment horizontal="justify" vertical="center" wrapText="1"/>
    </xf>
    <xf numFmtId="0" fontId="3" fillId="7" borderId="5" xfId="0" applyFont="1" applyFill="1" applyBorder="1" applyAlignment="1">
      <alignment horizontal="center" vertical="center" wrapText="1"/>
    </xf>
    <xf numFmtId="167" fontId="3" fillId="0" borderId="110" xfId="0" applyNumberFormat="1" applyFont="1" applyBorder="1"/>
    <xf numFmtId="164" fontId="3" fillId="0" borderId="5" xfId="1" applyNumberFormat="1" applyFont="1" applyBorder="1"/>
    <xf numFmtId="167" fontId="3" fillId="0" borderId="7" xfId="0" applyNumberFormat="1" applyFont="1" applyBorder="1"/>
    <xf numFmtId="167" fontId="3" fillId="0" borderId="5" xfId="0" applyNumberFormat="1" applyFont="1" applyBorder="1"/>
    <xf numFmtId="164" fontId="3" fillId="0" borderId="5" xfId="0" applyNumberFormat="1" applyFont="1" applyBorder="1"/>
    <xf numFmtId="167" fontId="3" fillId="0" borderId="57" xfId="0" applyNumberFormat="1" applyFont="1" applyBorder="1"/>
    <xf numFmtId="44" fontId="3" fillId="0" borderId="7" xfId="2" applyFont="1" applyBorder="1" applyAlignment="1">
      <alignment horizontal="center" vertical="center" shrinkToFit="1"/>
    </xf>
    <xf numFmtId="44" fontId="3" fillId="0" borderId="5" xfId="2" applyFont="1" applyBorder="1" applyAlignment="1">
      <alignment horizontal="center" vertical="center"/>
    </xf>
    <xf numFmtId="164" fontId="3" fillId="0" borderId="8" xfId="1" applyNumberFormat="1" applyFont="1" applyBorder="1"/>
    <xf numFmtId="44" fontId="3" fillId="0" borderId="7" xfId="2" applyFont="1" applyBorder="1" applyAlignment="1">
      <alignment horizontal="center" vertical="center"/>
    </xf>
    <xf numFmtId="2" fontId="3" fillId="7" borderId="12" xfId="0" applyNumberFormat="1" applyFont="1" applyFill="1" applyBorder="1" applyAlignment="1">
      <alignment horizontal="center" vertical="center"/>
    </xf>
    <xf numFmtId="0" fontId="3" fillId="7" borderId="13" xfId="0" applyFont="1" applyFill="1" applyBorder="1" applyAlignment="1">
      <alignment horizontal="justify" vertical="center" wrapText="1"/>
    </xf>
    <xf numFmtId="0" fontId="3" fillId="7" borderId="13" xfId="0" applyFont="1" applyFill="1" applyBorder="1" applyAlignment="1">
      <alignment horizontal="center" vertical="center" wrapText="1"/>
    </xf>
    <xf numFmtId="167" fontId="3" fillId="0" borderId="109" xfId="0" applyNumberFormat="1" applyFont="1" applyBorder="1"/>
    <xf numFmtId="4" fontId="2" fillId="0" borderId="15" xfId="0" applyNumberFormat="1" applyFont="1" applyBorder="1" applyAlignment="1">
      <alignment vertical="center"/>
    </xf>
    <xf numFmtId="4" fontId="2" fillId="0" borderId="16" xfId="0" applyNumberFormat="1" applyFont="1" applyBorder="1" applyAlignment="1">
      <alignment horizontal="left" vertical="center" wrapText="1"/>
    </xf>
    <xf numFmtId="0" fontId="2" fillId="0" borderId="0" xfId="0" applyFont="1"/>
    <xf numFmtId="0" fontId="2" fillId="0" borderId="19" xfId="0" applyFont="1" applyBorder="1" applyAlignment="1">
      <alignment horizontal="left" vertical="center"/>
    </xf>
    <xf numFmtId="164" fontId="2" fillId="0" borderId="0" xfId="1" applyNumberFormat="1" applyFont="1"/>
    <xf numFmtId="164" fontId="2" fillId="0" borderId="8" xfId="1" applyNumberFormat="1" applyFont="1" applyBorder="1"/>
    <xf numFmtId="0" fontId="2" fillId="0" borderId="21" xfId="0" applyFont="1" applyBorder="1" applyAlignment="1">
      <alignment horizontal="left" vertical="center"/>
    </xf>
    <xf numFmtId="0" fontId="5" fillId="0" borderId="0" xfId="0" applyFont="1" applyAlignment="1">
      <alignment vertical="center"/>
    </xf>
    <xf numFmtId="164" fontId="5" fillId="0" borderId="0" xfId="1" applyNumberFormat="1" applyFont="1" applyAlignment="1">
      <alignment vertical="center"/>
    </xf>
    <xf numFmtId="0" fontId="7" fillId="0" borderId="0" xfId="0" applyFont="1" applyAlignment="1">
      <alignment vertical="center"/>
    </xf>
    <xf numFmtId="164" fontId="7" fillId="0" borderId="0" xfId="1" applyNumberFormat="1" applyFont="1" applyAlignment="1">
      <alignment vertical="center"/>
    </xf>
    <xf numFmtId="0" fontId="7" fillId="0" borderId="0" xfId="0" applyFont="1" applyAlignment="1">
      <alignment vertical="center" shrinkToFit="1"/>
    </xf>
    <xf numFmtId="169" fontId="7" fillId="0" borderId="0" xfId="0" applyNumberFormat="1" applyFont="1" applyAlignment="1">
      <alignment vertical="center"/>
    </xf>
    <xf numFmtId="164" fontId="7" fillId="0" borderId="0" xfId="1" applyNumberFormat="1" applyFont="1" applyFill="1" applyAlignment="1">
      <alignment vertical="center"/>
    </xf>
    <xf numFmtId="171" fontId="7" fillId="0" borderId="0" xfId="4" applyNumberFormat="1" applyFont="1" applyAlignment="1">
      <alignment vertical="center"/>
    </xf>
    <xf numFmtId="3" fontId="3" fillId="0" borderId="88" xfId="0" applyNumberFormat="1" applyFont="1" applyBorder="1" applyAlignment="1">
      <alignment vertical="center"/>
    </xf>
    <xf numFmtId="164" fontId="3" fillId="0" borderId="148" xfId="1" applyNumberFormat="1" applyFont="1" applyBorder="1"/>
    <xf numFmtId="164" fontId="3" fillId="0" borderId="150" xfId="1" applyNumberFormat="1" applyFont="1" applyBorder="1"/>
    <xf numFmtId="164" fontId="2" fillId="0" borderId="80" xfId="1" applyNumberFormat="1" applyFont="1" applyBorder="1" applyAlignment="1">
      <alignment horizontal="center" vertical="center" wrapText="1"/>
    </xf>
    <xf numFmtId="172" fontId="3" fillId="0" borderId="79" xfId="0" applyNumberFormat="1" applyFont="1" applyBorder="1" applyAlignment="1">
      <alignment vertical="center" wrapText="1"/>
    </xf>
    <xf numFmtId="172" fontId="3" fillId="0" borderId="47" xfId="0" applyNumberFormat="1" applyFont="1" applyBorder="1" applyAlignment="1">
      <alignment vertical="center" wrapText="1"/>
    </xf>
    <xf numFmtId="172" fontId="3" fillId="0" borderId="49" xfId="0" applyNumberFormat="1" applyFont="1" applyBorder="1" applyAlignment="1">
      <alignment vertical="center" wrapText="1"/>
    </xf>
    <xf numFmtId="172" fontId="3" fillId="0" borderId="45" xfId="0" applyNumberFormat="1" applyFont="1" applyBorder="1" applyAlignment="1">
      <alignment vertical="center"/>
    </xf>
    <xf numFmtId="172" fontId="3" fillId="0" borderId="47" xfId="0" applyNumberFormat="1" applyFont="1" applyBorder="1" applyAlignment="1">
      <alignment vertical="center"/>
    </xf>
    <xf numFmtId="172" fontId="3" fillId="0" borderId="49" xfId="0" applyNumberFormat="1" applyFont="1" applyBorder="1" applyAlignment="1">
      <alignment vertical="center"/>
    </xf>
    <xf numFmtId="172" fontId="3" fillId="0" borderId="125" xfId="0" applyNumberFormat="1" applyFont="1" applyBorder="1" applyAlignment="1">
      <alignment vertical="center"/>
    </xf>
    <xf numFmtId="172" fontId="3" fillId="0" borderId="149" xfId="0" applyNumberFormat="1" applyFont="1" applyBorder="1"/>
    <xf numFmtId="172" fontId="3" fillId="0" borderId="151" xfId="0" applyNumberFormat="1" applyFont="1" applyBorder="1"/>
    <xf numFmtId="172" fontId="3" fillId="0" borderId="83" xfId="0" applyNumberFormat="1" applyFont="1" applyBorder="1" applyAlignment="1">
      <alignment vertical="center" wrapText="1"/>
    </xf>
    <xf numFmtId="172" fontId="3" fillId="0" borderId="85" xfId="0" applyNumberFormat="1" applyFont="1" applyBorder="1" applyAlignment="1">
      <alignment vertical="center" wrapText="1"/>
    </xf>
    <xf numFmtId="172" fontId="3" fillId="0" borderId="87" xfId="0" applyNumberFormat="1" applyFont="1" applyBorder="1" applyAlignment="1">
      <alignment vertical="center" wrapText="1"/>
    </xf>
    <xf numFmtId="172" fontId="3" fillId="0" borderId="89" xfId="0" applyNumberFormat="1" applyFont="1" applyBorder="1" applyAlignment="1">
      <alignment vertical="center"/>
    </xf>
    <xf numFmtId="172" fontId="3" fillId="0" borderId="85" xfId="0" applyNumberFormat="1" applyFont="1" applyBorder="1" applyAlignment="1">
      <alignment vertical="center"/>
    </xf>
    <xf numFmtId="172" fontId="3" fillId="0" borderId="87" xfId="0" applyNumberFormat="1" applyFont="1" applyBorder="1" applyAlignment="1">
      <alignment vertical="center"/>
    </xf>
    <xf numFmtId="172" fontId="3" fillId="0" borderId="74" xfId="0" applyNumberFormat="1" applyFont="1" applyBorder="1" applyAlignment="1">
      <alignment vertical="center"/>
    </xf>
    <xf numFmtId="172" fontId="3" fillId="0" borderId="140" xfId="0" applyNumberFormat="1" applyFont="1" applyBorder="1" applyAlignment="1">
      <alignment vertical="center"/>
    </xf>
    <xf numFmtId="172" fontId="3" fillId="0" borderId="39" xfId="0" applyNumberFormat="1" applyFont="1" applyBorder="1"/>
    <xf numFmtId="172" fontId="3" fillId="0" borderId="7" xfId="0" applyNumberFormat="1" applyFont="1" applyBorder="1"/>
    <xf numFmtId="172" fontId="3" fillId="0" borderId="38" xfId="0" applyNumberFormat="1" applyFont="1" applyBorder="1"/>
    <xf numFmtId="172" fontId="3" fillId="0" borderId="5" xfId="0" applyNumberFormat="1" applyFont="1" applyBorder="1"/>
    <xf numFmtId="172" fontId="3" fillId="0" borderId="71" xfId="0" applyNumberFormat="1" applyFont="1" applyBorder="1" applyAlignment="1">
      <alignment vertical="center" wrapText="1"/>
    </xf>
    <xf numFmtId="172" fontId="3" fillId="0" borderId="52" xfId="0" applyNumberFormat="1" applyFont="1" applyBorder="1" applyAlignment="1">
      <alignment vertical="center" wrapText="1"/>
    </xf>
    <xf numFmtId="172" fontId="3" fillId="0" borderId="53" xfId="0" applyNumberFormat="1" applyFont="1" applyBorder="1" applyAlignment="1">
      <alignment vertical="center" wrapText="1"/>
    </xf>
    <xf numFmtId="172" fontId="3" fillId="0" borderId="54" xfId="0" applyNumberFormat="1" applyFont="1" applyBorder="1" applyAlignment="1">
      <alignment vertical="center"/>
    </xf>
    <xf numFmtId="172" fontId="3" fillId="0" borderId="52" xfId="0" applyNumberFormat="1" applyFont="1" applyBorder="1" applyAlignment="1">
      <alignment vertical="center"/>
    </xf>
    <xf numFmtId="172" fontId="3" fillId="0" borderId="94" xfId="0" applyNumberFormat="1" applyFont="1" applyBorder="1" applyAlignment="1">
      <alignment vertical="center"/>
    </xf>
    <xf numFmtId="172" fontId="3" fillId="0" borderId="95" xfId="0" applyNumberFormat="1" applyFont="1" applyBorder="1" applyAlignment="1">
      <alignment vertical="center"/>
    </xf>
    <xf numFmtId="172" fontId="3" fillId="0" borderId="135" xfId="0" applyNumberFormat="1" applyFont="1" applyBorder="1" applyAlignment="1">
      <alignment vertical="center"/>
    </xf>
    <xf numFmtId="172" fontId="3" fillId="0" borderId="124" xfId="0" applyNumberFormat="1" applyFont="1" applyBorder="1" applyAlignment="1">
      <alignment vertical="center"/>
    </xf>
    <xf numFmtId="172" fontId="3" fillId="0" borderId="93" xfId="0" applyNumberFormat="1" applyFont="1" applyBorder="1"/>
    <xf numFmtId="172" fontId="3" fillId="0" borderId="57" xfId="0" applyNumberFormat="1" applyFont="1" applyBorder="1"/>
    <xf numFmtId="164" fontId="3" fillId="0" borderId="142" xfId="1" applyNumberFormat="1" applyFont="1" applyBorder="1" applyAlignment="1">
      <alignment vertical="center" wrapText="1"/>
    </xf>
    <xf numFmtId="164" fontId="3" fillId="0" borderId="143" xfId="1" applyNumberFormat="1" applyFont="1" applyBorder="1" applyAlignment="1">
      <alignment vertical="center" wrapText="1"/>
    </xf>
    <xf numFmtId="164" fontId="3" fillId="0" borderId="144" xfId="1" applyNumberFormat="1" applyFont="1" applyBorder="1" applyAlignment="1">
      <alignment vertical="center" wrapText="1"/>
    </xf>
    <xf numFmtId="164" fontId="3" fillId="0" borderId="142" xfId="1" applyNumberFormat="1" applyFont="1" applyBorder="1" applyAlignment="1">
      <alignment vertical="center"/>
    </xf>
    <xf numFmtId="164" fontId="3" fillId="0" borderId="143" xfId="1" applyNumberFormat="1" applyFont="1" applyBorder="1" applyAlignment="1">
      <alignment vertical="center"/>
    </xf>
    <xf numFmtId="164" fontId="3" fillId="0" borderId="144" xfId="1" applyNumberFormat="1" applyFont="1" applyBorder="1" applyAlignment="1">
      <alignment vertical="center"/>
    </xf>
    <xf numFmtId="164" fontId="3" fillId="0" borderId="145" xfId="1" applyNumberFormat="1" applyFont="1" applyBorder="1" applyAlignment="1">
      <alignment vertical="center"/>
    </xf>
    <xf numFmtId="172" fontId="3" fillId="0" borderId="79" xfId="0" applyNumberFormat="1" applyFont="1" applyBorder="1" applyAlignment="1">
      <alignment vertical="center"/>
    </xf>
    <xf numFmtId="172" fontId="3" fillId="0" borderId="100" xfId="0" applyNumberFormat="1" applyFont="1" applyBorder="1" applyAlignment="1">
      <alignment vertical="center" wrapText="1"/>
    </xf>
    <xf numFmtId="172" fontId="3" fillId="0" borderId="74" xfId="0" applyNumberFormat="1" applyFont="1" applyBorder="1" applyAlignment="1">
      <alignment vertical="center" wrapText="1"/>
    </xf>
    <xf numFmtId="172" fontId="3" fillId="0" borderId="75" xfId="0" applyNumberFormat="1" applyFont="1" applyBorder="1" applyAlignment="1">
      <alignment vertical="center" wrapText="1"/>
    </xf>
    <xf numFmtId="172" fontId="3" fillId="0" borderId="100" xfId="0" applyNumberFormat="1" applyFont="1" applyBorder="1" applyAlignment="1">
      <alignment vertical="center"/>
    </xf>
    <xf numFmtId="172" fontId="3" fillId="0" borderId="75" xfId="0" applyNumberFormat="1" applyFont="1" applyBorder="1" applyAlignment="1">
      <alignment vertical="center"/>
    </xf>
    <xf numFmtId="172" fontId="3" fillId="0" borderId="94" xfId="0" applyNumberFormat="1" applyFont="1" applyBorder="1" applyAlignment="1">
      <alignment vertical="center" wrapText="1"/>
    </xf>
    <xf numFmtId="172" fontId="3" fillId="0" borderId="95" xfId="0" applyNumberFormat="1" applyFont="1" applyBorder="1" applyAlignment="1">
      <alignment vertical="center" wrapText="1"/>
    </xf>
    <xf numFmtId="172" fontId="3" fillId="0" borderId="96" xfId="0" applyNumberFormat="1" applyFont="1" applyBorder="1" applyAlignment="1">
      <alignment vertical="center"/>
    </xf>
    <xf numFmtId="166" fontId="3" fillId="0" borderId="47" xfId="2" applyNumberFormat="1" applyFont="1" applyBorder="1" applyAlignment="1">
      <alignment vertical="center" wrapText="1"/>
    </xf>
    <xf numFmtId="166" fontId="3" fillId="0" borderId="49" xfId="2" applyNumberFormat="1" applyFont="1" applyBorder="1" applyAlignment="1">
      <alignment vertical="center" wrapText="1"/>
    </xf>
    <xf numFmtId="166" fontId="3" fillId="0" borderId="79" xfId="2" applyNumberFormat="1" applyFont="1" applyBorder="1" applyAlignment="1">
      <alignment vertical="center"/>
    </xf>
    <xf numFmtId="166" fontId="3" fillId="0" borderId="47" xfId="2" applyNumberFormat="1" applyFont="1" applyBorder="1" applyAlignment="1">
      <alignment vertical="center"/>
    </xf>
    <xf numFmtId="166" fontId="3" fillId="0" borderId="49" xfId="2" applyNumberFormat="1" applyFont="1" applyBorder="1" applyAlignment="1">
      <alignment vertical="center"/>
    </xf>
    <xf numFmtId="166" fontId="3" fillId="0" borderId="125" xfId="2" applyNumberFormat="1" applyFont="1" applyBorder="1" applyAlignment="1">
      <alignment vertical="center"/>
    </xf>
    <xf numFmtId="166" fontId="3" fillId="0" borderId="39" xfId="2" applyNumberFormat="1" applyFont="1" applyBorder="1"/>
    <xf numFmtId="166" fontId="3" fillId="0" borderId="7" xfId="2" applyNumberFormat="1" applyFont="1" applyBorder="1"/>
    <xf numFmtId="172" fontId="3" fillId="0" borderId="82" xfId="0" applyNumberFormat="1" applyFont="1" applyBorder="1" applyAlignment="1">
      <alignment vertical="center" wrapText="1"/>
    </xf>
    <xf numFmtId="167" fontId="3" fillId="0" borderId="149" xfId="0" applyNumberFormat="1" applyFont="1" applyBorder="1"/>
    <xf numFmtId="167" fontId="3" fillId="0" borderId="151" xfId="0" applyNumberFormat="1" applyFont="1" applyBorder="1"/>
    <xf numFmtId="44" fontId="3" fillId="0" borderId="13" xfId="2" applyFont="1" applyBorder="1" applyAlignment="1">
      <alignment horizontal="center" vertical="center"/>
    </xf>
    <xf numFmtId="164" fontId="2" fillId="0" borderId="99" xfId="1" applyNumberFormat="1" applyFont="1" applyBorder="1" applyAlignment="1">
      <alignment horizontal="center" vertical="center" wrapText="1"/>
    </xf>
    <xf numFmtId="44" fontId="3" fillId="3" borderId="29" xfId="3" applyFont="1" applyFill="1" applyBorder="1" applyAlignment="1">
      <alignment vertical="center" wrapText="1"/>
    </xf>
    <xf numFmtId="44" fontId="3" fillId="3" borderId="33" xfId="3" applyFont="1" applyFill="1" applyBorder="1" applyAlignment="1">
      <alignment vertical="center" wrapText="1"/>
    </xf>
    <xf numFmtId="44" fontId="3" fillId="3" borderId="37" xfId="3" applyFont="1" applyFill="1" applyBorder="1" applyAlignment="1">
      <alignment vertical="center" wrapText="1"/>
    </xf>
    <xf numFmtId="44" fontId="3" fillId="5" borderId="29" xfId="2" applyFont="1" applyFill="1" applyBorder="1" applyAlignment="1">
      <alignment vertical="center"/>
    </xf>
    <xf numFmtId="44" fontId="3" fillId="5" borderId="33" xfId="2" applyFont="1" applyFill="1" applyBorder="1" applyAlignment="1">
      <alignment vertical="center"/>
    </xf>
    <xf numFmtId="44" fontId="3" fillId="5" borderId="122" xfId="2" applyFont="1" applyFill="1" applyBorder="1" applyAlignment="1">
      <alignment vertical="center"/>
    </xf>
    <xf numFmtId="44" fontId="3" fillId="5" borderId="37" xfId="2" applyFont="1" applyFill="1" applyBorder="1" applyAlignment="1">
      <alignment vertical="center"/>
    </xf>
    <xf numFmtId="44" fontId="3" fillId="6" borderId="29" xfId="2" applyFont="1" applyFill="1" applyBorder="1" applyAlignment="1">
      <alignment vertical="center"/>
    </xf>
    <xf numFmtId="44" fontId="3" fillId="6" borderId="33" xfId="2" applyFont="1" applyFill="1" applyBorder="1" applyAlignment="1">
      <alignment vertical="center"/>
    </xf>
    <xf numFmtId="44" fontId="3" fillId="6" borderId="122" xfId="2" applyFont="1" applyFill="1" applyBorder="1" applyAlignment="1">
      <alignment vertical="center"/>
    </xf>
    <xf numFmtId="44" fontId="3" fillId="7" borderId="4" xfId="2" applyFont="1" applyFill="1" applyBorder="1" applyAlignment="1">
      <alignment vertical="center"/>
    </xf>
    <xf numFmtId="44" fontId="3" fillId="7" borderId="10" xfId="2" applyFont="1" applyFill="1" applyBorder="1" applyAlignment="1">
      <alignment vertical="center"/>
    </xf>
    <xf numFmtId="44" fontId="3" fillId="7" borderId="14" xfId="2" applyFont="1" applyFill="1" applyBorder="1" applyAlignment="1">
      <alignment vertical="center"/>
    </xf>
    <xf numFmtId="164" fontId="3" fillId="0" borderId="39" xfId="1" applyNumberFormat="1" applyFont="1" applyBorder="1"/>
    <xf numFmtId="164" fontId="3" fillId="0" borderId="7" xfId="1" applyNumberFormat="1" applyFont="1" applyBorder="1"/>
    <xf numFmtId="1" fontId="2" fillId="0" borderId="80" xfId="1" applyNumberFormat="1" applyFont="1" applyBorder="1" applyAlignment="1">
      <alignment horizontal="center" vertical="center" wrapText="1"/>
    </xf>
    <xf numFmtId="1" fontId="2" fillId="0" borderId="99" xfId="1" applyNumberFormat="1" applyFont="1" applyBorder="1" applyAlignment="1">
      <alignment horizontal="center" vertical="center" wrapText="1"/>
    </xf>
    <xf numFmtId="1" fontId="3" fillId="0" borderId="0" xfId="0" applyNumberFormat="1" applyFont="1" applyAlignment="1">
      <alignment horizontal="center"/>
    </xf>
    <xf numFmtId="1" fontId="7" fillId="0" borderId="0" xfId="0" applyNumberFormat="1" applyFont="1" applyAlignment="1">
      <alignment horizontal="center" vertical="center"/>
    </xf>
    <xf numFmtId="164" fontId="3" fillId="0" borderId="0" xfId="1" applyNumberFormat="1" applyFont="1" applyAlignment="1">
      <alignment horizontal="center"/>
    </xf>
    <xf numFmtId="164" fontId="7" fillId="0" borderId="0" xfId="1" applyNumberFormat="1" applyFont="1" applyAlignment="1">
      <alignment horizontal="center" vertical="center"/>
    </xf>
    <xf numFmtId="164" fontId="3" fillId="0" borderId="88" xfId="1" applyNumberFormat="1" applyFont="1" applyBorder="1" applyAlignment="1">
      <alignment horizontal="center" vertical="center" wrapText="1"/>
    </xf>
    <xf numFmtId="167" fontId="3" fillId="0" borderId="45" xfId="0" applyNumberFormat="1" applyFont="1" applyBorder="1" applyAlignment="1">
      <alignment vertical="center" wrapText="1"/>
    </xf>
    <xf numFmtId="164" fontId="3" fillId="0" borderId="84" xfId="1" applyNumberFormat="1" applyFont="1" applyBorder="1" applyAlignment="1">
      <alignment horizontal="center" vertical="center" wrapText="1"/>
    </xf>
    <xf numFmtId="164" fontId="3" fillId="0" borderId="86" xfId="1" applyNumberFormat="1" applyFont="1" applyBorder="1" applyAlignment="1">
      <alignment horizontal="center" vertical="center" wrapText="1"/>
    </xf>
    <xf numFmtId="164" fontId="3" fillId="0" borderId="82" xfId="1" applyNumberFormat="1" applyFont="1" applyBorder="1" applyAlignment="1">
      <alignment horizontal="center" vertical="center"/>
    </xf>
    <xf numFmtId="164" fontId="3" fillId="0" borderId="84" xfId="1" applyNumberFormat="1" applyFont="1" applyBorder="1" applyAlignment="1">
      <alignment horizontal="center" vertical="center"/>
    </xf>
    <xf numFmtId="164" fontId="3" fillId="0" borderId="126" xfId="1" applyNumberFormat="1" applyFont="1" applyBorder="1" applyAlignment="1">
      <alignment horizontal="center" vertical="center"/>
    </xf>
    <xf numFmtId="164" fontId="3" fillId="0" borderId="86" xfId="1" applyNumberFormat="1" applyFont="1" applyBorder="1" applyAlignment="1">
      <alignment horizontal="center" vertical="center"/>
    </xf>
    <xf numFmtId="164" fontId="3" fillId="0" borderId="148" xfId="1" applyNumberFormat="1" applyFont="1" applyBorder="1" applyAlignment="1">
      <alignment horizontal="center"/>
    </xf>
    <xf numFmtId="164" fontId="3" fillId="0" borderId="150" xfId="1" applyNumberFormat="1" applyFont="1" applyBorder="1" applyAlignment="1">
      <alignment horizontal="center"/>
    </xf>
    <xf numFmtId="164" fontId="3" fillId="0" borderId="112" xfId="1" applyNumberFormat="1" applyFont="1" applyBorder="1" applyAlignment="1">
      <alignment vertical="center"/>
    </xf>
    <xf numFmtId="164" fontId="3" fillId="0" borderId="88" xfId="1" applyNumberFormat="1" applyFont="1" applyBorder="1" applyAlignment="1">
      <alignment vertical="center" wrapText="1"/>
    </xf>
    <xf numFmtId="167" fontId="3" fillId="0" borderId="127" xfId="0" applyNumberFormat="1" applyFont="1" applyBorder="1" applyAlignment="1">
      <alignment vertical="center"/>
    </xf>
    <xf numFmtId="167" fontId="3" fillId="0" borderId="152" xfId="0" applyNumberFormat="1" applyFont="1" applyBorder="1"/>
    <xf numFmtId="167" fontId="3" fillId="0" borderId="153" xfId="0" applyNumberFormat="1" applyFont="1" applyBorder="1"/>
    <xf numFmtId="164" fontId="3" fillId="0" borderId="108" xfId="0" applyNumberFormat="1" applyFont="1" applyBorder="1"/>
    <xf numFmtId="164" fontId="3" fillId="0" borderId="8" xfId="0" applyNumberFormat="1" applyFont="1" applyBorder="1"/>
    <xf numFmtId="167" fontId="3" fillId="0" borderId="73" xfId="0" applyNumberFormat="1" applyFont="1" applyBorder="1" applyAlignment="1">
      <alignment vertical="center" wrapText="1"/>
    </xf>
    <xf numFmtId="164" fontId="3" fillId="0" borderId="154" xfId="0" applyNumberFormat="1" applyFont="1" applyBorder="1" applyAlignment="1">
      <alignment vertical="center" wrapText="1"/>
    </xf>
    <xf numFmtId="167" fontId="3" fillId="0" borderId="155" xfId="0" applyNumberFormat="1" applyFont="1" applyBorder="1" applyAlignment="1">
      <alignment vertical="center" wrapText="1"/>
    </xf>
    <xf numFmtId="167" fontId="3" fillId="0" borderId="55" xfId="0" applyNumberFormat="1" applyFont="1" applyBorder="1" applyAlignment="1">
      <alignment vertical="center" wrapText="1"/>
    </xf>
    <xf numFmtId="167" fontId="3" fillId="0" borderId="56" xfId="0" applyNumberFormat="1" applyFont="1" applyBorder="1" applyAlignment="1">
      <alignment vertical="center" wrapText="1"/>
    </xf>
    <xf numFmtId="167" fontId="3" fillId="0" borderId="155" xfId="0" applyNumberFormat="1" applyFont="1" applyBorder="1" applyAlignment="1">
      <alignment vertical="center"/>
    </xf>
    <xf numFmtId="167" fontId="3" fillId="0" borderId="55" xfId="0" applyNumberFormat="1" applyFont="1" applyBorder="1" applyAlignment="1">
      <alignment vertical="center"/>
    </xf>
    <xf numFmtId="167" fontId="3" fillId="0" borderId="56" xfId="0" applyNumberFormat="1" applyFont="1" applyBorder="1" applyAlignment="1">
      <alignment vertical="center"/>
    </xf>
    <xf numFmtId="0" fontId="2" fillId="0" borderId="156" xfId="0" applyFont="1" applyBorder="1" applyAlignment="1">
      <alignment horizontal="center" vertical="center" wrapText="1"/>
    </xf>
    <xf numFmtId="0" fontId="2" fillId="0" borderId="157" xfId="0" applyFont="1" applyBorder="1" applyAlignment="1">
      <alignment horizontal="center" vertical="center" wrapText="1"/>
    </xf>
    <xf numFmtId="167" fontId="3" fillId="0" borderId="158" xfId="0" applyNumberFormat="1" applyFont="1" applyBorder="1" applyAlignment="1">
      <alignment vertical="center" wrapText="1"/>
    </xf>
    <xf numFmtId="164" fontId="3" fillId="0" borderId="159" xfId="1" applyNumberFormat="1" applyFont="1" applyBorder="1" applyAlignment="1">
      <alignment vertical="center" wrapText="1"/>
    </xf>
    <xf numFmtId="164" fontId="3" fillId="0" borderId="160" xfId="1" applyNumberFormat="1" applyFont="1" applyBorder="1" applyAlignment="1">
      <alignment vertical="center" wrapText="1"/>
    </xf>
    <xf numFmtId="164" fontId="3" fillId="0" borderId="158" xfId="1" applyNumberFormat="1" applyFont="1" applyBorder="1" applyAlignment="1">
      <alignment vertical="center"/>
    </xf>
    <xf numFmtId="164" fontId="3" fillId="0" borderId="159" xfId="1" applyNumberFormat="1" applyFont="1" applyBorder="1" applyAlignment="1">
      <alignment vertical="center"/>
    </xf>
    <xf numFmtId="164" fontId="3" fillId="0" borderId="160" xfId="1" applyNumberFormat="1" applyFont="1" applyBorder="1" applyAlignment="1">
      <alignment vertical="center"/>
    </xf>
    <xf numFmtId="164" fontId="3" fillId="0" borderId="161" xfId="1" applyNumberFormat="1" applyFont="1" applyBorder="1"/>
    <xf numFmtId="164" fontId="3" fillId="0" borderId="162" xfId="1" applyNumberFormat="1" applyFont="1" applyBorder="1"/>
    <xf numFmtId="0" fontId="2" fillId="0" borderId="114" xfId="0" applyFont="1" applyBorder="1" applyAlignment="1">
      <alignment horizontal="center" vertical="center" wrapText="1"/>
    </xf>
    <xf numFmtId="164" fontId="3" fillId="0" borderId="0" xfId="1" applyNumberFormat="1" applyFont="1" applyAlignment="1">
      <alignment vertical="center"/>
    </xf>
    <xf numFmtId="0" fontId="3" fillId="0" borderId="0" xfId="0" applyFont="1" applyAlignment="1">
      <alignment vertical="center" shrinkToFit="1"/>
    </xf>
    <xf numFmtId="0" fontId="5" fillId="0" borderId="0" xfId="0" applyFont="1" applyAlignment="1">
      <alignment horizontal="right" vertical="center"/>
    </xf>
    <xf numFmtId="169" fontId="3" fillId="0" borderId="0" xfId="0" applyNumberFormat="1" applyFont="1" applyAlignment="1">
      <alignment vertical="center"/>
    </xf>
    <xf numFmtId="0" fontId="8" fillId="0" borderId="0" xfId="0" applyFont="1" applyAlignment="1">
      <alignment horizontal="right" vertical="center"/>
    </xf>
    <xf numFmtId="0" fontId="8" fillId="0" borderId="0" xfId="0" applyFont="1" applyAlignment="1">
      <alignment horizontal="right" vertical="center" indent="1"/>
    </xf>
    <xf numFmtId="10" fontId="3" fillId="0" borderId="0" xfId="0" applyNumberFormat="1" applyFont="1" applyAlignment="1">
      <alignment vertical="center"/>
    </xf>
    <xf numFmtId="10" fontId="8" fillId="0" borderId="0" xfId="4" applyNumberFormat="1" applyFont="1" applyAlignment="1">
      <alignment vertical="center"/>
    </xf>
    <xf numFmtId="10" fontId="3" fillId="0" borderId="0" xfId="1" applyNumberFormat="1" applyFont="1" applyAlignment="1">
      <alignment vertical="center"/>
    </xf>
    <xf numFmtId="10" fontId="3" fillId="0" borderId="0" xfId="0" applyNumberFormat="1" applyFont="1" applyAlignment="1">
      <alignment vertical="center" shrinkToFit="1"/>
    </xf>
    <xf numFmtId="10" fontId="3" fillId="0" borderId="0" xfId="1" applyNumberFormat="1" applyFont="1" applyAlignment="1">
      <alignment horizontal="center" vertical="center"/>
    </xf>
    <xf numFmtId="10" fontId="3" fillId="0" borderId="0" xfId="0" applyNumberFormat="1" applyFont="1" applyAlignment="1">
      <alignment horizontal="center" vertical="center"/>
    </xf>
    <xf numFmtId="10" fontId="7" fillId="0" borderId="0" xfId="4" applyNumberFormat="1" applyFont="1" applyAlignment="1">
      <alignment vertical="center"/>
    </xf>
    <xf numFmtId="173" fontId="4" fillId="0" borderId="0" xfId="0" applyNumberFormat="1" applyFont="1" applyAlignment="1">
      <alignment vertical="center"/>
    </xf>
    <xf numFmtId="173" fontId="6" fillId="0" borderId="1" xfId="0" applyNumberFormat="1" applyFont="1" applyBorder="1" applyAlignment="1">
      <alignment vertical="center"/>
    </xf>
    <xf numFmtId="0" fontId="7" fillId="0" borderId="0" xfId="0" applyFont="1" applyAlignment="1">
      <alignment horizontal="right" vertical="center" indent="1"/>
    </xf>
    <xf numFmtId="43" fontId="3" fillId="0" borderId="31" xfId="1" applyFont="1" applyBorder="1" applyAlignment="1">
      <alignment horizontal="center" vertical="center" wrapText="1"/>
    </xf>
    <xf numFmtId="0" fontId="6" fillId="0" borderId="0" xfId="0" applyFont="1"/>
    <xf numFmtId="0" fontId="6" fillId="0" borderId="0" xfId="0" applyFont="1" applyAlignment="1">
      <alignment horizontal="center"/>
    </xf>
    <xf numFmtId="0" fontId="6" fillId="0" borderId="0" xfId="0" applyFont="1" applyAlignment="1">
      <alignment horizontal="center" vertical="center"/>
    </xf>
    <xf numFmtId="0" fontId="6" fillId="0" borderId="119" xfId="0" applyFont="1" applyBorder="1"/>
    <xf numFmtId="0" fontId="4" fillId="0" borderId="0" xfId="0" applyFont="1" applyAlignment="1">
      <alignment horizontal="center" vertical="center"/>
    </xf>
    <xf numFmtId="173" fontId="6" fillId="0" borderId="0" xfId="0" applyNumberFormat="1" applyFont="1" applyAlignment="1">
      <alignment vertical="center"/>
    </xf>
    <xf numFmtId="0" fontId="6" fillId="0" borderId="119" xfId="0" applyFont="1" applyBorder="1" applyAlignment="1">
      <alignment horizontal="center"/>
    </xf>
    <xf numFmtId="0" fontId="4" fillId="0" borderId="0" xfId="0" applyFont="1" applyAlignment="1">
      <alignment horizontal="right" vertical="center" indent="3"/>
    </xf>
    <xf numFmtId="0" fontId="6" fillId="0" borderId="166" xfId="0" applyFont="1" applyBorder="1" applyAlignment="1">
      <alignment vertical="center" wrapText="1"/>
    </xf>
    <xf numFmtId="0" fontId="6" fillId="0" borderId="166" xfId="0" applyFont="1" applyBorder="1" applyAlignment="1">
      <alignment horizontal="center" vertical="center" wrapText="1"/>
    </xf>
    <xf numFmtId="173" fontId="6" fillId="0" borderId="166" xfId="0" applyNumberFormat="1" applyFont="1" applyBorder="1" applyAlignment="1">
      <alignment vertical="center"/>
    </xf>
    <xf numFmtId="0" fontId="6" fillId="0" borderId="143" xfId="0" applyFont="1" applyBorder="1" applyAlignment="1">
      <alignment vertical="center" wrapText="1"/>
    </xf>
    <xf numFmtId="0" fontId="6" fillId="0" borderId="143" xfId="0" applyFont="1" applyBorder="1" applyAlignment="1">
      <alignment horizontal="center" vertical="center" wrapText="1"/>
    </xf>
    <xf numFmtId="173" fontId="6" fillId="0" borderId="143" xfId="0" applyNumberFormat="1" applyFont="1" applyBorder="1" applyAlignment="1">
      <alignment vertical="center"/>
    </xf>
    <xf numFmtId="173" fontId="6" fillId="0" borderId="166" xfId="0" applyNumberFormat="1" applyFont="1" applyBorder="1" applyAlignment="1">
      <alignment horizontal="right" vertical="center" wrapText="1"/>
    </xf>
    <xf numFmtId="173" fontId="6" fillId="0" borderId="143" xfId="0" applyNumberFormat="1" applyFont="1" applyBorder="1" applyAlignment="1">
      <alignment horizontal="right" vertical="center"/>
    </xf>
    <xf numFmtId="0" fontId="6" fillId="0" borderId="167" xfId="0" applyFont="1" applyBorder="1" applyAlignment="1">
      <alignment vertical="center" wrapText="1"/>
    </xf>
    <xf numFmtId="0" fontId="6" fillId="0" borderId="167" xfId="0" applyFont="1" applyBorder="1" applyAlignment="1">
      <alignment horizontal="center" vertical="center"/>
    </xf>
    <xf numFmtId="173" fontId="6" fillId="0" borderId="167" xfId="0" applyNumberFormat="1" applyFont="1" applyBorder="1" applyAlignment="1">
      <alignment horizontal="right" vertical="center"/>
    </xf>
    <xf numFmtId="173" fontId="6" fillId="0" borderId="167" xfId="0" applyNumberFormat="1" applyFont="1" applyBorder="1" applyAlignment="1">
      <alignment vertical="center"/>
    </xf>
    <xf numFmtId="0" fontId="6" fillId="0" borderId="165" xfId="0" applyFont="1" applyBorder="1" applyAlignment="1">
      <alignment horizontal="center" vertical="center"/>
    </xf>
    <xf numFmtId="173" fontId="6" fillId="0" borderId="165" xfId="0" applyNumberFormat="1" applyFont="1" applyBorder="1" applyAlignment="1">
      <alignment horizontal="right" vertical="center"/>
    </xf>
    <xf numFmtId="0" fontId="6" fillId="0" borderId="166" xfId="0" applyFont="1" applyBorder="1" applyAlignment="1">
      <alignment vertical="center"/>
    </xf>
    <xf numFmtId="0" fontId="6" fillId="0" borderId="166" xfId="0" applyFont="1" applyBorder="1" applyAlignment="1">
      <alignment horizontal="center" vertical="center"/>
    </xf>
    <xf numFmtId="0" fontId="6" fillId="0" borderId="143" xfId="0" applyFont="1" applyBorder="1" applyAlignment="1">
      <alignment vertical="center"/>
    </xf>
    <xf numFmtId="0" fontId="6" fillId="0" borderId="143" xfId="0" applyFont="1" applyBorder="1" applyAlignment="1">
      <alignment horizontal="center" vertical="center"/>
    </xf>
    <xf numFmtId="0" fontId="6" fillId="0" borderId="144" xfId="0" applyFont="1" applyBorder="1" applyAlignment="1">
      <alignment vertical="center"/>
    </xf>
    <xf numFmtId="0" fontId="6" fillId="0" borderId="144" xfId="0" applyFont="1" applyBorder="1" applyAlignment="1">
      <alignment horizontal="center" vertical="center"/>
    </xf>
    <xf numFmtId="173" fontId="6" fillId="0" borderId="144" xfId="0" applyNumberFormat="1" applyFont="1" applyBorder="1" applyAlignment="1">
      <alignment vertical="center"/>
    </xf>
    <xf numFmtId="173" fontId="4" fillId="0" borderId="165" xfId="0" applyNumberFormat="1" applyFont="1" applyBorder="1" applyAlignment="1">
      <alignment vertical="center"/>
    </xf>
    <xf numFmtId="0" fontId="6" fillId="0" borderId="142" xfId="0" applyFont="1" applyBorder="1" applyAlignment="1">
      <alignment vertical="center" wrapText="1"/>
    </xf>
    <xf numFmtId="0" fontId="6" fillId="0" borderId="142" xfId="0" applyFont="1" applyBorder="1" applyAlignment="1">
      <alignment horizontal="center" vertical="center" wrapText="1"/>
    </xf>
    <xf numFmtId="173" fontId="6" fillId="0" borderId="142" xfId="0" applyNumberFormat="1" applyFont="1" applyBorder="1" applyAlignment="1">
      <alignment horizontal="right" vertical="center" wrapText="1"/>
    </xf>
    <xf numFmtId="173" fontId="6" fillId="0" borderId="142" xfId="0" applyNumberFormat="1" applyFont="1" applyBorder="1" applyAlignment="1">
      <alignment vertical="center"/>
    </xf>
    <xf numFmtId="173" fontId="6" fillId="0" borderId="143" xfId="0" applyNumberFormat="1" applyFont="1" applyBorder="1" applyAlignment="1">
      <alignment horizontal="right" vertical="center" wrapText="1"/>
    </xf>
    <xf numFmtId="44" fontId="6" fillId="0" borderId="0" xfId="2" applyFont="1" applyAlignment="1">
      <alignment vertical="center"/>
    </xf>
    <xf numFmtId="44" fontId="6" fillId="0" borderId="0" xfId="0" applyNumberFormat="1" applyFont="1" applyAlignment="1">
      <alignment vertical="center"/>
    </xf>
    <xf numFmtId="44" fontId="6" fillId="0" borderId="0" xfId="2" applyFont="1" applyFill="1" applyAlignment="1">
      <alignment vertical="center"/>
    </xf>
    <xf numFmtId="0" fontId="12" fillId="0" borderId="0" xfId="5" applyFill="1" applyAlignment="1">
      <alignment vertical="center"/>
    </xf>
    <xf numFmtId="0" fontId="11" fillId="0" borderId="0" xfId="0" applyFont="1" applyAlignment="1">
      <alignment horizontal="right"/>
    </xf>
    <xf numFmtId="173" fontId="11" fillId="0" borderId="0" xfId="0" applyNumberFormat="1" applyFont="1"/>
    <xf numFmtId="171" fontId="9" fillId="0" borderId="0" xfId="4" applyNumberFormat="1" applyFont="1" applyAlignment="1">
      <alignment vertical="center"/>
    </xf>
    <xf numFmtId="44" fontId="7" fillId="0" borderId="0" xfId="2" applyFont="1" applyAlignment="1">
      <alignment vertical="center"/>
    </xf>
    <xf numFmtId="1" fontId="3" fillId="4" borderId="32" xfId="0" applyNumberFormat="1" applyFont="1" applyFill="1" applyBorder="1" applyAlignment="1">
      <alignment horizontal="center" vertical="center"/>
    </xf>
    <xf numFmtId="0" fontId="6" fillId="0" borderId="1" xfId="0" applyFont="1" applyBorder="1" applyAlignment="1">
      <alignment horizontal="left"/>
    </xf>
    <xf numFmtId="173" fontId="11" fillId="0" borderId="1" xfId="0" applyNumberFormat="1" applyFont="1" applyBorder="1"/>
    <xf numFmtId="173" fontId="13" fillId="0" borderId="0" xfId="0" applyNumberFormat="1" applyFont="1"/>
    <xf numFmtId="0" fontId="11" fillId="0" borderId="0" xfId="0" applyFont="1" applyAlignment="1">
      <alignment horizontal="right" indent="1"/>
    </xf>
    <xf numFmtId="0" fontId="13" fillId="0" borderId="0" xfId="0" applyFont="1" applyAlignment="1">
      <alignment horizontal="right" indent="1"/>
    </xf>
    <xf numFmtId="0" fontId="6" fillId="0" borderId="168" xfId="0" applyFont="1" applyBorder="1" applyAlignment="1">
      <alignment vertical="center"/>
    </xf>
    <xf numFmtId="0" fontId="6" fillId="0" borderId="168" xfId="0" applyFont="1" applyBorder="1" applyAlignment="1">
      <alignment horizontal="center" vertical="center"/>
    </xf>
    <xf numFmtId="173" fontId="6" fillId="0" borderId="168" xfId="0" applyNumberFormat="1" applyFont="1" applyBorder="1" applyAlignment="1">
      <alignment horizontal="right" vertical="center"/>
    </xf>
    <xf numFmtId="173" fontId="6" fillId="0" borderId="168" xfId="0" applyNumberFormat="1" applyFont="1" applyBorder="1" applyAlignment="1">
      <alignment vertical="center"/>
    </xf>
    <xf numFmtId="0" fontId="6" fillId="0" borderId="145" xfId="0" applyFont="1" applyBorder="1" applyAlignment="1">
      <alignment horizontal="center" vertical="center"/>
    </xf>
    <xf numFmtId="173" fontId="6" fillId="0" borderId="145" xfId="0" applyNumberFormat="1" applyFont="1" applyBorder="1" applyAlignment="1">
      <alignment horizontal="right" vertical="center"/>
    </xf>
    <xf numFmtId="0" fontId="6" fillId="0" borderId="145" xfId="0" applyFont="1" applyBorder="1" applyAlignment="1">
      <alignment vertical="center" wrapText="1"/>
    </xf>
    <xf numFmtId="0" fontId="14" fillId="8" borderId="119" xfId="0" applyFont="1" applyFill="1" applyBorder="1" applyAlignment="1">
      <alignment vertical="center"/>
    </xf>
    <xf numFmtId="0" fontId="14" fillId="8" borderId="119" xfId="0" applyFont="1" applyFill="1" applyBorder="1" applyAlignment="1">
      <alignment horizontal="center" vertical="center"/>
    </xf>
    <xf numFmtId="0" fontId="14" fillId="8" borderId="119" xfId="0" applyFont="1" applyFill="1" applyBorder="1" applyAlignment="1">
      <alignment horizontal="center" vertical="center" wrapText="1"/>
    </xf>
    <xf numFmtId="0" fontId="6" fillId="0" borderId="1" xfId="0" applyFont="1" applyBorder="1" applyAlignment="1">
      <alignment horizontal="right" vertical="center" indent="3"/>
    </xf>
    <xf numFmtId="0" fontId="4" fillId="0" borderId="0" xfId="0" applyFont="1" applyAlignment="1">
      <alignment horizontal="left" vertical="center"/>
    </xf>
    <xf numFmtId="169" fontId="8" fillId="0" borderId="0" xfId="0" applyNumberFormat="1" applyFont="1" applyAlignment="1">
      <alignment vertical="center"/>
    </xf>
    <xf numFmtId="0" fontId="8" fillId="0" borderId="0" xfId="0" applyFont="1" applyAlignment="1">
      <alignment vertical="center"/>
    </xf>
    <xf numFmtId="169" fontId="10" fillId="0" borderId="0" xfId="0" applyNumberFormat="1" applyFont="1" applyAlignment="1">
      <alignment vertical="center"/>
    </xf>
    <xf numFmtId="0" fontId="9" fillId="0" borderId="0" xfId="0" applyFont="1" applyAlignment="1">
      <alignment horizontal="right" vertical="center"/>
    </xf>
    <xf numFmtId="173" fontId="17" fillId="0" borderId="0" xfId="0" applyNumberFormat="1" applyFont="1" applyAlignment="1">
      <alignment vertical="center"/>
    </xf>
    <xf numFmtId="0" fontId="17" fillId="0" borderId="0" xfId="0" applyFont="1"/>
    <xf numFmtId="173" fontId="17" fillId="0" borderId="0" xfId="0" applyNumberFormat="1" applyFont="1"/>
    <xf numFmtId="0" fontId="17" fillId="0" borderId="0" xfId="0" applyFont="1" applyAlignment="1">
      <alignment vertical="center"/>
    </xf>
    <xf numFmtId="0" fontId="19" fillId="0" borderId="0" xfId="0" applyFont="1" applyAlignment="1">
      <alignment vertical="center" wrapText="1"/>
    </xf>
    <xf numFmtId="0" fontId="18" fillId="0" borderId="172" xfId="0" applyFont="1" applyBorder="1" applyAlignment="1">
      <alignment vertical="center"/>
    </xf>
    <xf numFmtId="0" fontId="18" fillId="0" borderId="172" xfId="0" applyFont="1" applyBorder="1" applyAlignment="1">
      <alignment horizontal="center" vertical="center" wrapText="1"/>
    </xf>
    <xf numFmtId="0" fontId="18" fillId="0" borderId="173" xfId="0" applyFont="1" applyBorder="1" applyAlignment="1">
      <alignment vertical="center"/>
    </xf>
    <xf numFmtId="173" fontId="18" fillId="0" borderId="173" xfId="0" applyNumberFormat="1" applyFont="1" applyBorder="1" applyAlignment="1">
      <alignment vertical="center"/>
    </xf>
    <xf numFmtId="0" fontId="20" fillId="0" borderId="172" xfId="0" applyFont="1" applyBorder="1" applyAlignment="1">
      <alignment vertical="center"/>
    </xf>
    <xf numFmtId="173" fontId="20" fillId="0" borderId="172" xfId="0" applyNumberFormat="1" applyFont="1" applyBorder="1" applyAlignment="1">
      <alignment horizontal="right" vertical="center" wrapText="1"/>
    </xf>
    <xf numFmtId="0" fontId="19" fillId="0" borderId="0" xfId="0" applyFont="1" applyAlignment="1">
      <alignment vertical="center"/>
    </xf>
    <xf numFmtId="0" fontId="21" fillId="0" borderId="0" xfId="0" applyFont="1"/>
    <xf numFmtId="173" fontId="21" fillId="0" borderId="0" xfId="0" applyNumberFormat="1" applyFont="1"/>
    <xf numFmtId="0" fontId="22" fillId="0" borderId="0" xfId="0" applyFont="1"/>
    <xf numFmtId="0" fontId="23" fillId="0" borderId="0" xfId="0" applyFont="1" applyAlignment="1">
      <alignment vertical="center"/>
    </xf>
    <xf numFmtId="173" fontId="23" fillId="0" borderId="0" xfId="0" applyNumberFormat="1" applyFont="1" applyAlignment="1">
      <alignment vertical="center"/>
    </xf>
    <xf numFmtId="10" fontId="8" fillId="0" borderId="0" xfId="4" applyNumberFormat="1" applyFont="1" applyFill="1" applyAlignment="1">
      <alignment vertical="center"/>
    </xf>
    <xf numFmtId="173" fontId="17" fillId="0" borderId="0" xfId="0" applyNumberFormat="1" applyFont="1" applyAlignment="1">
      <alignment horizontal="left" indent="1"/>
    </xf>
    <xf numFmtId="165" fontId="3" fillId="6" borderId="122" xfId="2" applyNumberFormat="1" applyFont="1" applyFill="1" applyBorder="1" applyAlignment="1">
      <alignment vertical="center"/>
    </xf>
    <xf numFmtId="166" fontId="3" fillId="0" borderId="104" xfId="2" applyNumberFormat="1" applyFont="1" applyBorder="1" applyAlignment="1">
      <alignment horizontal="center" vertical="center"/>
    </xf>
    <xf numFmtId="164" fontId="3" fillId="9" borderId="46" xfId="1" applyNumberFormat="1" applyFont="1" applyFill="1" applyBorder="1" applyAlignment="1">
      <alignment horizontal="center" vertical="center"/>
    </xf>
    <xf numFmtId="0" fontId="3" fillId="9" borderId="136" xfId="0" applyFont="1" applyFill="1" applyBorder="1" applyAlignment="1">
      <alignment horizontal="center" vertical="center"/>
    </xf>
    <xf numFmtId="167" fontId="3" fillId="9" borderId="116" xfId="0" applyNumberFormat="1" applyFont="1" applyFill="1" applyBorder="1" applyAlignment="1">
      <alignment vertical="center"/>
    </xf>
    <xf numFmtId="164" fontId="3" fillId="9" borderId="111" xfId="1" applyNumberFormat="1" applyFont="1" applyFill="1" applyBorder="1" applyAlignment="1">
      <alignment vertical="center"/>
    </xf>
    <xf numFmtId="167" fontId="3" fillId="9" borderId="47" xfId="0" applyNumberFormat="1" applyFont="1" applyFill="1" applyBorder="1" applyAlignment="1">
      <alignment vertical="center"/>
    </xf>
    <xf numFmtId="164" fontId="3" fillId="9" borderId="84" xfId="1" applyNumberFormat="1" applyFont="1" applyFill="1" applyBorder="1" applyAlignment="1">
      <alignment vertical="center"/>
    </xf>
    <xf numFmtId="164" fontId="3" fillId="9" borderId="46" xfId="1" applyNumberFormat="1" applyFont="1" applyFill="1" applyBorder="1" applyAlignment="1">
      <alignment vertical="center"/>
    </xf>
    <xf numFmtId="167" fontId="3" fillId="9" borderId="94" xfId="0" applyNumberFormat="1" applyFont="1" applyFill="1" applyBorder="1" applyAlignment="1">
      <alignment vertical="center"/>
    </xf>
    <xf numFmtId="169" fontId="5" fillId="0" borderId="23" xfId="0" applyNumberFormat="1" applyFont="1" applyBorder="1" applyAlignment="1">
      <alignment horizontal="right" vertical="center"/>
    </xf>
    <xf numFmtId="169" fontId="5" fillId="0" borderId="24" xfId="0" applyNumberFormat="1" applyFont="1" applyBorder="1" applyAlignment="1">
      <alignment horizontal="right" vertical="center"/>
    </xf>
    <xf numFmtId="0" fontId="5" fillId="0" borderId="24" xfId="0" applyFont="1" applyBorder="1" applyAlignment="1">
      <alignment vertical="center"/>
    </xf>
    <xf numFmtId="0" fontId="5" fillId="0" borderId="61" xfId="0" applyFont="1" applyBorder="1" applyAlignment="1">
      <alignment vertical="center"/>
    </xf>
    <xf numFmtId="169" fontId="2" fillId="0" borderId="19" xfId="0" applyNumberFormat="1" applyFont="1" applyBorder="1" applyAlignment="1">
      <alignment horizontal="right" vertical="center"/>
    </xf>
    <xf numFmtId="169" fontId="2" fillId="0" borderId="20" xfId="0" applyNumberFormat="1" applyFont="1" applyBorder="1" applyAlignment="1">
      <alignment horizontal="right" vertical="center"/>
    </xf>
    <xf numFmtId="0" fontId="5" fillId="0" borderId="23" xfId="0" applyFont="1" applyBorder="1" applyAlignment="1">
      <alignment horizontal="left" vertical="center"/>
    </xf>
    <xf numFmtId="169" fontId="2" fillId="0" borderId="21" xfId="0" applyNumberFormat="1" applyFont="1" applyBorder="1" applyAlignment="1">
      <alignment horizontal="right" vertical="center"/>
    </xf>
    <xf numFmtId="0" fontId="2" fillId="0" borderId="22" xfId="0" applyFont="1" applyBorder="1"/>
    <xf numFmtId="0" fontId="2" fillId="0" borderId="60" xfId="0" applyFont="1" applyBorder="1"/>
    <xf numFmtId="0" fontId="2" fillId="0" borderId="20" xfId="0" applyFont="1" applyBorder="1"/>
    <xf numFmtId="0" fontId="2" fillId="0" borderId="59" xfId="0" applyFont="1" applyBorder="1"/>
    <xf numFmtId="169" fontId="2" fillId="0" borderId="17" xfId="0" applyNumberFormat="1" applyFont="1" applyBorder="1" applyAlignment="1">
      <alignment horizontal="right" vertical="center"/>
    </xf>
    <xf numFmtId="169" fontId="2" fillId="0" borderId="18" xfId="0" applyNumberFormat="1" applyFont="1" applyBorder="1" applyAlignment="1">
      <alignment horizontal="right" vertical="center"/>
    </xf>
    <xf numFmtId="169" fontId="2" fillId="0" borderId="15" xfId="0" applyNumberFormat="1" applyFont="1" applyBorder="1" applyAlignment="1">
      <alignment horizontal="right" vertical="center"/>
    </xf>
    <xf numFmtId="169" fontId="3" fillId="0" borderId="58" xfId="0" applyNumberFormat="1" applyFont="1" applyBorder="1"/>
    <xf numFmtId="169" fontId="3" fillId="0" borderId="16" xfId="0" applyNumberFormat="1" applyFont="1" applyBorder="1"/>
    <xf numFmtId="0" fontId="3" fillId="5" borderId="62" xfId="0" applyFont="1" applyFill="1" applyBorder="1" applyAlignment="1">
      <alignment horizontal="center" vertical="center" textRotation="90" wrapText="1"/>
    </xf>
    <xf numFmtId="0" fontId="3" fillId="5" borderId="132" xfId="0" applyFont="1" applyFill="1" applyBorder="1" applyAlignment="1">
      <alignment horizontal="center" vertical="center" textRotation="90" wrapText="1"/>
    </xf>
    <xf numFmtId="0" fontId="3" fillId="5" borderId="91" xfId="0" applyFont="1" applyFill="1" applyBorder="1" applyAlignment="1">
      <alignment horizontal="center" vertical="center" textRotation="90" wrapText="1"/>
    </xf>
    <xf numFmtId="0" fontId="2" fillId="6" borderId="6" xfId="0" applyFont="1" applyFill="1" applyBorder="1" applyAlignment="1">
      <alignment horizontal="center" vertical="center" textRotation="90"/>
    </xf>
    <xf numFmtId="0" fontId="2" fillId="6" borderId="9" xfId="0" applyFont="1" applyFill="1" applyBorder="1" applyAlignment="1">
      <alignment horizontal="center" vertical="center" textRotation="90"/>
    </xf>
    <xf numFmtId="0" fontId="2" fillId="7" borderId="6" xfId="0" applyFont="1" applyFill="1" applyBorder="1" applyAlignment="1">
      <alignment horizontal="center" vertical="center" textRotation="90"/>
    </xf>
    <xf numFmtId="0" fontId="2" fillId="7" borderId="9" xfId="0" applyFont="1" applyFill="1" applyBorder="1" applyAlignment="1">
      <alignment horizontal="center" vertical="center" textRotation="90"/>
    </xf>
    <xf numFmtId="0" fontId="2" fillId="7" borderId="11" xfId="0" applyFont="1" applyFill="1" applyBorder="1" applyAlignment="1">
      <alignment horizontal="center" vertical="center" textRotation="90"/>
    </xf>
    <xf numFmtId="0" fontId="2" fillId="2" borderId="66"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2" fillId="2" borderId="163" xfId="0" applyFont="1" applyFill="1" applyBorder="1" applyAlignment="1">
      <alignment horizontal="center" vertical="center" wrapText="1"/>
    </xf>
    <xf numFmtId="0" fontId="2" fillId="2" borderId="164" xfId="0" applyFont="1" applyFill="1" applyBorder="1" applyAlignment="1">
      <alignment horizontal="center" vertical="center" wrapText="1"/>
    </xf>
    <xf numFmtId="0" fontId="3" fillId="3" borderId="26" xfId="0" applyFont="1" applyFill="1" applyBorder="1" applyAlignment="1">
      <alignment horizontal="center" vertical="center" textRotation="90" wrapText="1"/>
    </xf>
    <xf numFmtId="0" fontId="3" fillId="3" borderId="30" xfId="0" applyFont="1" applyFill="1" applyBorder="1" applyAlignment="1">
      <alignment horizontal="center" vertical="center" textRotation="90" wrapText="1"/>
    </xf>
    <xf numFmtId="0" fontId="3" fillId="3" borderId="34" xfId="0" applyFont="1" applyFill="1" applyBorder="1" applyAlignment="1">
      <alignment horizontal="center" vertical="center" textRotation="90" wrapText="1"/>
    </xf>
    <xf numFmtId="0" fontId="2" fillId="2" borderId="9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1" xfId="0" applyFont="1" applyFill="1" applyBorder="1" applyAlignment="1">
      <alignment horizontal="center" vertical="center" wrapText="1"/>
    </xf>
    <xf numFmtId="0" fontId="2" fillId="2" borderId="146" xfId="0" applyFont="1" applyFill="1" applyBorder="1" applyAlignment="1">
      <alignment horizontal="center" vertical="center" wrapText="1"/>
    </xf>
    <xf numFmtId="0" fontId="2" fillId="2" borderId="147" xfId="0" applyFont="1" applyFill="1" applyBorder="1" applyAlignment="1">
      <alignment horizontal="center" vertical="center" wrapText="1"/>
    </xf>
    <xf numFmtId="0" fontId="2" fillId="2" borderId="80" xfId="0" applyFont="1" applyFill="1" applyBorder="1" applyAlignment="1">
      <alignment horizontal="center" vertical="center" wrapText="1"/>
    </xf>
    <xf numFmtId="0" fontId="2" fillId="2" borderId="107" xfId="0" applyFont="1" applyFill="1" applyBorder="1" applyAlignment="1">
      <alignment horizontal="center" vertical="center" wrapText="1"/>
    </xf>
    <xf numFmtId="0" fontId="2" fillId="2" borderId="62"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102"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103" xfId="0" applyFont="1" applyFill="1" applyBorder="1" applyAlignment="1">
      <alignment horizontal="center" vertical="center" wrapText="1"/>
    </xf>
    <xf numFmtId="0" fontId="2" fillId="2" borderId="76"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70" xfId="0" applyFont="1" applyFill="1" applyBorder="1" applyAlignment="1">
      <alignment horizontal="center" vertical="center" wrapText="1"/>
    </xf>
    <xf numFmtId="0" fontId="2" fillId="2" borderId="17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2" fillId="2" borderId="67" xfId="0" applyFont="1" applyFill="1" applyBorder="1" applyAlignment="1">
      <alignment horizontal="center" vertical="center" wrapText="1"/>
    </xf>
    <xf numFmtId="0" fontId="2" fillId="2" borderId="169" xfId="0" applyFont="1" applyFill="1" applyBorder="1" applyAlignment="1">
      <alignment horizontal="center" vertical="center" wrapText="1"/>
    </xf>
  </cellXfs>
  <cellStyles count="14">
    <cellStyle name="Hipervínculo" xfId="5" builtinId="8"/>
    <cellStyle name="Millares" xfId="1" builtinId="3"/>
    <cellStyle name="Millares 2" xfId="7" xr:uid="{479D6867-155E-4D43-87A5-6CE80AAF35DD}"/>
    <cellStyle name="Millares 3" xfId="10" xr:uid="{4BF3F9EB-D279-49B4-892F-76CAA8C6EF60}"/>
    <cellStyle name="Moneda" xfId="2" builtinId="4"/>
    <cellStyle name="Moneda 17" xfId="3" xr:uid="{34A1F2FD-B717-4D97-B074-26CF475FF704}"/>
    <cellStyle name="Moneda 17 2" xfId="13" xr:uid="{767ADB4E-CCE7-4475-A0A5-E72802FE19C0}"/>
    <cellStyle name="Moneda 2" xfId="8" xr:uid="{BE8D8492-A9F5-41B8-9733-5477128C1015}"/>
    <cellStyle name="Normal" xfId="0" builtinId="0"/>
    <cellStyle name="Normal 2 2" xfId="12" xr:uid="{B4D4D364-4751-41CF-936F-2B39572ADD31}"/>
    <cellStyle name="Normal 2 2 2" xfId="6" xr:uid="{25ABDA87-F5AC-4132-ABE5-604AF6A71D5E}"/>
    <cellStyle name="Normal 3" xfId="9" xr:uid="{40E2605F-DD00-4A32-9830-61F456598CEE}"/>
    <cellStyle name="Porcentaje" xfId="4" builtinId="5"/>
    <cellStyle name="Porcentaje 2" xfId="11" xr:uid="{8E772555-7A58-4964-8403-985E3E0E1CC7}"/>
  </cellStyles>
  <dxfs count="1">
    <dxf>
      <font>
        <b/>
        <i val="0"/>
      </font>
      <fill>
        <patternFill>
          <bgColor theme="9" tint="0.39994506668294322"/>
        </patternFill>
      </fill>
    </dxf>
  </dxfs>
  <tableStyles count="0" defaultTableStyle="TableStyleMedium2" defaultPivotStyle="PivotStyleLight16"/>
  <colors>
    <mruColors>
      <color rgb="FFFF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217715</xdr:rowOff>
    </xdr:from>
    <xdr:to>
      <xdr:col>6</xdr:col>
      <xdr:colOff>424543</xdr:colOff>
      <xdr:row>1</xdr:row>
      <xdr:rowOff>533400</xdr:rowOff>
    </xdr:to>
    <xdr:sp macro="" textlink="">
      <xdr:nvSpPr>
        <xdr:cNvPr id="2" name="Flecha: pentágono 1">
          <a:extLst>
            <a:ext uri="{FF2B5EF4-FFF2-40B4-BE49-F238E27FC236}">
              <a16:creationId xmlns:a16="http://schemas.microsoft.com/office/drawing/2014/main" id="{4B38C2C6-8974-4485-86CC-FF982DE12B15}"/>
            </a:ext>
          </a:extLst>
        </xdr:cNvPr>
        <xdr:cNvSpPr/>
      </xdr:nvSpPr>
      <xdr:spPr>
        <a:xfrm>
          <a:off x="6618515" y="392975"/>
          <a:ext cx="473528" cy="315685"/>
        </a:xfrm>
        <a:prstGeom prst="homePlate">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s-CO"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1325880</xdr:colOff>
      <xdr:row>0</xdr:row>
      <xdr:rowOff>106680</xdr:rowOff>
    </xdr:from>
    <xdr:to>
      <xdr:col>1</xdr:col>
      <xdr:colOff>3345180</xdr:colOff>
      <xdr:row>1</xdr:row>
      <xdr:rowOff>0</xdr:rowOff>
    </xdr:to>
    <xdr:sp macro="" textlink="$C$17">
      <xdr:nvSpPr>
        <xdr:cNvPr id="3" name="Rectángulo 2">
          <a:extLst>
            <a:ext uri="{FF2B5EF4-FFF2-40B4-BE49-F238E27FC236}">
              <a16:creationId xmlns:a16="http://schemas.microsoft.com/office/drawing/2014/main" id="{933590DA-CAA5-9276-555B-4ADDA0212C2C}"/>
            </a:ext>
          </a:extLst>
        </xdr:cNvPr>
        <xdr:cNvSpPr/>
      </xdr:nvSpPr>
      <xdr:spPr>
        <a:xfrm>
          <a:off x="1638300" y="106680"/>
          <a:ext cx="2019300" cy="39624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2C9DA934-FBD1-4659-8434-B2155BA123B6}" type="TxLink">
            <a:rPr lang="en-US" sz="1800" b="1" i="0" u="none" strike="noStrike">
              <a:solidFill>
                <a:srgbClr val="000000"/>
              </a:solidFill>
              <a:latin typeface="Gadugi"/>
              <a:ea typeface="Gadugi"/>
            </a:rPr>
            <a:pPr algn="l"/>
            <a:t>$ 19.694.285.678</a:t>
          </a:fld>
          <a:endParaRPr lang="es-CO" sz="1600"/>
        </a:p>
      </xdr:txBody>
    </xdr:sp>
    <xdr:clientData/>
  </xdr:twoCellAnchor>
  <xdr:twoCellAnchor>
    <xdr:from>
      <xdr:col>1</xdr:col>
      <xdr:colOff>579120</xdr:colOff>
      <xdr:row>0</xdr:row>
      <xdr:rowOff>144780</xdr:rowOff>
    </xdr:from>
    <xdr:to>
      <xdr:col>1</xdr:col>
      <xdr:colOff>1424940</xdr:colOff>
      <xdr:row>1</xdr:row>
      <xdr:rowOff>0</xdr:rowOff>
    </xdr:to>
    <xdr:sp macro="" textlink="">
      <xdr:nvSpPr>
        <xdr:cNvPr id="4" name="CuadroTexto 3">
          <a:extLst>
            <a:ext uri="{FF2B5EF4-FFF2-40B4-BE49-F238E27FC236}">
              <a16:creationId xmlns:a16="http://schemas.microsoft.com/office/drawing/2014/main" id="{335F2DE6-222B-258E-EAC1-987B4DD711F5}"/>
            </a:ext>
          </a:extLst>
        </xdr:cNvPr>
        <xdr:cNvSpPr txBox="1"/>
      </xdr:nvSpPr>
      <xdr:spPr>
        <a:xfrm>
          <a:off x="891540" y="14478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u="none"/>
            <a:t>PPTO 2026:</a:t>
          </a:r>
        </a:p>
      </xdr:txBody>
    </xdr:sp>
    <xdr:clientData/>
  </xdr:twoCellAnchor>
  <xdr:twoCellAnchor>
    <xdr:from>
      <xdr:col>1</xdr:col>
      <xdr:colOff>3467100</xdr:colOff>
      <xdr:row>0</xdr:row>
      <xdr:rowOff>137160</xdr:rowOff>
    </xdr:from>
    <xdr:to>
      <xdr:col>2</xdr:col>
      <xdr:colOff>510540</xdr:colOff>
      <xdr:row>1</xdr:row>
      <xdr:rowOff>0</xdr:rowOff>
    </xdr:to>
    <xdr:sp macro="" textlink="">
      <xdr:nvSpPr>
        <xdr:cNvPr id="11" name="CuadroTexto 10">
          <a:extLst>
            <a:ext uri="{FF2B5EF4-FFF2-40B4-BE49-F238E27FC236}">
              <a16:creationId xmlns:a16="http://schemas.microsoft.com/office/drawing/2014/main" id="{73261433-9B33-45B0-BF0B-F074E5F856ED}"/>
            </a:ext>
          </a:extLst>
        </xdr:cNvPr>
        <xdr:cNvSpPr txBox="1"/>
      </xdr:nvSpPr>
      <xdr:spPr>
        <a:xfrm>
          <a:off x="3779520" y="13716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CO" sz="1200" b="1" u="none"/>
            <a:t>Saldo:</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09B9-7B24-456B-9166-09B68A0D39E2}">
  <sheetPr>
    <tabColor theme="5" tint="-0.249977111117893"/>
  </sheetPr>
  <dimension ref="A1:MZ121"/>
  <sheetViews>
    <sheetView showGridLines="0" tabSelected="1" zoomScale="80" zoomScaleNormal="80" workbookViewId="0">
      <pane xSplit="7" ySplit="3" topLeftCell="LW107" activePane="bottomRight" state="frozen"/>
      <selection pane="topRight" activeCell="G1" sqref="G1"/>
      <selection pane="bottomLeft" activeCell="A4" sqref="A4"/>
      <selection pane="bottomRight" activeCell="MA115" sqref="MA115:MB115"/>
    </sheetView>
  </sheetViews>
  <sheetFormatPr baseColWidth="10" defaultColWidth="11.44140625" defaultRowHeight="13.2" outlineLevelCol="1" x14ac:dyDescent="0.25"/>
  <cols>
    <col min="1" max="1" width="4.109375" style="36" customWidth="1"/>
    <col min="2" max="2" width="5.44140625" style="36" bestFit="1" customWidth="1"/>
    <col min="3" max="3" width="54.33203125" style="36" customWidth="1"/>
    <col min="4" max="4" width="10.33203125" style="36" customWidth="1"/>
    <col min="5" max="5" width="6.88671875" style="36" bestFit="1" customWidth="1"/>
    <col min="6" max="6" width="16.5546875" style="36" bestFit="1" customWidth="1"/>
    <col min="7" max="7" width="17" style="36" bestFit="1" customWidth="1"/>
    <col min="8" max="8" width="2.109375" style="36" customWidth="1"/>
    <col min="9" max="9" width="8.109375" style="39" customWidth="1" outlineLevel="1"/>
    <col min="10" max="10" width="6.33203125" style="36" customWidth="1" outlineLevel="1"/>
    <col min="11" max="11" width="16.5546875" style="38" customWidth="1" outlineLevel="1"/>
    <col min="12" max="12" width="8.6640625" style="36" customWidth="1" outlineLevel="1"/>
    <col min="13" max="13" width="15.88671875" style="36" customWidth="1" outlineLevel="1"/>
    <col min="14" max="14" width="8.109375" style="36" customWidth="1" outlineLevel="1"/>
    <col min="15" max="15" width="14.88671875" style="36" customWidth="1" outlineLevel="1"/>
    <col min="16" max="16" width="8.109375" style="36" customWidth="1" outlineLevel="1"/>
    <col min="17" max="17" width="14.88671875" style="36" customWidth="1" outlineLevel="1"/>
    <col min="18" max="18" width="8.109375" style="36" customWidth="1" outlineLevel="1"/>
    <col min="19" max="19" width="14.88671875" style="36" customWidth="1" outlineLevel="1"/>
    <col min="20" max="20" width="8.109375" style="36" customWidth="1" outlineLevel="1"/>
    <col min="21" max="21" width="14.88671875" style="36" customWidth="1" outlineLevel="1"/>
    <col min="22" max="22" width="8.109375" style="36" customWidth="1" outlineLevel="1"/>
    <col min="23" max="23" width="14.88671875" style="36" customWidth="1" outlineLevel="1"/>
    <col min="24" max="24" width="8.109375" style="36" customWidth="1" outlineLevel="1"/>
    <col min="25" max="25" width="14.88671875" style="36" customWidth="1" outlineLevel="1"/>
    <col min="26" max="26" width="8.109375" style="39" customWidth="1" outlineLevel="1"/>
    <col min="27" max="27" width="14.88671875" style="36" customWidth="1" outlineLevel="1"/>
    <col min="28" max="28" width="8.109375" style="39" customWidth="1" outlineLevel="1"/>
    <col min="29" max="29" width="14.88671875" style="36" customWidth="1" outlineLevel="1"/>
    <col min="30" max="30" width="8.109375" style="39" customWidth="1" outlineLevel="1"/>
    <col min="31" max="31" width="14.88671875" style="36" customWidth="1" outlineLevel="1"/>
    <col min="32" max="32" width="8.109375" style="39" customWidth="1" outlineLevel="1"/>
    <col min="33" max="33" width="14.88671875" style="36" customWidth="1" outlineLevel="1"/>
    <col min="34" max="34" width="8.109375" style="39" customWidth="1" outlineLevel="1"/>
    <col min="35" max="35" width="12.88671875" style="36" customWidth="1" outlineLevel="1"/>
    <col min="36" max="36" width="9.33203125" style="36" bestFit="1" customWidth="1"/>
    <col min="37" max="37" width="16.109375" style="36" bestFit="1" customWidth="1"/>
    <col min="38" max="38" width="1.6640625" style="36" customWidth="1"/>
    <col min="39" max="39" width="10.33203125" style="39" customWidth="1" outlineLevel="1"/>
    <col min="40" max="40" width="8.6640625" style="36" customWidth="1" outlineLevel="1"/>
    <col min="41" max="41" width="15.6640625" style="38" customWidth="1" outlineLevel="1"/>
    <col min="42" max="42" width="9.109375" style="36" customWidth="1" outlineLevel="1"/>
    <col min="43" max="43" width="14.88671875" style="36" customWidth="1" outlineLevel="1"/>
    <col min="44" max="44" width="9.109375" style="36" customWidth="1" outlineLevel="1"/>
    <col min="45" max="45" width="13.44140625" style="36" customWidth="1" outlineLevel="1"/>
    <col min="46" max="46" width="9.109375" style="36" customWidth="1" outlineLevel="1"/>
    <col min="47" max="47" width="13.44140625" style="36" customWidth="1" outlineLevel="1"/>
    <col min="48" max="48" width="9.109375" style="36" customWidth="1" outlineLevel="1"/>
    <col min="49" max="49" width="13.44140625" style="36" customWidth="1" outlineLevel="1"/>
    <col min="50" max="50" width="9.109375" style="36" customWidth="1" outlineLevel="1"/>
    <col min="51" max="51" width="13.44140625" style="36" customWidth="1" outlineLevel="1"/>
    <col min="52" max="52" width="9.109375" style="36" customWidth="1" outlineLevel="1"/>
    <col min="53" max="53" width="13.44140625" style="36" customWidth="1" outlineLevel="1"/>
    <col min="54" max="54" width="9.109375" style="36" customWidth="1" outlineLevel="1"/>
    <col min="55" max="55" width="13.44140625" style="36" customWidth="1" outlineLevel="1"/>
    <col min="56" max="56" width="9.109375" style="36" customWidth="1" outlineLevel="1"/>
    <col min="57" max="57" width="13.44140625" style="36" customWidth="1" outlineLevel="1"/>
    <col min="58" max="58" width="9.109375" style="36" customWidth="1" outlineLevel="1"/>
    <col min="59" max="59" width="13.44140625" style="36" customWidth="1" outlineLevel="1"/>
    <col min="60" max="60" width="9.109375" style="36" customWidth="1" outlineLevel="1"/>
    <col min="61" max="61" width="13.44140625" style="36" customWidth="1" outlineLevel="1"/>
    <col min="62" max="62" width="9.109375" style="36" customWidth="1" outlineLevel="1"/>
    <col min="63" max="63" width="13.44140625" style="36" customWidth="1" outlineLevel="1"/>
    <col min="64" max="64" width="9.109375" style="36" customWidth="1" outlineLevel="1"/>
    <col min="65" max="65" width="14.88671875" style="36" customWidth="1" outlineLevel="1"/>
    <col min="66" max="66" width="10.6640625" style="36" bestFit="1" customWidth="1"/>
    <col min="67" max="67" width="16.33203125" style="36" bestFit="1" customWidth="1"/>
    <col min="68" max="68" width="1.6640625" style="36" customWidth="1"/>
    <col min="69" max="69" width="10.33203125" style="39" customWidth="1" outlineLevel="1"/>
    <col min="70" max="70" width="8.6640625" style="36" customWidth="1" outlineLevel="1"/>
    <col min="71" max="71" width="15.44140625" style="38" customWidth="1" outlineLevel="1"/>
    <col min="72" max="72" width="9.109375" style="36" customWidth="1" outlineLevel="1"/>
    <col min="73" max="73" width="15.44140625" style="36" customWidth="1" outlineLevel="1"/>
    <col min="74" max="74" width="9.6640625" style="36" customWidth="1" outlineLevel="1"/>
    <col min="75" max="75" width="14.88671875" style="36" customWidth="1" outlineLevel="1"/>
    <col min="76" max="76" width="9.6640625" style="36" customWidth="1" outlineLevel="1"/>
    <col min="77" max="77" width="14.88671875" style="36" customWidth="1" outlineLevel="1"/>
    <col min="78" max="78" width="9.6640625" style="36" customWidth="1" outlineLevel="1"/>
    <col min="79" max="79" width="15.44140625" style="36" customWidth="1" outlineLevel="1"/>
    <col min="80" max="80" width="9.6640625" style="36" customWidth="1" outlineLevel="1"/>
    <col min="81" max="81" width="14.88671875" style="36" customWidth="1" outlineLevel="1"/>
    <col min="82" max="82" width="9.6640625" style="36" customWidth="1" outlineLevel="1"/>
    <col min="83" max="83" width="14.88671875" style="36" customWidth="1" outlineLevel="1"/>
    <col min="84" max="84" width="9.6640625" style="36" customWidth="1" outlineLevel="1"/>
    <col min="85" max="85" width="15.44140625" style="36" customWidth="1" outlineLevel="1"/>
    <col min="86" max="86" width="9.6640625" style="36" customWidth="1" outlineLevel="1"/>
    <col min="87" max="87" width="14.88671875" style="36" customWidth="1" outlineLevel="1"/>
    <col min="88" max="88" width="9.6640625" style="36" customWidth="1" outlineLevel="1"/>
    <col min="89" max="89" width="14.88671875" style="36" customWidth="1" outlineLevel="1"/>
    <col min="90" max="90" width="9.6640625" style="36" customWidth="1" outlineLevel="1"/>
    <col min="91" max="91" width="15.44140625" style="36" customWidth="1" outlineLevel="1"/>
    <col min="92" max="92" width="9.6640625" style="36" customWidth="1" outlineLevel="1"/>
    <col min="93" max="93" width="14.88671875" style="36" customWidth="1" outlineLevel="1"/>
    <col min="94" max="94" width="9.6640625" style="36" customWidth="1" outlineLevel="1"/>
    <col min="95" max="95" width="14.88671875" style="36" customWidth="1" outlineLevel="1"/>
    <col min="96" max="96" width="9.6640625" style="36" bestFit="1" customWidth="1"/>
    <col min="97" max="97" width="18.33203125" style="36" bestFit="1" customWidth="1"/>
    <col min="98" max="98" width="1.6640625" style="36" customWidth="1"/>
    <col min="99" max="99" width="8" style="39" customWidth="1" outlineLevel="1"/>
    <col min="100" max="100" width="8.6640625" style="36" customWidth="1" outlineLevel="1"/>
    <col min="101" max="101" width="16" style="38" customWidth="1" outlineLevel="1"/>
    <col min="102" max="102" width="9.109375" style="36" customWidth="1" outlineLevel="1"/>
    <col min="103" max="103" width="14.88671875" style="36" customWidth="1" outlineLevel="1"/>
    <col min="104" max="104" width="9.109375" style="39" customWidth="1" outlineLevel="1"/>
    <col min="105" max="105" width="14.6640625" style="36" customWidth="1" outlineLevel="1"/>
    <col min="106" max="106" width="9.109375" style="39" customWidth="1" outlineLevel="1"/>
    <col min="107" max="107" width="13.44140625" style="36" customWidth="1" outlineLevel="1"/>
    <col min="108" max="108" width="9.109375" style="39" customWidth="1" outlineLevel="1"/>
    <col min="109" max="109" width="14.6640625" style="36" customWidth="1" outlineLevel="1"/>
    <col min="110" max="110" width="9.109375" style="39" customWidth="1" outlineLevel="1"/>
    <col min="111" max="111" width="14.6640625" style="36" customWidth="1" outlineLevel="1"/>
    <col min="112" max="112" width="9.109375" style="39" customWidth="1" outlineLevel="1"/>
    <col min="113" max="113" width="14.6640625" style="36" customWidth="1" outlineLevel="1"/>
    <col min="114" max="114" width="9.109375" style="39" customWidth="1" outlineLevel="1"/>
    <col min="115" max="115" width="14.6640625" style="36" customWidth="1" outlineLevel="1"/>
    <col min="116" max="116" width="9.109375" style="39" customWidth="1" outlineLevel="1"/>
    <col min="117" max="117" width="14.6640625" style="36" customWidth="1" outlineLevel="1"/>
    <col min="118" max="118" width="9.109375" style="39" customWidth="1" outlineLevel="1"/>
    <col min="119" max="119" width="14.6640625" style="36" customWidth="1" outlineLevel="1"/>
    <col min="120" max="120" width="9.109375" style="39" customWidth="1" outlineLevel="1"/>
    <col min="121" max="121" width="14.6640625" style="36" customWidth="1" outlineLevel="1"/>
    <col min="122" max="122" width="9.109375" style="39" customWidth="1" outlineLevel="1"/>
    <col min="123" max="123" width="14.6640625" style="36" customWidth="1" outlineLevel="1"/>
    <col min="124" max="124" width="9.109375" style="39" customWidth="1" outlineLevel="1"/>
    <col min="125" max="125" width="17.44140625" style="36" customWidth="1" outlineLevel="1"/>
    <col min="126" max="126" width="9.6640625" style="36" bestFit="1" customWidth="1"/>
    <col min="127" max="127" width="19.6640625" style="36" bestFit="1" customWidth="1"/>
    <col min="128" max="128" width="1.6640625" style="36" customWidth="1"/>
    <col min="129" max="129" width="10.33203125" style="39" customWidth="1" outlineLevel="1"/>
    <col min="130" max="130" width="8.6640625" style="36" customWidth="1" outlineLevel="1"/>
    <col min="131" max="131" width="18.109375" style="38" customWidth="1" outlineLevel="1"/>
    <col min="132" max="132" width="9.33203125" style="36" customWidth="1" outlineLevel="1"/>
    <col min="133" max="133" width="15.88671875" style="36" customWidth="1" outlineLevel="1"/>
    <col min="134" max="134" width="8.6640625" style="39" customWidth="1" outlineLevel="1"/>
    <col min="135" max="135" width="15.88671875" style="36" customWidth="1" outlineLevel="1"/>
    <col min="136" max="136" width="9.109375" style="36" customWidth="1" outlineLevel="1"/>
    <col min="137" max="137" width="15.88671875" style="36" customWidth="1" outlineLevel="1"/>
    <col min="138" max="138" width="9.109375" style="36" customWidth="1" outlineLevel="1"/>
    <col min="139" max="139" width="15.88671875" style="36" customWidth="1" outlineLevel="1"/>
    <col min="140" max="140" width="9.109375" style="36" customWidth="1" outlineLevel="1"/>
    <col min="141" max="141" width="15.88671875" style="36" customWidth="1" outlineLevel="1"/>
    <col min="142" max="142" width="9.109375" style="36" customWidth="1" outlineLevel="1"/>
    <col min="143" max="143" width="15.88671875" style="36" customWidth="1" outlineLevel="1"/>
    <col min="144" max="144" width="9.109375" style="36" customWidth="1" outlineLevel="1"/>
    <col min="145" max="145" width="15.88671875" style="36" customWidth="1" outlineLevel="1"/>
    <col min="146" max="146" width="9.109375" style="36" customWidth="1" outlineLevel="1"/>
    <col min="147" max="147" width="15.88671875" style="36" customWidth="1" outlineLevel="1"/>
    <col min="148" max="148" width="9.33203125" style="36" customWidth="1" outlineLevel="1"/>
    <col min="149" max="149" width="15.88671875" style="36" customWidth="1" outlineLevel="1"/>
    <col min="150" max="150" width="9.33203125" style="36" customWidth="1" outlineLevel="1"/>
    <col min="151" max="151" width="15.88671875" style="36" customWidth="1" outlineLevel="1"/>
    <col min="152" max="152" width="9.33203125" style="36" customWidth="1" outlineLevel="1"/>
    <col min="153" max="153" width="15.88671875" style="36" customWidth="1" outlineLevel="1"/>
    <col min="154" max="154" width="9.33203125" style="36" customWidth="1" outlineLevel="1"/>
    <col min="155" max="155" width="15.88671875" style="36" customWidth="1" outlineLevel="1"/>
    <col min="156" max="156" width="10.5546875" style="36" customWidth="1"/>
    <col min="157" max="157" width="16.109375" style="36" customWidth="1"/>
    <col min="158" max="158" width="1.6640625" style="36" customWidth="1"/>
    <col min="159" max="159" width="9.33203125" style="39" customWidth="1" outlineLevel="1"/>
    <col min="160" max="160" width="8.6640625" style="36" customWidth="1" outlineLevel="1"/>
    <col min="161" max="161" width="18.44140625" style="36" customWidth="1" outlineLevel="1"/>
    <col min="162" max="162" width="8.6640625" style="36" customWidth="1" outlineLevel="1"/>
    <col min="163" max="163" width="16.109375" style="36" customWidth="1" outlineLevel="1"/>
    <col min="164" max="164" width="8.6640625" style="361" customWidth="1" outlineLevel="1"/>
    <col min="165" max="165" width="16.109375" style="36" customWidth="1" outlineLevel="1"/>
    <col min="166" max="166" width="8.6640625" style="359" customWidth="1" outlineLevel="1"/>
    <col min="167" max="167" width="16.109375" style="36" customWidth="1" outlineLevel="1"/>
    <col min="168" max="168" width="8.6640625" style="359" customWidth="1" outlineLevel="1"/>
    <col min="169" max="169" width="16.109375" style="36" customWidth="1" outlineLevel="1"/>
    <col min="170" max="170" width="8.6640625" style="359" customWidth="1" outlineLevel="1"/>
    <col min="171" max="171" width="16.109375" style="36" customWidth="1" outlineLevel="1"/>
    <col min="172" max="172" width="8.6640625" style="359" customWidth="1" outlineLevel="1"/>
    <col min="173" max="173" width="16.109375" style="36" customWidth="1" outlineLevel="1"/>
    <col min="174" max="174" width="8.6640625" style="359" customWidth="1" outlineLevel="1"/>
    <col min="175" max="175" width="16.109375" style="36" customWidth="1" outlineLevel="1"/>
    <col min="176" max="176" width="8.6640625" style="359" customWidth="1" outlineLevel="1"/>
    <col min="177" max="177" width="16.109375" style="36" customWidth="1" outlineLevel="1"/>
    <col min="178" max="178" width="8.6640625" style="359" customWidth="1" outlineLevel="1"/>
    <col min="179" max="179" width="16.109375" style="36" customWidth="1" outlineLevel="1"/>
    <col min="180" max="180" width="8.6640625" style="359" customWidth="1" outlineLevel="1"/>
    <col min="181" max="181" width="16.109375" style="36" customWidth="1" outlineLevel="1"/>
    <col min="182" max="182" width="8.6640625" style="359" customWidth="1" outlineLevel="1"/>
    <col min="183" max="183" width="16.109375" style="36" customWidth="1" outlineLevel="1"/>
    <col min="184" max="184" width="8.6640625" style="359" customWidth="1" outlineLevel="1"/>
    <col min="185" max="185" width="16.109375" style="36" customWidth="1" outlineLevel="1"/>
    <col min="186" max="186" width="9.33203125" style="36" bestFit="1" customWidth="1"/>
    <col min="187" max="187" width="17.6640625" style="36" bestFit="1" customWidth="1"/>
    <col min="188" max="188" width="1.6640625" style="36" customWidth="1"/>
    <col min="189" max="189" width="10.33203125" style="39" customWidth="1" outlineLevel="1"/>
    <col min="190" max="190" width="8.6640625" style="36" customWidth="1" outlineLevel="1"/>
    <col min="191" max="191" width="17" style="36" customWidth="1" outlineLevel="1"/>
    <col min="192" max="192" width="9.5546875" style="36" customWidth="1" outlineLevel="1"/>
    <col min="193" max="193" width="16.44140625" style="36" customWidth="1" outlineLevel="1"/>
    <col min="194" max="194" width="9.109375" style="36" customWidth="1" outlineLevel="1"/>
    <col min="195" max="195" width="15.88671875" style="36" customWidth="1" outlineLevel="1"/>
    <col min="196" max="196" width="8.88671875" style="36" customWidth="1" outlineLevel="1"/>
    <col min="197" max="197" width="15.88671875" style="36" customWidth="1" outlineLevel="1"/>
    <col min="198" max="198" width="9.109375" style="36" customWidth="1" outlineLevel="1"/>
    <col min="199" max="199" width="15.88671875" style="36" customWidth="1" outlineLevel="1"/>
    <col min="200" max="200" width="9.109375" style="36" customWidth="1" outlineLevel="1"/>
    <col min="201" max="201" width="15.88671875" style="36" customWidth="1" outlineLevel="1"/>
    <col min="202" max="202" width="9.109375" style="36" customWidth="1" outlineLevel="1"/>
    <col min="203" max="203" width="15.88671875" style="36" customWidth="1" outlineLevel="1"/>
    <col min="204" max="204" width="9.109375" style="36" customWidth="1" outlineLevel="1"/>
    <col min="205" max="205" width="15.88671875" style="36" customWidth="1" outlineLevel="1"/>
    <col min="206" max="206" width="9.109375" style="36" customWidth="1" outlineLevel="1"/>
    <col min="207" max="207" width="15.88671875" style="36" customWidth="1" outlineLevel="1"/>
    <col min="208" max="208" width="9.109375" style="36" customWidth="1" outlineLevel="1"/>
    <col min="209" max="209" width="15.88671875" style="36" customWidth="1" outlineLevel="1"/>
    <col min="210" max="210" width="9.109375" style="36" customWidth="1" outlineLevel="1"/>
    <col min="211" max="211" width="15.88671875" style="36" customWidth="1" outlineLevel="1"/>
    <col min="212" max="212" width="9.109375" style="36" customWidth="1" outlineLevel="1"/>
    <col min="213" max="213" width="15.88671875" style="36" customWidth="1" outlineLevel="1"/>
    <col min="214" max="214" width="9.109375" style="36" customWidth="1" outlineLevel="1"/>
    <col min="215" max="215" width="15.88671875" style="36" customWidth="1" outlineLevel="1"/>
    <col min="216" max="216" width="9.6640625" style="36" bestFit="1" customWidth="1"/>
    <col min="217" max="217" width="18.6640625" style="36" customWidth="1"/>
    <col min="218" max="218" width="1.6640625" style="36" customWidth="1"/>
    <col min="219" max="219" width="10.33203125" style="39" customWidth="1" outlineLevel="1"/>
    <col min="220" max="220" width="8.6640625" style="36" customWidth="1" outlineLevel="1"/>
    <col min="221" max="221" width="17.33203125" style="36" bestFit="1" customWidth="1" outlineLevel="1"/>
    <col min="222" max="222" width="7.6640625" style="36" customWidth="1" outlineLevel="1"/>
    <col min="223" max="223" width="13.77734375" style="36" bestFit="1" customWidth="1" outlineLevel="1"/>
    <col min="224" max="224" width="7.88671875" style="36" customWidth="1" outlineLevel="1"/>
    <col min="225" max="225" width="12.6640625" style="36" bestFit="1" customWidth="1" outlineLevel="1"/>
    <col min="226" max="226" width="8.88671875" style="36" customWidth="1" outlineLevel="1"/>
    <col min="227" max="227" width="16.21875" style="36" bestFit="1" customWidth="1" outlineLevel="1"/>
    <col min="228" max="228" width="8.88671875" style="36" customWidth="1" outlineLevel="1"/>
    <col min="229" max="229" width="16.21875" style="36" bestFit="1" customWidth="1" outlineLevel="1"/>
    <col min="230" max="230" width="8.88671875" style="36" customWidth="1" outlineLevel="1"/>
    <col min="231" max="231" width="16.21875" style="36" bestFit="1" customWidth="1" outlineLevel="1"/>
    <col min="232" max="232" width="8.88671875" style="36" customWidth="1" outlineLevel="1"/>
    <col min="233" max="233" width="16.21875" style="36" bestFit="1" customWidth="1" outlineLevel="1"/>
    <col min="234" max="234" width="8.109375" style="36" bestFit="1" customWidth="1" outlineLevel="1"/>
    <col min="235" max="235" width="16.21875" style="36" bestFit="1" customWidth="1" outlineLevel="1"/>
    <col min="236" max="236" width="8.88671875" style="36" customWidth="1" outlineLevel="1"/>
    <col min="237" max="237" width="16.21875" style="36" bestFit="1" customWidth="1" outlineLevel="1"/>
    <col min="238" max="238" width="7.88671875" style="36" customWidth="1" outlineLevel="1"/>
    <col min="239" max="239" width="16.21875" style="36" bestFit="1" customWidth="1" outlineLevel="1"/>
    <col min="240" max="240" width="7.88671875" style="36" customWidth="1" outlineLevel="1"/>
    <col min="241" max="241" width="16.21875" style="36" bestFit="1" customWidth="1" outlineLevel="1"/>
    <col min="242" max="242" width="9" style="36" customWidth="1" outlineLevel="1"/>
    <col min="243" max="243" width="16.21875" style="36" bestFit="1" customWidth="1" outlineLevel="1"/>
    <col min="244" max="244" width="8.5546875" style="36" customWidth="1" outlineLevel="1"/>
    <col min="245" max="245" width="16.21875" style="36" bestFit="1" customWidth="1" outlineLevel="1"/>
    <col min="246" max="246" width="9.21875" style="36" bestFit="1" customWidth="1"/>
    <col min="247" max="247" width="17.33203125" style="36" bestFit="1" customWidth="1"/>
    <col min="248" max="248" width="1.6640625" style="36" customWidth="1"/>
    <col min="249" max="249" width="10.33203125" style="39" customWidth="1" outlineLevel="1"/>
    <col min="250" max="250" width="8.6640625" style="36" customWidth="1" outlineLevel="1"/>
    <col min="251" max="251" width="16.109375" style="36" customWidth="1" outlineLevel="1"/>
    <col min="252" max="252" width="8.77734375" style="36" customWidth="1" outlineLevel="1"/>
    <col min="253" max="253" width="15.88671875" style="36" customWidth="1" outlineLevel="1"/>
    <col min="254" max="254" width="8.77734375" style="36" customWidth="1" outlineLevel="1"/>
    <col min="255" max="255" width="14.21875" style="36" customWidth="1" outlineLevel="1"/>
    <col min="256" max="256" width="8.77734375" style="36" customWidth="1" outlineLevel="1"/>
    <col min="257" max="257" width="14.21875" style="36" customWidth="1" outlineLevel="1"/>
    <col min="258" max="258" width="8.77734375" style="36" customWidth="1" outlineLevel="1"/>
    <col min="259" max="259" width="14.21875" style="36" customWidth="1" outlineLevel="1"/>
    <col min="260" max="260" width="8.77734375" style="36" customWidth="1" outlineLevel="1"/>
    <col min="261" max="261" width="14.21875" style="36" customWidth="1" outlineLevel="1"/>
    <col min="262" max="262" width="8.77734375" style="36" customWidth="1" outlineLevel="1"/>
    <col min="263" max="263" width="14.21875" style="36" customWidth="1" outlineLevel="1"/>
    <col min="264" max="264" width="8.77734375" style="36" customWidth="1" outlineLevel="1"/>
    <col min="265" max="265" width="14.21875" style="36" customWidth="1" outlineLevel="1"/>
    <col min="266" max="266" width="8.77734375" style="36" customWidth="1" outlineLevel="1"/>
    <col min="267" max="267" width="14.21875" style="36" customWidth="1" outlineLevel="1"/>
    <col min="268" max="268" width="8.77734375" style="36" customWidth="1" outlineLevel="1"/>
    <col min="269" max="269" width="14.21875" style="36" customWidth="1" outlineLevel="1"/>
    <col min="270" max="270" width="8.77734375" style="36" customWidth="1" outlineLevel="1"/>
    <col min="271" max="271" width="14.21875" style="36" customWidth="1" outlineLevel="1"/>
    <col min="272" max="272" width="8.77734375" style="36" customWidth="1" outlineLevel="1"/>
    <col min="273" max="273" width="14.21875" style="36" customWidth="1" outlineLevel="1"/>
    <col min="274" max="274" width="8.77734375" style="36" customWidth="1" outlineLevel="1"/>
    <col min="275" max="275" width="14.21875" style="36" customWidth="1" outlineLevel="1"/>
    <col min="276" max="276" width="9.88671875" style="36" bestFit="1" customWidth="1"/>
    <col min="277" max="277" width="17" style="36" bestFit="1" customWidth="1"/>
    <col min="278" max="278" width="1.6640625" style="36" customWidth="1"/>
    <col min="279" max="279" width="10.33203125" style="39" customWidth="1" outlineLevel="1"/>
    <col min="280" max="280" width="8.6640625" style="36" customWidth="1" outlineLevel="1"/>
    <col min="281" max="281" width="14.88671875" style="36" customWidth="1" outlineLevel="1"/>
    <col min="282" max="282" width="7" style="36" customWidth="1" outlineLevel="1"/>
    <col min="283" max="283" width="13.6640625" style="36" customWidth="1" outlineLevel="1"/>
    <col min="284" max="284" width="7" style="36" customWidth="1" outlineLevel="1"/>
    <col min="285" max="285" width="13.6640625" style="36" customWidth="1" outlineLevel="1"/>
    <col min="286" max="286" width="7" style="36" customWidth="1" outlineLevel="1"/>
    <col min="287" max="287" width="13.6640625" style="36" customWidth="1" outlineLevel="1"/>
    <col min="288" max="288" width="7" style="36" customWidth="1" outlineLevel="1"/>
    <col min="289" max="289" width="13.6640625" style="36" customWidth="1" outlineLevel="1"/>
    <col min="290" max="290" width="7" style="36" customWidth="1" outlineLevel="1"/>
    <col min="291" max="291" width="13.6640625" style="36" customWidth="1" outlineLevel="1"/>
    <col min="292" max="292" width="7" style="36" customWidth="1" outlineLevel="1"/>
    <col min="293" max="293" width="13.6640625" style="36" customWidth="1" outlineLevel="1"/>
    <col min="294" max="294" width="7" style="36" customWidth="1" outlineLevel="1"/>
    <col min="295" max="295" width="13.6640625" style="36" customWidth="1" outlineLevel="1"/>
    <col min="296" max="296" width="7" style="36" customWidth="1" outlineLevel="1"/>
    <col min="297" max="297" width="13.6640625" style="36" customWidth="1" outlineLevel="1"/>
    <col min="298" max="298" width="7" style="36" customWidth="1" outlineLevel="1"/>
    <col min="299" max="299" width="13.6640625" style="36" customWidth="1" outlineLevel="1"/>
    <col min="300" max="300" width="7" style="36" customWidth="1" outlineLevel="1"/>
    <col min="301" max="301" width="13.6640625" style="36" customWidth="1" outlineLevel="1"/>
    <col min="302" max="302" width="7" style="36" customWidth="1" outlineLevel="1"/>
    <col min="303" max="303" width="13.6640625" style="36" customWidth="1" outlineLevel="1"/>
    <col min="304" max="304" width="7" style="36" customWidth="1" outlineLevel="1"/>
    <col min="305" max="305" width="13.6640625" style="36" customWidth="1" outlineLevel="1"/>
    <col min="306" max="306" width="9.33203125" style="36" bestFit="1" customWidth="1"/>
    <col min="307" max="307" width="16.109375" style="36" bestFit="1" customWidth="1"/>
    <col min="308" max="308" width="1.6640625" style="36" customWidth="1"/>
    <col min="309" max="310" width="10.44140625" style="36" customWidth="1" outlineLevel="1"/>
    <col min="311" max="311" width="15.6640625" style="36" customWidth="1" outlineLevel="1"/>
    <col min="312" max="312" width="8.33203125" style="36" customWidth="1" outlineLevel="1"/>
    <col min="313" max="313" width="14.88671875" style="36" customWidth="1" outlineLevel="1"/>
    <col min="314" max="314" width="8" style="36" customWidth="1" outlineLevel="1"/>
    <col min="315" max="315" width="14.88671875" style="36" customWidth="1" outlineLevel="1"/>
    <col min="316" max="316" width="8" style="36" customWidth="1" outlineLevel="1"/>
    <col min="317" max="317" width="14.88671875" style="36" customWidth="1" outlineLevel="1"/>
    <col min="318" max="318" width="8" style="36" customWidth="1" outlineLevel="1"/>
    <col min="319" max="319" width="14.88671875" style="36" customWidth="1" outlineLevel="1"/>
    <col min="320" max="320" width="8" style="36" customWidth="1" outlineLevel="1"/>
    <col min="321" max="321" width="14.88671875" style="36" customWidth="1" outlineLevel="1"/>
    <col min="322" max="322" width="8" style="36" customWidth="1" outlineLevel="1"/>
    <col min="323" max="323" width="14.88671875" style="36" customWidth="1" outlineLevel="1"/>
    <col min="324" max="324" width="8" style="36" customWidth="1" outlineLevel="1"/>
    <col min="325" max="325" width="14.88671875" style="36" customWidth="1" outlineLevel="1"/>
    <col min="326" max="326" width="8" style="36" customWidth="1" outlineLevel="1"/>
    <col min="327" max="327" width="14.88671875" style="36" customWidth="1" outlineLevel="1"/>
    <col min="328" max="328" width="8" style="36" customWidth="1" outlineLevel="1"/>
    <col min="329" max="329" width="14.88671875" style="36" customWidth="1" outlineLevel="1"/>
    <col min="330" max="330" width="8.33203125" style="36" customWidth="1" outlineLevel="1"/>
    <col min="331" max="331" width="14.88671875" style="36" customWidth="1" outlineLevel="1"/>
    <col min="332" max="332" width="8.33203125" style="36" customWidth="1" outlineLevel="1"/>
    <col min="333" max="333" width="14.88671875" style="36" customWidth="1" outlineLevel="1"/>
    <col min="334" max="334" width="8.33203125" style="36" customWidth="1" outlineLevel="1"/>
    <col min="335" max="335" width="14.88671875" style="36" customWidth="1" outlineLevel="1"/>
    <col min="336" max="336" width="10.6640625" style="36" customWidth="1"/>
    <col min="337" max="337" width="18.88671875" style="36" bestFit="1" customWidth="1"/>
    <col min="338" max="338" width="1.6640625" style="36" customWidth="1"/>
    <col min="339" max="339" width="9.109375" style="36" customWidth="1" outlineLevel="1"/>
    <col min="340" max="340" width="16.5546875" style="36" customWidth="1" outlineLevel="1"/>
    <col min="341" max="341" width="12.33203125" style="36" customWidth="1" outlineLevel="1"/>
    <col min="342" max="342" width="16.5546875" style="36" customWidth="1" outlineLevel="1"/>
    <col min="343" max="343" width="12.33203125" style="36" customWidth="1" outlineLevel="1"/>
    <col min="344" max="344" width="16.5546875" style="36" customWidth="1" outlineLevel="1"/>
    <col min="345" max="345" width="12.33203125" style="36" customWidth="1" outlineLevel="1"/>
    <col min="346" max="346" width="16.5546875" style="36" customWidth="1" outlineLevel="1"/>
    <col min="347" max="347" width="12.33203125" style="36" customWidth="1" outlineLevel="1"/>
    <col min="348" max="348" width="16.5546875" style="36" customWidth="1" outlineLevel="1"/>
    <col min="349" max="349" width="12.33203125" style="36" customWidth="1" outlineLevel="1"/>
    <col min="350" max="350" width="17.6640625" style="36" customWidth="1" outlineLevel="1"/>
    <col min="351" max="351" width="12.33203125" style="36" customWidth="1" outlineLevel="1"/>
    <col min="352" max="352" width="17.6640625" style="36" customWidth="1" outlineLevel="1"/>
    <col min="353" max="353" width="12.33203125" style="36" customWidth="1" outlineLevel="1"/>
    <col min="354" max="354" width="17.6640625" style="36" customWidth="1" outlineLevel="1"/>
    <col min="355" max="355" width="12.33203125" style="36" customWidth="1" outlineLevel="1"/>
    <col min="356" max="356" width="17.6640625" style="36" customWidth="1" outlineLevel="1"/>
    <col min="357" max="357" width="12.33203125" style="36" customWidth="1" outlineLevel="1"/>
    <col min="358" max="358" width="17.6640625" style="36" customWidth="1" outlineLevel="1"/>
    <col min="359" max="359" width="12.33203125" style="36" customWidth="1" outlineLevel="1"/>
    <col min="360" max="360" width="17.6640625" style="36" customWidth="1" outlineLevel="1"/>
    <col min="361" max="361" width="12.33203125" style="36" customWidth="1" outlineLevel="1"/>
    <col min="362" max="362" width="27.5546875" style="36" customWidth="1" outlineLevel="1"/>
    <col min="363" max="363" width="11.88671875" style="36" bestFit="1" customWidth="1"/>
    <col min="364" max="364" width="19.6640625" style="36" bestFit="1" customWidth="1"/>
    <col min="365" max="16384" width="11.44140625" style="36"/>
  </cols>
  <sheetData>
    <row r="1" spans="1:364" ht="13.8" thickBot="1" x14ac:dyDescent="0.3">
      <c r="I1" s="37"/>
      <c r="AM1" s="37"/>
      <c r="FC1" s="37"/>
      <c r="MA1" s="264"/>
      <c r="MB1" s="264"/>
      <c r="MC1" s="264"/>
      <c r="MD1" s="264"/>
      <c r="ME1" s="264"/>
      <c r="MF1" s="264"/>
      <c r="MG1" s="264"/>
      <c r="MH1" s="264"/>
      <c r="MI1" s="264"/>
      <c r="MJ1" s="264"/>
      <c r="MK1" s="264"/>
      <c r="ML1" s="264"/>
      <c r="MM1" s="264"/>
      <c r="MN1" s="264"/>
      <c r="MO1" s="264"/>
      <c r="MP1" s="264"/>
      <c r="MQ1" s="264"/>
      <c r="MR1" s="264"/>
      <c r="MS1" s="264"/>
      <c r="MT1" s="264"/>
      <c r="MU1" s="264"/>
      <c r="MV1" s="264"/>
      <c r="MW1" s="264"/>
      <c r="MX1" s="264"/>
      <c r="MY1" s="264"/>
      <c r="MZ1" s="264"/>
    </row>
    <row r="2" spans="1:364" ht="58.95" customHeight="1" thickTop="1" thickBot="1" x14ac:dyDescent="0.3">
      <c r="C2" s="40"/>
      <c r="E2" s="480" t="s">
        <v>264</v>
      </c>
      <c r="F2" s="480"/>
      <c r="G2" s="457">
        <f>+((136.72/131.25)-1)</f>
        <v>4.1676190476190422E-2</v>
      </c>
      <c r="I2" s="549" t="s">
        <v>0</v>
      </c>
      <c r="J2" s="550"/>
      <c r="K2" s="551"/>
      <c r="L2" s="535" t="s">
        <v>285</v>
      </c>
      <c r="M2" s="536"/>
      <c r="N2" s="545" t="s">
        <v>286</v>
      </c>
      <c r="O2" s="546"/>
      <c r="P2" s="542" t="s">
        <v>287</v>
      </c>
      <c r="Q2" s="536"/>
      <c r="R2" s="535" t="s">
        <v>288</v>
      </c>
      <c r="S2" s="536"/>
      <c r="T2" s="535" t="s">
        <v>289</v>
      </c>
      <c r="U2" s="536"/>
      <c r="V2" s="535" t="s">
        <v>290</v>
      </c>
      <c r="W2" s="536"/>
      <c r="X2" s="535" t="s">
        <v>291</v>
      </c>
      <c r="Y2" s="536"/>
      <c r="Z2" s="535" t="s">
        <v>292</v>
      </c>
      <c r="AA2" s="536"/>
      <c r="AB2" s="535" t="s">
        <v>293</v>
      </c>
      <c r="AC2" s="536"/>
      <c r="AD2" s="535" t="s">
        <v>294</v>
      </c>
      <c r="AE2" s="536"/>
      <c r="AF2" s="535" t="s">
        <v>295</v>
      </c>
      <c r="AG2" s="536"/>
      <c r="AH2" s="535" t="s">
        <v>296</v>
      </c>
      <c r="AI2" s="536"/>
      <c r="AJ2" s="559" t="s">
        <v>284</v>
      </c>
      <c r="AK2" s="560"/>
      <c r="AM2" s="549" t="s">
        <v>1</v>
      </c>
      <c r="AN2" s="550"/>
      <c r="AO2" s="551"/>
      <c r="AP2" s="535" t="s">
        <v>285</v>
      </c>
      <c r="AQ2" s="536"/>
      <c r="AR2" s="545" t="s">
        <v>286</v>
      </c>
      <c r="AS2" s="546"/>
      <c r="AT2" s="542" t="s">
        <v>287</v>
      </c>
      <c r="AU2" s="536"/>
      <c r="AV2" s="535" t="s">
        <v>288</v>
      </c>
      <c r="AW2" s="536"/>
      <c r="AX2" s="535" t="s">
        <v>289</v>
      </c>
      <c r="AY2" s="536"/>
      <c r="AZ2" s="535" t="s">
        <v>290</v>
      </c>
      <c r="BA2" s="536"/>
      <c r="BB2" s="535" t="s">
        <v>291</v>
      </c>
      <c r="BC2" s="536"/>
      <c r="BD2" s="535" t="s">
        <v>292</v>
      </c>
      <c r="BE2" s="536"/>
      <c r="BF2" s="535" t="s">
        <v>293</v>
      </c>
      <c r="BG2" s="536"/>
      <c r="BH2" s="535" t="s">
        <v>294</v>
      </c>
      <c r="BI2" s="536"/>
      <c r="BJ2" s="535" t="s">
        <v>295</v>
      </c>
      <c r="BK2" s="536"/>
      <c r="BL2" s="535" t="s">
        <v>296</v>
      </c>
      <c r="BM2" s="536"/>
      <c r="BN2" s="543" t="s">
        <v>299</v>
      </c>
      <c r="BO2" s="544"/>
      <c r="BQ2" s="552" t="s">
        <v>2</v>
      </c>
      <c r="BR2" s="553"/>
      <c r="BS2" s="554"/>
      <c r="BT2" s="535" t="s">
        <v>285</v>
      </c>
      <c r="BU2" s="536"/>
      <c r="BV2" s="545" t="s">
        <v>286</v>
      </c>
      <c r="BW2" s="546"/>
      <c r="BX2" s="542" t="s">
        <v>287</v>
      </c>
      <c r="BY2" s="536"/>
      <c r="BZ2" s="535" t="s">
        <v>288</v>
      </c>
      <c r="CA2" s="536"/>
      <c r="CB2" s="535" t="s">
        <v>289</v>
      </c>
      <c r="CC2" s="536"/>
      <c r="CD2" s="535" t="s">
        <v>290</v>
      </c>
      <c r="CE2" s="536"/>
      <c r="CF2" s="535" t="s">
        <v>291</v>
      </c>
      <c r="CG2" s="536"/>
      <c r="CH2" s="535" t="s">
        <v>292</v>
      </c>
      <c r="CI2" s="536"/>
      <c r="CJ2" s="535" t="s">
        <v>293</v>
      </c>
      <c r="CK2" s="536"/>
      <c r="CL2" s="535" t="s">
        <v>294</v>
      </c>
      <c r="CM2" s="536"/>
      <c r="CN2" s="535" t="s">
        <v>295</v>
      </c>
      <c r="CO2" s="536"/>
      <c r="CP2" s="535" t="s">
        <v>296</v>
      </c>
      <c r="CQ2" s="536"/>
      <c r="CR2" s="555" t="s">
        <v>300</v>
      </c>
      <c r="CS2" s="548"/>
      <c r="CU2" s="552" t="s">
        <v>3</v>
      </c>
      <c r="CV2" s="553"/>
      <c r="CW2" s="554"/>
      <c r="CX2" s="535" t="s">
        <v>285</v>
      </c>
      <c r="CY2" s="536"/>
      <c r="CZ2" s="545" t="s">
        <v>286</v>
      </c>
      <c r="DA2" s="546"/>
      <c r="DB2" s="542" t="s">
        <v>287</v>
      </c>
      <c r="DC2" s="536"/>
      <c r="DD2" s="535" t="s">
        <v>288</v>
      </c>
      <c r="DE2" s="536"/>
      <c r="DF2" s="535" t="s">
        <v>289</v>
      </c>
      <c r="DG2" s="536"/>
      <c r="DH2" s="535" t="s">
        <v>290</v>
      </c>
      <c r="DI2" s="536"/>
      <c r="DJ2" s="535" t="s">
        <v>291</v>
      </c>
      <c r="DK2" s="536"/>
      <c r="DL2" s="535" t="s">
        <v>292</v>
      </c>
      <c r="DM2" s="536"/>
      <c r="DN2" s="535" t="s">
        <v>293</v>
      </c>
      <c r="DO2" s="536"/>
      <c r="DP2" s="535" t="s">
        <v>294</v>
      </c>
      <c r="DQ2" s="536"/>
      <c r="DR2" s="535" t="s">
        <v>295</v>
      </c>
      <c r="DS2" s="536"/>
      <c r="DT2" s="535" t="s">
        <v>296</v>
      </c>
      <c r="DU2" s="536"/>
      <c r="DV2" s="555" t="s">
        <v>301</v>
      </c>
      <c r="DW2" s="548"/>
      <c r="DY2" s="556" t="s">
        <v>4</v>
      </c>
      <c r="DZ2" s="557"/>
      <c r="EA2" s="558"/>
      <c r="EB2" s="535" t="s">
        <v>285</v>
      </c>
      <c r="EC2" s="536"/>
      <c r="ED2" s="545" t="s">
        <v>286</v>
      </c>
      <c r="EE2" s="546"/>
      <c r="EF2" s="542" t="s">
        <v>287</v>
      </c>
      <c r="EG2" s="536"/>
      <c r="EH2" s="535" t="s">
        <v>288</v>
      </c>
      <c r="EI2" s="536"/>
      <c r="EJ2" s="535" t="s">
        <v>289</v>
      </c>
      <c r="EK2" s="536"/>
      <c r="EL2" s="535" t="s">
        <v>290</v>
      </c>
      <c r="EM2" s="536"/>
      <c r="EN2" s="535" t="s">
        <v>291</v>
      </c>
      <c r="EO2" s="536"/>
      <c r="EP2" s="535" t="s">
        <v>292</v>
      </c>
      <c r="EQ2" s="536"/>
      <c r="ER2" s="535" t="s">
        <v>293</v>
      </c>
      <c r="ES2" s="536"/>
      <c r="ET2" s="535" t="s">
        <v>294</v>
      </c>
      <c r="EU2" s="536"/>
      <c r="EV2" s="535" t="s">
        <v>295</v>
      </c>
      <c r="EW2" s="536"/>
      <c r="EX2" s="535" t="s">
        <v>296</v>
      </c>
      <c r="EY2" s="536"/>
      <c r="EZ2" s="556" t="s">
        <v>302</v>
      </c>
      <c r="FA2" s="561"/>
      <c r="FC2" s="552" t="s">
        <v>5</v>
      </c>
      <c r="FD2" s="553"/>
      <c r="FE2" s="554"/>
      <c r="FF2" s="535" t="s">
        <v>285</v>
      </c>
      <c r="FG2" s="536"/>
      <c r="FH2" s="545" t="s">
        <v>286</v>
      </c>
      <c r="FI2" s="546"/>
      <c r="FJ2" s="542" t="s">
        <v>287</v>
      </c>
      <c r="FK2" s="536"/>
      <c r="FL2" s="535" t="s">
        <v>288</v>
      </c>
      <c r="FM2" s="536"/>
      <c r="FN2" s="535" t="s">
        <v>289</v>
      </c>
      <c r="FO2" s="536"/>
      <c r="FP2" s="535" t="s">
        <v>290</v>
      </c>
      <c r="FQ2" s="536"/>
      <c r="FR2" s="535" t="s">
        <v>291</v>
      </c>
      <c r="FS2" s="536"/>
      <c r="FT2" s="535" t="s">
        <v>292</v>
      </c>
      <c r="FU2" s="536"/>
      <c r="FV2" s="535" t="s">
        <v>293</v>
      </c>
      <c r="FW2" s="536"/>
      <c r="FX2" s="535" t="s">
        <v>294</v>
      </c>
      <c r="FY2" s="536"/>
      <c r="FZ2" s="535" t="s">
        <v>295</v>
      </c>
      <c r="GA2" s="536"/>
      <c r="GB2" s="535" t="s">
        <v>296</v>
      </c>
      <c r="GC2" s="536"/>
      <c r="GD2" s="555" t="s">
        <v>303</v>
      </c>
      <c r="GE2" s="548"/>
      <c r="GG2" s="552" t="s">
        <v>6</v>
      </c>
      <c r="GH2" s="553"/>
      <c r="GI2" s="554"/>
      <c r="GJ2" s="535" t="s">
        <v>285</v>
      </c>
      <c r="GK2" s="536"/>
      <c r="GL2" s="545" t="s">
        <v>286</v>
      </c>
      <c r="GM2" s="546"/>
      <c r="GN2" s="542" t="s">
        <v>287</v>
      </c>
      <c r="GO2" s="536"/>
      <c r="GP2" s="535" t="s">
        <v>288</v>
      </c>
      <c r="GQ2" s="536"/>
      <c r="GR2" s="535" t="s">
        <v>289</v>
      </c>
      <c r="GS2" s="536"/>
      <c r="GT2" s="535" t="s">
        <v>290</v>
      </c>
      <c r="GU2" s="536"/>
      <c r="GV2" s="535" t="s">
        <v>291</v>
      </c>
      <c r="GW2" s="536"/>
      <c r="GX2" s="535" t="s">
        <v>292</v>
      </c>
      <c r="GY2" s="536"/>
      <c r="GZ2" s="535" t="s">
        <v>293</v>
      </c>
      <c r="HA2" s="536"/>
      <c r="HB2" s="535" t="s">
        <v>294</v>
      </c>
      <c r="HC2" s="536"/>
      <c r="HD2" s="535" t="s">
        <v>295</v>
      </c>
      <c r="HE2" s="536"/>
      <c r="HF2" s="535" t="s">
        <v>296</v>
      </c>
      <c r="HG2" s="536"/>
      <c r="HH2" s="555" t="s">
        <v>304</v>
      </c>
      <c r="HI2" s="548"/>
      <c r="HK2" s="552" t="s">
        <v>7</v>
      </c>
      <c r="HL2" s="553"/>
      <c r="HM2" s="554"/>
      <c r="HN2" s="535" t="s">
        <v>285</v>
      </c>
      <c r="HO2" s="536"/>
      <c r="HP2" s="545" t="s">
        <v>286</v>
      </c>
      <c r="HQ2" s="546"/>
      <c r="HR2" s="542" t="s">
        <v>287</v>
      </c>
      <c r="HS2" s="536"/>
      <c r="HT2" s="535" t="s">
        <v>288</v>
      </c>
      <c r="HU2" s="536"/>
      <c r="HV2" s="535" t="s">
        <v>289</v>
      </c>
      <c r="HW2" s="536"/>
      <c r="HX2" s="535" t="s">
        <v>290</v>
      </c>
      <c r="HY2" s="536"/>
      <c r="HZ2" s="535" t="s">
        <v>291</v>
      </c>
      <c r="IA2" s="536"/>
      <c r="IB2" s="535" t="s">
        <v>292</v>
      </c>
      <c r="IC2" s="536"/>
      <c r="ID2" s="535" t="s">
        <v>293</v>
      </c>
      <c r="IE2" s="536"/>
      <c r="IF2" s="535" t="s">
        <v>294</v>
      </c>
      <c r="IG2" s="536"/>
      <c r="IH2" s="535" t="s">
        <v>295</v>
      </c>
      <c r="II2" s="536"/>
      <c r="IJ2" s="535" t="s">
        <v>296</v>
      </c>
      <c r="IK2" s="536"/>
      <c r="IL2" s="555" t="s">
        <v>298</v>
      </c>
      <c r="IM2" s="548"/>
      <c r="IO2" s="552" t="s">
        <v>8</v>
      </c>
      <c r="IP2" s="553"/>
      <c r="IQ2" s="554"/>
      <c r="IR2" s="535" t="s">
        <v>285</v>
      </c>
      <c r="IS2" s="536"/>
      <c r="IT2" s="545" t="s">
        <v>286</v>
      </c>
      <c r="IU2" s="546"/>
      <c r="IV2" s="542" t="s">
        <v>287</v>
      </c>
      <c r="IW2" s="536"/>
      <c r="IX2" s="535" t="s">
        <v>288</v>
      </c>
      <c r="IY2" s="536"/>
      <c r="IZ2" s="535" t="s">
        <v>289</v>
      </c>
      <c r="JA2" s="536"/>
      <c r="JB2" s="535" t="s">
        <v>290</v>
      </c>
      <c r="JC2" s="536"/>
      <c r="JD2" s="535" t="s">
        <v>291</v>
      </c>
      <c r="JE2" s="536"/>
      <c r="JF2" s="535" t="s">
        <v>292</v>
      </c>
      <c r="JG2" s="536"/>
      <c r="JH2" s="535" t="s">
        <v>293</v>
      </c>
      <c r="JI2" s="536"/>
      <c r="JJ2" s="535" t="s">
        <v>294</v>
      </c>
      <c r="JK2" s="536"/>
      <c r="JL2" s="535" t="s">
        <v>295</v>
      </c>
      <c r="JM2" s="536"/>
      <c r="JN2" s="535" t="s">
        <v>296</v>
      </c>
      <c r="JO2" s="536"/>
      <c r="JP2" s="555" t="s">
        <v>305</v>
      </c>
      <c r="JQ2" s="548"/>
      <c r="JS2" s="552" t="s">
        <v>9</v>
      </c>
      <c r="JT2" s="553"/>
      <c r="JU2" s="554"/>
      <c r="JV2" s="535" t="s">
        <v>285</v>
      </c>
      <c r="JW2" s="536"/>
      <c r="JX2" s="545" t="s">
        <v>286</v>
      </c>
      <c r="JY2" s="546"/>
      <c r="JZ2" s="542" t="s">
        <v>287</v>
      </c>
      <c r="KA2" s="536"/>
      <c r="KB2" s="535" t="s">
        <v>288</v>
      </c>
      <c r="KC2" s="536"/>
      <c r="KD2" s="535" t="s">
        <v>289</v>
      </c>
      <c r="KE2" s="536"/>
      <c r="KF2" s="535" t="s">
        <v>290</v>
      </c>
      <c r="KG2" s="536"/>
      <c r="KH2" s="535" t="s">
        <v>291</v>
      </c>
      <c r="KI2" s="536"/>
      <c r="KJ2" s="535" t="s">
        <v>292</v>
      </c>
      <c r="KK2" s="536"/>
      <c r="KL2" s="535" t="s">
        <v>293</v>
      </c>
      <c r="KM2" s="536"/>
      <c r="KN2" s="535" t="s">
        <v>294</v>
      </c>
      <c r="KO2" s="536"/>
      <c r="KP2" s="535" t="s">
        <v>295</v>
      </c>
      <c r="KQ2" s="536"/>
      <c r="KR2" s="535" t="s">
        <v>296</v>
      </c>
      <c r="KS2" s="536"/>
      <c r="KT2" s="547" t="s">
        <v>306</v>
      </c>
      <c r="KU2" s="548"/>
      <c r="KW2" s="549" t="s">
        <v>10</v>
      </c>
      <c r="KX2" s="550"/>
      <c r="KY2" s="551"/>
      <c r="KZ2" s="535" t="s">
        <v>285</v>
      </c>
      <c r="LA2" s="536"/>
      <c r="LB2" s="545" t="s">
        <v>286</v>
      </c>
      <c r="LC2" s="546"/>
      <c r="LD2" s="542" t="s">
        <v>287</v>
      </c>
      <c r="LE2" s="536"/>
      <c r="LF2" s="535" t="s">
        <v>288</v>
      </c>
      <c r="LG2" s="536"/>
      <c r="LH2" s="535" t="s">
        <v>289</v>
      </c>
      <c r="LI2" s="536"/>
      <c r="LJ2" s="535" t="s">
        <v>290</v>
      </c>
      <c r="LK2" s="536"/>
      <c r="LL2" s="535" t="s">
        <v>291</v>
      </c>
      <c r="LM2" s="536"/>
      <c r="LN2" s="535" t="s">
        <v>292</v>
      </c>
      <c r="LO2" s="536"/>
      <c r="LP2" s="535" t="s">
        <v>293</v>
      </c>
      <c r="LQ2" s="536"/>
      <c r="LR2" s="535" t="s">
        <v>294</v>
      </c>
      <c r="LS2" s="536"/>
      <c r="LT2" s="535" t="s">
        <v>295</v>
      </c>
      <c r="LU2" s="536"/>
      <c r="LV2" s="535" t="s">
        <v>296</v>
      </c>
      <c r="LW2" s="536"/>
      <c r="LX2" s="543" t="s">
        <v>307</v>
      </c>
      <c r="LY2" s="544"/>
      <c r="MA2" s="535" t="s">
        <v>285</v>
      </c>
      <c r="MB2" s="536"/>
      <c r="MC2" s="545" t="s">
        <v>286</v>
      </c>
      <c r="MD2" s="546"/>
      <c r="ME2" s="542" t="s">
        <v>287</v>
      </c>
      <c r="MF2" s="536"/>
      <c r="MG2" s="535" t="s">
        <v>288</v>
      </c>
      <c r="MH2" s="536"/>
      <c r="MI2" s="535" t="s">
        <v>289</v>
      </c>
      <c r="MJ2" s="536"/>
      <c r="MK2" s="535" t="s">
        <v>290</v>
      </c>
      <c r="ML2" s="536"/>
      <c r="MM2" s="535" t="s">
        <v>291</v>
      </c>
      <c r="MN2" s="536"/>
      <c r="MO2" s="535" t="s">
        <v>292</v>
      </c>
      <c r="MP2" s="536"/>
      <c r="MQ2" s="535" t="s">
        <v>293</v>
      </c>
      <c r="MR2" s="536"/>
      <c r="MS2" s="535" t="s">
        <v>294</v>
      </c>
      <c r="MT2" s="536"/>
      <c r="MU2" s="535" t="s">
        <v>295</v>
      </c>
      <c r="MV2" s="536"/>
      <c r="MW2" s="535" t="s">
        <v>296</v>
      </c>
      <c r="MX2" s="536"/>
      <c r="MY2" s="537" t="s">
        <v>297</v>
      </c>
      <c r="MZ2" s="538"/>
    </row>
    <row r="3" spans="1:364" ht="42" customHeight="1" thickBot="1" x14ac:dyDescent="0.3">
      <c r="B3" s="41" t="s">
        <v>11</v>
      </c>
      <c r="C3" s="42" t="s">
        <v>12</v>
      </c>
      <c r="D3" s="20" t="s">
        <v>13</v>
      </c>
      <c r="E3" s="20" t="s">
        <v>14</v>
      </c>
      <c r="F3" s="43" t="s">
        <v>15</v>
      </c>
      <c r="G3" s="43" t="s">
        <v>263</v>
      </c>
      <c r="I3" s="44" t="s">
        <v>14</v>
      </c>
      <c r="J3" s="20" t="s">
        <v>16</v>
      </c>
      <c r="K3" s="45" t="s">
        <v>17</v>
      </c>
      <c r="L3" s="46" t="s">
        <v>14</v>
      </c>
      <c r="M3" s="47" t="s">
        <v>18</v>
      </c>
      <c r="N3" s="46" t="s">
        <v>14</v>
      </c>
      <c r="O3" s="47" t="s">
        <v>18</v>
      </c>
      <c r="P3" s="46" t="s">
        <v>14</v>
      </c>
      <c r="Q3" s="47" t="s">
        <v>18</v>
      </c>
      <c r="R3" s="46" t="s">
        <v>14</v>
      </c>
      <c r="S3" s="47" t="s">
        <v>18</v>
      </c>
      <c r="T3" s="46" t="s">
        <v>14</v>
      </c>
      <c r="U3" s="47" t="s">
        <v>18</v>
      </c>
      <c r="V3" s="46" t="s">
        <v>14</v>
      </c>
      <c r="W3" s="47" t="s">
        <v>18</v>
      </c>
      <c r="X3" s="46" t="s">
        <v>14</v>
      </c>
      <c r="Y3" s="47" t="s">
        <v>18</v>
      </c>
      <c r="Z3" s="280" t="s">
        <v>14</v>
      </c>
      <c r="AA3" s="47" t="s">
        <v>18</v>
      </c>
      <c r="AB3" s="280" t="s">
        <v>14</v>
      </c>
      <c r="AC3" s="47" t="s">
        <v>18</v>
      </c>
      <c r="AD3" s="280" t="s">
        <v>14</v>
      </c>
      <c r="AE3" s="47" t="s">
        <v>18</v>
      </c>
      <c r="AF3" s="280" t="s">
        <v>14</v>
      </c>
      <c r="AG3" s="47" t="s">
        <v>18</v>
      </c>
      <c r="AH3" s="280" t="s">
        <v>14</v>
      </c>
      <c r="AI3" s="49" t="s">
        <v>18</v>
      </c>
      <c r="AJ3" s="50" t="s">
        <v>14</v>
      </c>
      <c r="AK3" s="51" t="s">
        <v>18</v>
      </c>
      <c r="AM3" s="44" t="s">
        <v>14</v>
      </c>
      <c r="AN3" s="20" t="s">
        <v>16</v>
      </c>
      <c r="AO3" s="45" t="s">
        <v>17</v>
      </c>
      <c r="AP3" s="46" t="s">
        <v>14</v>
      </c>
      <c r="AQ3" s="47" t="s">
        <v>18</v>
      </c>
      <c r="AR3" s="46" t="s">
        <v>14</v>
      </c>
      <c r="AS3" s="47" t="s">
        <v>18</v>
      </c>
      <c r="AT3" s="46" t="s">
        <v>14</v>
      </c>
      <c r="AU3" s="47" t="s">
        <v>18</v>
      </c>
      <c r="AV3" s="46" t="s">
        <v>14</v>
      </c>
      <c r="AW3" s="47" t="s">
        <v>18</v>
      </c>
      <c r="AX3" s="46" t="s">
        <v>14</v>
      </c>
      <c r="AY3" s="47" t="s">
        <v>18</v>
      </c>
      <c r="AZ3" s="46" t="s">
        <v>14</v>
      </c>
      <c r="BA3" s="47" t="s">
        <v>18</v>
      </c>
      <c r="BB3" s="46" t="s">
        <v>14</v>
      </c>
      <c r="BC3" s="47" t="s">
        <v>18</v>
      </c>
      <c r="BD3" s="280" t="s">
        <v>14</v>
      </c>
      <c r="BE3" s="47" t="s">
        <v>18</v>
      </c>
      <c r="BF3" s="280" t="s">
        <v>14</v>
      </c>
      <c r="BG3" s="47" t="s">
        <v>18</v>
      </c>
      <c r="BH3" s="280" t="s">
        <v>14</v>
      </c>
      <c r="BI3" s="47" t="s">
        <v>18</v>
      </c>
      <c r="BJ3" s="280" t="s">
        <v>14</v>
      </c>
      <c r="BK3" s="47" t="s">
        <v>18</v>
      </c>
      <c r="BL3" s="280" t="s">
        <v>14</v>
      </c>
      <c r="BM3" s="49" t="s">
        <v>18</v>
      </c>
      <c r="BN3" s="52" t="s">
        <v>14</v>
      </c>
      <c r="BO3" s="53" t="s">
        <v>18</v>
      </c>
      <c r="BQ3" s="44" t="s">
        <v>14</v>
      </c>
      <c r="BR3" s="20" t="s">
        <v>19</v>
      </c>
      <c r="BS3" s="54" t="s">
        <v>17</v>
      </c>
      <c r="BT3" s="46" t="s">
        <v>14</v>
      </c>
      <c r="BU3" s="47" t="s">
        <v>18</v>
      </c>
      <c r="BV3" s="46" t="s">
        <v>14</v>
      </c>
      <c r="BW3" s="47" t="s">
        <v>18</v>
      </c>
      <c r="BX3" s="48" t="s">
        <v>14</v>
      </c>
      <c r="BY3" s="47" t="s">
        <v>18</v>
      </c>
      <c r="BZ3" s="46" t="s">
        <v>14</v>
      </c>
      <c r="CA3" s="47" t="s">
        <v>18</v>
      </c>
      <c r="CB3" s="46" t="s">
        <v>14</v>
      </c>
      <c r="CC3" s="47" t="s">
        <v>18</v>
      </c>
      <c r="CD3" s="46" t="s">
        <v>14</v>
      </c>
      <c r="CE3" s="47" t="s">
        <v>18</v>
      </c>
      <c r="CF3" s="46" t="s">
        <v>14</v>
      </c>
      <c r="CG3" s="47" t="s">
        <v>18</v>
      </c>
      <c r="CH3" s="280" t="s">
        <v>14</v>
      </c>
      <c r="CI3" s="47" t="s">
        <v>18</v>
      </c>
      <c r="CJ3" s="280" t="s">
        <v>14</v>
      </c>
      <c r="CK3" s="47" t="s">
        <v>18</v>
      </c>
      <c r="CL3" s="280" t="s">
        <v>14</v>
      </c>
      <c r="CM3" s="47" t="s">
        <v>18</v>
      </c>
      <c r="CN3" s="280" t="s">
        <v>14</v>
      </c>
      <c r="CO3" s="47" t="s">
        <v>18</v>
      </c>
      <c r="CP3" s="280" t="s">
        <v>14</v>
      </c>
      <c r="CQ3" s="49" t="s">
        <v>18</v>
      </c>
      <c r="CR3" s="55" t="s">
        <v>14</v>
      </c>
      <c r="CS3" s="56" t="s">
        <v>18</v>
      </c>
      <c r="CU3" s="44" t="s">
        <v>14</v>
      </c>
      <c r="CV3" s="20" t="s">
        <v>19</v>
      </c>
      <c r="CW3" s="54" t="s">
        <v>17</v>
      </c>
      <c r="CX3" s="46" t="s">
        <v>14</v>
      </c>
      <c r="CY3" s="47" t="s">
        <v>18</v>
      </c>
      <c r="CZ3" s="280" t="s">
        <v>14</v>
      </c>
      <c r="DA3" s="47" t="s">
        <v>18</v>
      </c>
      <c r="DB3" s="341" t="s">
        <v>14</v>
      </c>
      <c r="DC3" s="47" t="s">
        <v>18</v>
      </c>
      <c r="DD3" s="280" t="s">
        <v>14</v>
      </c>
      <c r="DE3" s="47" t="s">
        <v>18</v>
      </c>
      <c r="DF3" s="280" t="s">
        <v>14</v>
      </c>
      <c r="DG3" s="47" t="s">
        <v>18</v>
      </c>
      <c r="DH3" s="280" t="s">
        <v>14</v>
      </c>
      <c r="DI3" s="47" t="s">
        <v>18</v>
      </c>
      <c r="DJ3" s="280" t="s">
        <v>14</v>
      </c>
      <c r="DK3" s="47" t="s">
        <v>18</v>
      </c>
      <c r="DL3" s="280" t="s">
        <v>14</v>
      </c>
      <c r="DM3" s="47" t="s">
        <v>18</v>
      </c>
      <c r="DN3" s="280" t="s">
        <v>14</v>
      </c>
      <c r="DO3" s="47" t="s">
        <v>18</v>
      </c>
      <c r="DP3" s="280" t="s">
        <v>14</v>
      </c>
      <c r="DQ3" s="47" t="s">
        <v>18</v>
      </c>
      <c r="DR3" s="280" t="s">
        <v>14</v>
      </c>
      <c r="DS3" s="47" t="s">
        <v>18</v>
      </c>
      <c r="DT3" s="280" t="s">
        <v>14</v>
      </c>
      <c r="DU3" s="49" t="s">
        <v>18</v>
      </c>
      <c r="DV3" s="55" t="s">
        <v>14</v>
      </c>
      <c r="DW3" s="56" t="s">
        <v>18</v>
      </c>
      <c r="DY3" s="44" t="s">
        <v>14</v>
      </c>
      <c r="DZ3" s="20" t="s">
        <v>19</v>
      </c>
      <c r="EA3" s="54" t="s">
        <v>17</v>
      </c>
      <c r="EB3" s="46" t="s">
        <v>14</v>
      </c>
      <c r="EC3" s="47" t="s">
        <v>18</v>
      </c>
      <c r="ED3" s="280" t="s">
        <v>14</v>
      </c>
      <c r="EE3" s="47" t="s">
        <v>18</v>
      </c>
      <c r="EF3" s="341" t="s">
        <v>14</v>
      </c>
      <c r="EG3" s="47" t="s">
        <v>18</v>
      </c>
      <c r="EH3" s="280" t="s">
        <v>14</v>
      </c>
      <c r="EI3" s="47" t="s">
        <v>18</v>
      </c>
      <c r="EJ3" s="280" t="s">
        <v>14</v>
      </c>
      <c r="EK3" s="47" t="s">
        <v>18</v>
      </c>
      <c r="EL3" s="280" t="s">
        <v>14</v>
      </c>
      <c r="EM3" s="47" t="s">
        <v>18</v>
      </c>
      <c r="EN3" s="280" t="s">
        <v>14</v>
      </c>
      <c r="EO3" s="47" t="s">
        <v>18</v>
      </c>
      <c r="EP3" s="280" t="s">
        <v>14</v>
      </c>
      <c r="EQ3" s="47" t="s">
        <v>18</v>
      </c>
      <c r="ER3" s="280" t="s">
        <v>14</v>
      </c>
      <c r="ES3" s="47" t="s">
        <v>18</v>
      </c>
      <c r="ET3" s="280" t="s">
        <v>14</v>
      </c>
      <c r="EU3" s="47" t="s">
        <v>18</v>
      </c>
      <c r="EV3" s="280" t="s">
        <v>14</v>
      </c>
      <c r="EW3" s="47" t="s">
        <v>18</v>
      </c>
      <c r="EX3" s="280" t="s">
        <v>14</v>
      </c>
      <c r="EY3" s="49" t="s">
        <v>18</v>
      </c>
      <c r="EZ3" s="55" t="s">
        <v>14</v>
      </c>
      <c r="FA3" s="56" t="s">
        <v>18</v>
      </c>
      <c r="FC3" s="44" t="s">
        <v>20</v>
      </c>
      <c r="FD3" s="20" t="s">
        <v>19</v>
      </c>
      <c r="FE3" s="54" t="s">
        <v>17</v>
      </c>
      <c r="FF3" s="46" t="s">
        <v>14</v>
      </c>
      <c r="FG3" s="47" t="s">
        <v>18</v>
      </c>
      <c r="FH3" s="280" t="s">
        <v>14</v>
      </c>
      <c r="FI3" s="47" t="s">
        <v>18</v>
      </c>
      <c r="FJ3" s="358" t="s">
        <v>14</v>
      </c>
      <c r="FK3" s="47" t="s">
        <v>18</v>
      </c>
      <c r="FL3" s="357" t="s">
        <v>14</v>
      </c>
      <c r="FM3" s="47" t="s">
        <v>18</v>
      </c>
      <c r="FN3" s="357" t="s">
        <v>14</v>
      </c>
      <c r="FO3" s="47" t="s">
        <v>18</v>
      </c>
      <c r="FP3" s="357" t="s">
        <v>14</v>
      </c>
      <c r="FQ3" s="47" t="s">
        <v>18</v>
      </c>
      <c r="FR3" s="357" t="s">
        <v>14</v>
      </c>
      <c r="FS3" s="47" t="s">
        <v>18</v>
      </c>
      <c r="FT3" s="357" t="s">
        <v>14</v>
      </c>
      <c r="FU3" s="47" t="s">
        <v>18</v>
      </c>
      <c r="FV3" s="357" t="s">
        <v>14</v>
      </c>
      <c r="FW3" s="47" t="s">
        <v>18</v>
      </c>
      <c r="FX3" s="357" t="s">
        <v>14</v>
      </c>
      <c r="FY3" s="47" t="s">
        <v>18</v>
      </c>
      <c r="FZ3" s="357" t="s">
        <v>14</v>
      </c>
      <c r="GA3" s="47" t="s">
        <v>18</v>
      </c>
      <c r="GB3" s="357" t="s">
        <v>14</v>
      </c>
      <c r="GC3" s="49" t="s">
        <v>18</v>
      </c>
      <c r="GD3" s="55" t="s">
        <v>14</v>
      </c>
      <c r="GE3" s="56" t="s">
        <v>18</v>
      </c>
      <c r="GG3" s="57" t="s">
        <v>21</v>
      </c>
      <c r="GH3" s="58" t="s">
        <v>19</v>
      </c>
      <c r="GI3" s="59" t="s">
        <v>17</v>
      </c>
      <c r="GJ3" s="46" t="s">
        <v>14</v>
      </c>
      <c r="GK3" s="47" t="s">
        <v>18</v>
      </c>
      <c r="GL3" s="46" t="s">
        <v>14</v>
      </c>
      <c r="GM3" s="47" t="s">
        <v>18</v>
      </c>
      <c r="GN3" s="358" t="s">
        <v>14</v>
      </c>
      <c r="GO3" s="47" t="s">
        <v>18</v>
      </c>
      <c r="GP3" s="357" t="s">
        <v>14</v>
      </c>
      <c r="GQ3" s="47" t="s">
        <v>18</v>
      </c>
      <c r="GR3" s="357" t="s">
        <v>14</v>
      </c>
      <c r="GS3" s="47" t="s">
        <v>18</v>
      </c>
      <c r="GT3" s="357" t="s">
        <v>14</v>
      </c>
      <c r="GU3" s="47" t="s">
        <v>18</v>
      </c>
      <c r="GV3" s="357" t="s">
        <v>14</v>
      </c>
      <c r="GW3" s="47" t="s">
        <v>18</v>
      </c>
      <c r="GX3" s="357" t="s">
        <v>14</v>
      </c>
      <c r="GY3" s="47" t="s">
        <v>18</v>
      </c>
      <c r="GZ3" s="357" t="s">
        <v>14</v>
      </c>
      <c r="HA3" s="47" t="s">
        <v>18</v>
      </c>
      <c r="HB3" s="357" t="s">
        <v>14</v>
      </c>
      <c r="HC3" s="47" t="s">
        <v>18</v>
      </c>
      <c r="HD3" s="357" t="s">
        <v>14</v>
      </c>
      <c r="HE3" s="47" t="s">
        <v>18</v>
      </c>
      <c r="HF3" s="357" t="s">
        <v>14</v>
      </c>
      <c r="HG3" s="49" t="s">
        <v>18</v>
      </c>
      <c r="HH3" s="55" t="s">
        <v>14</v>
      </c>
      <c r="HI3" s="56" t="s">
        <v>18</v>
      </c>
      <c r="HK3" s="44" t="s">
        <v>21</v>
      </c>
      <c r="HL3" s="20" t="s">
        <v>19</v>
      </c>
      <c r="HM3" s="54" t="s">
        <v>17</v>
      </c>
      <c r="HN3" s="46" t="s">
        <v>14</v>
      </c>
      <c r="HO3" s="47" t="s">
        <v>18</v>
      </c>
      <c r="HP3" s="46" t="s">
        <v>14</v>
      </c>
      <c r="HQ3" s="47" t="s">
        <v>18</v>
      </c>
      <c r="HR3" s="358" t="s">
        <v>14</v>
      </c>
      <c r="HS3" s="47" t="s">
        <v>18</v>
      </c>
      <c r="HT3" s="357" t="s">
        <v>14</v>
      </c>
      <c r="HU3" s="47" t="s">
        <v>18</v>
      </c>
      <c r="HV3" s="357" t="s">
        <v>14</v>
      </c>
      <c r="HW3" s="47" t="s">
        <v>18</v>
      </c>
      <c r="HX3" s="357" t="s">
        <v>14</v>
      </c>
      <c r="HY3" s="47" t="s">
        <v>18</v>
      </c>
      <c r="HZ3" s="357" t="s">
        <v>14</v>
      </c>
      <c r="IA3" s="47" t="s">
        <v>18</v>
      </c>
      <c r="IB3" s="357" t="s">
        <v>14</v>
      </c>
      <c r="IC3" s="47" t="s">
        <v>18</v>
      </c>
      <c r="ID3" s="357" t="s">
        <v>14</v>
      </c>
      <c r="IE3" s="47" t="s">
        <v>18</v>
      </c>
      <c r="IF3" s="357" t="s">
        <v>14</v>
      </c>
      <c r="IG3" s="47" t="s">
        <v>18</v>
      </c>
      <c r="IH3" s="357" t="s">
        <v>14</v>
      </c>
      <c r="II3" s="47" t="s">
        <v>18</v>
      </c>
      <c r="IJ3" s="357" t="s">
        <v>14</v>
      </c>
      <c r="IK3" s="49" t="s">
        <v>18</v>
      </c>
      <c r="IL3" s="55" t="s">
        <v>14</v>
      </c>
      <c r="IM3" s="56" t="s">
        <v>18</v>
      </c>
      <c r="IO3" s="44" t="s">
        <v>21</v>
      </c>
      <c r="IP3" s="20" t="s">
        <v>19</v>
      </c>
      <c r="IQ3" s="54" t="s">
        <v>17</v>
      </c>
      <c r="IR3" s="46" t="s">
        <v>14</v>
      </c>
      <c r="IS3" s="47" t="s">
        <v>18</v>
      </c>
      <c r="IT3" s="46" t="s">
        <v>14</v>
      </c>
      <c r="IU3" s="47" t="s">
        <v>18</v>
      </c>
      <c r="IV3" s="358" t="s">
        <v>14</v>
      </c>
      <c r="IW3" s="47" t="s">
        <v>18</v>
      </c>
      <c r="IX3" s="357" t="s">
        <v>14</v>
      </c>
      <c r="IY3" s="47" t="s">
        <v>18</v>
      </c>
      <c r="IZ3" s="357" t="s">
        <v>14</v>
      </c>
      <c r="JA3" s="47" t="s">
        <v>18</v>
      </c>
      <c r="JB3" s="357" t="s">
        <v>14</v>
      </c>
      <c r="JC3" s="47" t="s">
        <v>18</v>
      </c>
      <c r="JD3" s="357" t="s">
        <v>14</v>
      </c>
      <c r="JE3" s="47" t="s">
        <v>18</v>
      </c>
      <c r="JF3" s="357" t="s">
        <v>14</v>
      </c>
      <c r="JG3" s="47" t="s">
        <v>18</v>
      </c>
      <c r="JH3" s="357" t="s">
        <v>14</v>
      </c>
      <c r="JI3" s="47" t="s">
        <v>18</v>
      </c>
      <c r="JJ3" s="357" t="s">
        <v>14</v>
      </c>
      <c r="JK3" s="47" t="s">
        <v>18</v>
      </c>
      <c r="JL3" s="357" t="s">
        <v>14</v>
      </c>
      <c r="JM3" s="47" t="s">
        <v>18</v>
      </c>
      <c r="JN3" s="357" t="s">
        <v>14</v>
      </c>
      <c r="JO3" s="49" t="s">
        <v>18</v>
      </c>
      <c r="JP3" s="357" t="s">
        <v>14</v>
      </c>
      <c r="JQ3" s="49" t="s">
        <v>18</v>
      </c>
      <c r="JS3" s="44" t="s">
        <v>21</v>
      </c>
      <c r="JT3" s="20" t="s">
        <v>19</v>
      </c>
      <c r="JU3" s="54" t="s">
        <v>17</v>
      </c>
      <c r="JV3" s="46" t="s">
        <v>14</v>
      </c>
      <c r="JW3" s="47" t="s">
        <v>18</v>
      </c>
      <c r="JX3" s="46" t="s">
        <v>14</v>
      </c>
      <c r="JY3" s="47" t="s">
        <v>18</v>
      </c>
      <c r="JZ3" s="358" t="s">
        <v>14</v>
      </c>
      <c r="KA3" s="47" t="s">
        <v>18</v>
      </c>
      <c r="KB3" s="357" t="s">
        <v>14</v>
      </c>
      <c r="KC3" s="47" t="s">
        <v>18</v>
      </c>
      <c r="KD3" s="357" t="s">
        <v>14</v>
      </c>
      <c r="KE3" s="47" t="s">
        <v>18</v>
      </c>
      <c r="KF3" s="357" t="s">
        <v>14</v>
      </c>
      <c r="KG3" s="47" t="s">
        <v>18</v>
      </c>
      <c r="KH3" s="357" t="s">
        <v>14</v>
      </c>
      <c r="KI3" s="47" t="s">
        <v>18</v>
      </c>
      <c r="KJ3" s="357" t="s">
        <v>14</v>
      </c>
      <c r="KK3" s="47" t="s">
        <v>18</v>
      </c>
      <c r="KL3" s="357" t="s">
        <v>14</v>
      </c>
      <c r="KM3" s="47" t="s">
        <v>18</v>
      </c>
      <c r="KN3" s="357" t="s">
        <v>14</v>
      </c>
      <c r="KO3" s="47" t="s">
        <v>18</v>
      </c>
      <c r="KP3" s="357" t="s">
        <v>14</v>
      </c>
      <c r="KQ3" s="47" t="s">
        <v>18</v>
      </c>
      <c r="KR3" s="357" t="s">
        <v>14</v>
      </c>
      <c r="KS3" s="49" t="s">
        <v>18</v>
      </c>
      <c r="KT3" s="55" t="s">
        <v>14</v>
      </c>
      <c r="KU3" s="56" t="s">
        <v>18</v>
      </c>
      <c r="KW3" s="44" t="s">
        <v>14</v>
      </c>
      <c r="KX3" s="20" t="s">
        <v>16</v>
      </c>
      <c r="KY3" s="45" t="s">
        <v>17</v>
      </c>
      <c r="KZ3" s="46" t="s">
        <v>14</v>
      </c>
      <c r="LA3" s="47" t="s">
        <v>18</v>
      </c>
      <c r="LB3" s="46" t="s">
        <v>14</v>
      </c>
      <c r="LC3" s="47" t="s">
        <v>18</v>
      </c>
      <c r="LD3" s="358" t="s">
        <v>14</v>
      </c>
      <c r="LE3" s="47" t="s">
        <v>18</v>
      </c>
      <c r="LF3" s="357" t="s">
        <v>14</v>
      </c>
      <c r="LG3" s="47" t="s">
        <v>18</v>
      </c>
      <c r="LH3" s="357" t="s">
        <v>14</v>
      </c>
      <c r="LI3" s="47" t="s">
        <v>18</v>
      </c>
      <c r="LJ3" s="357" t="s">
        <v>14</v>
      </c>
      <c r="LK3" s="47" t="s">
        <v>18</v>
      </c>
      <c r="LL3" s="357" t="s">
        <v>14</v>
      </c>
      <c r="LM3" s="47" t="s">
        <v>18</v>
      </c>
      <c r="LN3" s="357" t="s">
        <v>14</v>
      </c>
      <c r="LO3" s="47" t="s">
        <v>18</v>
      </c>
      <c r="LP3" s="357" t="s">
        <v>14</v>
      </c>
      <c r="LQ3" s="47" t="s">
        <v>18</v>
      </c>
      <c r="LR3" s="357" t="s">
        <v>14</v>
      </c>
      <c r="LS3" s="47" t="s">
        <v>18</v>
      </c>
      <c r="LT3" s="357" t="s">
        <v>14</v>
      </c>
      <c r="LU3" s="47" t="s">
        <v>18</v>
      </c>
      <c r="LV3" s="357" t="s">
        <v>14</v>
      </c>
      <c r="LW3" s="49" t="s">
        <v>18</v>
      </c>
      <c r="LX3" s="52" t="s">
        <v>14</v>
      </c>
      <c r="LY3" s="53" t="s">
        <v>18</v>
      </c>
      <c r="MA3" s="46" t="s">
        <v>14</v>
      </c>
      <c r="MB3" s="56" t="s">
        <v>18</v>
      </c>
      <c r="MC3" s="388" t="s">
        <v>14</v>
      </c>
      <c r="MD3" s="389" t="s">
        <v>18</v>
      </c>
      <c r="ME3" s="388" t="s">
        <v>14</v>
      </c>
      <c r="MF3" s="389" t="s">
        <v>18</v>
      </c>
      <c r="MG3" s="388" t="s">
        <v>14</v>
      </c>
      <c r="MH3" s="389" t="s">
        <v>18</v>
      </c>
      <c r="MI3" s="388" t="s">
        <v>14</v>
      </c>
      <c r="MJ3" s="389" t="s">
        <v>18</v>
      </c>
      <c r="MK3" s="388" t="s">
        <v>14</v>
      </c>
      <c r="ML3" s="389" t="s">
        <v>18</v>
      </c>
      <c r="MM3" s="388" t="s">
        <v>14</v>
      </c>
      <c r="MN3" s="389" t="s">
        <v>18</v>
      </c>
      <c r="MO3" s="388" t="s">
        <v>14</v>
      </c>
      <c r="MP3" s="389" t="s">
        <v>18</v>
      </c>
      <c r="MQ3" s="388" t="s">
        <v>14</v>
      </c>
      <c r="MR3" s="389" t="s">
        <v>18</v>
      </c>
      <c r="MS3" s="388" t="s">
        <v>14</v>
      </c>
      <c r="MT3" s="389" t="s">
        <v>18</v>
      </c>
      <c r="MU3" s="388" t="s">
        <v>14</v>
      </c>
      <c r="MV3" s="389" t="s">
        <v>18</v>
      </c>
      <c r="MW3" s="388" t="s">
        <v>14</v>
      </c>
      <c r="MX3" s="389" t="s">
        <v>18</v>
      </c>
      <c r="MY3" s="57" t="s">
        <v>14</v>
      </c>
      <c r="MZ3" s="398" t="s">
        <v>18</v>
      </c>
    </row>
    <row r="4" spans="1:364" s="63" customFormat="1" ht="26.4" x14ac:dyDescent="0.3">
      <c r="A4" s="539" t="s">
        <v>22</v>
      </c>
      <c r="B4" s="60" t="s">
        <v>23</v>
      </c>
      <c r="C4" s="61" t="s">
        <v>24</v>
      </c>
      <c r="D4" s="62" t="s">
        <v>25</v>
      </c>
      <c r="E4" s="8">
        <v>1</v>
      </c>
      <c r="F4" s="342">
        <v>1356.3519813519813</v>
      </c>
      <c r="G4" s="342">
        <f>+F4*(1+$G$2)</f>
        <v>1412.8795648795647</v>
      </c>
      <c r="I4" s="27">
        <v>7887</v>
      </c>
      <c r="J4" s="64">
        <v>1</v>
      </c>
      <c r="K4" s="65">
        <f>+(I4*J4)*G4</f>
        <v>11143381.128205126</v>
      </c>
      <c r="L4" s="66">
        <f>+$I4*$J4</f>
        <v>7887</v>
      </c>
      <c r="M4" s="281">
        <f>+L4*$G4</f>
        <v>11143381.128205126</v>
      </c>
      <c r="N4" s="69">
        <f>+$I4*$J4</f>
        <v>7887</v>
      </c>
      <c r="O4" s="281">
        <f>+N4*$G4</f>
        <v>11143381.128205126</v>
      </c>
      <c r="P4" s="69">
        <f>+$I4*$J4</f>
        <v>7887</v>
      </c>
      <c r="Q4" s="281">
        <f>+P4*$G4</f>
        <v>11143381.128205126</v>
      </c>
      <c r="R4" s="69">
        <f>+$I4*$J4</f>
        <v>7887</v>
      </c>
      <c r="S4" s="281">
        <f>+R4*$G4</f>
        <v>11143381.128205126</v>
      </c>
      <c r="T4" s="69">
        <f>+$I4*$J4</f>
        <v>7887</v>
      </c>
      <c r="U4" s="281">
        <f>+T4*$G4</f>
        <v>11143381.128205126</v>
      </c>
      <c r="V4" s="69">
        <f>+$I4*$J4</f>
        <v>7887</v>
      </c>
      <c r="W4" s="281">
        <f>+V4*$G4</f>
        <v>11143381.128205126</v>
      </c>
      <c r="X4" s="69">
        <f>+$I4*$J4</f>
        <v>7887</v>
      </c>
      <c r="Y4" s="281">
        <f>+X4*$G4</f>
        <v>11143381.128205126</v>
      </c>
      <c r="Z4" s="66">
        <f>+$I4*$J4</f>
        <v>7887</v>
      </c>
      <c r="AA4" s="281">
        <f>+Z4*$G4</f>
        <v>11143381.128205126</v>
      </c>
      <c r="AB4" s="66">
        <f>+$I4*$J4</f>
        <v>7887</v>
      </c>
      <c r="AC4" s="281">
        <f>+AB4*$G4</f>
        <v>11143381.128205126</v>
      </c>
      <c r="AD4" s="66">
        <f>+$I4*$J4</f>
        <v>7887</v>
      </c>
      <c r="AE4" s="281">
        <f>+AD4*$G4</f>
        <v>11143381.128205126</v>
      </c>
      <c r="AF4" s="66">
        <f>+$I4*$J4</f>
        <v>7887</v>
      </c>
      <c r="AG4" s="281">
        <f>+AF4*$G4</f>
        <v>11143381.128205126</v>
      </c>
      <c r="AH4" s="66">
        <f>+$I4*$J4</f>
        <v>7887</v>
      </c>
      <c r="AI4" s="290">
        <f>+AH4*$G4</f>
        <v>11143381.128205126</v>
      </c>
      <c r="AJ4" s="70">
        <f>+L4+N4+P4+R4+T4+V4+X4+Z4+AB4+AD4+AF4+AH4</f>
        <v>94644</v>
      </c>
      <c r="AK4" s="302">
        <f>+AJ4*$G4</f>
        <v>133720573.53846152</v>
      </c>
      <c r="AM4" s="27">
        <v>15000</v>
      </c>
      <c r="AN4" s="64">
        <v>1</v>
      </c>
      <c r="AO4" s="71">
        <f t="shared" ref="AO4:AO18" si="0">+(AM4*AN4)*G4</f>
        <v>21193193.47319347</v>
      </c>
      <c r="AP4" s="66">
        <f t="shared" ref="AP4:AP26" si="1">+$AM4*$AN4</f>
        <v>15000</v>
      </c>
      <c r="AQ4" s="281">
        <f>+AP4*$G4</f>
        <v>21193193.47319347</v>
      </c>
      <c r="AR4" s="313">
        <f t="shared" ref="AR4:AR23" si="2">+$AM4*$AN4</f>
        <v>15000</v>
      </c>
      <c r="AS4" s="281">
        <f>+AR4*$G4</f>
        <v>21193193.47319347</v>
      </c>
      <c r="AT4" s="313">
        <f t="shared" ref="AT4:AT26" si="3">+$AM4*$AN4</f>
        <v>15000</v>
      </c>
      <c r="AU4" s="281">
        <f>+AT4*$G4</f>
        <v>21193193.47319347</v>
      </c>
      <c r="AV4" s="313">
        <f t="shared" ref="AV4:AV23" si="4">+$AM4*$AN4</f>
        <v>15000</v>
      </c>
      <c r="AW4" s="281">
        <f>+AV4*$G4</f>
        <v>21193193.47319347</v>
      </c>
      <c r="AX4" s="313">
        <f t="shared" ref="AX4:AX73" si="5">+$AM4*$AN4</f>
        <v>15000</v>
      </c>
      <c r="AY4" s="281">
        <f>+AX4*$G4</f>
        <v>21193193.47319347</v>
      </c>
      <c r="AZ4" s="313">
        <f t="shared" ref="AZ4:AZ23" si="6">+$AM4*$AN4</f>
        <v>15000</v>
      </c>
      <c r="BA4" s="281">
        <f>+AZ4*$G4</f>
        <v>21193193.47319347</v>
      </c>
      <c r="BB4" s="313">
        <f t="shared" ref="BB4:BB73" si="7">+$AM4*$AN4</f>
        <v>15000</v>
      </c>
      <c r="BC4" s="281">
        <f>+BB4*$G4</f>
        <v>21193193.47319347</v>
      </c>
      <c r="BD4" s="313">
        <f t="shared" ref="BD4:BD23" si="8">+$AM4*$AN4</f>
        <v>15000</v>
      </c>
      <c r="BE4" s="281">
        <f>+BD4*$G4</f>
        <v>21193193.47319347</v>
      </c>
      <c r="BF4" s="313">
        <f t="shared" ref="BF4:BF73" si="9">+$AM4*$AN4</f>
        <v>15000</v>
      </c>
      <c r="BG4" s="281">
        <f>+BF4*$G4</f>
        <v>21193193.47319347</v>
      </c>
      <c r="BH4" s="313">
        <f t="shared" ref="BH4:BH23" si="10">+$AM4*$AN4</f>
        <v>15000</v>
      </c>
      <c r="BI4" s="281">
        <f>+BH4*$G4</f>
        <v>21193193.47319347</v>
      </c>
      <c r="BJ4" s="313">
        <f t="shared" ref="BJ4:BJ26" si="11">+$AM4*$AN4</f>
        <v>15000</v>
      </c>
      <c r="BK4" s="281">
        <f>+BJ4*$G4</f>
        <v>21193193.47319347</v>
      </c>
      <c r="BL4" s="66">
        <f t="shared" ref="BL4:BL23" si="12">+$AM4*$AN4</f>
        <v>15000</v>
      </c>
      <c r="BM4" s="321">
        <f>+BL4*$G4</f>
        <v>21193193.47319347</v>
      </c>
      <c r="BN4" s="72">
        <f>+AP4+AR4+AT4+AV4+AX4+AZ4+BB4+BD4+BF4+BH4+BJ4+BL4</f>
        <v>180000</v>
      </c>
      <c r="BO4" s="73">
        <f t="shared" ref="BO4:BO35" si="13">+BN4*G4</f>
        <v>254318321.67832163</v>
      </c>
      <c r="BQ4" s="27">
        <v>19287.400000000001</v>
      </c>
      <c r="BR4" s="64">
        <v>1</v>
      </c>
      <c r="BS4" s="74">
        <f t="shared" ref="BS4:BS9" si="14">+BR4*BQ4*$G4</f>
        <v>27250773.319658119</v>
      </c>
      <c r="BT4" s="66">
        <f>+$BQ4*$BR4</f>
        <v>19287.400000000001</v>
      </c>
      <c r="BU4" s="281">
        <f>+BT4*$G4</f>
        <v>27250773.319658119</v>
      </c>
      <c r="BV4" s="337">
        <f t="shared" ref="BV4:BV21" si="15">+$BQ4*$BR4</f>
        <v>19287.400000000001</v>
      </c>
      <c r="BW4" s="281">
        <f>+BV4*$G4</f>
        <v>27250773.319658119</v>
      </c>
      <c r="BX4" s="337">
        <f t="shared" ref="BX4:BX26" si="16">+$BQ4*$BR4</f>
        <v>19287.400000000001</v>
      </c>
      <c r="BY4" s="281">
        <f>+BX4*$G4</f>
        <v>27250773.319658119</v>
      </c>
      <c r="BZ4" s="337">
        <f t="shared" ref="BZ4:BZ21" si="17">+$BQ4*$BR4</f>
        <v>19287.400000000001</v>
      </c>
      <c r="CA4" s="281">
        <f>+BZ4*$G4</f>
        <v>27250773.319658119</v>
      </c>
      <c r="CB4" s="337">
        <f t="shared" ref="CB4:CB26" si="18">+$BQ4*$BR4</f>
        <v>19287.400000000001</v>
      </c>
      <c r="CC4" s="281">
        <f>+CB4*$G4</f>
        <v>27250773.319658119</v>
      </c>
      <c r="CD4" s="337">
        <f t="shared" ref="CD4:CD21" si="19">+$BQ4*$BR4</f>
        <v>19287.400000000001</v>
      </c>
      <c r="CE4" s="281">
        <f>+CD4*$G4</f>
        <v>27250773.319658119</v>
      </c>
      <c r="CF4" s="337">
        <f>+$BQ4*$BR4</f>
        <v>19287.400000000001</v>
      </c>
      <c r="CG4" s="281">
        <f>+CF4*$G4</f>
        <v>27250773.319658119</v>
      </c>
      <c r="CH4" s="337">
        <f t="shared" ref="CH4:CH21" si="20">+$BQ4*$BR4</f>
        <v>19287.400000000001</v>
      </c>
      <c r="CI4" s="281">
        <f>+CH4*$G4</f>
        <v>27250773.319658119</v>
      </c>
      <c r="CJ4" s="337">
        <f>+$BQ4*$BR4</f>
        <v>19287.400000000001</v>
      </c>
      <c r="CK4" s="281">
        <f>+CJ4*$G4</f>
        <v>27250773.319658119</v>
      </c>
      <c r="CL4" s="337">
        <f t="shared" ref="CL4:CL21" si="21">+$BQ4*$BR4</f>
        <v>19287.400000000001</v>
      </c>
      <c r="CM4" s="281">
        <f>+CL4*$G4</f>
        <v>27250773.319658119</v>
      </c>
      <c r="CN4" s="337">
        <f>+$BQ4*$BR4</f>
        <v>19287.400000000001</v>
      </c>
      <c r="CO4" s="281">
        <f>+CN4*$G4</f>
        <v>27250773.319658119</v>
      </c>
      <c r="CP4" s="337">
        <f t="shared" ref="CP4:CP21" si="22">+$BQ4*$BR4</f>
        <v>19287.400000000001</v>
      </c>
      <c r="CQ4" s="68">
        <f t="shared" ref="CQ4:CQ36" si="23">+CP4*G4</f>
        <v>27250773.319658119</v>
      </c>
      <c r="CR4" s="72">
        <f>+BT4+BV4+BX4+BZ4+CB4+CD4+CF4+CH4+CJ4+CL4+CN4+CP4</f>
        <v>231448.79999999996</v>
      </c>
      <c r="CS4" s="73">
        <f t="shared" ref="CS4:CS36" si="24">+CR4*G4</f>
        <v>327009279.83589733</v>
      </c>
      <c r="CU4" s="27">
        <v>18070</v>
      </c>
      <c r="CV4" s="64">
        <v>1</v>
      </c>
      <c r="CW4" s="75">
        <f t="shared" ref="CW4:CW9" si="25">+CV4*CU4*$G4</f>
        <v>25530733.737373732</v>
      </c>
      <c r="CX4" s="66">
        <f>+$CU4*$CV4</f>
        <v>18070</v>
      </c>
      <c r="CY4" s="67">
        <f>+CX4*$G4</f>
        <v>25530733.737373732</v>
      </c>
      <c r="CZ4" s="66">
        <f t="shared" ref="CZ4:CZ22" si="26">+$CU4*$CV4</f>
        <v>18070</v>
      </c>
      <c r="DA4" s="281">
        <f>+CZ4*$G4</f>
        <v>25530733.737373732</v>
      </c>
      <c r="DB4" s="66">
        <f t="shared" ref="DB4:DB26" si="27">+$CU4*$CV4</f>
        <v>18070</v>
      </c>
      <c r="DC4" s="281">
        <f>+DB4*$G4</f>
        <v>25530733.737373732</v>
      </c>
      <c r="DD4" s="66">
        <f t="shared" ref="DD4:DD22" si="28">+$CU4*$CV4</f>
        <v>18070</v>
      </c>
      <c r="DE4" s="281">
        <f>+DD4*$G4</f>
        <v>25530733.737373732</v>
      </c>
      <c r="DF4" s="66">
        <f t="shared" ref="DF4:DF26" si="29">+$CU4*$CV4</f>
        <v>18070</v>
      </c>
      <c r="DG4" s="281">
        <f>+DF4*$G4</f>
        <v>25530733.737373732</v>
      </c>
      <c r="DH4" s="66">
        <f t="shared" ref="DH4:DH22" si="30">+$CU4*$CV4</f>
        <v>18070</v>
      </c>
      <c r="DI4" s="281">
        <f>+DH4*$G4</f>
        <v>25530733.737373732</v>
      </c>
      <c r="DJ4" s="66">
        <f>+$CU4*$CV4</f>
        <v>18070</v>
      </c>
      <c r="DK4" s="281">
        <f>+DJ4*$G4</f>
        <v>25530733.737373732</v>
      </c>
      <c r="DL4" s="66">
        <f t="shared" ref="DL4:DL22" si="31">+$CU4*$CV4</f>
        <v>18070</v>
      </c>
      <c r="DM4" s="281">
        <f>+DL4*$G4</f>
        <v>25530733.737373732</v>
      </c>
      <c r="DN4" s="66">
        <f>+$CU4*$CV4</f>
        <v>18070</v>
      </c>
      <c r="DO4" s="281">
        <f>+DN4*$G4</f>
        <v>25530733.737373732</v>
      </c>
      <c r="DP4" s="66">
        <f t="shared" ref="DP4:DP22" si="32">+$CU4*$CV4</f>
        <v>18070</v>
      </c>
      <c r="DQ4" s="281">
        <f>+DP4*$G4</f>
        <v>25530733.737373732</v>
      </c>
      <c r="DR4" s="66">
        <f>+$CU4*$CV4</f>
        <v>18070</v>
      </c>
      <c r="DS4" s="281">
        <f>+DR4*$G4</f>
        <v>25530733.737373732</v>
      </c>
      <c r="DT4" s="66">
        <f t="shared" ref="DT4:DT22" si="33">+$CU4*$CV4</f>
        <v>18070</v>
      </c>
      <c r="DU4" s="281">
        <f>+DT4*$G4</f>
        <v>25530733.737373732</v>
      </c>
      <c r="DV4" s="72">
        <f>+CX4+CZ4+DB4+DD4+DF4+DH4+DJ4+DL4+DN4+DP4+DR4+DT4</f>
        <v>216840</v>
      </c>
      <c r="DW4" s="73">
        <f t="shared" ref="DW4:DW36" si="34">+DV4*G4</f>
        <v>306368804.84848481</v>
      </c>
      <c r="DY4" s="76">
        <v>60000</v>
      </c>
      <c r="DZ4" s="64">
        <v>1</v>
      </c>
      <c r="EA4" s="75">
        <f t="shared" ref="EA4:EA36" si="35">+G4*DY4</f>
        <v>84772773.892773882</v>
      </c>
      <c r="EB4" s="66">
        <v>0</v>
      </c>
      <c r="EC4" s="67">
        <f>+EB4*$G4</f>
        <v>0</v>
      </c>
      <c r="ED4" s="313">
        <v>0</v>
      </c>
      <c r="EE4" s="67">
        <f>+ED4*$G4</f>
        <v>0</v>
      </c>
      <c r="EF4" s="66">
        <v>0</v>
      </c>
      <c r="EG4" s="67">
        <f>+EF4*$G4</f>
        <v>0</v>
      </c>
      <c r="EH4" s="66">
        <f>+$DZ4*$DY4</f>
        <v>60000</v>
      </c>
      <c r="EI4" s="67">
        <f>+EH4*$G4</f>
        <v>84772773.892773882</v>
      </c>
      <c r="EJ4" s="66">
        <f>+$DZ4*$DY4</f>
        <v>60000</v>
      </c>
      <c r="EK4" s="67">
        <f>+EJ4*$G4</f>
        <v>84772773.892773882</v>
      </c>
      <c r="EL4" s="66">
        <f>+$DZ4*$DY4</f>
        <v>60000</v>
      </c>
      <c r="EM4" s="67">
        <f>+EL4*$G4</f>
        <v>84772773.892773882</v>
      </c>
      <c r="EN4" s="66">
        <f>+$DZ4*$DY4</f>
        <v>60000</v>
      </c>
      <c r="EO4" s="67">
        <f>+EN4*$G4</f>
        <v>84772773.892773882</v>
      </c>
      <c r="EP4" s="66">
        <f>+$DZ4*$DY4</f>
        <v>60000</v>
      </c>
      <c r="EQ4" s="67">
        <f>+EP4*$G4</f>
        <v>84772773.892773882</v>
      </c>
      <c r="ER4" s="66">
        <f>+$DZ4*$DY4</f>
        <v>60000</v>
      </c>
      <c r="ES4" s="67">
        <f>+ER4*$G4</f>
        <v>84772773.892773882</v>
      </c>
      <c r="ET4" s="66">
        <f>+$DZ4*$DY4</f>
        <v>60000</v>
      </c>
      <c r="EU4" s="67">
        <f>+ET4*$G4</f>
        <v>84772773.892773882</v>
      </c>
      <c r="EV4" s="66">
        <f>+$DZ4*$DY4</f>
        <v>60000</v>
      </c>
      <c r="EW4" s="67">
        <f>+EV4*$G4</f>
        <v>84772773.892773882</v>
      </c>
      <c r="EX4" s="66">
        <f>+$DZ4*$DY4</f>
        <v>60000</v>
      </c>
      <c r="EY4" s="67">
        <f>+EX4*$G4</f>
        <v>84772773.892773882</v>
      </c>
      <c r="EZ4" s="72">
        <f>+EB4+ED4+EF4+EH4+EJ4+EL4+EN4+EP4+ER4+ET4+EV4+EX4</f>
        <v>540000</v>
      </c>
      <c r="FA4" s="73">
        <f t="shared" ref="FA4:FA36" si="36">+EZ4*G4</f>
        <v>762954965.03496492</v>
      </c>
      <c r="FC4" s="27"/>
      <c r="FD4" s="64"/>
      <c r="FE4" s="75">
        <f>+FD4*FC4</f>
        <v>0</v>
      </c>
      <c r="FF4" s="66">
        <f>+$FC4*$FD4</f>
        <v>0</v>
      </c>
      <c r="FG4" s="67">
        <f>+FF4*$G4</f>
        <v>0</v>
      </c>
      <c r="FH4" s="363">
        <f t="shared" ref="FH4:FH21" si="37">+$FC4*$FD4</f>
        <v>0</v>
      </c>
      <c r="FI4" s="364">
        <f>+FH4*$G4</f>
        <v>0</v>
      </c>
      <c r="FJ4" s="363">
        <f t="shared" ref="FJ4:FJ26" si="38">+$FC4*$FD4</f>
        <v>0</v>
      </c>
      <c r="FK4" s="364">
        <f>+FJ4*$G4</f>
        <v>0</v>
      </c>
      <c r="FL4" s="363">
        <f t="shared" ref="FL4:FL21" si="39">+$FC4*$FD4</f>
        <v>0</v>
      </c>
      <c r="FM4" s="364">
        <f>+FL4*$G4</f>
        <v>0</v>
      </c>
      <c r="FN4" s="363">
        <f t="shared" ref="FN4:FN26" si="40">+$FC4*$FD4</f>
        <v>0</v>
      </c>
      <c r="FO4" s="364">
        <f>+FN4*$G4</f>
        <v>0</v>
      </c>
      <c r="FP4" s="363">
        <f t="shared" ref="FP4:FP21" si="41">+$FC4*$FD4</f>
        <v>0</v>
      </c>
      <c r="FQ4" s="364">
        <f>+FP4*$G4</f>
        <v>0</v>
      </c>
      <c r="FR4" s="363">
        <f>+$FC4*$FD4</f>
        <v>0</v>
      </c>
      <c r="FS4" s="364">
        <f>+FR4*$G4</f>
        <v>0</v>
      </c>
      <c r="FT4" s="363">
        <f t="shared" ref="FT4:FT21" si="42">+$FC4*$FD4</f>
        <v>0</v>
      </c>
      <c r="FU4" s="364">
        <f>+FT4*$G4</f>
        <v>0</v>
      </c>
      <c r="FV4" s="363">
        <f>+$FC4*$FD4</f>
        <v>0</v>
      </c>
      <c r="FW4" s="364">
        <f>+FV4*$G4</f>
        <v>0</v>
      </c>
      <c r="FX4" s="363">
        <f t="shared" ref="FX4:FX21" si="43">+$FC4*$FD4</f>
        <v>0</v>
      </c>
      <c r="FY4" s="364">
        <f>+FX4*$G4</f>
        <v>0</v>
      </c>
      <c r="FZ4" s="363">
        <f>+$FC4*$FD4</f>
        <v>0</v>
      </c>
      <c r="GA4" s="364">
        <f>+FZ4*$G4</f>
        <v>0</v>
      </c>
      <c r="GB4" s="363">
        <f t="shared" ref="GB4:GB21" si="44">+$FC4*$FD4</f>
        <v>0</v>
      </c>
      <c r="GC4" s="364">
        <f>+GB4*$G4</f>
        <v>0</v>
      </c>
      <c r="GD4" s="72">
        <f>+FF4+FH4+FJ4+FL4+FN4+FP4+FR4+FT4+FV4+FX4+FZ4+GB4</f>
        <v>0</v>
      </c>
      <c r="GE4" s="73">
        <f t="shared" ref="GE4:GE35" si="45">+GD4*G4</f>
        <v>0</v>
      </c>
      <c r="GG4" s="27">
        <v>23412</v>
      </c>
      <c r="GH4" s="64">
        <v>1</v>
      </c>
      <c r="GI4" s="75">
        <f t="shared" ref="GI4:GI18" si="46">+GG4*G4*GH4</f>
        <v>33078336.372960366</v>
      </c>
      <c r="GJ4" s="66">
        <f>+$GG4*$GH4</f>
        <v>23412</v>
      </c>
      <c r="GK4" s="67">
        <f>+GJ4*$G4</f>
        <v>33078336.372960366</v>
      </c>
      <c r="GL4" s="66">
        <f>+$GG4*$GH4</f>
        <v>23412</v>
      </c>
      <c r="GM4" s="67">
        <f>+GL4*$G4</f>
        <v>33078336.372960366</v>
      </c>
      <c r="GN4" s="66">
        <f>+$GG4*$GH4</f>
        <v>23412</v>
      </c>
      <c r="GO4" s="67">
        <f>+GN4*$G4</f>
        <v>33078336.372960366</v>
      </c>
      <c r="GP4" s="66">
        <f>+$GG4*$GH4</f>
        <v>23412</v>
      </c>
      <c r="GQ4" s="67">
        <f>+GP4*$G4</f>
        <v>33078336.372960366</v>
      </c>
      <c r="GR4" s="66">
        <f>+$GG4*$GH4</f>
        <v>23412</v>
      </c>
      <c r="GS4" s="67">
        <f>+GR4*$G4</f>
        <v>33078336.372960366</v>
      </c>
      <c r="GT4" s="66">
        <f>+$GG4*$GH4</f>
        <v>23412</v>
      </c>
      <c r="GU4" s="67">
        <f>+GT4*$G4</f>
        <v>33078336.372960366</v>
      </c>
      <c r="GV4" s="66">
        <f>+$GG4*$GH4</f>
        <v>23412</v>
      </c>
      <c r="GW4" s="67">
        <f>+GV4*$G4</f>
        <v>33078336.372960366</v>
      </c>
      <c r="GX4" s="66">
        <f>+$GG4*$GH4</f>
        <v>23412</v>
      </c>
      <c r="GY4" s="67">
        <f>+GX4*$G4</f>
        <v>33078336.372960366</v>
      </c>
      <c r="GZ4" s="66">
        <f>+$GG4*$GH4</f>
        <v>23412</v>
      </c>
      <c r="HA4" s="67">
        <f>+GZ4*$G4</f>
        <v>33078336.372960366</v>
      </c>
      <c r="HB4" s="66">
        <f>+$GG4*$GH4</f>
        <v>23412</v>
      </c>
      <c r="HC4" s="67">
        <f>+HB4*$G4</f>
        <v>33078336.372960366</v>
      </c>
      <c r="HD4" s="66">
        <f>+$GG4*$GH4</f>
        <v>23412</v>
      </c>
      <c r="HE4" s="67">
        <f>+HD4*$G4</f>
        <v>33078336.372960366</v>
      </c>
      <c r="HF4" s="66">
        <f>+$GG4*$GH4</f>
        <v>23412</v>
      </c>
      <c r="HG4" s="67">
        <f>+HF4*$G4</f>
        <v>33078336.372960366</v>
      </c>
      <c r="HH4" s="72">
        <f>+GJ4+GL4+GN4+GP4+GR4+GT4+GV4+GX4+GZ4+HB4+HD4+HF4</f>
        <v>280944</v>
      </c>
      <c r="HI4" s="73">
        <f t="shared" ref="HI4:HI48" si="47">+HH4*G4</f>
        <v>396940036.47552443</v>
      </c>
      <c r="HK4" s="27"/>
      <c r="HL4" s="64"/>
      <c r="HM4" s="75">
        <f t="shared" ref="HM4:HM36" si="48">+HL4*HK4*G4</f>
        <v>0</v>
      </c>
      <c r="HN4" s="66">
        <f>+$HK4*$HL4</f>
        <v>0</v>
      </c>
      <c r="HO4" s="67">
        <f>+HN4*$G4</f>
        <v>0</v>
      </c>
      <c r="HP4" s="66">
        <f>+$HK4*$HL4</f>
        <v>0</v>
      </c>
      <c r="HQ4" s="67">
        <f>+HP4*$G4</f>
        <v>0</v>
      </c>
      <c r="HR4" s="66">
        <f>+$HK4*$HL4</f>
        <v>0</v>
      </c>
      <c r="HS4" s="67">
        <f>+HR4*$G4</f>
        <v>0</v>
      </c>
      <c r="HT4" s="66">
        <f>+$HK4*$HL4</f>
        <v>0</v>
      </c>
      <c r="HU4" s="67">
        <f>+HT4*$G4</f>
        <v>0</v>
      </c>
      <c r="HV4" s="66">
        <f>+$HK4*$HL4</f>
        <v>0</v>
      </c>
      <c r="HW4" s="67">
        <f>+HV4*$G4</f>
        <v>0</v>
      </c>
      <c r="HX4" s="66">
        <f>+$HK4*$HL4</f>
        <v>0</v>
      </c>
      <c r="HY4" s="67">
        <f>+HX4*$G4</f>
        <v>0</v>
      </c>
      <c r="HZ4" s="66">
        <f>+$HK4*$HL4</f>
        <v>0</v>
      </c>
      <c r="IA4" s="67">
        <f>+HZ4*$G4</f>
        <v>0</v>
      </c>
      <c r="IB4" s="66">
        <f>+$HK4*$HL4</f>
        <v>0</v>
      </c>
      <c r="IC4" s="67">
        <f>+IB4*$G4</f>
        <v>0</v>
      </c>
      <c r="ID4" s="66">
        <f>+$HK4*$HL4</f>
        <v>0</v>
      </c>
      <c r="IE4" s="67">
        <f>+ID4*$G4</f>
        <v>0</v>
      </c>
      <c r="IF4" s="66">
        <f>+$HK4*$HL4</f>
        <v>0</v>
      </c>
      <c r="IG4" s="67">
        <f>+IF4*$G4</f>
        <v>0</v>
      </c>
      <c r="IH4" s="66">
        <f>+$HK4*$HL4</f>
        <v>0</v>
      </c>
      <c r="II4" s="67">
        <f>+IH4*$G4</f>
        <v>0</v>
      </c>
      <c r="IJ4" s="66">
        <f>+$HK4*$HL4</f>
        <v>0</v>
      </c>
      <c r="IK4" s="67">
        <f>+IJ4*$G4</f>
        <v>0</v>
      </c>
      <c r="IL4" s="72">
        <f>+HN4+HP4+HR4+HT4+HV4+HX4+HZ4+IB4+ID4+IF4+IH4+IJ4</f>
        <v>0</v>
      </c>
      <c r="IM4" s="73">
        <f>+IL4*$G4</f>
        <v>0</v>
      </c>
      <c r="IO4" s="27"/>
      <c r="IP4" s="64"/>
      <c r="IQ4" s="75">
        <f t="shared" ref="IQ4:IQ18" si="49">+IP4*IO4*AK4</f>
        <v>0</v>
      </c>
      <c r="IR4" s="66">
        <f>+$IO4*$IP4</f>
        <v>0</v>
      </c>
      <c r="IS4" s="67">
        <f>+IR4*$G4</f>
        <v>0</v>
      </c>
      <c r="IT4" s="374">
        <f t="shared" ref="IT4:IT21" si="50">+$IO4*$IP4</f>
        <v>0</v>
      </c>
      <c r="IU4" s="364">
        <f>+IT4*$G4</f>
        <v>0</v>
      </c>
      <c r="IV4" s="374">
        <f t="shared" ref="IV4:IV26" si="51">+$IO4*$IP4</f>
        <v>0</v>
      </c>
      <c r="IW4" s="364">
        <f>+IV4*$G4</f>
        <v>0</v>
      </c>
      <c r="IX4" s="374">
        <f t="shared" ref="IX4:IX21" si="52">+$IO4*$IP4</f>
        <v>0</v>
      </c>
      <c r="IY4" s="364">
        <f>+IX4*$G4</f>
        <v>0</v>
      </c>
      <c r="IZ4" s="374">
        <f t="shared" ref="IZ4:IZ26" si="53">+$IO4*$IP4</f>
        <v>0</v>
      </c>
      <c r="JA4" s="364">
        <f>+IZ4*$G4</f>
        <v>0</v>
      </c>
      <c r="JB4" s="374">
        <f t="shared" ref="JB4:JB21" si="54">+$IO4*$IP4</f>
        <v>0</v>
      </c>
      <c r="JC4" s="364">
        <f>+JB4*$G4</f>
        <v>0</v>
      </c>
      <c r="JD4" s="374">
        <f>+$IO4*$IP4</f>
        <v>0</v>
      </c>
      <c r="JE4" s="364">
        <f>+JD4*$G4</f>
        <v>0</v>
      </c>
      <c r="JF4" s="374">
        <f t="shared" ref="JF4:JF21" si="55">+$IO4*$IP4</f>
        <v>0</v>
      </c>
      <c r="JG4" s="364">
        <f>+JF4*$G4</f>
        <v>0</v>
      </c>
      <c r="JH4" s="374">
        <f>+$IO4*$IP4</f>
        <v>0</v>
      </c>
      <c r="JI4" s="364">
        <f>+JH4*$G4</f>
        <v>0</v>
      </c>
      <c r="JJ4" s="374">
        <f t="shared" ref="JJ4:JJ21" si="56">+$IO4*$IP4</f>
        <v>0</v>
      </c>
      <c r="JK4" s="364">
        <f>+JJ4*$G4</f>
        <v>0</v>
      </c>
      <c r="JL4" s="374">
        <f>+$IO4*$IP4</f>
        <v>0</v>
      </c>
      <c r="JM4" s="364">
        <f>+JL4*$G4</f>
        <v>0</v>
      </c>
      <c r="JN4" s="374">
        <f t="shared" ref="JN4:JN21" si="57">+$IO4*$IP4</f>
        <v>0</v>
      </c>
      <c r="JO4" s="364">
        <f>+JN4*$G4</f>
        <v>0</v>
      </c>
      <c r="JP4" s="72">
        <f>+IR4+IT4+IV4+IX4+IZ4+JB4+JD4+JF4+JH4+JJ4+JL4+JN4</f>
        <v>0</v>
      </c>
      <c r="JQ4" s="73">
        <f>+JP4*$G4</f>
        <v>0</v>
      </c>
      <c r="JS4" s="27"/>
      <c r="JT4" s="64"/>
      <c r="JU4" s="75">
        <f t="shared" ref="JU4:JU36" si="58">+JT4*JS4*G4</f>
        <v>0</v>
      </c>
      <c r="JV4" s="66">
        <f>+$JS4*$JT4</f>
        <v>0</v>
      </c>
      <c r="JW4" s="67">
        <f>+JV4*$G4</f>
        <v>0</v>
      </c>
      <c r="JX4" s="374">
        <f t="shared" ref="JX4:JX18" si="59">+$JS4*$JT4</f>
        <v>0</v>
      </c>
      <c r="JY4" s="364">
        <f>+JX4*$G4</f>
        <v>0</v>
      </c>
      <c r="JZ4" s="374">
        <f t="shared" ref="JZ4:JZ18" si="60">+$JS4*$JT4</f>
        <v>0</v>
      </c>
      <c r="KA4" s="364">
        <f>+JZ4*$G4</f>
        <v>0</v>
      </c>
      <c r="KB4" s="374">
        <f t="shared" ref="KB4:KB18" si="61">+$JS4*$JT4</f>
        <v>0</v>
      </c>
      <c r="KC4" s="364">
        <f>+KB4*$G4</f>
        <v>0</v>
      </c>
      <c r="KD4" s="374">
        <f t="shared" ref="KD4:KD18" si="62">+$JS4*$JT4</f>
        <v>0</v>
      </c>
      <c r="KE4" s="364">
        <f>+KD4*$G4</f>
        <v>0</v>
      </c>
      <c r="KF4" s="374">
        <f t="shared" ref="KF4:KF18" si="63">+$JS4*$JT4</f>
        <v>0</v>
      </c>
      <c r="KG4" s="364">
        <f>+KF4*$G4</f>
        <v>0</v>
      </c>
      <c r="KH4" s="374">
        <f>+$JS4*$JT4</f>
        <v>0</v>
      </c>
      <c r="KI4" s="364">
        <f>+KH4*$G4</f>
        <v>0</v>
      </c>
      <c r="KJ4" s="374">
        <f t="shared" ref="KJ4:KJ18" si="64">+$JS4*$JT4</f>
        <v>0</v>
      </c>
      <c r="KK4" s="364">
        <f>+KJ4*$G4</f>
        <v>0</v>
      </c>
      <c r="KL4" s="374">
        <f>+$JS4*$JT4</f>
        <v>0</v>
      </c>
      <c r="KM4" s="364">
        <f>+KL4*$G4</f>
        <v>0</v>
      </c>
      <c r="KN4" s="374">
        <f t="shared" ref="KN4:KN18" si="65">+$JS4*$JT4</f>
        <v>0</v>
      </c>
      <c r="KO4" s="364">
        <f>+KN4*$G4</f>
        <v>0</v>
      </c>
      <c r="KP4" s="374">
        <f>+$JS4*$JT4</f>
        <v>0</v>
      </c>
      <c r="KQ4" s="364">
        <f>+KP4*$G4</f>
        <v>0</v>
      </c>
      <c r="KR4" s="374">
        <f t="shared" ref="KR4:KR18" si="66">+$JS4*$JT4</f>
        <v>0</v>
      </c>
      <c r="KS4" s="380">
        <f>+KR4*$G4</f>
        <v>0</v>
      </c>
      <c r="KT4" s="381">
        <f>+JV4+JX4+JZ4+KB4+KD4+KF4+KH4+KJ4+KL4+KN4+KP4+KR4</f>
        <v>0</v>
      </c>
      <c r="KU4" s="73">
        <f t="shared" ref="KU4:KU36" si="67">+KT4*G4</f>
        <v>0</v>
      </c>
      <c r="KW4" s="27">
        <f>42534/2</f>
        <v>21267</v>
      </c>
      <c r="KX4" s="64">
        <v>1</v>
      </c>
      <c r="KY4" s="77">
        <f t="shared" ref="KY4:KY18" si="68">+KX4*KW4*G4</f>
        <v>30047709.706293702</v>
      </c>
      <c r="KZ4" s="66">
        <f>+$KW$4/2</f>
        <v>10633.5</v>
      </c>
      <c r="LA4" s="67">
        <f>+KZ4*$G4</f>
        <v>15023854.853146851</v>
      </c>
      <c r="LB4" s="66">
        <f>+$KW$4/2</f>
        <v>10633.5</v>
      </c>
      <c r="LC4" s="364">
        <f>+LB4*$G4</f>
        <v>15023854.853146851</v>
      </c>
      <c r="LD4" s="66">
        <f>+$KW$4/2</f>
        <v>10633.5</v>
      </c>
      <c r="LE4" s="364">
        <f>+LD4*$G4</f>
        <v>15023854.853146851</v>
      </c>
      <c r="LF4" s="66">
        <f>+$KW$4/2</f>
        <v>10633.5</v>
      </c>
      <c r="LG4" s="364">
        <f>+LF4*$G4</f>
        <v>15023854.853146851</v>
      </c>
      <c r="LH4" s="66">
        <f>+$KW$4/2</f>
        <v>10633.5</v>
      </c>
      <c r="LI4" s="364">
        <f>+LH4*$G4</f>
        <v>15023854.853146851</v>
      </c>
      <c r="LJ4" s="66">
        <f>+$KW$4/2</f>
        <v>10633.5</v>
      </c>
      <c r="LK4" s="364">
        <f>+LJ4*$G4</f>
        <v>15023854.853146851</v>
      </c>
      <c r="LL4" s="66">
        <f>+$KW$4/2</f>
        <v>10633.5</v>
      </c>
      <c r="LM4" s="364">
        <f>+LL4*$G4</f>
        <v>15023854.853146851</v>
      </c>
      <c r="LN4" s="66">
        <f>+$KW$4/2</f>
        <v>10633.5</v>
      </c>
      <c r="LO4" s="364">
        <f>+LN4*$G4</f>
        <v>15023854.853146851</v>
      </c>
      <c r="LP4" s="66">
        <f>+$KW$4/2</f>
        <v>10633.5</v>
      </c>
      <c r="LQ4" s="364">
        <f>+LP4*$G4</f>
        <v>15023854.853146851</v>
      </c>
      <c r="LR4" s="66">
        <f>+$KW$4/2</f>
        <v>10633.5</v>
      </c>
      <c r="LS4" s="364">
        <f>+LR4*$G4</f>
        <v>15023854.853146851</v>
      </c>
      <c r="LT4" s="66">
        <f>+$KW$4/2</f>
        <v>10633.5</v>
      </c>
      <c r="LU4" s="364">
        <f>+LT4*$G4</f>
        <v>15023854.853146851</v>
      </c>
      <c r="LV4" s="66">
        <f>+$KW$4/2</f>
        <v>10633.5</v>
      </c>
      <c r="LW4" s="364">
        <f>+LV4*$G4</f>
        <v>15023854.853146851</v>
      </c>
      <c r="LX4" s="72">
        <f>+KZ4+LB4+LD4+LF4+LH4+LJ4+LL4+LN4+LP4+LR4+LT4+LV4</f>
        <v>127602</v>
      </c>
      <c r="LY4" s="73">
        <f>+LX4*$G4</f>
        <v>180286258.23776221</v>
      </c>
      <c r="MA4" s="76">
        <f t="shared" ref="MA4:MA35" si="69">+L4+AP4+BT4+CX4+EB4+FF4+GJ4+HN4+IR4+JV4+KZ4</f>
        <v>94289.9</v>
      </c>
      <c r="MB4" s="382">
        <f>+MA4*$G4</f>
        <v>133220272.88453765</v>
      </c>
      <c r="MC4" s="390">
        <f t="shared" ref="MC4:MC35" si="70">+N4+AR4+BV4+CZ4+ED4+FH4+GL4+HP4+IT4+JX4+LB4</f>
        <v>94289.9</v>
      </c>
      <c r="MD4" s="382">
        <f>+MC4*$G4</f>
        <v>133220272.88453765</v>
      </c>
      <c r="ME4" s="390">
        <f t="shared" ref="ME4:ME35" si="71">+P4+AT4+BX4+DB4+EF4+FJ4+GN4+HR4+IV4+JZ4+LD4</f>
        <v>94289.9</v>
      </c>
      <c r="MF4" s="382">
        <f>+ME4*$G4</f>
        <v>133220272.88453765</v>
      </c>
      <c r="MG4" s="390">
        <f t="shared" ref="MG4:MG35" si="72">+R4+AV4+BZ4+DD4+EH4+FL4+GP4+HT4+IX4+KB4+LF4</f>
        <v>154289.9</v>
      </c>
      <c r="MH4" s="382">
        <f>+MG4*$G4</f>
        <v>217993046.77731153</v>
      </c>
      <c r="MI4" s="390">
        <f t="shared" ref="MI4:MI35" si="73">+T4+AX4+CB4+DF4+EJ4+FN4+GR4+HV4+IZ4+KD4+LH4</f>
        <v>154289.9</v>
      </c>
      <c r="MJ4" s="382">
        <f>+MI4*$G4</f>
        <v>217993046.77731153</v>
      </c>
      <c r="MK4" s="390">
        <f t="shared" ref="MK4:MK35" si="74">+V4+AZ4+CD4+DH4+EL4+FP4+GT4+HX4+JB4+KF4+LJ4</f>
        <v>154289.9</v>
      </c>
      <c r="ML4" s="382">
        <f>+MK4*$G4</f>
        <v>217993046.77731153</v>
      </c>
      <c r="MM4" s="390">
        <f t="shared" ref="MM4:MM35" si="75">+X4+BB4+CF4+DJ4+EN4+FR4+GV4+HZ4+JD4+KH4+LL4</f>
        <v>154289.9</v>
      </c>
      <c r="MN4" s="382">
        <f>+MM4*$G4</f>
        <v>217993046.77731153</v>
      </c>
      <c r="MO4" s="390">
        <f t="shared" ref="MO4:MO35" si="76">+Z4+BD4+CH4+DL4+EP4+FT4+GX4+IB4+JF4+KJ4+LN4</f>
        <v>154289.9</v>
      </c>
      <c r="MP4" s="382">
        <f>+MO4*$G4</f>
        <v>217993046.77731153</v>
      </c>
      <c r="MQ4" s="390">
        <f t="shared" ref="MQ4:MQ35" si="77">+AB4+BF4+CJ4+DN4+ER4+FV4+GZ4+ID4+JH4+KL4+LP4</f>
        <v>154289.9</v>
      </c>
      <c r="MR4" s="382">
        <f>+MQ4*$G4</f>
        <v>217993046.77731153</v>
      </c>
      <c r="MS4" s="390">
        <f t="shared" ref="MS4:MS35" si="78">+AD4+BH4+CL4+DP4+ET4+FX4+HB4+IF4+JJ4+KN4+LR4</f>
        <v>154289.9</v>
      </c>
      <c r="MT4" s="382">
        <f>+MS4*$G4</f>
        <v>217993046.77731153</v>
      </c>
      <c r="MU4" s="390">
        <f t="shared" ref="MU4:MU35" si="79">+AF4+BJ4+CN4+DR4+EV4+FZ4+HD4+IH4+JL4+KP4+LT4</f>
        <v>154289.9</v>
      </c>
      <c r="MV4" s="382">
        <f>+MU4*$G4</f>
        <v>217993046.77731153</v>
      </c>
      <c r="MW4" s="390">
        <f t="shared" ref="MW4:MW35" si="80">+AH4+BL4+CP4+DT4+EX4+GB4+HF4+IJ4+JN4+KR4+LV4</f>
        <v>154289.9</v>
      </c>
      <c r="MX4" s="382">
        <f>+MW4*$G4</f>
        <v>217993046.77731153</v>
      </c>
      <c r="MY4" s="78">
        <f>+MA4+MC4+ME4+MG4+MI4+MK4+MM4+MO4+MQ4+MS4+MU4+MW4</f>
        <v>1671478.7999999996</v>
      </c>
      <c r="MZ4" s="79">
        <f>+MY4*$G4</f>
        <v>2361598239.6494164</v>
      </c>
    </row>
    <row r="5" spans="1:364" s="63" customFormat="1" ht="26.4" x14ac:dyDescent="0.3">
      <c r="A5" s="540"/>
      <c r="B5" s="80" t="s">
        <v>26</v>
      </c>
      <c r="C5" s="81" t="s">
        <v>27</v>
      </c>
      <c r="D5" s="82" t="s">
        <v>28</v>
      </c>
      <c r="E5" s="9">
        <v>1</v>
      </c>
      <c r="F5" s="343">
        <v>130.30950530950528</v>
      </c>
      <c r="G5" s="343">
        <f t="shared" ref="G5:G69" si="81">+F5*(1+$G$2)</f>
        <v>135.74030907364238</v>
      </c>
      <c r="I5" s="24"/>
      <c r="J5" s="83"/>
      <c r="K5" s="84">
        <f t="shared" ref="K5:K69" si="82">+(I5*J5)*G5</f>
        <v>0</v>
      </c>
      <c r="L5" s="85">
        <f t="shared" ref="L5:AH20" si="83">+$I5*$J5</f>
        <v>0</v>
      </c>
      <c r="M5" s="282">
        <f t="shared" ref="M5:Q20" si="84">+L5*$G5</f>
        <v>0</v>
      </c>
      <c r="N5" s="85">
        <f t="shared" si="83"/>
        <v>0</v>
      </c>
      <c r="O5" s="282">
        <f t="shared" si="84"/>
        <v>0</v>
      </c>
      <c r="P5" s="85">
        <f t="shared" si="83"/>
        <v>0</v>
      </c>
      <c r="Q5" s="282">
        <f t="shared" ref="Q5:Q19" si="85">+P5*$G5</f>
        <v>0</v>
      </c>
      <c r="R5" s="85">
        <f t="shared" si="83"/>
        <v>0</v>
      </c>
      <c r="S5" s="282">
        <f t="shared" ref="S5:S69" si="86">+R5*$G5</f>
        <v>0</v>
      </c>
      <c r="T5" s="85">
        <f t="shared" si="83"/>
        <v>0</v>
      </c>
      <c r="U5" s="282">
        <f t="shared" ref="U5:U69" si="87">+T5*$G5</f>
        <v>0</v>
      </c>
      <c r="V5" s="85">
        <f t="shared" si="83"/>
        <v>0</v>
      </c>
      <c r="W5" s="282">
        <f t="shared" ref="W5:W69" si="88">+V5*$G5</f>
        <v>0</v>
      </c>
      <c r="X5" s="85">
        <f t="shared" si="83"/>
        <v>0</v>
      </c>
      <c r="Y5" s="282">
        <f t="shared" ref="Y5:Y69" si="89">+X5*$G5</f>
        <v>0</v>
      </c>
      <c r="Z5" s="85">
        <f t="shared" si="83"/>
        <v>0</v>
      </c>
      <c r="AA5" s="282">
        <f t="shared" ref="AA5:AA69" si="90">+Z5*$G5</f>
        <v>0</v>
      </c>
      <c r="AB5" s="85">
        <f t="shared" si="83"/>
        <v>0</v>
      </c>
      <c r="AC5" s="282">
        <f t="shared" ref="AC5:AC69" si="91">+AB5*$G5</f>
        <v>0</v>
      </c>
      <c r="AD5" s="85">
        <f t="shared" si="83"/>
        <v>0</v>
      </c>
      <c r="AE5" s="282">
        <f t="shared" ref="AE5:AE69" si="92">+AD5*$G5</f>
        <v>0</v>
      </c>
      <c r="AF5" s="85">
        <f t="shared" si="83"/>
        <v>0</v>
      </c>
      <c r="AG5" s="282">
        <f t="shared" ref="AG5:AI20" si="93">+AF5*$G5</f>
        <v>0</v>
      </c>
      <c r="AH5" s="85">
        <f t="shared" si="83"/>
        <v>0</v>
      </c>
      <c r="AI5" s="291">
        <f t="shared" si="93"/>
        <v>0</v>
      </c>
      <c r="AJ5" s="88">
        <f t="shared" ref="AJ5:AJ69" si="94">+L5+N5+P5+R5+T5+V5+X5+Z5+AB5+AD5+AF5+AH5</f>
        <v>0</v>
      </c>
      <c r="AK5" s="303">
        <f t="shared" ref="AK5:AK69" si="95">+AJ5*$G5</f>
        <v>0</v>
      </c>
      <c r="AM5" s="24"/>
      <c r="AN5" s="83">
        <v>0</v>
      </c>
      <c r="AO5" s="89">
        <f t="shared" si="0"/>
        <v>0</v>
      </c>
      <c r="AP5" s="85">
        <f t="shared" si="1"/>
        <v>0</v>
      </c>
      <c r="AQ5" s="86">
        <f t="shared" ref="AQ5:AU68" si="96">+AP5*$G5</f>
        <v>0</v>
      </c>
      <c r="AR5" s="314">
        <f t="shared" si="2"/>
        <v>0</v>
      </c>
      <c r="AS5" s="281">
        <f t="shared" ref="AS5:AU18" si="97">+AR5*$G5</f>
        <v>0</v>
      </c>
      <c r="AT5" s="314">
        <f t="shared" si="3"/>
        <v>0</v>
      </c>
      <c r="AU5" s="281">
        <f t="shared" si="97"/>
        <v>0</v>
      </c>
      <c r="AV5" s="314">
        <f t="shared" si="4"/>
        <v>0</v>
      </c>
      <c r="AW5" s="281">
        <f t="shared" ref="AW5:AW69" si="98">+AV5*$G5</f>
        <v>0</v>
      </c>
      <c r="AX5" s="314">
        <f t="shared" si="5"/>
        <v>0</v>
      </c>
      <c r="AY5" s="281">
        <f t="shared" ref="AY5:AY69" si="99">+AX5*$G5</f>
        <v>0</v>
      </c>
      <c r="AZ5" s="314">
        <f t="shared" si="6"/>
        <v>0</v>
      </c>
      <c r="BA5" s="281">
        <f t="shared" ref="BA5:BA69" si="100">+AZ5*$G5</f>
        <v>0</v>
      </c>
      <c r="BB5" s="314">
        <f t="shared" si="7"/>
        <v>0</v>
      </c>
      <c r="BC5" s="281">
        <f t="shared" ref="BC5:BC69" si="101">+BB5*$G5</f>
        <v>0</v>
      </c>
      <c r="BD5" s="314">
        <f t="shared" si="8"/>
        <v>0</v>
      </c>
      <c r="BE5" s="281">
        <f t="shared" ref="BE5:BE69" si="102">+BD5*$G5</f>
        <v>0</v>
      </c>
      <c r="BF5" s="314">
        <f t="shared" si="9"/>
        <v>0</v>
      </c>
      <c r="BG5" s="281">
        <f t="shared" ref="BG5:BG69" si="103">+BF5*$G5</f>
        <v>0</v>
      </c>
      <c r="BH5" s="314">
        <f t="shared" si="10"/>
        <v>0</v>
      </c>
      <c r="BI5" s="281">
        <f t="shared" ref="BI5:BK20" si="104">+BH5*$G5</f>
        <v>0</v>
      </c>
      <c r="BJ5" s="314">
        <f t="shared" si="11"/>
        <v>0</v>
      </c>
      <c r="BK5" s="281">
        <f t="shared" si="104"/>
        <v>0</v>
      </c>
      <c r="BL5" s="85">
        <f t="shared" si="12"/>
        <v>0</v>
      </c>
      <c r="BM5" s="322">
        <f t="shared" ref="BM5:BM69" si="105">+BL5*$G5</f>
        <v>0</v>
      </c>
      <c r="BN5" s="72">
        <f t="shared" ref="BN5:BN69" si="106">+AP5+AR5+AT5+AV5+AX5+AZ5+BB5+BD5+BF5+BH5+BJ5+BL5</f>
        <v>0</v>
      </c>
      <c r="BO5" s="326">
        <f t="shared" si="13"/>
        <v>0</v>
      </c>
      <c r="BQ5" s="26"/>
      <c r="BR5" s="83"/>
      <c r="BS5" s="92">
        <f t="shared" si="14"/>
        <v>0</v>
      </c>
      <c r="BT5" s="85">
        <f>+$BQ5*$BR5</f>
        <v>0</v>
      </c>
      <c r="BU5" s="329">
        <f t="shared" ref="BU5:BU69" si="107">+BT5*$G5</f>
        <v>0</v>
      </c>
      <c r="BV5" s="85">
        <f t="shared" si="15"/>
        <v>0</v>
      </c>
      <c r="BW5" s="86">
        <f t="shared" ref="BW5:BW69" si="108">+BV5*$G5</f>
        <v>0</v>
      </c>
      <c r="BX5" s="85">
        <f t="shared" si="16"/>
        <v>0</v>
      </c>
      <c r="BY5" s="86">
        <f t="shared" ref="BY5:BY69" si="109">+BX5*$G5</f>
        <v>0</v>
      </c>
      <c r="BZ5" s="85">
        <f t="shared" si="17"/>
        <v>0</v>
      </c>
      <c r="CA5" s="86">
        <f t="shared" ref="CA5:CA69" si="110">+BZ5*$G5</f>
        <v>0</v>
      </c>
      <c r="CB5" s="85">
        <f t="shared" si="18"/>
        <v>0</v>
      </c>
      <c r="CC5" s="86">
        <f t="shared" ref="CC5:CC69" si="111">+CB5*$G5</f>
        <v>0</v>
      </c>
      <c r="CD5" s="85">
        <f t="shared" si="19"/>
        <v>0</v>
      </c>
      <c r="CE5" s="86">
        <f t="shared" ref="CE5:CE69" si="112">+CD5*$G5</f>
        <v>0</v>
      </c>
      <c r="CF5" s="85">
        <f t="shared" ref="CF5:CF68" si="113">+$BQ5*$BR5</f>
        <v>0</v>
      </c>
      <c r="CG5" s="86">
        <f t="shared" ref="CG5:CG69" si="114">+CF5*$G5</f>
        <v>0</v>
      </c>
      <c r="CH5" s="85">
        <f t="shared" si="20"/>
        <v>0</v>
      </c>
      <c r="CI5" s="86">
        <f t="shared" ref="CI5:CI69" si="115">+CH5*$G5</f>
        <v>0</v>
      </c>
      <c r="CJ5" s="85">
        <f t="shared" ref="CJ5:CJ69" si="116">+$BQ5*$BR5</f>
        <v>0</v>
      </c>
      <c r="CK5" s="86">
        <f t="shared" ref="CK5:CK69" si="117">+CJ5*$G5</f>
        <v>0</v>
      </c>
      <c r="CL5" s="85">
        <f t="shared" si="21"/>
        <v>0</v>
      </c>
      <c r="CM5" s="86">
        <f t="shared" ref="CM5:CM69" si="118">+CL5*$G5</f>
        <v>0</v>
      </c>
      <c r="CN5" s="85">
        <f t="shared" ref="CN5:CN69" si="119">+$BQ5*$BR5</f>
        <v>0</v>
      </c>
      <c r="CO5" s="86">
        <f t="shared" ref="CO5:CO69" si="120">+CN5*$G5</f>
        <v>0</v>
      </c>
      <c r="CP5" s="85">
        <f t="shared" si="22"/>
        <v>0</v>
      </c>
      <c r="CQ5" s="87">
        <f t="shared" si="23"/>
        <v>0</v>
      </c>
      <c r="CR5" s="90">
        <f t="shared" ref="CR5:CR69" si="121">+BT5+BV5+BX5+BZ5+CB5+CD5+CF5+CH5+CJ5+CL5+CN5+CP5</f>
        <v>0</v>
      </c>
      <c r="CS5" s="91">
        <f t="shared" si="24"/>
        <v>0</v>
      </c>
      <c r="CU5" s="26">
        <v>0</v>
      </c>
      <c r="CV5" s="83"/>
      <c r="CW5" s="93">
        <f t="shared" si="25"/>
        <v>0</v>
      </c>
      <c r="CX5" s="85">
        <f t="shared" ref="CX5:CX69" si="122">+$CU5*$CV5</f>
        <v>0</v>
      </c>
      <c r="CY5" s="86">
        <f t="shared" ref="CY5:DA69" si="123">+CX5*$G5</f>
        <v>0</v>
      </c>
      <c r="CZ5" s="85">
        <f t="shared" si="26"/>
        <v>0</v>
      </c>
      <c r="DA5" s="282">
        <f t="shared" si="123"/>
        <v>0</v>
      </c>
      <c r="DB5" s="85">
        <f t="shared" si="27"/>
        <v>0</v>
      </c>
      <c r="DC5" s="282">
        <f t="shared" ref="DC5:DC69" si="124">+DB5*$G5</f>
        <v>0</v>
      </c>
      <c r="DD5" s="85">
        <f t="shared" si="28"/>
        <v>0</v>
      </c>
      <c r="DE5" s="282">
        <f t="shared" ref="DE5:DE69" si="125">+DD5*$G5</f>
        <v>0</v>
      </c>
      <c r="DF5" s="85">
        <f t="shared" si="29"/>
        <v>0</v>
      </c>
      <c r="DG5" s="282">
        <f t="shared" ref="DG5:DG69" si="126">+DF5*$G5</f>
        <v>0</v>
      </c>
      <c r="DH5" s="85">
        <f t="shared" si="30"/>
        <v>0</v>
      </c>
      <c r="DI5" s="282">
        <f t="shared" ref="DI5:DI69" si="127">+DH5*$G5</f>
        <v>0</v>
      </c>
      <c r="DJ5" s="85">
        <f t="shared" ref="DJ5:DJ69" si="128">+$CU5*$CV5</f>
        <v>0</v>
      </c>
      <c r="DK5" s="282">
        <f t="shared" ref="DK5:DK69" si="129">+DJ5*$G5</f>
        <v>0</v>
      </c>
      <c r="DL5" s="85">
        <f t="shared" si="31"/>
        <v>0</v>
      </c>
      <c r="DM5" s="282">
        <f t="shared" ref="DM5:DM69" si="130">+DL5*$G5</f>
        <v>0</v>
      </c>
      <c r="DN5" s="85">
        <f t="shared" ref="DN5:DN69" si="131">+$CU5*$CV5</f>
        <v>0</v>
      </c>
      <c r="DO5" s="282">
        <f t="shared" ref="DO5:DO69" si="132">+DN5*$G5</f>
        <v>0</v>
      </c>
      <c r="DP5" s="85">
        <f t="shared" si="32"/>
        <v>0</v>
      </c>
      <c r="DQ5" s="282">
        <f t="shared" ref="DQ5:DQ69" si="133">+DP5*$G5</f>
        <v>0</v>
      </c>
      <c r="DR5" s="85">
        <f t="shared" ref="DR5:DR69" si="134">+$CU5*$CV5</f>
        <v>0</v>
      </c>
      <c r="DS5" s="282">
        <f t="shared" ref="DS5:DS69" si="135">+DR5*$G5</f>
        <v>0</v>
      </c>
      <c r="DT5" s="85">
        <f t="shared" si="33"/>
        <v>0</v>
      </c>
      <c r="DU5" s="282">
        <f t="shared" ref="DU5:DU69" si="136">+DT5*$G5</f>
        <v>0</v>
      </c>
      <c r="DV5" s="90">
        <f t="shared" ref="DV5:DV69" si="137">+CX5+CZ5+DB5+DD5+DF5+DH5+DJ5+DL5+DN5+DP5+DR5+DT5</f>
        <v>0</v>
      </c>
      <c r="DW5" s="91">
        <f t="shared" si="34"/>
        <v>0</v>
      </c>
      <c r="DY5" s="94"/>
      <c r="DZ5" s="83"/>
      <c r="EA5" s="93">
        <f t="shared" si="35"/>
        <v>0</v>
      </c>
      <c r="EB5" s="85">
        <f t="shared" ref="EB5:EB11" si="138">+$DY5*$DZ5</f>
        <v>0</v>
      </c>
      <c r="EC5" s="86">
        <f t="shared" ref="EC5:EE69" si="139">+EB5*$G5</f>
        <v>0</v>
      </c>
      <c r="ED5" s="314">
        <v>0</v>
      </c>
      <c r="EE5" s="86">
        <f t="shared" si="139"/>
        <v>0</v>
      </c>
      <c r="EF5" s="85">
        <f t="shared" ref="EF5:EF11" si="140">+$DY5*$DZ5</f>
        <v>0</v>
      </c>
      <c r="EG5" s="86">
        <f t="shared" ref="EG5:EI20" si="141">+EF5*$G5</f>
        <v>0</v>
      </c>
      <c r="EH5" s="85">
        <f t="shared" ref="EH5:EX21" si="142">+$DY5*$DZ5</f>
        <v>0</v>
      </c>
      <c r="EI5" s="86">
        <f t="shared" si="141"/>
        <v>0</v>
      </c>
      <c r="EJ5" s="85">
        <f t="shared" si="142"/>
        <v>0</v>
      </c>
      <c r="EK5" s="86">
        <f t="shared" ref="EK5:EK69" si="143">+EJ5*$G5</f>
        <v>0</v>
      </c>
      <c r="EL5" s="85">
        <f t="shared" si="142"/>
        <v>0</v>
      </c>
      <c r="EM5" s="86">
        <f t="shared" ref="EM5:EM69" si="144">+EL5*$G5</f>
        <v>0</v>
      </c>
      <c r="EN5" s="85">
        <f t="shared" si="142"/>
        <v>0</v>
      </c>
      <c r="EO5" s="86">
        <f t="shared" ref="EO5:EO69" si="145">+EN5*$G5</f>
        <v>0</v>
      </c>
      <c r="EP5" s="85">
        <f t="shared" si="142"/>
        <v>0</v>
      </c>
      <c r="EQ5" s="86">
        <f t="shared" ref="EQ5:EQ69" si="146">+EP5*$G5</f>
        <v>0</v>
      </c>
      <c r="ER5" s="85">
        <f t="shared" si="142"/>
        <v>0</v>
      </c>
      <c r="ES5" s="86">
        <f t="shared" ref="ES5:ES69" si="147">+ER5*$G5</f>
        <v>0</v>
      </c>
      <c r="ET5" s="85">
        <f t="shared" si="142"/>
        <v>0</v>
      </c>
      <c r="EU5" s="86">
        <f t="shared" ref="EU5:EU69" si="148">+ET5*$G5</f>
        <v>0</v>
      </c>
      <c r="EV5" s="85">
        <f t="shared" si="142"/>
        <v>0</v>
      </c>
      <c r="EW5" s="86">
        <f t="shared" ref="EW5:EW69" si="149">+EV5*$G5</f>
        <v>0</v>
      </c>
      <c r="EX5" s="85">
        <f t="shared" si="142"/>
        <v>0</v>
      </c>
      <c r="EY5" s="86">
        <f t="shared" ref="EY5:EY69" si="150">+EX5*$G5</f>
        <v>0</v>
      </c>
      <c r="EZ5" s="90">
        <f t="shared" ref="EZ5:EZ69" si="151">+EB5+ED5+EF5+EH5+EJ5+EL5+EN5+EP5+ER5+ET5+EV5+EX5</f>
        <v>0</v>
      </c>
      <c r="FA5" s="91">
        <f t="shared" si="36"/>
        <v>0</v>
      </c>
      <c r="FC5" s="24"/>
      <c r="FD5" s="83"/>
      <c r="FE5" s="95">
        <f t="shared" ref="FE5:FE86" si="152">+FD5*FC5</f>
        <v>0</v>
      </c>
      <c r="FF5" s="85">
        <f t="shared" ref="FF5:FF69" si="153">+$FC5*$FD5</f>
        <v>0</v>
      </c>
      <c r="FG5" s="86">
        <f t="shared" ref="FG5:FG69" si="154">+FF5*$G5</f>
        <v>0</v>
      </c>
      <c r="FH5" s="365">
        <f t="shared" si="37"/>
        <v>0</v>
      </c>
      <c r="FI5" s="86">
        <f t="shared" ref="FI5:FK69" si="155">+FH5*$G5</f>
        <v>0</v>
      </c>
      <c r="FJ5" s="365">
        <f t="shared" si="38"/>
        <v>0</v>
      </c>
      <c r="FK5" s="86">
        <f t="shared" si="155"/>
        <v>0</v>
      </c>
      <c r="FL5" s="365">
        <f t="shared" si="39"/>
        <v>0</v>
      </c>
      <c r="FM5" s="86">
        <f t="shared" ref="FM5:FM69" si="156">+FL5*$G5</f>
        <v>0</v>
      </c>
      <c r="FN5" s="365">
        <f t="shared" si="40"/>
        <v>0</v>
      </c>
      <c r="FO5" s="86">
        <f t="shared" ref="FO5:FO69" si="157">+FN5*$G5</f>
        <v>0</v>
      </c>
      <c r="FP5" s="365">
        <f t="shared" si="41"/>
        <v>0</v>
      </c>
      <c r="FQ5" s="86">
        <f t="shared" ref="FQ5:FQ69" si="158">+FP5*$G5</f>
        <v>0</v>
      </c>
      <c r="FR5" s="365">
        <f t="shared" ref="FR5:FR69" si="159">+$FC5*$FD5</f>
        <v>0</v>
      </c>
      <c r="FS5" s="86">
        <f t="shared" ref="FS5:FS69" si="160">+FR5*$G5</f>
        <v>0</v>
      </c>
      <c r="FT5" s="365">
        <f t="shared" si="42"/>
        <v>0</v>
      </c>
      <c r="FU5" s="86">
        <f t="shared" ref="FU5:FU69" si="161">+FT5*$G5</f>
        <v>0</v>
      </c>
      <c r="FV5" s="365">
        <f t="shared" ref="FV5:FV69" si="162">+$FC5*$FD5</f>
        <v>0</v>
      </c>
      <c r="FW5" s="86">
        <f t="shared" ref="FW5:FW69" si="163">+FV5*$G5</f>
        <v>0</v>
      </c>
      <c r="FX5" s="365">
        <f t="shared" si="43"/>
        <v>0</v>
      </c>
      <c r="FY5" s="86">
        <f t="shared" ref="FY5:FY69" si="164">+FX5*$G5</f>
        <v>0</v>
      </c>
      <c r="FZ5" s="365">
        <f t="shared" ref="FZ5:FZ69" si="165">+$FC5*$FD5</f>
        <v>0</v>
      </c>
      <c r="GA5" s="86">
        <f t="shared" ref="GA5:GA69" si="166">+FZ5*$G5</f>
        <v>0</v>
      </c>
      <c r="GB5" s="365">
        <f t="shared" si="44"/>
        <v>0</v>
      </c>
      <c r="GC5" s="86">
        <f t="shared" ref="GC5:GC69" si="167">+GB5*$G5</f>
        <v>0</v>
      </c>
      <c r="GD5" s="90">
        <f t="shared" ref="GD5:GD69" si="168">+FF5+FH5+FJ5+FL5+FN5+FP5+FR5+FT5+FV5+FX5+FZ5+GB5</f>
        <v>0</v>
      </c>
      <c r="GE5" s="91">
        <f t="shared" si="45"/>
        <v>0</v>
      </c>
      <c r="GG5" s="24"/>
      <c r="GH5" s="83"/>
      <c r="GI5" s="95">
        <f t="shared" si="46"/>
        <v>0</v>
      </c>
      <c r="GJ5" s="85">
        <f t="shared" ref="GJ5:GP69" si="169">+$GG5*$GH5</f>
        <v>0</v>
      </c>
      <c r="GK5" s="86">
        <f t="shared" ref="GK5:GM69" si="170">+GJ5*$G5</f>
        <v>0</v>
      </c>
      <c r="GL5" s="85">
        <f t="shared" si="169"/>
        <v>0</v>
      </c>
      <c r="GM5" s="86">
        <f t="shared" si="170"/>
        <v>0</v>
      </c>
      <c r="GN5" s="85">
        <f t="shared" si="169"/>
        <v>0</v>
      </c>
      <c r="GO5" s="86">
        <f t="shared" ref="GO5:GO69" si="171">+GN5*$G5</f>
        <v>0</v>
      </c>
      <c r="GP5" s="85">
        <f t="shared" si="169"/>
        <v>0</v>
      </c>
      <c r="GQ5" s="86">
        <f t="shared" ref="GQ5:GQ69" si="172">+GP5*$G5</f>
        <v>0</v>
      </c>
      <c r="GR5" s="85">
        <f t="shared" ref="GR5:GR69" si="173">+$GG5*$GH5</f>
        <v>0</v>
      </c>
      <c r="GS5" s="86">
        <f t="shared" ref="GS5:GS69" si="174">+GR5*$G5</f>
        <v>0</v>
      </c>
      <c r="GT5" s="85">
        <f t="shared" ref="GT5:GT69" si="175">+$GG5*$GH5</f>
        <v>0</v>
      </c>
      <c r="GU5" s="86">
        <f t="shared" ref="GU5:GU69" si="176">+GT5*$G5</f>
        <v>0</v>
      </c>
      <c r="GV5" s="85">
        <f t="shared" ref="GV5:GV69" si="177">+$GG5*$GH5</f>
        <v>0</v>
      </c>
      <c r="GW5" s="86">
        <f t="shared" ref="GW5:GW69" si="178">+GV5*$G5</f>
        <v>0</v>
      </c>
      <c r="GX5" s="85">
        <f t="shared" ref="GX5:GX69" si="179">+$GG5*$GH5</f>
        <v>0</v>
      </c>
      <c r="GY5" s="86">
        <f t="shared" ref="GY5:GY69" si="180">+GX5*$G5</f>
        <v>0</v>
      </c>
      <c r="GZ5" s="85">
        <f t="shared" ref="GZ5:GZ69" si="181">+$GG5*$GH5</f>
        <v>0</v>
      </c>
      <c r="HA5" s="86">
        <f t="shared" ref="HA5:HA69" si="182">+GZ5*$G5</f>
        <v>0</v>
      </c>
      <c r="HB5" s="85">
        <f t="shared" ref="HB5:HB69" si="183">+$GG5*$GH5</f>
        <v>0</v>
      </c>
      <c r="HC5" s="86">
        <f t="shared" ref="HC5:HC69" si="184">+HB5*$G5</f>
        <v>0</v>
      </c>
      <c r="HD5" s="85">
        <f t="shared" ref="HD5:HD69" si="185">+$GG5*$GH5</f>
        <v>0</v>
      </c>
      <c r="HE5" s="86">
        <f t="shared" ref="HE5:HE69" si="186">+HD5*$G5</f>
        <v>0</v>
      </c>
      <c r="HF5" s="85">
        <f t="shared" ref="HF5:HF69" si="187">+$GG5*$GH5</f>
        <v>0</v>
      </c>
      <c r="HG5" s="86">
        <f t="shared" ref="HG5:HG69" si="188">+HF5*$G5</f>
        <v>0</v>
      </c>
      <c r="HH5" s="90">
        <f t="shared" ref="HH5:HH69" si="189">+GJ5+GL5+GN5+GP5+GR5+GT5+GV5+GX5+GZ5+HB5+HD5+HF5</f>
        <v>0</v>
      </c>
      <c r="HI5" s="91">
        <f t="shared" si="47"/>
        <v>0</v>
      </c>
      <c r="HK5" s="24"/>
      <c r="HL5" s="83"/>
      <c r="HM5" s="95">
        <f t="shared" si="48"/>
        <v>0</v>
      </c>
      <c r="HN5" s="85">
        <f t="shared" ref="HN5:HN69" si="190">+$HK5*$HL5</f>
        <v>0</v>
      </c>
      <c r="HO5" s="86">
        <f t="shared" ref="HO5:HO49" si="191">+HN5*G5</f>
        <v>0</v>
      </c>
      <c r="HP5" s="85">
        <f t="shared" ref="HP5:HV69" si="192">+$HK5*$HL5</f>
        <v>0</v>
      </c>
      <c r="HQ5" s="86">
        <f t="shared" ref="HQ5:HS69" si="193">+HP5*$G5</f>
        <v>0</v>
      </c>
      <c r="HR5" s="85">
        <f t="shared" si="192"/>
        <v>0</v>
      </c>
      <c r="HS5" s="86">
        <f t="shared" si="193"/>
        <v>0</v>
      </c>
      <c r="HT5" s="85">
        <f t="shared" si="192"/>
        <v>0</v>
      </c>
      <c r="HU5" s="86">
        <f t="shared" ref="HU5:HU69" si="194">+HT5*$G5</f>
        <v>0</v>
      </c>
      <c r="HV5" s="85">
        <f t="shared" si="192"/>
        <v>0</v>
      </c>
      <c r="HW5" s="86">
        <f t="shared" ref="HW5:HW69" si="195">+HV5*$G5</f>
        <v>0</v>
      </c>
      <c r="HX5" s="85">
        <f t="shared" ref="HX5:HX69" si="196">+$HK5*$HL5</f>
        <v>0</v>
      </c>
      <c r="HY5" s="86">
        <f t="shared" ref="HY5:HY69" si="197">+HX5*$G5</f>
        <v>0</v>
      </c>
      <c r="HZ5" s="85">
        <f t="shared" ref="HZ5:HZ69" si="198">+$HK5*$HL5</f>
        <v>0</v>
      </c>
      <c r="IA5" s="86">
        <f t="shared" ref="IA5:IA69" si="199">+HZ5*$G5</f>
        <v>0</v>
      </c>
      <c r="IB5" s="85">
        <f t="shared" ref="IB5:IB69" si="200">+$HK5*$HL5</f>
        <v>0</v>
      </c>
      <c r="IC5" s="86">
        <f t="shared" ref="IC5:IC69" si="201">+IB5*$G5</f>
        <v>0</v>
      </c>
      <c r="ID5" s="85">
        <f t="shared" ref="ID5:ID69" si="202">+$HK5*$HL5</f>
        <v>0</v>
      </c>
      <c r="IE5" s="86">
        <f t="shared" ref="IE5:IE69" si="203">+ID5*$G5</f>
        <v>0</v>
      </c>
      <c r="IF5" s="85">
        <f t="shared" ref="IF5:IF69" si="204">+$HK5*$HL5</f>
        <v>0</v>
      </c>
      <c r="IG5" s="86">
        <f t="shared" ref="IG5:IG69" si="205">+IF5*$G5</f>
        <v>0</v>
      </c>
      <c r="IH5" s="85">
        <f t="shared" ref="IH5:IH69" si="206">+$HK5*$HL5</f>
        <v>0</v>
      </c>
      <c r="II5" s="86">
        <f t="shared" ref="II5:II69" si="207">+IH5*$G5</f>
        <v>0</v>
      </c>
      <c r="IJ5" s="85">
        <f t="shared" ref="IJ5:IJ69" si="208">+$HK5*$HL5</f>
        <v>0</v>
      </c>
      <c r="IK5" s="86">
        <f t="shared" ref="IK5:IK69" si="209">+IJ5*$G5</f>
        <v>0</v>
      </c>
      <c r="IL5" s="90">
        <f t="shared" ref="IL5:IL69" si="210">+HN5+HP5+HR5+HT5+HV5+HX5+HZ5+IB5+ID5+IF5+IH5+IJ5</f>
        <v>0</v>
      </c>
      <c r="IM5" s="91">
        <f t="shared" ref="IM5:IM69" si="211">+IL5*$G5</f>
        <v>0</v>
      </c>
      <c r="IO5" s="24"/>
      <c r="IP5" s="83"/>
      <c r="IQ5" s="95">
        <f t="shared" si="49"/>
        <v>0</v>
      </c>
      <c r="IR5" s="85">
        <f t="shared" ref="IR5:IR69" si="212">+$IO5*$IP5</f>
        <v>0</v>
      </c>
      <c r="IS5" s="86">
        <f t="shared" ref="IS5:IS69" si="213">+IR5*$G5</f>
        <v>0</v>
      </c>
      <c r="IT5" s="85">
        <f t="shared" si="50"/>
        <v>0</v>
      </c>
      <c r="IU5" s="282">
        <f t="shared" ref="IU5:IW69" si="214">+IT5*$G5</f>
        <v>0</v>
      </c>
      <c r="IV5" s="85">
        <f t="shared" si="51"/>
        <v>0</v>
      </c>
      <c r="IW5" s="282">
        <f t="shared" si="214"/>
        <v>0</v>
      </c>
      <c r="IX5" s="85">
        <f t="shared" si="52"/>
        <v>0</v>
      </c>
      <c r="IY5" s="282">
        <f t="shared" ref="IY5:IY69" si="215">+IX5*$G5</f>
        <v>0</v>
      </c>
      <c r="IZ5" s="85">
        <f t="shared" si="53"/>
        <v>0</v>
      </c>
      <c r="JA5" s="282">
        <f t="shared" ref="JA5:JA69" si="216">+IZ5*$G5</f>
        <v>0</v>
      </c>
      <c r="JB5" s="85">
        <f t="shared" si="54"/>
        <v>0</v>
      </c>
      <c r="JC5" s="282">
        <f t="shared" ref="JC5:JC69" si="217">+JB5*$G5</f>
        <v>0</v>
      </c>
      <c r="JD5" s="85">
        <f t="shared" ref="JD5:JD69" si="218">+$IO5*$IP5</f>
        <v>0</v>
      </c>
      <c r="JE5" s="282">
        <f t="shared" ref="JE5:JE69" si="219">+JD5*$G5</f>
        <v>0</v>
      </c>
      <c r="JF5" s="85">
        <f t="shared" si="55"/>
        <v>0</v>
      </c>
      <c r="JG5" s="282">
        <f t="shared" ref="JG5:JG69" si="220">+JF5*$G5</f>
        <v>0</v>
      </c>
      <c r="JH5" s="85">
        <f t="shared" ref="JH5:JH69" si="221">+$IO5*$IP5</f>
        <v>0</v>
      </c>
      <c r="JI5" s="282">
        <f t="shared" ref="JI5:JI69" si="222">+JH5*$G5</f>
        <v>0</v>
      </c>
      <c r="JJ5" s="85">
        <f t="shared" si="56"/>
        <v>0</v>
      </c>
      <c r="JK5" s="282">
        <f t="shared" ref="JK5:JK69" si="223">+JJ5*$G5</f>
        <v>0</v>
      </c>
      <c r="JL5" s="85">
        <f t="shared" ref="JL5:JL69" si="224">+$IO5*$IP5</f>
        <v>0</v>
      </c>
      <c r="JM5" s="282">
        <f t="shared" ref="JM5:JM69" si="225">+JL5*$G5</f>
        <v>0</v>
      </c>
      <c r="JN5" s="85">
        <f t="shared" si="57"/>
        <v>0</v>
      </c>
      <c r="JO5" s="282">
        <f t="shared" ref="JO5:JO69" si="226">+JN5*$G5</f>
        <v>0</v>
      </c>
      <c r="JP5" s="90">
        <f t="shared" ref="JP5:JP69" si="227">+IR5+IT5+IV5+IX5+IZ5+JB5+JD5+JF5+JH5+JJ5+JL5+JN5</f>
        <v>0</v>
      </c>
      <c r="JQ5" s="91">
        <f t="shared" ref="JQ5:JQ69" si="228">+JP5*$G5</f>
        <v>0</v>
      </c>
      <c r="JS5" s="24"/>
      <c r="JT5" s="83"/>
      <c r="JU5" s="95">
        <f t="shared" si="58"/>
        <v>0</v>
      </c>
      <c r="JV5" s="85">
        <f t="shared" ref="JV5:JV69" si="229">+$JS5*$JT5</f>
        <v>0</v>
      </c>
      <c r="JW5" s="86">
        <f t="shared" ref="JW5:JW69" si="230">+JV5*$G5</f>
        <v>0</v>
      </c>
      <c r="JX5" s="365">
        <f t="shared" si="59"/>
        <v>0</v>
      </c>
      <c r="JY5" s="86">
        <f t="shared" ref="JY5:KA69" si="231">+JX5*$G5</f>
        <v>0</v>
      </c>
      <c r="JZ5" s="365">
        <f t="shared" si="60"/>
        <v>0</v>
      </c>
      <c r="KA5" s="86">
        <f t="shared" si="231"/>
        <v>0</v>
      </c>
      <c r="KB5" s="365">
        <f t="shared" si="61"/>
        <v>0</v>
      </c>
      <c r="KC5" s="86">
        <f t="shared" ref="KC5:KC69" si="232">+KB5*$G5</f>
        <v>0</v>
      </c>
      <c r="KD5" s="365">
        <f t="shared" si="62"/>
        <v>0</v>
      </c>
      <c r="KE5" s="86">
        <f t="shared" ref="KE5:KE69" si="233">+KD5*$G5</f>
        <v>0</v>
      </c>
      <c r="KF5" s="365">
        <f t="shared" si="63"/>
        <v>0</v>
      </c>
      <c r="KG5" s="86">
        <f t="shared" ref="KG5:KG69" si="234">+KF5*$G5</f>
        <v>0</v>
      </c>
      <c r="KH5" s="365">
        <f t="shared" ref="KH5:KH69" si="235">+$JS5*$JT5</f>
        <v>0</v>
      </c>
      <c r="KI5" s="86">
        <f t="shared" ref="KI5:KI69" si="236">+KH5*$G5</f>
        <v>0</v>
      </c>
      <c r="KJ5" s="365">
        <f t="shared" si="64"/>
        <v>0</v>
      </c>
      <c r="KK5" s="86">
        <f t="shared" ref="KK5:KK69" si="237">+KJ5*$G5</f>
        <v>0</v>
      </c>
      <c r="KL5" s="365">
        <f t="shared" ref="KL5:KL69" si="238">+$JS5*$JT5</f>
        <v>0</v>
      </c>
      <c r="KM5" s="86">
        <f t="shared" ref="KM5:KM69" si="239">+KL5*$G5</f>
        <v>0</v>
      </c>
      <c r="KN5" s="365">
        <f t="shared" si="65"/>
        <v>0</v>
      </c>
      <c r="KO5" s="86">
        <f t="shared" ref="KO5:KO69" si="240">+KN5*$G5</f>
        <v>0</v>
      </c>
      <c r="KP5" s="365">
        <f t="shared" ref="KP5:KP69" si="241">+$JS5*$JT5</f>
        <v>0</v>
      </c>
      <c r="KQ5" s="86">
        <f t="shared" ref="KQ5:KQ69" si="242">+KP5*$G5</f>
        <v>0</v>
      </c>
      <c r="KR5" s="365">
        <f t="shared" si="66"/>
        <v>0</v>
      </c>
      <c r="KS5" s="87">
        <f t="shared" ref="KS5:KS69" si="243">+KR5*$G5</f>
        <v>0</v>
      </c>
      <c r="KT5" s="72">
        <f t="shared" ref="KT5:KT69" si="244">+JV5+JX5+JZ5+KB5+KD5+KF5+KH5+KJ5+KL5+KN5+KP5+KR5</f>
        <v>0</v>
      </c>
      <c r="KU5" s="91">
        <f t="shared" si="67"/>
        <v>0</v>
      </c>
      <c r="KW5" s="24"/>
      <c r="KX5" s="83"/>
      <c r="KY5" s="96">
        <f t="shared" si="68"/>
        <v>0</v>
      </c>
      <c r="KZ5" s="85">
        <f>+$KW5*$KX5</f>
        <v>0</v>
      </c>
      <c r="LA5" s="86">
        <f t="shared" ref="LA5:LA18" si="245">+KZ5*$G5</f>
        <v>0</v>
      </c>
      <c r="LB5" s="85">
        <f>+$KW5*$KX5</f>
        <v>0</v>
      </c>
      <c r="LC5" s="86">
        <f t="shared" ref="LC5:LE69" si="246">+LB5*$G5</f>
        <v>0</v>
      </c>
      <c r="LD5" s="85">
        <f>+$KW5*$KX5</f>
        <v>0</v>
      </c>
      <c r="LE5" s="86">
        <f t="shared" si="246"/>
        <v>0</v>
      </c>
      <c r="LF5" s="85">
        <f>+$KW5*$KX5</f>
        <v>0</v>
      </c>
      <c r="LG5" s="86">
        <f t="shared" ref="LG5:LG69" si="247">+LF5*$G5</f>
        <v>0</v>
      </c>
      <c r="LH5" s="85">
        <f>+$KW5*$KX5</f>
        <v>0</v>
      </c>
      <c r="LI5" s="86">
        <f t="shared" ref="LI5:LI69" si="248">+LH5*$G5</f>
        <v>0</v>
      </c>
      <c r="LJ5" s="85">
        <f>+$KW5*$KX5</f>
        <v>0</v>
      </c>
      <c r="LK5" s="86">
        <f t="shared" ref="LK5:LK69" si="249">+LJ5*$G5</f>
        <v>0</v>
      </c>
      <c r="LL5" s="85">
        <f>+$KW5*$KX5</f>
        <v>0</v>
      </c>
      <c r="LM5" s="86">
        <f t="shared" ref="LM5:LM69" si="250">+LL5*$G5</f>
        <v>0</v>
      </c>
      <c r="LN5" s="85">
        <f>+$KW5*$KX5</f>
        <v>0</v>
      </c>
      <c r="LO5" s="86">
        <f t="shared" ref="LO5:LO69" si="251">+LN5*$G5</f>
        <v>0</v>
      </c>
      <c r="LP5" s="85">
        <f>+$KW5*$KX5</f>
        <v>0</v>
      </c>
      <c r="LQ5" s="86">
        <f t="shared" ref="LQ5:LQ69" si="252">+LP5*$G5</f>
        <v>0</v>
      </c>
      <c r="LR5" s="85">
        <f>+$KW5*$KX5</f>
        <v>0</v>
      </c>
      <c r="LS5" s="86">
        <f t="shared" ref="LS5:LS69" si="253">+LR5*$G5</f>
        <v>0</v>
      </c>
      <c r="LT5" s="85"/>
      <c r="LU5" s="86">
        <f t="shared" ref="LU5:LU69" si="254">+LT5*$G5</f>
        <v>0</v>
      </c>
      <c r="LV5" s="85">
        <f>+$KW5*$KX5</f>
        <v>0</v>
      </c>
      <c r="LW5" s="86">
        <f t="shared" ref="LW5:LW69" si="255">+LV5*$G5</f>
        <v>0</v>
      </c>
      <c r="LX5" s="90">
        <f t="shared" ref="LX5:LX69" si="256">+KZ5+LB5+LD5+LF5+LH5+LJ5+LL5+LN5+LP5+LR5+LT5+LV5</f>
        <v>0</v>
      </c>
      <c r="LY5" s="91">
        <f t="shared" ref="LY5:LY69" si="257">+LX5*$G5</f>
        <v>0</v>
      </c>
      <c r="MA5" s="97">
        <f t="shared" si="69"/>
        <v>0</v>
      </c>
      <c r="MB5" s="383">
        <f t="shared" ref="MB5:MB69" si="258">+MA5*$G5</f>
        <v>0</v>
      </c>
      <c r="MC5" s="391">
        <f t="shared" si="70"/>
        <v>0</v>
      </c>
      <c r="MD5" s="383">
        <f t="shared" ref="MD5:MF69" si="259">+MC5*$G5</f>
        <v>0</v>
      </c>
      <c r="ME5" s="391">
        <f t="shared" si="71"/>
        <v>0</v>
      </c>
      <c r="MF5" s="383">
        <f t="shared" si="259"/>
        <v>0</v>
      </c>
      <c r="MG5" s="391">
        <f t="shared" si="72"/>
        <v>0</v>
      </c>
      <c r="MH5" s="383">
        <f t="shared" ref="MH5:MH69" si="260">+MG5*$G5</f>
        <v>0</v>
      </c>
      <c r="MI5" s="391">
        <f t="shared" si="73"/>
        <v>0</v>
      </c>
      <c r="MJ5" s="383">
        <f t="shared" ref="MJ5:MJ69" si="261">+MI5*$G5</f>
        <v>0</v>
      </c>
      <c r="MK5" s="391">
        <f t="shared" si="74"/>
        <v>0</v>
      </c>
      <c r="ML5" s="383">
        <f t="shared" ref="ML5:ML69" si="262">+MK5*$G5</f>
        <v>0</v>
      </c>
      <c r="MM5" s="391">
        <f t="shared" si="75"/>
        <v>0</v>
      </c>
      <c r="MN5" s="383">
        <f t="shared" ref="MN5:MN69" si="263">+MM5*$G5</f>
        <v>0</v>
      </c>
      <c r="MO5" s="391">
        <f t="shared" si="76"/>
        <v>0</v>
      </c>
      <c r="MP5" s="383">
        <f t="shared" ref="MP5:MP69" si="264">+MO5*$G5</f>
        <v>0</v>
      </c>
      <c r="MQ5" s="391">
        <f t="shared" si="77"/>
        <v>0</v>
      </c>
      <c r="MR5" s="383">
        <f t="shared" ref="MR5:MR69" si="265">+MQ5*$G5</f>
        <v>0</v>
      </c>
      <c r="MS5" s="391">
        <f t="shared" si="78"/>
        <v>0</v>
      </c>
      <c r="MT5" s="383">
        <f t="shared" ref="MT5:MT69" si="266">+MS5*$G5</f>
        <v>0</v>
      </c>
      <c r="MU5" s="391">
        <f t="shared" si="79"/>
        <v>0</v>
      </c>
      <c r="MV5" s="383">
        <f t="shared" ref="MV5:MV69" si="267">+MU5*$G5</f>
        <v>0</v>
      </c>
      <c r="MW5" s="391">
        <f t="shared" si="80"/>
        <v>0</v>
      </c>
      <c r="MX5" s="383">
        <f t="shared" ref="MX5:MX69" si="268">+MW5*$G5</f>
        <v>0</v>
      </c>
      <c r="MY5" s="98">
        <f t="shared" ref="MY5:MY69" si="269">+MA5+MC5+ME5+MG5+MI5+MK5+MM5+MO5+MQ5+MS5+MU5+MW5</f>
        <v>0</v>
      </c>
      <c r="MZ5" s="99">
        <f t="shared" ref="MZ5:MZ69" si="270">+MY5*$G5</f>
        <v>0</v>
      </c>
    </row>
    <row r="6" spans="1:364" s="63" customFormat="1" ht="52.8" x14ac:dyDescent="0.3">
      <c r="A6" s="540"/>
      <c r="B6" s="80" t="s">
        <v>29</v>
      </c>
      <c r="C6" s="81" t="s">
        <v>30</v>
      </c>
      <c r="D6" s="82" t="s">
        <v>31</v>
      </c>
      <c r="E6" s="9">
        <v>1</v>
      </c>
      <c r="F6" s="343">
        <v>244053.83967883966</v>
      </c>
      <c r="G6" s="343">
        <f t="shared" si="81"/>
        <v>254225.07398774062</v>
      </c>
      <c r="I6" s="12">
        <v>1</v>
      </c>
      <c r="J6" s="10">
        <v>1</v>
      </c>
      <c r="K6" s="84">
        <f t="shared" si="82"/>
        <v>254225.07398774062</v>
      </c>
      <c r="L6" s="85">
        <f>60+8</f>
        <v>68</v>
      </c>
      <c r="M6" s="282">
        <f t="shared" si="84"/>
        <v>17287305.031166364</v>
      </c>
      <c r="N6" s="85">
        <f>36+8</f>
        <v>44</v>
      </c>
      <c r="O6" s="282">
        <f t="shared" si="84"/>
        <v>11185903.255460586</v>
      </c>
      <c r="P6" s="85">
        <f>40+10</f>
        <v>50</v>
      </c>
      <c r="Q6" s="282">
        <f t="shared" si="85"/>
        <v>12711253.699387031</v>
      </c>
      <c r="R6" s="85">
        <f>44+10</f>
        <v>54</v>
      </c>
      <c r="S6" s="282">
        <f t="shared" si="86"/>
        <v>13728153.995337993</v>
      </c>
      <c r="T6" s="85">
        <f>51+12</f>
        <v>63</v>
      </c>
      <c r="U6" s="282">
        <f t="shared" si="87"/>
        <v>16016179.661227658</v>
      </c>
      <c r="V6" s="85">
        <f>55+1</f>
        <v>56</v>
      </c>
      <c r="W6" s="282">
        <f t="shared" si="88"/>
        <v>14236604.143313475</v>
      </c>
      <c r="X6" s="85">
        <f>45+9</f>
        <v>54</v>
      </c>
      <c r="Y6" s="282">
        <f t="shared" si="89"/>
        <v>13728153.995337993</v>
      </c>
      <c r="Z6" s="85">
        <f>72+12</f>
        <v>84</v>
      </c>
      <c r="AA6" s="282">
        <f t="shared" si="90"/>
        <v>21354906.214970212</v>
      </c>
      <c r="AB6" s="85">
        <f>40+8</f>
        <v>48</v>
      </c>
      <c r="AC6" s="282">
        <f t="shared" si="91"/>
        <v>12202803.55141155</v>
      </c>
      <c r="AD6" s="85">
        <f>50+10</f>
        <v>60</v>
      </c>
      <c r="AE6" s="282">
        <f t="shared" si="92"/>
        <v>15253504.439264437</v>
      </c>
      <c r="AF6" s="85">
        <f>60+12</f>
        <v>72</v>
      </c>
      <c r="AG6" s="282">
        <f t="shared" si="93"/>
        <v>18304205.327117324</v>
      </c>
      <c r="AH6" s="85">
        <f>54+10</f>
        <v>64</v>
      </c>
      <c r="AI6" s="291">
        <f t="shared" si="93"/>
        <v>16270404.735215399</v>
      </c>
      <c r="AJ6" s="88">
        <f t="shared" si="94"/>
        <v>717</v>
      </c>
      <c r="AK6" s="303">
        <f t="shared" si="95"/>
        <v>182279378.04921001</v>
      </c>
      <c r="AM6" s="12"/>
      <c r="AN6" s="10">
        <v>0</v>
      </c>
      <c r="AO6" s="89">
        <f t="shared" si="0"/>
        <v>0</v>
      </c>
      <c r="AP6" s="85">
        <f t="shared" si="1"/>
        <v>0</v>
      </c>
      <c r="AQ6" s="86">
        <f t="shared" si="96"/>
        <v>0</v>
      </c>
      <c r="AR6" s="314">
        <f t="shared" si="2"/>
        <v>0</v>
      </c>
      <c r="AS6" s="281">
        <f t="shared" si="97"/>
        <v>0</v>
      </c>
      <c r="AT6" s="314">
        <f t="shared" si="3"/>
        <v>0</v>
      </c>
      <c r="AU6" s="281">
        <f t="shared" si="97"/>
        <v>0</v>
      </c>
      <c r="AV6" s="314">
        <f t="shared" si="4"/>
        <v>0</v>
      </c>
      <c r="AW6" s="281">
        <f t="shared" si="98"/>
        <v>0</v>
      </c>
      <c r="AX6" s="314">
        <f t="shared" si="5"/>
        <v>0</v>
      </c>
      <c r="AY6" s="281">
        <f t="shared" si="99"/>
        <v>0</v>
      </c>
      <c r="AZ6" s="314">
        <f t="shared" si="6"/>
        <v>0</v>
      </c>
      <c r="BA6" s="281">
        <f t="shared" si="100"/>
        <v>0</v>
      </c>
      <c r="BB6" s="314">
        <f t="shared" si="7"/>
        <v>0</v>
      </c>
      <c r="BC6" s="281">
        <f t="shared" si="101"/>
        <v>0</v>
      </c>
      <c r="BD6" s="314">
        <f t="shared" si="8"/>
        <v>0</v>
      </c>
      <c r="BE6" s="281">
        <f t="shared" si="102"/>
        <v>0</v>
      </c>
      <c r="BF6" s="314">
        <f t="shared" si="9"/>
        <v>0</v>
      </c>
      <c r="BG6" s="281">
        <f t="shared" si="103"/>
        <v>0</v>
      </c>
      <c r="BH6" s="314">
        <f t="shared" si="10"/>
        <v>0</v>
      </c>
      <c r="BI6" s="281">
        <f t="shared" si="104"/>
        <v>0</v>
      </c>
      <c r="BJ6" s="314">
        <f t="shared" si="11"/>
        <v>0</v>
      </c>
      <c r="BK6" s="281">
        <f t="shared" si="104"/>
        <v>0</v>
      </c>
      <c r="BL6" s="85">
        <f t="shared" si="12"/>
        <v>0</v>
      </c>
      <c r="BM6" s="322">
        <f t="shared" si="105"/>
        <v>0</v>
      </c>
      <c r="BN6" s="72">
        <f t="shared" si="106"/>
        <v>0</v>
      </c>
      <c r="BO6" s="326">
        <f t="shared" si="13"/>
        <v>0</v>
      </c>
      <c r="BQ6" s="12"/>
      <c r="BR6" s="10"/>
      <c r="BS6" s="100">
        <f t="shared" si="14"/>
        <v>0</v>
      </c>
      <c r="BT6" s="85">
        <f>27+15</f>
        <v>42</v>
      </c>
      <c r="BU6" s="329">
        <f t="shared" si="107"/>
        <v>10677453.107485106</v>
      </c>
      <c r="BV6" s="85">
        <f>36+15</f>
        <v>51</v>
      </c>
      <c r="BW6" s="86">
        <f t="shared" si="108"/>
        <v>12965478.773374772</v>
      </c>
      <c r="BX6" s="85">
        <f>24+15</f>
        <v>39</v>
      </c>
      <c r="BY6" s="86">
        <f t="shared" si="109"/>
        <v>9914777.8855218831</v>
      </c>
      <c r="BZ6" s="85">
        <f>30+15</f>
        <v>45</v>
      </c>
      <c r="CA6" s="86">
        <f t="shared" si="110"/>
        <v>11440128.329448327</v>
      </c>
      <c r="CB6" s="85">
        <f>36+15</f>
        <v>51</v>
      </c>
      <c r="CC6" s="86">
        <f t="shared" si="111"/>
        <v>12965478.773374772</v>
      </c>
      <c r="CD6" s="85">
        <f>40+15</f>
        <v>55</v>
      </c>
      <c r="CE6" s="86">
        <f t="shared" si="112"/>
        <v>13982379.069325734</v>
      </c>
      <c r="CF6" s="85">
        <f>50+15</f>
        <v>65</v>
      </c>
      <c r="CG6" s="86">
        <f t="shared" si="114"/>
        <v>16524629.80920314</v>
      </c>
      <c r="CH6" s="85">
        <f>27+15</f>
        <v>42</v>
      </c>
      <c r="CI6" s="86">
        <f t="shared" si="115"/>
        <v>10677453.107485106</v>
      </c>
      <c r="CJ6" s="85">
        <f>30+15</f>
        <v>45</v>
      </c>
      <c r="CK6" s="86">
        <f t="shared" si="117"/>
        <v>11440128.329448327</v>
      </c>
      <c r="CL6" s="85">
        <f>34+15</f>
        <v>49</v>
      </c>
      <c r="CM6" s="86">
        <f t="shared" si="118"/>
        <v>12457028.62539929</v>
      </c>
      <c r="CN6" s="85">
        <f>36+15</f>
        <v>51</v>
      </c>
      <c r="CO6" s="86">
        <f t="shared" si="120"/>
        <v>12965478.773374772</v>
      </c>
      <c r="CP6" s="85">
        <f>33+15</f>
        <v>48</v>
      </c>
      <c r="CQ6" s="87">
        <f t="shared" si="23"/>
        <v>12202803.55141155</v>
      </c>
      <c r="CR6" s="90">
        <f t="shared" si="121"/>
        <v>583</v>
      </c>
      <c r="CS6" s="91">
        <f t="shared" si="24"/>
        <v>148213218.13485277</v>
      </c>
      <c r="CU6" s="12">
        <v>0</v>
      </c>
      <c r="CV6" s="10"/>
      <c r="CW6" s="95">
        <f t="shared" si="25"/>
        <v>0</v>
      </c>
      <c r="CX6" s="85">
        <f>27+15</f>
        <v>42</v>
      </c>
      <c r="CY6" s="329">
        <f t="shared" si="123"/>
        <v>10677453.107485106</v>
      </c>
      <c r="CZ6" s="85">
        <f>36+15</f>
        <v>51</v>
      </c>
      <c r="DA6" s="86">
        <f t="shared" si="123"/>
        <v>12965478.773374772</v>
      </c>
      <c r="DB6" s="85">
        <f>24+15</f>
        <v>39</v>
      </c>
      <c r="DC6" s="86">
        <f t="shared" si="124"/>
        <v>9914777.8855218831</v>
      </c>
      <c r="DD6" s="85">
        <f>30+15</f>
        <v>45</v>
      </c>
      <c r="DE6" s="86">
        <f t="shared" si="125"/>
        <v>11440128.329448327</v>
      </c>
      <c r="DF6" s="85">
        <f>36+15</f>
        <v>51</v>
      </c>
      <c r="DG6" s="86">
        <f t="shared" si="126"/>
        <v>12965478.773374772</v>
      </c>
      <c r="DH6" s="85">
        <f>40+15</f>
        <v>55</v>
      </c>
      <c r="DI6" s="86">
        <f t="shared" si="127"/>
        <v>13982379.069325734</v>
      </c>
      <c r="DJ6" s="85">
        <f>50+15</f>
        <v>65</v>
      </c>
      <c r="DK6" s="86">
        <f t="shared" si="129"/>
        <v>16524629.80920314</v>
      </c>
      <c r="DL6" s="85">
        <f>27+15</f>
        <v>42</v>
      </c>
      <c r="DM6" s="86">
        <f t="shared" si="130"/>
        <v>10677453.107485106</v>
      </c>
      <c r="DN6" s="85">
        <f>30+15</f>
        <v>45</v>
      </c>
      <c r="DO6" s="86">
        <f t="shared" si="132"/>
        <v>11440128.329448327</v>
      </c>
      <c r="DP6" s="85">
        <f>34+15</f>
        <v>49</v>
      </c>
      <c r="DQ6" s="86">
        <f t="shared" si="133"/>
        <v>12457028.62539929</v>
      </c>
      <c r="DR6" s="85">
        <f>36+15</f>
        <v>51</v>
      </c>
      <c r="DS6" s="86">
        <f t="shared" si="135"/>
        <v>12965478.773374772</v>
      </c>
      <c r="DT6" s="85">
        <f>33+15</f>
        <v>48</v>
      </c>
      <c r="DU6" s="87">
        <f>+DT6*AK6</f>
        <v>8749410146.3620796</v>
      </c>
      <c r="DV6" s="90">
        <f t="shared" si="137"/>
        <v>583</v>
      </c>
      <c r="DW6" s="91">
        <f t="shared" si="34"/>
        <v>148213218.13485277</v>
      </c>
      <c r="DY6" s="97"/>
      <c r="DZ6" s="10"/>
      <c r="EA6" s="95">
        <f t="shared" si="35"/>
        <v>0</v>
      </c>
      <c r="EB6" s="85">
        <f t="shared" si="138"/>
        <v>0</v>
      </c>
      <c r="EC6" s="86">
        <f t="shared" si="139"/>
        <v>0</v>
      </c>
      <c r="ED6" s="314">
        <v>0</v>
      </c>
      <c r="EE6" s="86">
        <f t="shared" si="139"/>
        <v>0</v>
      </c>
      <c r="EF6" s="85">
        <f t="shared" si="140"/>
        <v>0</v>
      </c>
      <c r="EG6" s="86">
        <f t="shared" si="141"/>
        <v>0</v>
      </c>
      <c r="EH6" s="85">
        <f t="shared" si="142"/>
        <v>0</v>
      </c>
      <c r="EI6" s="86">
        <f t="shared" si="141"/>
        <v>0</v>
      </c>
      <c r="EJ6" s="85">
        <f t="shared" si="142"/>
        <v>0</v>
      </c>
      <c r="EK6" s="86">
        <f t="shared" si="143"/>
        <v>0</v>
      </c>
      <c r="EL6" s="85">
        <f t="shared" si="142"/>
        <v>0</v>
      </c>
      <c r="EM6" s="86">
        <f t="shared" si="144"/>
        <v>0</v>
      </c>
      <c r="EN6" s="85">
        <f t="shared" si="142"/>
        <v>0</v>
      </c>
      <c r="EO6" s="86">
        <f t="shared" si="145"/>
        <v>0</v>
      </c>
      <c r="EP6" s="85">
        <f t="shared" si="142"/>
        <v>0</v>
      </c>
      <c r="EQ6" s="86">
        <f t="shared" si="146"/>
        <v>0</v>
      </c>
      <c r="ER6" s="85">
        <f t="shared" si="142"/>
        <v>0</v>
      </c>
      <c r="ES6" s="86">
        <f t="shared" si="147"/>
        <v>0</v>
      </c>
      <c r="ET6" s="85">
        <f t="shared" si="142"/>
        <v>0</v>
      </c>
      <c r="EU6" s="86">
        <f t="shared" si="148"/>
        <v>0</v>
      </c>
      <c r="EV6" s="85">
        <f t="shared" si="142"/>
        <v>0</v>
      </c>
      <c r="EW6" s="86">
        <f t="shared" si="149"/>
        <v>0</v>
      </c>
      <c r="EX6" s="85">
        <f t="shared" si="142"/>
        <v>0</v>
      </c>
      <c r="EY6" s="86">
        <f t="shared" si="150"/>
        <v>0</v>
      </c>
      <c r="EZ6" s="90">
        <f t="shared" si="151"/>
        <v>0</v>
      </c>
      <c r="FA6" s="91">
        <f t="shared" si="36"/>
        <v>0</v>
      </c>
      <c r="FC6" s="12"/>
      <c r="FD6" s="10"/>
      <c r="FE6" s="95">
        <f t="shared" si="152"/>
        <v>0</v>
      </c>
      <c r="FF6" s="85">
        <v>70</v>
      </c>
      <c r="FG6" s="86">
        <f t="shared" si="154"/>
        <v>17795755.179141842</v>
      </c>
      <c r="FH6" s="365">
        <v>39</v>
      </c>
      <c r="FI6" s="86">
        <f t="shared" si="155"/>
        <v>9914777.8855218831</v>
      </c>
      <c r="FJ6" s="365">
        <v>42</v>
      </c>
      <c r="FK6" s="86">
        <f t="shared" si="155"/>
        <v>10677453.107485106</v>
      </c>
      <c r="FL6" s="365">
        <v>39</v>
      </c>
      <c r="FM6" s="86">
        <f t="shared" si="156"/>
        <v>9914777.8855218831</v>
      </c>
      <c r="FN6" s="365">
        <v>51</v>
      </c>
      <c r="FO6" s="86">
        <f t="shared" si="157"/>
        <v>12965478.773374772</v>
      </c>
      <c r="FP6" s="365">
        <v>45</v>
      </c>
      <c r="FQ6" s="86">
        <f t="shared" si="158"/>
        <v>11440128.329448327</v>
      </c>
      <c r="FR6" s="365">
        <v>42</v>
      </c>
      <c r="FS6" s="86">
        <f t="shared" si="160"/>
        <v>10677453.107485106</v>
      </c>
      <c r="FT6" s="365">
        <v>48</v>
      </c>
      <c r="FU6" s="86">
        <f t="shared" si="161"/>
        <v>12202803.55141155</v>
      </c>
      <c r="FV6" s="365">
        <v>36</v>
      </c>
      <c r="FW6" s="86">
        <f t="shared" si="163"/>
        <v>9152102.6635586619</v>
      </c>
      <c r="FX6" s="365">
        <v>45</v>
      </c>
      <c r="FY6" s="86">
        <f t="shared" si="164"/>
        <v>11440128.329448327</v>
      </c>
      <c r="FZ6" s="365">
        <v>51</v>
      </c>
      <c r="GA6" s="86">
        <f t="shared" si="166"/>
        <v>12965478.773374772</v>
      </c>
      <c r="GB6" s="365">
        <v>82</v>
      </c>
      <c r="GC6" s="86">
        <f t="shared" si="167"/>
        <v>20846456.06699473</v>
      </c>
      <c r="GD6" s="90">
        <f t="shared" si="168"/>
        <v>590</v>
      </c>
      <c r="GE6" s="91">
        <f t="shared" si="45"/>
        <v>149992793.65276697</v>
      </c>
      <c r="GG6" s="12">
        <v>0</v>
      </c>
      <c r="GH6" s="10">
        <v>30</v>
      </c>
      <c r="GI6" s="95">
        <f t="shared" si="46"/>
        <v>0</v>
      </c>
      <c r="GJ6" s="85">
        <f>22+30</f>
        <v>52</v>
      </c>
      <c r="GK6" s="86">
        <f t="shared" si="170"/>
        <v>13219703.847362513</v>
      </c>
      <c r="GL6" s="85">
        <f>16+30</f>
        <v>46</v>
      </c>
      <c r="GM6" s="86">
        <f t="shared" si="170"/>
        <v>11694353.403436068</v>
      </c>
      <c r="GN6" s="85">
        <f>20+30</f>
        <v>50</v>
      </c>
      <c r="GO6" s="86">
        <f t="shared" si="171"/>
        <v>12711253.699387031</v>
      </c>
      <c r="GP6" s="85">
        <f>14+30</f>
        <v>44</v>
      </c>
      <c r="GQ6" s="86">
        <f t="shared" si="172"/>
        <v>11185903.255460586</v>
      </c>
      <c r="GR6" s="85">
        <f>24+30</f>
        <v>54</v>
      </c>
      <c r="GS6" s="86">
        <f t="shared" si="174"/>
        <v>13728153.995337993</v>
      </c>
      <c r="GT6" s="85">
        <f>11+30</f>
        <v>41</v>
      </c>
      <c r="GU6" s="86">
        <f t="shared" si="176"/>
        <v>10423228.033497365</v>
      </c>
      <c r="GV6" s="85">
        <f>9+30</f>
        <v>39</v>
      </c>
      <c r="GW6" s="86">
        <f t="shared" si="178"/>
        <v>9914777.8855218831</v>
      </c>
      <c r="GX6" s="85">
        <f>12+30</f>
        <v>42</v>
      </c>
      <c r="GY6" s="86">
        <v>0</v>
      </c>
      <c r="GZ6" s="85">
        <f>8+30</f>
        <v>38</v>
      </c>
      <c r="HA6" s="86">
        <f t="shared" si="182"/>
        <v>9660552.811534144</v>
      </c>
      <c r="HB6" s="85">
        <f>10+30</f>
        <v>40</v>
      </c>
      <c r="HC6" s="86">
        <f t="shared" si="184"/>
        <v>10169002.959509624</v>
      </c>
      <c r="HD6" s="85">
        <f>12+30</f>
        <v>42</v>
      </c>
      <c r="HE6" s="86">
        <f t="shared" si="186"/>
        <v>10677453.107485106</v>
      </c>
      <c r="HF6" s="85">
        <f>20+30</f>
        <v>50</v>
      </c>
      <c r="HG6" s="86">
        <f t="shared" si="188"/>
        <v>12711253.699387031</v>
      </c>
      <c r="HH6" s="90">
        <f t="shared" si="189"/>
        <v>538</v>
      </c>
      <c r="HI6" s="91">
        <f t="shared" si="47"/>
        <v>136773089.80540445</v>
      </c>
      <c r="HK6" s="12"/>
      <c r="HL6" s="10"/>
      <c r="HM6" s="95">
        <f t="shared" si="48"/>
        <v>0</v>
      </c>
      <c r="HN6" s="85">
        <f t="shared" si="190"/>
        <v>0</v>
      </c>
      <c r="HO6" s="86">
        <f t="shared" si="191"/>
        <v>0</v>
      </c>
      <c r="HP6" s="85">
        <f t="shared" si="192"/>
        <v>0</v>
      </c>
      <c r="HQ6" s="86">
        <f t="shared" si="193"/>
        <v>0</v>
      </c>
      <c r="HR6" s="85">
        <f t="shared" si="192"/>
        <v>0</v>
      </c>
      <c r="HS6" s="86">
        <f t="shared" si="193"/>
        <v>0</v>
      </c>
      <c r="HT6" s="85">
        <f t="shared" si="192"/>
        <v>0</v>
      </c>
      <c r="HU6" s="86">
        <f t="shared" si="194"/>
        <v>0</v>
      </c>
      <c r="HV6" s="85">
        <f t="shared" si="192"/>
        <v>0</v>
      </c>
      <c r="HW6" s="86">
        <f t="shared" si="195"/>
        <v>0</v>
      </c>
      <c r="HX6" s="85">
        <f t="shared" si="196"/>
        <v>0</v>
      </c>
      <c r="HY6" s="86">
        <f t="shared" si="197"/>
        <v>0</v>
      </c>
      <c r="HZ6" s="85">
        <f t="shared" si="198"/>
        <v>0</v>
      </c>
      <c r="IA6" s="86">
        <f t="shared" si="199"/>
        <v>0</v>
      </c>
      <c r="IB6" s="85">
        <f t="shared" si="200"/>
        <v>0</v>
      </c>
      <c r="IC6" s="86">
        <f t="shared" si="201"/>
        <v>0</v>
      </c>
      <c r="ID6" s="85">
        <f t="shared" si="202"/>
        <v>0</v>
      </c>
      <c r="IE6" s="86">
        <f t="shared" si="203"/>
        <v>0</v>
      </c>
      <c r="IF6" s="85">
        <f t="shared" si="204"/>
        <v>0</v>
      </c>
      <c r="IG6" s="86">
        <f t="shared" si="205"/>
        <v>0</v>
      </c>
      <c r="IH6" s="85">
        <f t="shared" si="206"/>
        <v>0</v>
      </c>
      <c r="II6" s="86">
        <f t="shared" si="207"/>
        <v>0</v>
      </c>
      <c r="IJ6" s="85">
        <f t="shared" si="208"/>
        <v>0</v>
      </c>
      <c r="IK6" s="86">
        <f t="shared" si="209"/>
        <v>0</v>
      </c>
      <c r="IL6" s="90">
        <f t="shared" si="210"/>
        <v>0</v>
      </c>
      <c r="IM6" s="91">
        <f t="shared" si="211"/>
        <v>0</v>
      </c>
      <c r="IO6" s="12"/>
      <c r="IP6" s="10"/>
      <c r="IQ6" s="95">
        <f t="shared" si="49"/>
        <v>0</v>
      </c>
      <c r="IR6" s="85">
        <f t="shared" si="212"/>
        <v>0</v>
      </c>
      <c r="IS6" s="86">
        <f t="shared" si="213"/>
        <v>0</v>
      </c>
      <c r="IT6" s="85">
        <f t="shared" si="50"/>
        <v>0</v>
      </c>
      <c r="IU6" s="282">
        <f t="shared" si="214"/>
        <v>0</v>
      </c>
      <c r="IV6" s="85">
        <f t="shared" si="51"/>
        <v>0</v>
      </c>
      <c r="IW6" s="282">
        <f t="shared" si="214"/>
        <v>0</v>
      </c>
      <c r="IX6" s="85">
        <f t="shared" si="52"/>
        <v>0</v>
      </c>
      <c r="IY6" s="282">
        <f t="shared" si="215"/>
        <v>0</v>
      </c>
      <c r="IZ6" s="85">
        <f t="shared" si="53"/>
        <v>0</v>
      </c>
      <c r="JA6" s="282">
        <f t="shared" si="216"/>
        <v>0</v>
      </c>
      <c r="JB6" s="85">
        <f t="shared" si="54"/>
        <v>0</v>
      </c>
      <c r="JC6" s="282">
        <f t="shared" si="217"/>
        <v>0</v>
      </c>
      <c r="JD6" s="85">
        <f t="shared" si="218"/>
        <v>0</v>
      </c>
      <c r="JE6" s="282">
        <f t="shared" si="219"/>
        <v>0</v>
      </c>
      <c r="JF6" s="85">
        <f t="shared" si="55"/>
        <v>0</v>
      </c>
      <c r="JG6" s="282">
        <f t="shared" si="220"/>
        <v>0</v>
      </c>
      <c r="JH6" s="85">
        <f t="shared" si="221"/>
        <v>0</v>
      </c>
      <c r="JI6" s="282">
        <f t="shared" si="222"/>
        <v>0</v>
      </c>
      <c r="JJ6" s="85">
        <f t="shared" si="56"/>
        <v>0</v>
      </c>
      <c r="JK6" s="282">
        <f t="shared" si="223"/>
        <v>0</v>
      </c>
      <c r="JL6" s="85">
        <f t="shared" si="224"/>
        <v>0</v>
      </c>
      <c r="JM6" s="282">
        <f t="shared" si="225"/>
        <v>0</v>
      </c>
      <c r="JN6" s="85">
        <f t="shared" si="57"/>
        <v>0</v>
      </c>
      <c r="JO6" s="282">
        <f t="shared" si="226"/>
        <v>0</v>
      </c>
      <c r="JP6" s="90">
        <f t="shared" si="227"/>
        <v>0</v>
      </c>
      <c r="JQ6" s="91">
        <f t="shared" si="228"/>
        <v>0</v>
      </c>
      <c r="JS6" s="12"/>
      <c r="JT6" s="10"/>
      <c r="JU6" s="95">
        <f t="shared" si="58"/>
        <v>0</v>
      </c>
      <c r="JV6" s="85">
        <f t="shared" si="229"/>
        <v>0</v>
      </c>
      <c r="JW6" s="86">
        <f t="shared" si="230"/>
        <v>0</v>
      </c>
      <c r="JX6" s="365">
        <f t="shared" si="59"/>
        <v>0</v>
      </c>
      <c r="JY6" s="86">
        <f t="shared" si="231"/>
        <v>0</v>
      </c>
      <c r="JZ6" s="365">
        <f t="shared" si="60"/>
        <v>0</v>
      </c>
      <c r="KA6" s="86">
        <f t="shared" si="231"/>
        <v>0</v>
      </c>
      <c r="KB6" s="365">
        <f t="shared" si="61"/>
        <v>0</v>
      </c>
      <c r="KC6" s="86">
        <f t="shared" si="232"/>
        <v>0</v>
      </c>
      <c r="KD6" s="365">
        <f t="shared" si="62"/>
        <v>0</v>
      </c>
      <c r="KE6" s="86">
        <f t="shared" si="233"/>
        <v>0</v>
      </c>
      <c r="KF6" s="365">
        <f t="shared" si="63"/>
        <v>0</v>
      </c>
      <c r="KG6" s="86">
        <f t="shared" si="234"/>
        <v>0</v>
      </c>
      <c r="KH6" s="365">
        <f t="shared" si="235"/>
        <v>0</v>
      </c>
      <c r="KI6" s="86">
        <f t="shared" si="236"/>
        <v>0</v>
      </c>
      <c r="KJ6" s="365">
        <f t="shared" si="64"/>
        <v>0</v>
      </c>
      <c r="KK6" s="86">
        <f t="shared" si="237"/>
        <v>0</v>
      </c>
      <c r="KL6" s="365">
        <f t="shared" si="238"/>
        <v>0</v>
      </c>
      <c r="KM6" s="86">
        <f t="shared" si="239"/>
        <v>0</v>
      </c>
      <c r="KN6" s="365">
        <f t="shared" si="65"/>
        <v>0</v>
      </c>
      <c r="KO6" s="86">
        <f t="shared" si="240"/>
        <v>0</v>
      </c>
      <c r="KP6" s="365">
        <f t="shared" si="241"/>
        <v>0</v>
      </c>
      <c r="KQ6" s="86">
        <f t="shared" si="242"/>
        <v>0</v>
      </c>
      <c r="KR6" s="365">
        <f t="shared" si="66"/>
        <v>0</v>
      </c>
      <c r="KS6" s="87">
        <f t="shared" si="243"/>
        <v>0</v>
      </c>
      <c r="KT6" s="90">
        <f t="shared" si="244"/>
        <v>0</v>
      </c>
      <c r="KU6" s="91">
        <f t="shared" si="67"/>
        <v>0</v>
      </c>
      <c r="KW6" s="12">
        <v>0</v>
      </c>
      <c r="KX6" s="10"/>
      <c r="KY6" s="96">
        <f t="shared" si="68"/>
        <v>0</v>
      </c>
      <c r="KZ6" s="85">
        <f t="shared" ref="KZ6:KZ70" si="271">+$KW6*$KX6</f>
        <v>0</v>
      </c>
      <c r="LA6" s="86">
        <f t="shared" si="245"/>
        <v>0</v>
      </c>
      <c r="LB6" s="85">
        <f t="shared" ref="LB6:LH69" si="272">+$KW6*$KX6</f>
        <v>0</v>
      </c>
      <c r="LC6" s="86">
        <f t="shared" si="246"/>
        <v>0</v>
      </c>
      <c r="LD6" s="85">
        <f t="shared" si="272"/>
        <v>0</v>
      </c>
      <c r="LE6" s="86">
        <f t="shared" si="246"/>
        <v>0</v>
      </c>
      <c r="LF6" s="85">
        <f t="shared" si="272"/>
        <v>0</v>
      </c>
      <c r="LG6" s="86">
        <f t="shared" si="247"/>
        <v>0</v>
      </c>
      <c r="LH6" s="85">
        <f t="shared" si="272"/>
        <v>0</v>
      </c>
      <c r="LI6" s="86">
        <f t="shared" si="248"/>
        <v>0</v>
      </c>
      <c r="LJ6" s="85">
        <f t="shared" ref="LJ6:LJ69" si="273">+$KW6*$KX6</f>
        <v>0</v>
      </c>
      <c r="LK6" s="86">
        <f t="shared" si="249"/>
        <v>0</v>
      </c>
      <c r="LL6" s="85">
        <f t="shared" ref="LL6:LN69" si="274">+$KW6*$KX6</f>
        <v>0</v>
      </c>
      <c r="LM6" s="86">
        <f t="shared" si="250"/>
        <v>0</v>
      </c>
      <c r="LN6" s="85">
        <f t="shared" ref="LN6:LN69" si="275">+$KW6*$KX6</f>
        <v>0</v>
      </c>
      <c r="LO6" s="86">
        <f t="shared" si="251"/>
        <v>0</v>
      </c>
      <c r="LP6" s="85">
        <f t="shared" ref="LP6:LP70" si="276">+$KW6*$KX6</f>
        <v>0</v>
      </c>
      <c r="LQ6" s="86">
        <f t="shared" si="252"/>
        <v>0</v>
      </c>
      <c r="LR6" s="85">
        <f t="shared" ref="LR6:LR70" si="277">+$KW6*$KX6</f>
        <v>0</v>
      </c>
      <c r="LS6" s="86">
        <f t="shared" si="253"/>
        <v>0</v>
      </c>
      <c r="LT6" s="85">
        <f t="shared" ref="LT6:LT70" si="278">+$KW6*$KX6</f>
        <v>0</v>
      </c>
      <c r="LU6" s="86">
        <f t="shared" si="254"/>
        <v>0</v>
      </c>
      <c r="LV6" s="85">
        <f t="shared" ref="LV6:LV70" si="279">+$KW6*$KX6</f>
        <v>0</v>
      </c>
      <c r="LW6" s="86">
        <f t="shared" si="255"/>
        <v>0</v>
      </c>
      <c r="LX6" s="90">
        <f t="shared" si="256"/>
        <v>0</v>
      </c>
      <c r="LY6" s="91">
        <f t="shared" si="257"/>
        <v>0</v>
      </c>
      <c r="MA6" s="97">
        <f t="shared" si="69"/>
        <v>274</v>
      </c>
      <c r="MB6" s="383">
        <f t="shared" si="258"/>
        <v>69657670.272640929</v>
      </c>
      <c r="MC6" s="391">
        <f t="shared" si="70"/>
        <v>231</v>
      </c>
      <c r="MD6" s="383">
        <f t="shared" si="259"/>
        <v>58725992.091168083</v>
      </c>
      <c r="ME6" s="391">
        <f t="shared" si="71"/>
        <v>220</v>
      </c>
      <c r="MF6" s="383">
        <f t="shared" si="259"/>
        <v>55929516.277302936</v>
      </c>
      <c r="MG6" s="391">
        <f t="shared" si="72"/>
        <v>227</v>
      </c>
      <c r="MH6" s="383">
        <f t="shared" si="260"/>
        <v>57709091.795217119</v>
      </c>
      <c r="MI6" s="391">
        <f t="shared" si="73"/>
        <v>270</v>
      </c>
      <c r="MJ6" s="383">
        <f t="shared" si="261"/>
        <v>68640769.976689965</v>
      </c>
      <c r="MK6" s="391">
        <f t="shared" si="74"/>
        <v>252</v>
      </c>
      <c r="ML6" s="383">
        <f t="shared" si="262"/>
        <v>64064718.644910634</v>
      </c>
      <c r="MM6" s="391">
        <f t="shared" si="75"/>
        <v>265</v>
      </c>
      <c r="MN6" s="383">
        <f t="shared" si="263"/>
        <v>67369644.606751263</v>
      </c>
      <c r="MO6" s="391">
        <f t="shared" si="76"/>
        <v>258</v>
      </c>
      <c r="MP6" s="383">
        <f t="shared" si="264"/>
        <v>65590069.08883708</v>
      </c>
      <c r="MQ6" s="391">
        <f t="shared" si="77"/>
        <v>212</v>
      </c>
      <c r="MR6" s="383">
        <f t="shared" si="265"/>
        <v>53895715.685401008</v>
      </c>
      <c r="MS6" s="391">
        <f t="shared" si="78"/>
        <v>243</v>
      </c>
      <c r="MT6" s="383">
        <f t="shared" si="266"/>
        <v>61776692.979020968</v>
      </c>
      <c r="MU6" s="391">
        <f t="shared" si="79"/>
        <v>267</v>
      </c>
      <c r="MV6" s="383">
        <f t="shared" si="267"/>
        <v>67878094.754726738</v>
      </c>
      <c r="MW6" s="391">
        <f t="shared" si="80"/>
        <v>292</v>
      </c>
      <c r="MX6" s="383">
        <f t="shared" si="268"/>
        <v>74233721.60442026</v>
      </c>
      <c r="MY6" s="98">
        <f t="shared" si="269"/>
        <v>3011</v>
      </c>
      <c r="MZ6" s="99">
        <f t="shared" si="270"/>
        <v>765471697.77708697</v>
      </c>
    </row>
    <row r="7" spans="1:364" s="63" customFormat="1" ht="26.4" x14ac:dyDescent="0.3">
      <c r="A7" s="540"/>
      <c r="B7" s="80" t="s">
        <v>32</v>
      </c>
      <c r="C7" s="81" t="s">
        <v>33</v>
      </c>
      <c r="D7" s="82" t="s">
        <v>34</v>
      </c>
      <c r="E7" s="9">
        <v>1</v>
      </c>
      <c r="F7" s="343">
        <v>1487.7946127946127</v>
      </c>
      <c r="G7" s="343">
        <f t="shared" si="81"/>
        <v>1549.800224466891</v>
      </c>
      <c r="I7" s="12">
        <v>43</v>
      </c>
      <c r="J7" s="10">
        <v>25</v>
      </c>
      <c r="K7" s="84">
        <f t="shared" si="82"/>
        <v>1666035.2413019079</v>
      </c>
      <c r="L7" s="85">
        <f t="shared" si="83"/>
        <v>1075</v>
      </c>
      <c r="M7" s="282">
        <f t="shared" si="84"/>
        <v>1666035.2413019079</v>
      </c>
      <c r="N7" s="85">
        <f t="shared" si="83"/>
        <v>1075</v>
      </c>
      <c r="O7" s="282">
        <f t="shared" si="84"/>
        <v>1666035.2413019079</v>
      </c>
      <c r="P7" s="85">
        <f t="shared" si="83"/>
        <v>1075</v>
      </c>
      <c r="Q7" s="282">
        <f t="shared" si="85"/>
        <v>1666035.2413019079</v>
      </c>
      <c r="R7" s="85">
        <f t="shared" si="83"/>
        <v>1075</v>
      </c>
      <c r="S7" s="282">
        <f t="shared" si="86"/>
        <v>1666035.2413019079</v>
      </c>
      <c r="T7" s="85">
        <f t="shared" si="83"/>
        <v>1075</v>
      </c>
      <c r="U7" s="282">
        <f t="shared" si="87"/>
        <v>1666035.2413019079</v>
      </c>
      <c r="V7" s="85">
        <f t="shared" si="83"/>
        <v>1075</v>
      </c>
      <c r="W7" s="282">
        <f t="shared" si="88"/>
        <v>1666035.2413019079</v>
      </c>
      <c r="X7" s="85">
        <f t="shared" si="83"/>
        <v>1075</v>
      </c>
      <c r="Y7" s="282">
        <f t="shared" si="89"/>
        <v>1666035.2413019079</v>
      </c>
      <c r="Z7" s="85">
        <f t="shared" si="83"/>
        <v>1075</v>
      </c>
      <c r="AA7" s="282">
        <f t="shared" si="90"/>
        <v>1666035.2413019079</v>
      </c>
      <c r="AB7" s="85">
        <f t="shared" si="83"/>
        <v>1075</v>
      </c>
      <c r="AC7" s="282">
        <f t="shared" si="91"/>
        <v>1666035.2413019079</v>
      </c>
      <c r="AD7" s="85">
        <f t="shared" si="83"/>
        <v>1075</v>
      </c>
      <c r="AE7" s="282">
        <f t="shared" si="92"/>
        <v>1666035.2413019079</v>
      </c>
      <c r="AF7" s="85">
        <f t="shared" si="83"/>
        <v>1075</v>
      </c>
      <c r="AG7" s="282">
        <f t="shared" si="93"/>
        <v>1666035.2413019079</v>
      </c>
      <c r="AH7" s="85">
        <f t="shared" si="83"/>
        <v>1075</v>
      </c>
      <c r="AI7" s="291">
        <f t="shared" si="93"/>
        <v>1666035.2413019079</v>
      </c>
      <c r="AJ7" s="88">
        <f t="shared" si="94"/>
        <v>12900</v>
      </c>
      <c r="AK7" s="303">
        <f t="shared" si="95"/>
        <v>19992422.895622894</v>
      </c>
      <c r="AM7" s="12">
        <v>0</v>
      </c>
      <c r="AN7" s="10">
        <v>0</v>
      </c>
      <c r="AO7" s="89">
        <f t="shared" si="0"/>
        <v>0</v>
      </c>
      <c r="AP7" s="85">
        <f t="shared" si="1"/>
        <v>0</v>
      </c>
      <c r="AQ7" s="86">
        <f t="shared" si="96"/>
        <v>0</v>
      </c>
      <c r="AR7" s="314">
        <f t="shared" si="2"/>
        <v>0</v>
      </c>
      <c r="AS7" s="281">
        <f t="shared" si="97"/>
        <v>0</v>
      </c>
      <c r="AT7" s="314">
        <f t="shared" si="3"/>
        <v>0</v>
      </c>
      <c r="AU7" s="281">
        <f t="shared" si="97"/>
        <v>0</v>
      </c>
      <c r="AV7" s="314">
        <f t="shared" si="4"/>
        <v>0</v>
      </c>
      <c r="AW7" s="281">
        <f t="shared" si="98"/>
        <v>0</v>
      </c>
      <c r="AX7" s="314">
        <f t="shared" si="5"/>
        <v>0</v>
      </c>
      <c r="AY7" s="281">
        <f t="shared" si="99"/>
        <v>0</v>
      </c>
      <c r="AZ7" s="314">
        <f t="shared" si="6"/>
        <v>0</v>
      </c>
      <c r="BA7" s="281">
        <f t="shared" si="100"/>
        <v>0</v>
      </c>
      <c r="BB7" s="314">
        <f t="shared" si="7"/>
        <v>0</v>
      </c>
      <c r="BC7" s="281">
        <f t="shared" si="101"/>
        <v>0</v>
      </c>
      <c r="BD7" s="314">
        <f t="shared" si="8"/>
        <v>0</v>
      </c>
      <c r="BE7" s="281">
        <f t="shared" si="102"/>
        <v>0</v>
      </c>
      <c r="BF7" s="314">
        <f t="shared" si="9"/>
        <v>0</v>
      </c>
      <c r="BG7" s="281">
        <f t="shared" si="103"/>
        <v>0</v>
      </c>
      <c r="BH7" s="314">
        <f t="shared" si="10"/>
        <v>0</v>
      </c>
      <c r="BI7" s="281">
        <f t="shared" si="104"/>
        <v>0</v>
      </c>
      <c r="BJ7" s="314">
        <f t="shared" si="11"/>
        <v>0</v>
      </c>
      <c r="BK7" s="281">
        <f t="shared" si="104"/>
        <v>0</v>
      </c>
      <c r="BL7" s="85">
        <f t="shared" si="12"/>
        <v>0</v>
      </c>
      <c r="BM7" s="322">
        <f t="shared" si="105"/>
        <v>0</v>
      </c>
      <c r="BN7" s="72">
        <f t="shared" si="106"/>
        <v>0</v>
      </c>
      <c r="BO7" s="326">
        <f t="shared" si="13"/>
        <v>0</v>
      </c>
      <c r="BQ7" s="12">
        <v>24</v>
      </c>
      <c r="BR7" s="10">
        <v>25</v>
      </c>
      <c r="BS7" s="100">
        <f t="shared" si="14"/>
        <v>929880.13468013459</v>
      </c>
      <c r="BT7" s="85">
        <f t="shared" ref="BT7:BT71" si="280">+$BQ7*$BR7</f>
        <v>600</v>
      </c>
      <c r="BU7" s="329">
        <f t="shared" si="107"/>
        <v>929880.13468013459</v>
      </c>
      <c r="BV7" s="85">
        <f t="shared" si="15"/>
        <v>600</v>
      </c>
      <c r="BW7" s="86">
        <f t="shared" si="108"/>
        <v>929880.13468013459</v>
      </c>
      <c r="BX7" s="85">
        <f t="shared" si="16"/>
        <v>600</v>
      </c>
      <c r="BY7" s="86">
        <f t="shared" si="109"/>
        <v>929880.13468013459</v>
      </c>
      <c r="BZ7" s="85">
        <f t="shared" si="17"/>
        <v>600</v>
      </c>
      <c r="CA7" s="86">
        <f t="shared" si="110"/>
        <v>929880.13468013459</v>
      </c>
      <c r="CB7" s="85">
        <f t="shared" si="18"/>
        <v>600</v>
      </c>
      <c r="CC7" s="86">
        <f t="shared" si="111"/>
        <v>929880.13468013459</v>
      </c>
      <c r="CD7" s="85">
        <f t="shared" si="19"/>
        <v>600</v>
      </c>
      <c r="CE7" s="86">
        <f t="shared" si="112"/>
        <v>929880.13468013459</v>
      </c>
      <c r="CF7" s="85">
        <f t="shared" si="113"/>
        <v>600</v>
      </c>
      <c r="CG7" s="86">
        <f t="shared" si="114"/>
        <v>929880.13468013459</v>
      </c>
      <c r="CH7" s="85">
        <f t="shared" si="20"/>
        <v>600</v>
      </c>
      <c r="CI7" s="86">
        <f t="shared" si="115"/>
        <v>929880.13468013459</v>
      </c>
      <c r="CJ7" s="85">
        <f t="shared" si="116"/>
        <v>600</v>
      </c>
      <c r="CK7" s="86">
        <f t="shared" si="117"/>
        <v>929880.13468013459</v>
      </c>
      <c r="CL7" s="85">
        <f t="shared" si="21"/>
        <v>600</v>
      </c>
      <c r="CM7" s="86">
        <f t="shared" si="118"/>
        <v>929880.13468013459</v>
      </c>
      <c r="CN7" s="85">
        <f t="shared" si="119"/>
        <v>600</v>
      </c>
      <c r="CO7" s="86">
        <f t="shared" si="120"/>
        <v>929880.13468013459</v>
      </c>
      <c r="CP7" s="85">
        <f t="shared" si="22"/>
        <v>600</v>
      </c>
      <c r="CQ7" s="87">
        <f t="shared" si="23"/>
        <v>929880.13468013459</v>
      </c>
      <c r="CR7" s="90">
        <f t="shared" si="121"/>
        <v>7200</v>
      </c>
      <c r="CS7" s="91">
        <f t="shared" si="24"/>
        <v>11158561.616161615</v>
      </c>
      <c r="CU7" s="26">
        <v>13</v>
      </c>
      <c r="CV7" s="10">
        <v>25</v>
      </c>
      <c r="CW7" s="95">
        <f t="shared" si="25"/>
        <v>503685.0729517396</v>
      </c>
      <c r="CX7" s="85">
        <f t="shared" si="122"/>
        <v>325</v>
      </c>
      <c r="CY7" s="86">
        <f t="shared" si="123"/>
        <v>503685.0729517396</v>
      </c>
      <c r="CZ7" s="85">
        <f t="shared" si="26"/>
        <v>325</v>
      </c>
      <c r="DA7" s="282">
        <f t="shared" si="123"/>
        <v>503685.0729517396</v>
      </c>
      <c r="DB7" s="85">
        <f t="shared" si="27"/>
        <v>325</v>
      </c>
      <c r="DC7" s="282">
        <f t="shared" si="124"/>
        <v>503685.0729517396</v>
      </c>
      <c r="DD7" s="85">
        <f t="shared" si="28"/>
        <v>325</v>
      </c>
      <c r="DE7" s="282">
        <f t="shared" si="125"/>
        <v>503685.0729517396</v>
      </c>
      <c r="DF7" s="85">
        <f t="shared" si="29"/>
        <v>325</v>
      </c>
      <c r="DG7" s="282">
        <f t="shared" si="126"/>
        <v>503685.0729517396</v>
      </c>
      <c r="DH7" s="85">
        <f t="shared" si="30"/>
        <v>325</v>
      </c>
      <c r="DI7" s="282">
        <f t="shared" si="127"/>
        <v>503685.0729517396</v>
      </c>
      <c r="DJ7" s="85">
        <f t="shared" si="128"/>
        <v>325</v>
      </c>
      <c r="DK7" s="282">
        <f t="shared" si="129"/>
        <v>503685.0729517396</v>
      </c>
      <c r="DL7" s="85">
        <f t="shared" si="31"/>
        <v>325</v>
      </c>
      <c r="DM7" s="282">
        <f t="shared" si="130"/>
        <v>503685.0729517396</v>
      </c>
      <c r="DN7" s="85">
        <f t="shared" si="131"/>
        <v>325</v>
      </c>
      <c r="DO7" s="282">
        <f t="shared" si="132"/>
        <v>503685.0729517396</v>
      </c>
      <c r="DP7" s="85">
        <f t="shared" si="32"/>
        <v>325</v>
      </c>
      <c r="DQ7" s="282">
        <f t="shared" si="133"/>
        <v>503685.0729517396</v>
      </c>
      <c r="DR7" s="85">
        <f t="shared" si="134"/>
        <v>325</v>
      </c>
      <c r="DS7" s="282">
        <f t="shared" si="135"/>
        <v>503685.0729517396</v>
      </c>
      <c r="DT7" s="85">
        <f t="shared" si="33"/>
        <v>325</v>
      </c>
      <c r="DU7" s="282">
        <f t="shared" si="136"/>
        <v>503685.0729517396</v>
      </c>
      <c r="DV7" s="90">
        <f t="shared" si="137"/>
        <v>3900</v>
      </c>
      <c r="DW7" s="91">
        <f t="shared" si="34"/>
        <v>6044220.8754208749</v>
      </c>
      <c r="DY7" s="97">
        <v>10</v>
      </c>
      <c r="DZ7" s="10">
        <v>25</v>
      </c>
      <c r="EA7" s="95">
        <f t="shared" si="35"/>
        <v>15498.002244668911</v>
      </c>
      <c r="EB7" s="85">
        <v>0</v>
      </c>
      <c r="EC7" s="86">
        <f t="shared" si="139"/>
        <v>0</v>
      </c>
      <c r="ED7" s="314">
        <v>0</v>
      </c>
      <c r="EE7" s="86">
        <f t="shared" si="139"/>
        <v>0</v>
      </c>
      <c r="EF7" s="85">
        <v>0</v>
      </c>
      <c r="EG7" s="86">
        <f t="shared" si="141"/>
        <v>0</v>
      </c>
      <c r="EH7" s="85">
        <f>+$DZ7*$DY7</f>
        <v>250</v>
      </c>
      <c r="EI7" s="86">
        <f t="shared" si="141"/>
        <v>387450.05611672276</v>
      </c>
      <c r="EJ7" s="85">
        <f>+$DZ7*$DY7</f>
        <v>250</v>
      </c>
      <c r="EK7" s="86">
        <f t="shared" si="143"/>
        <v>387450.05611672276</v>
      </c>
      <c r="EL7" s="85">
        <f>+$DZ7*$DY7</f>
        <v>250</v>
      </c>
      <c r="EM7" s="86">
        <f t="shared" si="144"/>
        <v>387450.05611672276</v>
      </c>
      <c r="EN7" s="85">
        <f>+$DZ7*$DY7</f>
        <v>250</v>
      </c>
      <c r="EO7" s="86">
        <f t="shared" si="145"/>
        <v>387450.05611672276</v>
      </c>
      <c r="EP7" s="85">
        <f>+$DZ7*$DY7</f>
        <v>250</v>
      </c>
      <c r="EQ7" s="86">
        <f t="shared" si="146"/>
        <v>387450.05611672276</v>
      </c>
      <c r="ER7" s="85">
        <f>+$DZ7*$DY7</f>
        <v>250</v>
      </c>
      <c r="ES7" s="86">
        <f t="shared" si="147"/>
        <v>387450.05611672276</v>
      </c>
      <c r="ET7" s="85">
        <f>+$DZ7*$DY7</f>
        <v>250</v>
      </c>
      <c r="EU7" s="86">
        <f t="shared" si="148"/>
        <v>387450.05611672276</v>
      </c>
      <c r="EV7" s="85">
        <f>+$DZ7*$DY7</f>
        <v>250</v>
      </c>
      <c r="EW7" s="86">
        <f t="shared" si="149"/>
        <v>387450.05611672276</v>
      </c>
      <c r="EX7" s="85">
        <f>+$DZ7*$DY7</f>
        <v>250</v>
      </c>
      <c r="EY7" s="86">
        <f t="shared" si="150"/>
        <v>387450.05611672276</v>
      </c>
      <c r="EZ7" s="90">
        <f t="shared" si="151"/>
        <v>2250</v>
      </c>
      <c r="FA7" s="91">
        <f t="shared" si="36"/>
        <v>3487050.5050505046</v>
      </c>
      <c r="FC7" s="12"/>
      <c r="FD7" s="10"/>
      <c r="FE7" s="95">
        <f t="shared" si="152"/>
        <v>0</v>
      </c>
      <c r="FF7" s="85">
        <f t="shared" si="153"/>
        <v>0</v>
      </c>
      <c r="FG7" s="86">
        <f t="shared" si="154"/>
        <v>0</v>
      </c>
      <c r="FH7" s="365">
        <f t="shared" si="37"/>
        <v>0</v>
      </c>
      <c r="FI7" s="86">
        <f t="shared" si="155"/>
        <v>0</v>
      </c>
      <c r="FJ7" s="365">
        <f t="shared" si="38"/>
        <v>0</v>
      </c>
      <c r="FK7" s="86">
        <f t="shared" si="155"/>
        <v>0</v>
      </c>
      <c r="FL7" s="365">
        <f t="shared" si="39"/>
        <v>0</v>
      </c>
      <c r="FM7" s="86">
        <f t="shared" si="156"/>
        <v>0</v>
      </c>
      <c r="FN7" s="365">
        <f t="shared" si="40"/>
        <v>0</v>
      </c>
      <c r="FO7" s="86">
        <f t="shared" si="157"/>
        <v>0</v>
      </c>
      <c r="FP7" s="365">
        <f t="shared" si="41"/>
        <v>0</v>
      </c>
      <c r="FQ7" s="86">
        <f t="shared" si="158"/>
        <v>0</v>
      </c>
      <c r="FR7" s="365">
        <f t="shared" si="159"/>
        <v>0</v>
      </c>
      <c r="FS7" s="86">
        <f t="shared" si="160"/>
        <v>0</v>
      </c>
      <c r="FT7" s="365">
        <f t="shared" si="42"/>
        <v>0</v>
      </c>
      <c r="FU7" s="86">
        <f t="shared" si="161"/>
        <v>0</v>
      </c>
      <c r="FV7" s="365">
        <f t="shared" si="162"/>
        <v>0</v>
      </c>
      <c r="FW7" s="86">
        <f t="shared" si="163"/>
        <v>0</v>
      </c>
      <c r="FX7" s="365">
        <f t="shared" si="43"/>
        <v>0</v>
      </c>
      <c r="FY7" s="86">
        <f t="shared" si="164"/>
        <v>0</v>
      </c>
      <c r="FZ7" s="365">
        <f t="shared" si="165"/>
        <v>0</v>
      </c>
      <c r="GA7" s="86">
        <f t="shared" si="166"/>
        <v>0</v>
      </c>
      <c r="GB7" s="365">
        <f t="shared" si="44"/>
        <v>0</v>
      </c>
      <c r="GC7" s="86">
        <f t="shared" si="167"/>
        <v>0</v>
      </c>
      <c r="GD7" s="90">
        <f t="shared" si="168"/>
        <v>0</v>
      </c>
      <c r="GE7" s="91">
        <f t="shared" si="45"/>
        <v>0</v>
      </c>
      <c r="GG7" s="12">
        <v>10</v>
      </c>
      <c r="GH7" s="10">
        <v>25</v>
      </c>
      <c r="GI7" s="95">
        <f t="shared" si="46"/>
        <v>387450.05611672276</v>
      </c>
      <c r="GJ7" s="85">
        <f>+GG7*GH7</f>
        <v>250</v>
      </c>
      <c r="GK7" s="86">
        <f t="shared" si="170"/>
        <v>387450.05611672276</v>
      </c>
      <c r="GL7" s="85">
        <f t="shared" si="169"/>
        <v>250</v>
      </c>
      <c r="GM7" s="86">
        <f t="shared" si="170"/>
        <v>387450.05611672276</v>
      </c>
      <c r="GN7" s="85">
        <f t="shared" si="169"/>
        <v>250</v>
      </c>
      <c r="GO7" s="86">
        <f t="shared" si="171"/>
        <v>387450.05611672276</v>
      </c>
      <c r="GP7" s="85">
        <f t="shared" si="169"/>
        <v>250</v>
      </c>
      <c r="GQ7" s="86">
        <f t="shared" si="172"/>
        <v>387450.05611672276</v>
      </c>
      <c r="GR7" s="85">
        <f t="shared" si="173"/>
        <v>250</v>
      </c>
      <c r="GS7" s="86">
        <f t="shared" si="174"/>
        <v>387450.05611672276</v>
      </c>
      <c r="GT7" s="85">
        <f t="shared" si="175"/>
        <v>250</v>
      </c>
      <c r="GU7" s="86">
        <f t="shared" si="176"/>
        <v>387450.05611672276</v>
      </c>
      <c r="GV7" s="85">
        <f t="shared" si="177"/>
        <v>250</v>
      </c>
      <c r="GW7" s="86">
        <f t="shared" si="178"/>
        <v>387450.05611672276</v>
      </c>
      <c r="GX7" s="85">
        <f t="shared" si="179"/>
        <v>250</v>
      </c>
      <c r="GY7" s="86">
        <f t="shared" si="180"/>
        <v>387450.05611672276</v>
      </c>
      <c r="GZ7" s="85">
        <f t="shared" si="181"/>
        <v>250</v>
      </c>
      <c r="HA7" s="86">
        <f t="shared" si="182"/>
        <v>387450.05611672276</v>
      </c>
      <c r="HB7" s="85">
        <f t="shared" si="183"/>
        <v>250</v>
      </c>
      <c r="HC7" s="86">
        <f t="shared" si="184"/>
        <v>387450.05611672276</v>
      </c>
      <c r="HD7" s="85">
        <f t="shared" si="185"/>
        <v>250</v>
      </c>
      <c r="HE7" s="86">
        <f t="shared" si="186"/>
        <v>387450.05611672276</v>
      </c>
      <c r="HF7" s="85">
        <f t="shared" si="187"/>
        <v>250</v>
      </c>
      <c r="HG7" s="86">
        <f t="shared" si="188"/>
        <v>387450.05611672276</v>
      </c>
      <c r="HH7" s="90">
        <f t="shared" si="189"/>
        <v>3000</v>
      </c>
      <c r="HI7" s="91">
        <f t="shared" si="47"/>
        <v>4649400.6734006731</v>
      </c>
      <c r="HK7" s="12"/>
      <c r="HL7" s="10"/>
      <c r="HM7" s="95">
        <f t="shared" si="48"/>
        <v>0</v>
      </c>
      <c r="HN7" s="85">
        <f t="shared" si="190"/>
        <v>0</v>
      </c>
      <c r="HO7" s="86">
        <f t="shared" si="191"/>
        <v>0</v>
      </c>
      <c r="HP7" s="85">
        <f t="shared" si="192"/>
        <v>0</v>
      </c>
      <c r="HQ7" s="86">
        <f t="shared" si="193"/>
        <v>0</v>
      </c>
      <c r="HR7" s="85">
        <f t="shared" si="192"/>
        <v>0</v>
      </c>
      <c r="HS7" s="86">
        <f t="shared" si="193"/>
        <v>0</v>
      </c>
      <c r="HT7" s="85">
        <f t="shared" si="192"/>
        <v>0</v>
      </c>
      <c r="HU7" s="86">
        <f t="shared" si="194"/>
        <v>0</v>
      </c>
      <c r="HV7" s="85">
        <f t="shared" si="192"/>
        <v>0</v>
      </c>
      <c r="HW7" s="86">
        <f t="shared" si="195"/>
        <v>0</v>
      </c>
      <c r="HX7" s="85">
        <f t="shared" si="196"/>
        <v>0</v>
      </c>
      <c r="HY7" s="86">
        <f t="shared" si="197"/>
        <v>0</v>
      </c>
      <c r="HZ7" s="85">
        <f t="shared" si="198"/>
        <v>0</v>
      </c>
      <c r="IA7" s="86">
        <f t="shared" si="199"/>
        <v>0</v>
      </c>
      <c r="IB7" s="85">
        <f t="shared" si="200"/>
        <v>0</v>
      </c>
      <c r="IC7" s="86">
        <f t="shared" si="201"/>
        <v>0</v>
      </c>
      <c r="ID7" s="85">
        <f t="shared" si="202"/>
        <v>0</v>
      </c>
      <c r="IE7" s="86">
        <f t="shared" si="203"/>
        <v>0</v>
      </c>
      <c r="IF7" s="85">
        <f t="shared" si="204"/>
        <v>0</v>
      </c>
      <c r="IG7" s="86">
        <f t="shared" si="205"/>
        <v>0</v>
      </c>
      <c r="IH7" s="85">
        <f t="shared" si="206"/>
        <v>0</v>
      </c>
      <c r="II7" s="86">
        <f t="shared" si="207"/>
        <v>0</v>
      </c>
      <c r="IJ7" s="85">
        <f t="shared" si="208"/>
        <v>0</v>
      </c>
      <c r="IK7" s="86">
        <f t="shared" si="209"/>
        <v>0</v>
      </c>
      <c r="IL7" s="90">
        <f t="shared" si="210"/>
        <v>0</v>
      </c>
      <c r="IM7" s="91">
        <f t="shared" si="211"/>
        <v>0</v>
      </c>
      <c r="IO7" s="12"/>
      <c r="IP7" s="10"/>
      <c r="IQ7" s="95">
        <f t="shared" si="49"/>
        <v>0</v>
      </c>
      <c r="IR7" s="85">
        <f t="shared" si="212"/>
        <v>0</v>
      </c>
      <c r="IS7" s="86">
        <f t="shared" si="213"/>
        <v>0</v>
      </c>
      <c r="IT7" s="85">
        <f t="shared" si="50"/>
        <v>0</v>
      </c>
      <c r="IU7" s="282">
        <f t="shared" si="214"/>
        <v>0</v>
      </c>
      <c r="IV7" s="85">
        <f t="shared" si="51"/>
        <v>0</v>
      </c>
      <c r="IW7" s="282">
        <f t="shared" si="214"/>
        <v>0</v>
      </c>
      <c r="IX7" s="85">
        <f t="shared" si="52"/>
        <v>0</v>
      </c>
      <c r="IY7" s="282">
        <f t="shared" si="215"/>
        <v>0</v>
      </c>
      <c r="IZ7" s="85">
        <f t="shared" si="53"/>
        <v>0</v>
      </c>
      <c r="JA7" s="282">
        <f t="shared" si="216"/>
        <v>0</v>
      </c>
      <c r="JB7" s="85">
        <f t="shared" si="54"/>
        <v>0</v>
      </c>
      <c r="JC7" s="282">
        <f t="shared" si="217"/>
        <v>0</v>
      </c>
      <c r="JD7" s="85">
        <f t="shared" si="218"/>
        <v>0</v>
      </c>
      <c r="JE7" s="282">
        <f t="shared" si="219"/>
        <v>0</v>
      </c>
      <c r="JF7" s="85">
        <f t="shared" si="55"/>
        <v>0</v>
      </c>
      <c r="JG7" s="282">
        <f t="shared" si="220"/>
        <v>0</v>
      </c>
      <c r="JH7" s="85">
        <f t="shared" si="221"/>
        <v>0</v>
      </c>
      <c r="JI7" s="282">
        <f t="shared" si="222"/>
        <v>0</v>
      </c>
      <c r="JJ7" s="85">
        <f t="shared" si="56"/>
        <v>0</v>
      </c>
      <c r="JK7" s="282">
        <f t="shared" si="223"/>
        <v>0</v>
      </c>
      <c r="JL7" s="85">
        <f t="shared" si="224"/>
        <v>0</v>
      </c>
      <c r="JM7" s="282">
        <f t="shared" si="225"/>
        <v>0</v>
      </c>
      <c r="JN7" s="85">
        <f t="shared" si="57"/>
        <v>0</v>
      </c>
      <c r="JO7" s="282">
        <f t="shared" si="226"/>
        <v>0</v>
      </c>
      <c r="JP7" s="90">
        <f t="shared" si="227"/>
        <v>0</v>
      </c>
      <c r="JQ7" s="91">
        <f t="shared" si="228"/>
        <v>0</v>
      </c>
      <c r="JS7" s="12"/>
      <c r="JT7" s="10"/>
      <c r="JU7" s="95">
        <f t="shared" si="58"/>
        <v>0</v>
      </c>
      <c r="JV7" s="85">
        <f t="shared" si="229"/>
        <v>0</v>
      </c>
      <c r="JW7" s="86">
        <f t="shared" si="230"/>
        <v>0</v>
      </c>
      <c r="JX7" s="365">
        <f t="shared" si="59"/>
        <v>0</v>
      </c>
      <c r="JY7" s="86">
        <f t="shared" si="231"/>
        <v>0</v>
      </c>
      <c r="JZ7" s="365">
        <f t="shared" si="60"/>
        <v>0</v>
      </c>
      <c r="KA7" s="86">
        <f t="shared" si="231"/>
        <v>0</v>
      </c>
      <c r="KB7" s="365">
        <f t="shared" si="61"/>
        <v>0</v>
      </c>
      <c r="KC7" s="86">
        <f t="shared" si="232"/>
        <v>0</v>
      </c>
      <c r="KD7" s="365">
        <f t="shared" si="62"/>
        <v>0</v>
      </c>
      <c r="KE7" s="86">
        <f t="shared" si="233"/>
        <v>0</v>
      </c>
      <c r="KF7" s="365">
        <f t="shared" si="63"/>
        <v>0</v>
      </c>
      <c r="KG7" s="86">
        <f t="shared" si="234"/>
        <v>0</v>
      </c>
      <c r="KH7" s="365">
        <f t="shared" si="235"/>
        <v>0</v>
      </c>
      <c r="KI7" s="86">
        <f t="shared" si="236"/>
        <v>0</v>
      </c>
      <c r="KJ7" s="365">
        <f t="shared" si="64"/>
        <v>0</v>
      </c>
      <c r="KK7" s="86">
        <f t="shared" si="237"/>
        <v>0</v>
      </c>
      <c r="KL7" s="365">
        <f t="shared" si="238"/>
        <v>0</v>
      </c>
      <c r="KM7" s="86">
        <f t="shared" si="239"/>
        <v>0</v>
      </c>
      <c r="KN7" s="365">
        <f t="shared" si="65"/>
        <v>0</v>
      </c>
      <c r="KO7" s="86">
        <f t="shared" si="240"/>
        <v>0</v>
      </c>
      <c r="KP7" s="365">
        <f t="shared" si="241"/>
        <v>0</v>
      </c>
      <c r="KQ7" s="86">
        <f t="shared" si="242"/>
        <v>0</v>
      </c>
      <c r="KR7" s="365">
        <f t="shared" si="66"/>
        <v>0</v>
      </c>
      <c r="KS7" s="87">
        <f t="shared" si="243"/>
        <v>0</v>
      </c>
      <c r="KT7" s="90">
        <f t="shared" si="244"/>
        <v>0</v>
      </c>
      <c r="KU7" s="91">
        <f t="shared" si="67"/>
        <v>0</v>
      </c>
      <c r="KW7" s="12">
        <v>0</v>
      </c>
      <c r="KX7" s="10"/>
      <c r="KY7" s="96">
        <f t="shared" si="68"/>
        <v>0</v>
      </c>
      <c r="KZ7" s="85">
        <f t="shared" si="271"/>
        <v>0</v>
      </c>
      <c r="LA7" s="86">
        <f t="shared" si="245"/>
        <v>0</v>
      </c>
      <c r="LB7" s="85">
        <f t="shared" si="272"/>
        <v>0</v>
      </c>
      <c r="LC7" s="86">
        <f t="shared" si="246"/>
        <v>0</v>
      </c>
      <c r="LD7" s="85">
        <f t="shared" si="272"/>
        <v>0</v>
      </c>
      <c r="LE7" s="86">
        <f t="shared" si="246"/>
        <v>0</v>
      </c>
      <c r="LF7" s="85">
        <f t="shared" si="272"/>
        <v>0</v>
      </c>
      <c r="LG7" s="86">
        <f t="shared" si="247"/>
        <v>0</v>
      </c>
      <c r="LH7" s="85">
        <f t="shared" si="272"/>
        <v>0</v>
      </c>
      <c r="LI7" s="86">
        <f t="shared" si="248"/>
        <v>0</v>
      </c>
      <c r="LJ7" s="85">
        <f t="shared" si="273"/>
        <v>0</v>
      </c>
      <c r="LK7" s="86">
        <f t="shared" si="249"/>
        <v>0</v>
      </c>
      <c r="LL7" s="85">
        <f t="shared" si="274"/>
        <v>0</v>
      </c>
      <c r="LM7" s="86">
        <f t="shared" si="250"/>
        <v>0</v>
      </c>
      <c r="LN7" s="85">
        <f t="shared" si="275"/>
        <v>0</v>
      </c>
      <c r="LO7" s="86">
        <f t="shared" si="251"/>
        <v>0</v>
      </c>
      <c r="LP7" s="85">
        <f t="shared" si="276"/>
        <v>0</v>
      </c>
      <c r="LQ7" s="86">
        <f t="shared" si="252"/>
        <v>0</v>
      </c>
      <c r="LR7" s="85">
        <f t="shared" si="277"/>
        <v>0</v>
      </c>
      <c r="LS7" s="86">
        <f t="shared" si="253"/>
        <v>0</v>
      </c>
      <c r="LT7" s="85">
        <f t="shared" si="278"/>
        <v>0</v>
      </c>
      <c r="LU7" s="86">
        <f t="shared" si="254"/>
        <v>0</v>
      </c>
      <c r="LV7" s="85">
        <f t="shared" si="279"/>
        <v>0</v>
      </c>
      <c r="LW7" s="86">
        <f t="shared" si="255"/>
        <v>0</v>
      </c>
      <c r="LX7" s="90">
        <f t="shared" si="256"/>
        <v>0</v>
      </c>
      <c r="LY7" s="91">
        <f t="shared" si="257"/>
        <v>0</v>
      </c>
      <c r="MA7" s="97">
        <f t="shared" si="69"/>
        <v>2250</v>
      </c>
      <c r="MB7" s="383">
        <f t="shared" si="258"/>
        <v>3487050.5050505046</v>
      </c>
      <c r="MC7" s="391">
        <f t="shared" si="70"/>
        <v>2250</v>
      </c>
      <c r="MD7" s="383">
        <f t="shared" si="259"/>
        <v>3487050.5050505046</v>
      </c>
      <c r="ME7" s="391">
        <f t="shared" si="71"/>
        <v>2250</v>
      </c>
      <c r="MF7" s="383">
        <f t="shared" si="259"/>
        <v>3487050.5050505046</v>
      </c>
      <c r="MG7" s="391">
        <f t="shared" si="72"/>
        <v>2500</v>
      </c>
      <c r="MH7" s="383">
        <f t="shared" si="260"/>
        <v>3874500.5611672276</v>
      </c>
      <c r="MI7" s="391">
        <f t="shared" si="73"/>
        <v>2500</v>
      </c>
      <c r="MJ7" s="383">
        <f t="shared" si="261"/>
        <v>3874500.5611672276</v>
      </c>
      <c r="MK7" s="391">
        <f t="shared" si="74"/>
        <v>2500</v>
      </c>
      <c r="ML7" s="383">
        <f t="shared" si="262"/>
        <v>3874500.5611672276</v>
      </c>
      <c r="MM7" s="391">
        <f t="shared" si="75"/>
        <v>2500</v>
      </c>
      <c r="MN7" s="383">
        <f t="shared" si="263"/>
        <v>3874500.5611672276</v>
      </c>
      <c r="MO7" s="391">
        <f t="shared" si="76"/>
        <v>2500</v>
      </c>
      <c r="MP7" s="383">
        <f t="shared" si="264"/>
        <v>3874500.5611672276</v>
      </c>
      <c r="MQ7" s="391">
        <f t="shared" si="77"/>
        <v>2500</v>
      </c>
      <c r="MR7" s="383">
        <f t="shared" si="265"/>
        <v>3874500.5611672276</v>
      </c>
      <c r="MS7" s="391">
        <f t="shared" si="78"/>
        <v>2500</v>
      </c>
      <c r="MT7" s="383">
        <f t="shared" si="266"/>
        <v>3874500.5611672276</v>
      </c>
      <c r="MU7" s="391">
        <f t="shared" si="79"/>
        <v>2500</v>
      </c>
      <c r="MV7" s="383">
        <f t="shared" si="267"/>
        <v>3874500.5611672276</v>
      </c>
      <c r="MW7" s="391">
        <f t="shared" si="80"/>
        <v>2500</v>
      </c>
      <c r="MX7" s="383">
        <f t="shared" si="268"/>
        <v>3874500.5611672276</v>
      </c>
      <c r="MY7" s="98">
        <f t="shared" si="269"/>
        <v>29250</v>
      </c>
      <c r="MZ7" s="99">
        <f t="shared" si="270"/>
        <v>45331656.565656565</v>
      </c>
    </row>
    <row r="8" spans="1:364" s="63" customFormat="1" x14ac:dyDescent="0.3">
      <c r="A8" s="540"/>
      <c r="B8" s="80" t="s">
        <v>35</v>
      </c>
      <c r="C8" s="81" t="s">
        <v>36</v>
      </c>
      <c r="D8" s="82" t="s">
        <v>37</v>
      </c>
      <c r="E8" s="9">
        <v>1</v>
      </c>
      <c r="F8" s="343">
        <v>86054.131054131038</v>
      </c>
      <c r="G8" s="343">
        <f t="shared" si="81"/>
        <v>89640.53941120606</v>
      </c>
      <c r="I8" s="24"/>
      <c r="J8" s="83"/>
      <c r="K8" s="84">
        <f t="shared" si="82"/>
        <v>0</v>
      </c>
      <c r="L8" s="85">
        <f t="shared" si="83"/>
        <v>0</v>
      </c>
      <c r="M8" s="282">
        <f t="shared" si="84"/>
        <v>0</v>
      </c>
      <c r="N8" s="85">
        <f t="shared" si="83"/>
        <v>0</v>
      </c>
      <c r="O8" s="282">
        <f t="shared" si="84"/>
        <v>0</v>
      </c>
      <c r="P8" s="85">
        <f t="shared" si="83"/>
        <v>0</v>
      </c>
      <c r="Q8" s="282">
        <f t="shared" si="85"/>
        <v>0</v>
      </c>
      <c r="R8" s="85">
        <f t="shared" si="83"/>
        <v>0</v>
      </c>
      <c r="S8" s="282">
        <f t="shared" si="86"/>
        <v>0</v>
      </c>
      <c r="T8" s="85">
        <f t="shared" si="83"/>
        <v>0</v>
      </c>
      <c r="U8" s="282">
        <f t="shared" si="87"/>
        <v>0</v>
      </c>
      <c r="V8" s="85">
        <f t="shared" si="83"/>
        <v>0</v>
      </c>
      <c r="W8" s="282">
        <f t="shared" si="88"/>
        <v>0</v>
      </c>
      <c r="X8" s="85">
        <f t="shared" si="83"/>
        <v>0</v>
      </c>
      <c r="Y8" s="282">
        <f t="shared" si="89"/>
        <v>0</v>
      </c>
      <c r="Z8" s="85">
        <f t="shared" si="83"/>
        <v>0</v>
      </c>
      <c r="AA8" s="282">
        <f t="shared" si="90"/>
        <v>0</v>
      </c>
      <c r="AB8" s="85">
        <f t="shared" si="83"/>
        <v>0</v>
      </c>
      <c r="AC8" s="282">
        <f t="shared" si="91"/>
        <v>0</v>
      </c>
      <c r="AD8" s="85">
        <f t="shared" si="83"/>
        <v>0</v>
      </c>
      <c r="AE8" s="282">
        <f t="shared" si="92"/>
        <v>0</v>
      </c>
      <c r="AF8" s="85">
        <f t="shared" si="83"/>
        <v>0</v>
      </c>
      <c r="AG8" s="282">
        <f t="shared" si="93"/>
        <v>0</v>
      </c>
      <c r="AH8" s="85">
        <f t="shared" si="83"/>
        <v>0</v>
      </c>
      <c r="AI8" s="291">
        <f t="shared" si="93"/>
        <v>0</v>
      </c>
      <c r="AJ8" s="88">
        <f t="shared" si="94"/>
        <v>0</v>
      </c>
      <c r="AK8" s="303">
        <f t="shared" si="95"/>
        <v>0</v>
      </c>
      <c r="AM8" s="24"/>
      <c r="AN8" s="83">
        <v>0</v>
      </c>
      <c r="AO8" s="89">
        <f t="shared" si="0"/>
        <v>0</v>
      </c>
      <c r="AP8" s="85">
        <f t="shared" si="1"/>
        <v>0</v>
      </c>
      <c r="AQ8" s="86">
        <f t="shared" si="96"/>
        <v>0</v>
      </c>
      <c r="AR8" s="314">
        <f t="shared" si="2"/>
        <v>0</v>
      </c>
      <c r="AS8" s="281">
        <f t="shared" si="97"/>
        <v>0</v>
      </c>
      <c r="AT8" s="314">
        <f t="shared" si="3"/>
        <v>0</v>
      </c>
      <c r="AU8" s="281">
        <f t="shared" si="97"/>
        <v>0</v>
      </c>
      <c r="AV8" s="314">
        <f t="shared" si="4"/>
        <v>0</v>
      </c>
      <c r="AW8" s="281">
        <f t="shared" si="98"/>
        <v>0</v>
      </c>
      <c r="AX8" s="314">
        <f t="shared" si="5"/>
        <v>0</v>
      </c>
      <c r="AY8" s="281">
        <f t="shared" si="99"/>
        <v>0</v>
      </c>
      <c r="AZ8" s="314">
        <f t="shared" si="6"/>
        <v>0</v>
      </c>
      <c r="BA8" s="281">
        <f t="shared" si="100"/>
        <v>0</v>
      </c>
      <c r="BB8" s="314">
        <f t="shared" si="7"/>
        <v>0</v>
      </c>
      <c r="BC8" s="281">
        <f t="shared" si="101"/>
        <v>0</v>
      </c>
      <c r="BD8" s="314">
        <f t="shared" si="8"/>
        <v>0</v>
      </c>
      <c r="BE8" s="281">
        <f t="shared" si="102"/>
        <v>0</v>
      </c>
      <c r="BF8" s="314">
        <f t="shared" si="9"/>
        <v>0</v>
      </c>
      <c r="BG8" s="281">
        <f t="shared" si="103"/>
        <v>0</v>
      </c>
      <c r="BH8" s="314">
        <f t="shared" si="10"/>
        <v>0</v>
      </c>
      <c r="BI8" s="281">
        <f t="shared" si="104"/>
        <v>0</v>
      </c>
      <c r="BJ8" s="314">
        <f t="shared" si="11"/>
        <v>0</v>
      </c>
      <c r="BK8" s="281">
        <f t="shared" si="104"/>
        <v>0</v>
      </c>
      <c r="BL8" s="85">
        <f t="shared" si="12"/>
        <v>0</v>
      </c>
      <c r="BM8" s="322">
        <f t="shared" si="105"/>
        <v>0</v>
      </c>
      <c r="BN8" s="72">
        <f t="shared" si="106"/>
        <v>0</v>
      </c>
      <c r="BO8" s="326">
        <f t="shared" si="13"/>
        <v>0</v>
      </c>
      <c r="BQ8" s="24">
        <v>15</v>
      </c>
      <c r="BR8" s="83">
        <v>1</v>
      </c>
      <c r="BS8" s="100">
        <f t="shared" si="14"/>
        <v>1344608.0911680909</v>
      </c>
      <c r="BT8" s="85">
        <f t="shared" si="280"/>
        <v>15</v>
      </c>
      <c r="BU8" s="329">
        <f t="shared" si="107"/>
        <v>1344608.0911680909</v>
      </c>
      <c r="BV8" s="85">
        <f t="shared" si="15"/>
        <v>15</v>
      </c>
      <c r="BW8" s="86">
        <f t="shared" si="108"/>
        <v>1344608.0911680909</v>
      </c>
      <c r="BX8" s="85">
        <f t="shared" si="16"/>
        <v>15</v>
      </c>
      <c r="BY8" s="86">
        <f t="shared" si="109"/>
        <v>1344608.0911680909</v>
      </c>
      <c r="BZ8" s="85">
        <f t="shared" si="17"/>
        <v>15</v>
      </c>
      <c r="CA8" s="86">
        <f t="shared" si="110"/>
        <v>1344608.0911680909</v>
      </c>
      <c r="CB8" s="85">
        <f t="shared" si="18"/>
        <v>15</v>
      </c>
      <c r="CC8" s="86">
        <f t="shared" si="111"/>
        <v>1344608.0911680909</v>
      </c>
      <c r="CD8" s="85">
        <f t="shared" si="19"/>
        <v>15</v>
      </c>
      <c r="CE8" s="86">
        <f t="shared" si="112"/>
        <v>1344608.0911680909</v>
      </c>
      <c r="CF8" s="85">
        <f t="shared" si="113"/>
        <v>15</v>
      </c>
      <c r="CG8" s="86">
        <f t="shared" si="114"/>
        <v>1344608.0911680909</v>
      </c>
      <c r="CH8" s="85">
        <f t="shared" si="20"/>
        <v>15</v>
      </c>
      <c r="CI8" s="86">
        <f t="shared" si="115"/>
        <v>1344608.0911680909</v>
      </c>
      <c r="CJ8" s="85">
        <f t="shared" si="116"/>
        <v>15</v>
      </c>
      <c r="CK8" s="86">
        <f t="shared" si="117"/>
        <v>1344608.0911680909</v>
      </c>
      <c r="CL8" s="85">
        <f t="shared" si="21"/>
        <v>15</v>
      </c>
      <c r="CM8" s="86">
        <f t="shared" si="118"/>
        <v>1344608.0911680909</v>
      </c>
      <c r="CN8" s="85">
        <f t="shared" si="119"/>
        <v>15</v>
      </c>
      <c r="CO8" s="86">
        <f t="shared" si="120"/>
        <v>1344608.0911680909</v>
      </c>
      <c r="CP8" s="85">
        <f t="shared" si="22"/>
        <v>15</v>
      </c>
      <c r="CQ8" s="87">
        <f t="shared" si="23"/>
        <v>1344608.0911680909</v>
      </c>
      <c r="CR8" s="90">
        <f t="shared" si="121"/>
        <v>180</v>
      </c>
      <c r="CS8" s="91">
        <f t="shared" si="24"/>
        <v>16135297.09401709</v>
      </c>
      <c r="CU8" s="24">
        <v>15</v>
      </c>
      <c r="CV8" s="83">
        <v>1</v>
      </c>
      <c r="CW8" s="95">
        <f t="shared" si="25"/>
        <v>1344608.0911680909</v>
      </c>
      <c r="CX8" s="85">
        <f t="shared" si="122"/>
        <v>15</v>
      </c>
      <c r="CY8" s="86">
        <f t="shared" si="123"/>
        <v>1344608.0911680909</v>
      </c>
      <c r="CZ8" s="85">
        <f t="shared" si="26"/>
        <v>15</v>
      </c>
      <c r="DA8" s="282">
        <f t="shared" si="123"/>
        <v>1344608.0911680909</v>
      </c>
      <c r="DB8" s="85">
        <f t="shared" si="27"/>
        <v>15</v>
      </c>
      <c r="DC8" s="282">
        <f t="shared" si="124"/>
        <v>1344608.0911680909</v>
      </c>
      <c r="DD8" s="85">
        <f t="shared" si="28"/>
        <v>15</v>
      </c>
      <c r="DE8" s="282">
        <f t="shared" si="125"/>
        <v>1344608.0911680909</v>
      </c>
      <c r="DF8" s="85">
        <f t="shared" si="29"/>
        <v>15</v>
      </c>
      <c r="DG8" s="282">
        <f t="shared" si="126"/>
        <v>1344608.0911680909</v>
      </c>
      <c r="DH8" s="85">
        <f t="shared" si="30"/>
        <v>15</v>
      </c>
      <c r="DI8" s="282">
        <f t="shared" si="127"/>
        <v>1344608.0911680909</v>
      </c>
      <c r="DJ8" s="85">
        <f t="shared" si="128"/>
        <v>15</v>
      </c>
      <c r="DK8" s="282">
        <f t="shared" si="129"/>
        <v>1344608.0911680909</v>
      </c>
      <c r="DL8" s="85">
        <f t="shared" si="31"/>
        <v>15</v>
      </c>
      <c r="DM8" s="282">
        <f t="shared" si="130"/>
        <v>1344608.0911680909</v>
      </c>
      <c r="DN8" s="85">
        <f t="shared" si="131"/>
        <v>15</v>
      </c>
      <c r="DO8" s="282">
        <f t="shared" si="132"/>
        <v>1344608.0911680909</v>
      </c>
      <c r="DP8" s="85">
        <f t="shared" si="32"/>
        <v>15</v>
      </c>
      <c r="DQ8" s="282">
        <f t="shared" si="133"/>
        <v>1344608.0911680909</v>
      </c>
      <c r="DR8" s="85">
        <f t="shared" si="134"/>
        <v>15</v>
      </c>
      <c r="DS8" s="282">
        <f t="shared" si="135"/>
        <v>1344608.0911680909</v>
      </c>
      <c r="DT8" s="85">
        <f t="shared" si="33"/>
        <v>15</v>
      </c>
      <c r="DU8" s="282">
        <f t="shared" si="136"/>
        <v>1344608.0911680909</v>
      </c>
      <c r="DV8" s="90">
        <f t="shared" si="137"/>
        <v>180</v>
      </c>
      <c r="DW8" s="91">
        <f t="shared" si="34"/>
        <v>16135297.09401709</v>
      </c>
      <c r="DY8" s="97"/>
      <c r="DZ8" s="83"/>
      <c r="EA8" s="95">
        <f t="shared" si="35"/>
        <v>0</v>
      </c>
      <c r="EB8" s="85">
        <f t="shared" si="138"/>
        <v>0</v>
      </c>
      <c r="EC8" s="86">
        <f t="shared" si="139"/>
        <v>0</v>
      </c>
      <c r="ED8" s="314">
        <v>0</v>
      </c>
      <c r="EE8" s="86">
        <f t="shared" si="139"/>
        <v>0</v>
      </c>
      <c r="EF8" s="85">
        <f t="shared" si="140"/>
        <v>0</v>
      </c>
      <c r="EG8" s="86">
        <f t="shared" si="141"/>
        <v>0</v>
      </c>
      <c r="EH8" s="85">
        <f t="shared" si="142"/>
        <v>0</v>
      </c>
      <c r="EI8" s="86">
        <f t="shared" si="141"/>
        <v>0</v>
      </c>
      <c r="EJ8" s="85">
        <f t="shared" si="142"/>
        <v>0</v>
      </c>
      <c r="EK8" s="86">
        <f t="shared" si="143"/>
        <v>0</v>
      </c>
      <c r="EL8" s="85">
        <f t="shared" si="142"/>
        <v>0</v>
      </c>
      <c r="EM8" s="86">
        <f t="shared" si="144"/>
        <v>0</v>
      </c>
      <c r="EN8" s="85">
        <f t="shared" si="142"/>
        <v>0</v>
      </c>
      <c r="EO8" s="86">
        <f t="shared" si="145"/>
        <v>0</v>
      </c>
      <c r="EP8" s="85">
        <f t="shared" si="142"/>
        <v>0</v>
      </c>
      <c r="EQ8" s="86">
        <f t="shared" si="146"/>
        <v>0</v>
      </c>
      <c r="ER8" s="85">
        <f t="shared" si="142"/>
        <v>0</v>
      </c>
      <c r="ES8" s="86">
        <f t="shared" si="147"/>
        <v>0</v>
      </c>
      <c r="ET8" s="85">
        <f t="shared" si="142"/>
        <v>0</v>
      </c>
      <c r="EU8" s="86">
        <f t="shared" si="148"/>
        <v>0</v>
      </c>
      <c r="EV8" s="85">
        <f t="shared" si="142"/>
        <v>0</v>
      </c>
      <c r="EW8" s="86">
        <f t="shared" si="149"/>
        <v>0</v>
      </c>
      <c r="EX8" s="85">
        <f t="shared" si="142"/>
        <v>0</v>
      </c>
      <c r="EY8" s="86">
        <f t="shared" si="150"/>
        <v>0</v>
      </c>
      <c r="EZ8" s="90">
        <f t="shared" si="151"/>
        <v>0</v>
      </c>
      <c r="FA8" s="91">
        <f t="shared" si="36"/>
        <v>0</v>
      </c>
      <c r="FC8" s="24"/>
      <c r="FD8" s="83"/>
      <c r="FE8" s="95">
        <f t="shared" si="152"/>
        <v>0</v>
      </c>
      <c r="FF8" s="85">
        <f t="shared" si="153"/>
        <v>0</v>
      </c>
      <c r="FG8" s="86">
        <f t="shared" si="154"/>
        <v>0</v>
      </c>
      <c r="FH8" s="365">
        <f t="shared" si="37"/>
        <v>0</v>
      </c>
      <c r="FI8" s="86">
        <f t="shared" si="155"/>
        <v>0</v>
      </c>
      <c r="FJ8" s="365">
        <f t="shared" si="38"/>
        <v>0</v>
      </c>
      <c r="FK8" s="86">
        <f t="shared" si="155"/>
        <v>0</v>
      </c>
      <c r="FL8" s="365">
        <f t="shared" si="39"/>
        <v>0</v>
      </c>
      <c r="FM8" s="86">
        <f t="shared" si="156"/>
        <v>0</v>
      </c>
      <c r="FN8" s="365">
        <f t="shared" si="40"/>
        <v>0</v>
      </c>
      <c r="FO8" s="86">
        <f t="shared" si="157"/>
        <v>0</v>
      </c>
      <c r="FP8" s="365">
        <f t="shared" si="41"/>
        <v>0</v>
      </c>
      <c r="FQ8" s="86">
        <f t="shared" si="158"/>
        <v>0</v>
      </c>
      <c r="FR8" s="365">
        <f t="shared" si="159"/>
        <v>0</v>
      </c>
      <c r="FS8" s="86">
        <f t="shared" si="160"/>
        <v>0</v>
      </c>
      <c r="FT8" s="365">
        <f t="shared" si="42"/>
        <v>0</v>
      </c>
      <c r="FU8" s="86">
        <f t="shared" si="161"/>
        <v>0</v>
      </c>
      <c r="FV8" s="365">
        <f t="shared" si="162"/>
        <v>0</v>
      </c>
      <c r="FW8" s="86">
        <f t="shared" si="163"/>
        <v>0</v>
      </c>
      <c r="FX8" s="365">
        <f t="shared" si="43"/>
        <v>0</v>
      </c>
      <c r="FY8" s="86">
        <f t="shared" si="164"/>
        <v>0</v>
      </c>
      <c r="FZ8" s="365">
        <f t="shared" si="165"/>
        <v>0</v>
      </c>
      <c r="GA8" s="86">
        <f t="shared" si="166"/>
        <v>0</v>
      </c>
      <c r="GB8" s="365">
        <f t="shared" si="44"/>
        <v>0</v>
      </c>
      <c r="GC8" s="86">
        <f t="shared" si="167"/>
        <v>0</v>
      </c>
      <c r="GD8" s="90">
        <f t="shared" si="168"/>
        <v>0</v>
      </c>
      <c r="GE8" s="91">
        <f t="shared" si="45"/>
        <v>0</v>
      </c>
      <c r="GG8" s="24"/>
      <c r="GH8" s="83"/>
      <c r="GI8" s="95">
        <f t="shared" si="46"/>
        <v>0</v>
      </c>
      <c r="GJ8" s="85">
        <f t="shared" si="169"/>
        <v>0</v>
      </c>
      <c r="GK8" s="86">
        <f t="shared" si="170"/>
        <v>0</v>
      </c>
      <c r="GL8" s="85">
        <f t="shared" si="169"/>
        <v>0</v>
      </c>
      <c r="GM8" s="86">
        <f t="shared" si="170"/>
        <v>0</v>
      </c>
      <c r="GN8" s="85">
        <f t="shared" si="169"/>
        <v>0</v>
      </c>
      <c r="GO8" s="86">
        <f t="shared" si="171"/>
        <v>0</v>
      </c>
      <c r="GP8" s="85">
        <f t="shared" si="169"/>
        <v>0</v>
      </c>
      <c r="GQ8" s="86">
        <f t="shared" si="172"/>
        <v>0</v>
      </c>
      <c r="GR8" s="85">
        <f t="shared" si="173"/>
        <v>0</v>
      </c>
      <c r="GS8" s="86">
        <f t="shared" si="174"/>
        <v>0</v>
      </c>
      <c r="GT8" s="85">
        <f t="shared" si="175"/>
        <v>0</v>
      </c>
      <c r="GU8" s="86">
        <f t="shared" si="176"/>
        <v>0</v>
      </c>
      <c r="GV8" s="85">
        <f t="shared" si="177"/>
        <v>0</v>
      </c>
      <c r="GW8" s="86">
        <f t="shared" si="178"/>
        <v>0</v>
      </c>
      <c r="GX8" s="85">
        <f t="shared" si="179"/>
        <v>0</v>
      </c>
      <c r="GY8" s="86">
        <f t="shared" si="180"/>
        <v>0</v>
      </c>
      <c r="GZ8" s="85">
        <f t="shared" si="181"/>
        <v>0</v>
      </c>
      <c r="HA8" s="86">
        <f t="shared" si="182"/>
        <v>0</v>
      </c>
      <c r="HB8" s="85">
        <f t="shared" si="183"/>
        <v>0</v>
      </c>
      <c r="HC8" s="86">
        <f t="shared" si="184"/>
        <v>0</v>
      </c>
      <c r="HD8" s="85">
        <f t="shared" si="185"/>
        <v>0</v>
      </c>
      <c r="HE8" s="86">
        <f t="shared" si="186"/>
        <v>0</v>
      </c>
      <c r="HF8" s="85">
        <f t="shared" si="187"/>
        <v>0</v>
      </c>
      <c r="HG8" s="86">
        <f t="shared" si="188"/>
        <v>0</v>
      </c>
      <c r="HH8" s="90">
        <f t="shared" si="189"/>
        <v>0</v>
      </c>
      <c r="HI8" s="91">
        <f t="shared" si="47"/>
        <v>0</v>
      </c>
      <c r="HK8" s="24"/>
      <c r="HL8" s="83"/>
      <c r="HM8" s="95">
        <f t="shared" si="48"/>
        <v>0</v>
      </c>
      <c r="HN8" s="85">
        <f t="shared" si="190"/>
        <v>0</v>
      </c>
      <c r="HO8" s="86">
        <f t="shared" si="191"/>
        <v>0</v>
      </c>
      <c r="HP8" s="85">
        <f t="shared" si="192"/>
        <v>0</v>
      </c>
      <c r="HQ8" s="86">
        <f t="shared" si="193"/>
        <v>0</v>
      </c>
      <c r="HR8" s="85">
        <f t="shared" si="192"/>
        <v>0</v>
      </c>
      <c r="HS8" s="86">
        <f t="shared" si="193"/>
        <v>0</v>
      </c>
      <c r="HT8" s="85">
        <f t="shared" si="192"/>
        <v>0</v>
      </c>
      <c r="HU8" s="86">
        <f t="shared" si="194"/>
        <v>0</v>
      </c>
      <c r="HV8" s="85">
        <f t="shared" si="192"/>
        <v>0</v>
      </c>
      <c r="HW8" s="86">
        <f t="shared" si="195"/>
        <v>0</v>
      </c>
      <c r="HX8" s="85">
        <f t="shared" si="196"/>
        <v>0</v>
      </c>
      <c r="HY8" s="86">
        <f t="shared" si="197"/>
        <v>0</v>
      </c>
      <c r="HZ8" s="85">
        <f t="shared" si="198"/>
        <v>0</v>
      </c>
      <c r="IA8" s="86">
        <f t="shared" si="199"/>
        <v>0</v>
      </c>
      <c r="IB8" s="85">
        <f t="shared" si="200"/>
        <v>0</v>
      </c>
      <c r="IC8" s="86">
        <f t="shared" si="201"/>
        <v>0</v>
      </c>
      <c r="ID8" s="85">
        <f t="shared" si="202"/>
        <v>0</v>
      </c>
      <c r="IE8" s="86">
        <f t="shared" si="203"/>
        <v>0</v>
      </c>
      <c r="IF8" s="85">
        <f t="shared" si="204"/>
        <v>0</v>
      </c>
      <c r="IG8" s="86">
        <f t="shared" si="205"/>
        <v>0</v>
      </c>
      <c r="IH8" s="85">
        <f t="shared" si="206"/>
        <v>0</v>
      </c>
      <c r="II8" s="86">
        <f t="shared" si="207"/>
        <v>0</v>
      </c>
      <c r="IJ8" s="85">
        <f t="shared" si="208"/>
        <v>0</v>
      </c>
      <c r="IK8" s="86">
        <f t="shared" si="209"/>
        <v>0</v>
      </c>
      <c r="IL8" s="90">
        <f t="shared" si="210"/>
        <v>0</v>
      </c>
      <c r="IM8" s="91">
        <f t="shared" si="211"/>
        <v>0</v>
      </c>
      <c r="IO8" s="24"/>
      <c r="IP8" s="83"/>
      <c r="IQ8" s="95">
        <f t="shared" si="49"/>
        <v>0</v>
      </c>
      <c r="IR8" s="85">
        <f t="shared" si="212"/>
        <v>0</v>
      </c>
      <c r="IS8" s="86">
        <f t="shared" si="213"/>
        <v>0</v>
      </c>
      <c r="IT8" s="85">
        <f t="shared" si="50"/>
        <v>0</v>
      </c>
      <c r="IU8" s="282">
        <f t="shared" si="214"/>
        <v>0</v>
      </c>
      <c r="IV8" s="85">
        <f t="shared" si="51"/>
        <v>0</v>
      </c>
      <c r="IW8" s="282">
        <f t="shared" si="214"/>
        <v>0</v>
      </c>
      <c r="IX8" s="85">
        <f t="shared" si="52"/>
        <v>0</v>
      </c>
      <c r="IY8" s="282">
        <f t="shared" si="215"/>
        <v>0</v>
      </c>
      <c r="IZ8" s="85">
        <f t="shared" si="53"/>
        <v>0</v>
      </c>
      <c r="JA8" s="282">
        <f t="shared" si="216"/>
        <v>0</v>
      </c>
      <c r="JB8" s="85">
        <f t="shared" si="54"/>
        <v>0</v>
      </c>
      <c r="JC8" s="282">
        <f t="shared" si="217"/>
        <v>0</v>
      </c>
      <c r="JD8" s="85">
        <f t="shared" si="218"/>
        <v>0</v>
      </c>
      <c r="JE8" s="282">
        <f t="shared" si="219"/>
        <v>0</v>
      </c>
      <c r="JF8" s="85">
        <f t="shared" si="55"/>
        <v>0</v>
      </c>
      <c r="JG8" s="282">
        <f t="shared" si="220"/>
        <v>0</v>
      </c>
      <c r="JH8" s="85">
        <f t="shared" si="221"/>
        <v>0</v>
      </c>
      <c r="JI8" s="282">
        <f t="shared" si="222"/>
        <v>0</v>
      </c>
      <c r="JJ8" s="85">
        <f t="shared" si="56"/>
        <v>0</v>
      </c>
      <c r="JK8" s="282">
        <f t="shared" si="223"/>
        <v>0</v>
      </c>
      <c r="JL8" s="85">
        <f t="shared" si="224"/>
        <v>0</v>
      </c>
      <c r="JM8" s="282">
        <f t="shared" si="225"/>
        <v>0</v>
      </c>
      <c r="JN8" s="85">
        <f t="shared" si="57"/>
        <v>0</v>
      </c>
      <c r="JO8" s="282">
        <f t="shared" si="226"/>
        <v>0</v>
      </c>
      <c r="JP8" s="90">
        <f t="shared" si="227"/>
        <v>0</v>
      </c>
      <c r="JQ8" s="91">
        <f t="shared" si="228"/>
        <v>0</v>
      </c>
      <c r="JS8" s="24"/>
      <c r="JT8" s="83"/>
      <c r="JU8" s="95">
        <f t="shared" si="58"/>
        <v>0</v>
      </c>
      <c r="JV8" s="85">
        <f t="shared" si="229"/>
        <v>0</v>
      </c>
      <c r="JW8" s="86">
        <f t="shared" si="230"/>
        <v>0</v>
      </c>
      <c r="JX8" s="365">
        <f t="shared" si="59"/>
        <v>0</v>
      </c>
      <c r="JY8" s="86">
        <f t="shared" si="231"/>
        <v>0</v>
      </c>
      <c r="JZ8" s="365">
        <f t="shared" si="60"/>
        <v>0</v>
      </c>
      <c r="KA8" s="86">
        <f t="shared" si="231"/>
        <v>0</v>
      </c>
      <c r="KB8" s="365">
        <f t="shared" si="61"/>
        <v>0</v>
      </c>
      <c r="KC8" s="86">
        <f t="shared" si="232"/>
        <v>0</v>
      </c>
      <c r="KD8" s="365">
        <f t="shared" si="62"/>
        <v>0</v>
      </c>
      <c r="KE8" s="86">
        <f t="shared" si="233"/>
        <v>0</v>
      </c>
      <c r="KF8" s="365">
        <f t="shared" si="63"/>
        <v>0</v>
      </c>
      <c r="KG8" s="86">
        <f t="shared" si="234"/>
        <v>0</v>
      </c>
      <c r="KH8" s="365">
        <f t="shared" si="235"/>
        <v>0</v>
      </c>
      <c r="KI8" s="86">
        <f t="shared" si="236"/>
        <v>0</v>
      </c>
      <c r="KJ8" s="365">
        <f t="shared" si="64"/>
        <v>0</v>
      </c>
      <c r="KK8" s="86">
        <f t="shared" si="237"/>
        <v>0</v>
      </c>
      <c r="KL8" s="365">
        <f t="shared" si="238"/>
        <v>0</v>
      </c>
      <c r="KM8" s="86">
        <f t="shared" si="239"/>
        <v>0</v>
      </c>
      <c r="KN8" s="365">
        <f t="shared" si="65"/>
        <v>0</v>
      </c>
      <c r="KO8" s="86">
        <f t="shared" si="240"/>
        <v>0</v>
      </c>
      <c r="KP8" s="365">
        <f t="shared" si="241"/>
        <v>0</v>
      </c>
      <c r="KQ8" s="86">
        <f t="shared" si="242"/>
        <v>0</v>
      </c>
      <c r="KR8" s="365">
        <f t="shared" si="66"/>
        <v>0</v>
      </c>
      <c r="KS8" s="87">
        <f t="shared" si="243"/>
        <v>0</v>
      </c>
      <c r="KT8" s="90">
        <f t="shared" si="244"/>
        <v>0</v>
      </c>
      <c r="KU8" s="91">
        <f t="shared" si="67"/>
        <v>0</v>
      </c>
      <c r="KW8" s="24">
        <v>0</v>
      </c>
      <c r="KX8" s="83"/>
      <c r="KY8" s="96">
        <f t="shared" si="68"/>
        <v>0</v>
      </c>
      <c r="KZ8" s="85">
        <f t="shared" si="271"/>
        <v>0</v>
      </c>
      <c r="LA8" s="86">
        <f t="shared" si="245"/>
        <v>0</v>
      </c>
      <c r="LB8" s="85">
        <f t="shared" si="272"/>
        <v>0</v>
      </c>
      <c r="LC8" s="86">
        <f t="shared" si="246"/>
        <v>0</v>
      </c>
      <c r="LD8" s="85">
        <f t="shared" si="272"/>
        <v>0</v>
      </c>
      <c r="LE8" s="86">
        <f t="shared" si="246"/>
        <v>0</v>
      </c>
      <c r="LF8" s="85">
        <f t="shared" si="272"/>
        <v>0</v>
      </c>
      <c r="LG8" s="86">
        <f t="shared" si="247"/>
        <v>0</v>
      </c>
      <c r="LH8" s="85">
        <f t="shared" si="272"/>
        <v>0</v>
      </c>
      <c r="LI8" s="86">
        <f t="shared" si="248"/>
        <v>0</v>
      </c>
      <c r="LJ8" s="85">
        <f t="shared" si="273"/>
        <v>0</v>
      </c>
      <c r="LK8" s="86">
        <f t="shared" si="249"/>
        <v>0</v>
      </c>
      <c r="LL8" s="85">
        <f t="shared" si="274"/>
        <v>0</v>
      </c>
      <c r="LM8" s="86">
        <f t="shared" si="250"/>
        <v>0</v>
      </c>
      <c r="LN8" s="85">
        <f t="shared" si="275"/>
        <v>0</v>
      </c>
      <c r="LO8" s="86">
        <f t="shared" si="251"/>
        <v>0</v>
      </c>
      <c r="LP8" s="85">
        <f t="shared" si="276"/>
        <v>0</v>
      </c>
      <c r="LQ8" s="86">
        <f t="shared" si="252"/>
        <v>0</v>
      </c>
      <c r="LR8" s="85">
        <f t="shared" si="277"/>
        <v>0</v>
      </c>
      <c r="LS8" s="86">
        <f t="shared" si="253"/>
        <v>0</v>
      </c>
      <c r="LT8" s="85">
        <f t="shared" si="278"/>
        <v>0</v>
      </c>
      <c r="LU8" s="86">
        <f t="shared" si="254"/>
        <v>0</v>
      </c>
      <c r="LV8" s="85">
        <f t="shared" si="279"/>
        <v>0</v>
      </c>
      <c r="LW8" s="86">
        <f t="shared" si="255"/>
        <v>0</v>
      </c>
      <c r="LX8" s="90">
        <f t="shared" si="256"/>
        <v>0</v>
      </c>
      <c r="LY8" s="91">
        <f t="shared" si="257"/>
        <v>0</v>
      </c>
      <c r="MA8" s="97">
        <f t="shared" si="69"/>
        <v>30</v>
      </c>
      <c r="MB8" s="383">
        <f t="shared" si="258"/>
        <v>2689216.1823361819</v>
      </c>
      <c r="MC8" s="391">
        <f t="shared" si="70"/>
        <v>30</v>
      </c>
      <c r="MD8" s="383">
        <f t="shared" si="259"/>
        <v>2689216.1823361819</v>
      </c>
      <c r="ME8" s="391">
        <f t="shared" si="71"/>
        <v>30</v>
      </c>
      <c r="MF8" s="383">
        <f t="shared" si="259"/>
        <v>2689216.1823361819</v>
      </c>
      <c r="MG8" s="391">
        <f t="shared" si="72"/>
        <v>30</v>
      </c>
      <c r="MH8" s="383">
        <f t="shared" si="260"/>
        <v>2689216.1823361819</v>
      </c>
      <c r="MI8" s="391">
        <f t="shared" si="73"/>
        <v>30</v>
      </c>
      <c r="MJ8" s="383">
        <f t="shared" si="261"/>
        <v>2689216.1823361819</v>
      </c>
      <c r="MK8" s="391">
        <f t="shared" si="74"/>
        <v>30</v>
      </c>
      <c r="ML8" s="383">
        <f t="shared" si="262"/>
        <v>2689216.1823361819</v>
      </c>
      <c r="MM8" s="391">
        <f t="shared" si="75"/>
        <v>30</v>
      </c>
      <c r="MN8" s="383">
        <f t="shared" si="263"/>
        <v>2689216.1823361819</v>
      </c>
      <c r="MO8" s="391">
        <f t="shared" si="76"/>
        <v>30</v>
      </c>
      <c r="MP8" s="383">
        <f t="shared" si="264"/>
        <v>2689216.1823361819</v>
      </c>
      <c r="MQ8" s="391">
        <f t="shared" si="77"/>
        <v>30</v>
      </c>
      <c r="MR8" s="383">
        <f t="shared" si="265"/>
        <v>2689216.1823361819</v>
      </c>
      <c r="MS8" s="391">
        <f t="shared" si="78"/>
        <v>30</v>
      </c>
      <c r="MT8" s="383">
        <f t="shared" si="266"/>
        <v>2689216.1823361819</v>
      </c>
      <c r="MU8" s="391">
        <f t="shared" si="79"/>
        <v>30</v>
      </c>
      <c r="MV8" s="383">
        <f t="shared" si="267"/>
        <v>2689216.1823361819</v>
      </c>
      <c r="MW8" s="391">
        <f t="shared" si="80"/>
        <v>30</v>
      </c>
      <c r="MX8" s="383">
        <f t="shared" si="268"/>
        <v>2689216.1823361819</v>
      </c>
      <c r="MY8" s="98">
        <f t="shared" si="269"/>
        <v>360</v>
      </c>
      <c r="MZ8" s="99">
        <f t="shared" si="270"/>
        <v>32270594.188034181</v>
      </c>
    </row>
    <row r="9" spans="1:364" s="63" customFormat="1" ht="15" customHeight="1" x14ac:dyDescent="0.3">
      <c r="A9" s="540"/>
      <c r="B9" s="80" t="s">
        <v>38</v>
      </c>
      <c r="C9" s="81" t="s">
        <v>39</v>
      </c>
      <c r="D9" s="82" t="s">
        <v>37</v>
      </c>
      <c r="E9" s="9">
        <v>1</v>
      </c>
      <c r="F9" s="343">
        <v>87853.53535353535</v>
      </c>
      <c r="G9" s="343">
        <f t="shared" si="81"/>
        <v>91514.936026936019</v>
      </c>
      <c r="I9" s="24"/>
      <c r="J9" s="83"/>
      <c r="K9" s="84">
        <f t="shared" si="82"/>
        <v>0</v>
      </c>
      <c r="L9" s="85">
        <f t="shared" si="83"/>
        <v>0</v>
      </c>
      <c r="M9" s="282">
        <f t="shared" si="84"/>
        <v>0</v>
      </c>
      <c r="N9" s="85">
        <f t="shared" si="83"/>
        <v>0</v>
      </c>
      <c r="O9" s="282">
        <f t="shared" si="84"/>
        <v>0</v>
      </c>
      <c r="P9" s="85">
        <f t="shared" si="83"/>
        <v>0</v>
      </c>
      <c r="Q9" s="282">
        <f t="shared" si="85"/>
        <v>0</v>
      </c>
      <c r="R9" s="85">
        <f t="shared" si="83"/>
        <v>0</v>
      </c>
      <c r="S9" s="282">
        <f t="shared" si="86"/>
        <v>0</v>
      </c>
      <c r="T9" s="85">
        <f t="shared" si="83"/>
        <v>0</v>
      </c>
      <c r="U9" s="282">
        <f t="shared" si="87"/>
        <v>0</v>
      </c>
      <c r="V9" s="85">
        <f t="shared" si="83"/>
        <v>0</v>
      </c>
      <c r="W9" s="282">
        <f t="shared" si="88"/>
        <v>0</v>
      </c>
      <c r="X9" s="85">
        <f t="shared" si="83"/>
        <v>0</v>
      </c>
      <c r="Y9" s="282">
        <f t="shared" si="89"/>
        <v>0</v>
      </c>
      <c r="Z9" s="85">
        <f t="shared" si="83"/>
        <v>0</v>
      </c>
      <c r="AA9" s="282">
        <f t="shared" si="90"/>
        <v>0</v>
      </c>
      <c r="AB9" s="85">
        <f t="shared" si="83"/>
        <v>0</v>
      </c>
      <c r="AC9" s="282">
        <f t="shared" si="91"/>
        <v>0</v>
      </c>
      <c r="AD9" s="85">
        <f t="shared" si="83"/>
        <v>0</v>
      </c>
      <c r="AE9" s="282">
        <f t="shared" si="92"/>
        <v>0</v>
      </c>
      <c r="AF9" s="85">
        <f t="shared" si="83"/>
        <v>0</v>
      </c>
      <c r="AG9" s="282">
        <f t="shared" si="93"/>
        <v>0</v>
      </c>
      <c r="AH9" s="85">
        <f t="shared" si="83"/>
        <v>0</v>
      </c>
      <c r="AI9" s="291">
        <f t="shared" si="93"/>
        <v>0</v>
      </c>
      <c r="AJ9" s="88">
        <f t="shared" si="94"/>
        <v>0</v>
      </c>
      <c r="AK9" s="303">
        <f t="shared" si="95"/>
        <v>0</v>
      </c>
      <c r="AM9" s="24"/>
      <c r="AN9" s="83">
        <v>0</v>
      </c>
      <c r="AO9" s="89">
        <f t="shared" si="0"/>
        <v>0</v>
      </c>
      <c r="AP9" s="85">
        <f t="shared" si="1"/>
        <v>0</v>
      </c>
      <c r="AQ9" s="86">
        <f t="shared" si="96"/>
        <v>0</v>
      </c>
      <c r="AR9" s="314">
        <f t="shared" si="2"/>
        <v>0</v>
      </c>
      <c r="AS9" s="281">
        <f t="shared" si="97"/>
        <v>0</v>
      </c>
      <c r="AT9" s="314">
        <f t="shared" si="3"/>
        <v>0</v>
      </c>
      <c r="AU9" s="281">
        <f t="shared" si="97"/>
        <v>0</v>
      </c>
      <c r="AV9" s="314">
        <f t="shared" si="4"/>
        <v>0</v>
      </c>
      <c r="AW9" s="281">
        <f t="shared" si="98"/>
        <v>0</v>
      </c>
      <c r="AX9" s="314">
        <f t="shared" si="5"/>
        <v>0</v>
      </c>
      <c r="AY9" s="281">
        <f t="shared" si="99"/>
        <v>0</v>
      </c>
      <c r="AZ9" s="314">
        <f t="shared" si="6"/>
        <v>0</v>
      </c>
      <c r="BA9" s="281">
        <f t="shared" si="100"/>
        <v>0</v>
      </c>
      <c r="BB9" s="314">
        <f t="shared" si="7"/>
        <v>0</v>
      </c>
      <c r="BC9" s="281">
        <f t="shared" si="101"/>
        <v>0</v>
      </c>
      <c r="BD9" s="314">
        <f t="shared" si="8"/>
        <v>0</v>
      </c>
      <c r="BE9" s="281">
        <f t="shared" si="102"/>
        <v>0</v>
      </c>
      <c r="BF9" s="314">
        <f t="shared" si="9"/>
        <v>0</v>
      </c>
      <c r="BG9" s="281">
        <f t="shared" si="103"/>
        <v>0</v>
      </c>
      <c r="BH9" s="314">
        <f t="shared" si="10"/>
        <v>0</v>
      </c>
      <c r="BI9" s="281">
        <f t="shared" si="104"/>
        <v>0</v>
      </c>
      <c r="BJ9" s="314">
        <f t="shared" si="11"/>
        <v>0</v>
      </c>
      <c r="BK9" s="281">
        <f t="shared" si="104"/>
        <v>0</v>
      </c>
      <c r="BL9" s="85">
        <f t="shared" si="12"/>
        <v>0</v>
      </c>
      <c r="BM9" s="322">
        <f t="shared" si="105"/>
        <v>0</v>
      </c>
      <c r="BN9" s="72">
        <f t="shared" si="106"/>
        <v>0</v>
      </c>
      <c r="BO9" s="326">
        <f t="shared" si="13"/>
        <v>0</v>
      </c>
      <c r="BQ9" s="24">
        <v>8</v>
      </c>
      <c r="BR9" s="83">
        <v>1</v>
      </c>
      <c r="BS9" s="100">
        <f t="shared" si="14"/>
        <v>732119.48821548815</v>
      </c>
      <c r="BT9" s="85">
        <f t="shared" si="280"/>
        <v>8</v>
      </c>
      <c r="BU9" s="329">
        <f t="shared" si="107"/>
        <v>732119.48821548815</v>
      </c>
      <c r="BV9" s="85">
        <f t="shared" si="15"/>
        <v>8</v>
      </c>
      <c r="BW9" s="86">
        <f t="shared" si="108"/>
        <v>732119.48821548815</v>
      </c>
      <c r="BX9" s="85">
        <f t="shared" si="16"/>
        <v>8</v>
      </c>
      <c r="BY9" s="86">
        <f t="shared" si="109"/>
        <v>732119.48821548815</v>
      </c>
      <c r="BZ9" s="85">
        <f t="shared" si="17"/>
        <v>8</v>
      </c>
      <c r="CA9" s="86">
        <f t="shared" si="110"/>
        <v>732119.48821548815</v>
      </c>
      <c r="CB9" s="85">
        <f t="shared" si="18"/>
        <v>8</v>
      </c>
      <c r="CC9" s="86">
        <f t="shared" si="111"/>
        <v>732119.48821548815</v>
      </c>
      <c r="CD9" s="85">
        <f t="shared" si="19"/>
        <v>8</v>
      </c>
      <c r="CE9" s="86">
        <f t="shared" si="112"/>
        <v>732119.48821548815</v>
      </c>
      <c r="CF9" s="85">
        <f t="shared" si="113"/>
        <v>8</v>
      </c>
      <c r="CG9" s="86">
        <f t="shared" si="114"/>
        <v>732119.48821548815</v>
      </c>
      <c r="CH9" s="85">
        <f t="shared" si="20"/>
        <v>8</v>
      </c>
      <c r="CI9" s="86">
        <f t="shared" si="115"/>
        <v>732119.48821548815</v>
      </c>
      <c r="CJ9" s="85">
        <f t="shared" si="116"/>
        <v>8</v>
      </c>
      <c r="CK9" s="86">
        <f t="shared" si="117"/>
        <v>732119.48821548815</v>
      </c>
      <c r="CL9" s="85">
        <f t="shared" si="21"/>
        <v>8</v>
      </c>
      <c r="CM9" s="86">
        <f t="shared" si="118"/>
        <v>732119.48821548815</v>
      </c>
      <c r="CN9" s="85">
        <f t="shared" si="119"/>
        <v>8</v>
      </c>
      <c r="CO9" s="86">
        <f t="shared" si="120"/>
        <v>732119.48821548815</v>
      </c>
      <c r="CP9" s="85">
        <f t="shared" si="22"/>
        <v>8</v>
      </c>
      <c r="CQ9" s="87">
        <f t="shared" si="23"/>
        <v>732119.48821548815</v>
      </c>
      <c r="CR9" s="90">
        <f t="shared" si="121"/>
        <v>96</v>
      </c>
      <c r="CS9" s="91">
        <f t="shared" si="24"/>
        <v>8785433.8585858569</v>
      </c>
      <c r="CU9" s="24">
        <v>15</v>
      </c>
      <c r="CV9" s="83">
        <v>1</v>
      </c>
      <c r="CW9" s="95">
        <f t="shared" si="25"/>
        <v>1372724.0404040404</v>
      </c>
      <c r="CX9" s="85">
        <f t="shared" si="122"/>
        <v>15</v>
      </c>
      <c r="CY9" s="86">
        <f t="shared" si="123"/>
        <v>1372724.0404040404</v>
      </c>
      <c r="CZ9" s="85">
        <f t="shared" si="26"/>
        <v>15</v>
      </c>
      <c r="DA9" s="282">
        <f t="shared" si="123"/>
        <v>1372724.0404040404</v>
      </c>
      <c r="DB9" s="85">
        <f t="shared" si="27"/>
        <v>15</v>
      </c>
      <c r="DC9" s="282">
        <f t="shared" si="124"/>
        <v>1372724.0404040404</v>
      </c>
      <c r="DD9" s="85">
        <f t="shared" si="28"/>
        <v>15</v>
      </c>
      <c r="DE9" s="282">
        <f t="shared" si="125"/>
        <v>1372724.0404040404</v>
      </c>
      <c r="DF9" s="85">
        <f t="shared" si="29"/>
        <v>15</v>
      </c>
      <c r="DG9" s="282">
        <f t="shared" si="126"/>
        <v>1372724.0404040404</v>
      </c>
      <c r="DH9" s="85">
        <f t="shared" si="30"/>
        <v>15</v>
      </c>
      <c r="DI9" s="282">
        <f t="shared" si="127"/>
        <v>1372724.0404040404</v>
      </c>
      <c r="DJ9" s="85">
        <f t="shared" si="128"/>
        <v>15</v>
      </c>
      <c r="DK9" s="282">
        <f t="shared" si="129"/>
        <v>1372724.0404040404</v>
      </c>
      <c r="DL9" s="85">
        <f t="shared" si="31"/>
        <v>15</v>
      </c>
      <c r="DM9" s="282">
        <f t="shared" si="130"/>
        <v>1372724.0404040404</v>
      </c>
      <c r="DN9" s="85">
        <f t="shared" si="131"/>
        <v>15</v>
      </c>
      <c r="DO9" s="282">
        <f t="shared" si="132"/>
        <v>1372724.0404040404</v>
      </c>
      <c r="DP9" s="85">
        <f t="shared" si="32"/>
        <v>15</v>
      </c>
      <c r="DQ9" s="282">
        <f t="shared" si="133"/>
        <v>1372724.0404040404</v>
      </c>
      <c r="DR9" s="85">
        <f t="shared" si="134"/>
        <v>15</v>
      </c>
      <c r="DS9" s="282">
        <f t="shared" si="135"/>
        <v>1372724.0404040404</v>
      </c>
      <c r="DT9" s="85">
        <f t="shared" si="33"/>
        <v>15</v>
      </c>
      <c r="DU9" s="282">
        <f t="shared" si="136"/>
        <v>1372724.0404040404</v>
      </c>
      <c r="DV9" s="90">
        <f t="shared" si="137"/>
        <v>180</v>
      </c>
      <c r="DW9" s="91">
        <f t="shared" si="34"/>
        <v>16472688.484848483</v>
      </c>
      <c r="DY9" s="97"/>
      <c r="DZ9" s="83"/>
      <c r="EA9" s="95">
        <f t="shared" si="35"/>
        <v>0</v>
      </c>
      <c r="EB9" s="85">
        <f t="shared" si="138"/>
        <v>0</v>
      </c>
      <c r="EC9" s="86">
        <f t="shared" si="139"/>
        <v>0</v>
      </c>
      <c r="ED9" s="314">
        <v>0</v>
      </c>
      <c r="EE9" s="86">
        <f t="shared" si="139"/>
        <v>0</v>
      </c>
      <c r="EF9" s="85">
        <f t="shared" si="140"/>
        <v>0</v>
      </c>
      <c r="EG9" s="86">
        <f t="shared" si="141"/>
        <v>0</v>
      </c>
      <c r="EH9" s="85">
        <f t="shared" si="142"/>
        <v>0</v>
      </c>
      <c r="EI9" s="86">
        <f t="shared" si="141"/>
        <v>0</v>
      </c>
      <c r="EJ9" s="85">
        <f t="shared" si="142"/>
        <v>0</v>
      </c>
      <c r="EK9" s="86">
        <f t="shared" si="143"/>
        <v>0</v>
      </c>
      <c r="EL9" s="85">
        <f t="shared" si="142"/>
        <v>0</v>
      </c>
      <c r="EM9" s="86">
        <f t="shared" si="144"/>
        <v>0</v>
      </c>
      <c r="EN9" s="85">
        <f t="shared" si="142"/>
        <v>0</v>
      </c>
      <c r="EO9" s="86">
        <f t="shared" si="145"/>
        <v>0</v>
      </c>
      <c r="EP9" s="85">
        <f t="shared" si="142"/>
        <v>0</v>
      </c>
      <c r="EQ9" s="86">
        <f t="shared" si="146"/>
        <v>0</v>
      </c>
      <c r="ER9" s="85">
        <f t="shared" si="142"/>
        <v>0</v>
      </c>
      <c r="ES9" s="86">
        <f t="shared" si="147"/>
        <v>0</v>
      </c>
      <c r="ET9" s="85">
        <f t="shared" si="142"/>
        <v>0</v>
      </c>
      <c r="EU9" s="86">
        <f t="shared" si="148"/>
        <v>0</v>
      </c>
      <c r="EV9" s="85">
        <f t="shared" si="142"/>
        <v>0</v>
      </c>
      <c r="EW9" s="86">
        <f t="shared" si="149"/>
        <v>0</v>
      </c>
      <c r="EX9" s="85">
        <f t="shared" si="142"/>
        <v>0</v>
      </c>
      <c r="EY9" s="86">
        <f t="shared" si="150"/>
        <v>0</v>
      </c>
      <c r="EZ9" s="90">
        <f t="shared" si="151"/>
        <v>0</v>
      </c>
      <c r="FA9" s="91">
        <f t="shared" si="36"/>
        <v>0</v>
      </c>
      <c r="FC9" s="24"/>
      <c r="FD9" s="83"/>
      <c r="FE9" s="95">
        <f t="shared" si="152"/>
        <v>0</v>
      </c>
      <c r="FF9" s="85">
        <f t="shared" si="153"/>
        <v>0</v>
      </c>
      <c r="FG9" s="86">
        <f t="shared" si="154"/>
        <v>0</v>
      </c>
      <c r="FH9" s="365">
        <f t="shared" si="37"/>
        <v>0</v>
      </c>
      <c r="FI9" s="86">
        <f t="shared" si="155"/>
        <v>0</v>
      </c>
      <c r="FJ9" s="365">
        <f t="shared" si="38"/>
        <v>0</v>
      </c>
      <c r="FK9" s="86">
        <f t="shared" si="155"/>
        <v>0</v>
      </c>
      <c r="FL9" s="365">
        <f t="shared" si="39"/>
        <v>0</v>
      </c>
      <c r="FM9" s="86">
        <f t="shared" si="156"/>
        <v>0</v>
      </c>
      <c r="FN9" s="365">
        <f t="shared" si="40"/>
        <v>0</v>
      </c>
      <c r="FO9" s="86">
        <f t="shared" si="157"/>
        <v>0</v>
      </c>
      <c r="FP9" s="365">
        <f t="shared" si="41"/>
        <v>0</v>
      </c>
      <c r="FQ9" s="86">
        <f t="shared" si="158"/>
        <v>0</v>
      </c>
      <c r="FR9" s="365">
        <f t="shared" si="159"/>
        <v>0</v>
      </c>
      <c r="FS9" s="86">
        <f t="shared" si="160"/>
        <v>0</v>
      </c>
      <c r="FT9" s="365">
        <f t="shared" si="42"/>
        <v>0</v>
      </c>
      <c r="FU9" s="86">
        <f t="shared" si="161"/>
        <v>0</v>
      </c>
      <c r="FV9" s="365">
        <f t="shared" si="162"/>
        <v>0</v>
      </c>
      <c r="FW9" s="86">
        <f t="shared" si="163"/>
        <v>0</v>
      </c>
      <c r="FX9" s="365">
        <f t="shared" si="43"/>
        <v>0</v>
      </c>
      <c r="FY9" s="86">
        <f t="shared" si="164"/>
        <v>0</v>
      </c>
      <c r="FZ9" s="365">
        <f t="shared" si="165"/>
        <v>0</v>
      </c>
      <c r="GA9" s="86">
        <f t="shared" si="166"/>
        <v>0</v>
      </c>
      <c r="GB9" s="365">
        <f t="shared" si="44"/>
        <v>0</v>
      </c>
      <c r="GC9" s="86">
        <f t="shared" si="167"/>
        <v>0</v>
      </c>
      <c r="GD9" s="90">
        <f t="shared" si="168"/>
        <v>0</v>
      </c>
      <c r="GE9" s="91">
        <f t="shared" si="45"/>
        <v>0</v>
      </c>
      <c r="GG9" s="24"/>
      <c r="GH9" s="83"/>
      <c r="GI9" s="95">
        <f t="shared" si="46"/>
        <v>0</v>
      </c>
      <c r="GJ9" s="85">
        <f t="shared" si="169"/>
        <v>0</v>
      </c>
      <c r="GK9" s="86">
        <f t="shared" si="170"/>
        <v>0</v>
      </c>
      <c r="GL9" s="85">
        <f t="shared" si="169"/>
        <v>0</v>
      </c>
      <c r="GM9" s="86">
        <f t="shared" si="170"/>
        <v>0</v>
      </c>
      <c r="GN9" s="85">
        <f t="shared" si="169"/>
        <v>0</v>
      </c>
      <c r="GO9" s="86">
        <f t="shared" si="171"/>
        <v>0</v>
      </c>
      <c r="GP9" s="85">
        <f t="shared" si="169"/>
        <v>0</v>
      </c>
      <c r="GQ9" s="86">
        <f t="shared" si="172"/>
        <v>0</v>
      </c>
      <c r="GR9" s="85">
        <f t="shared" si="173"/>
        <v>0</v>
      </c>
      <c r="GS9" s="86">
        <f t="shared" si="174"/>
        <v>0</v>
      </c>
      <c r="GT9" s="85">
        <f t="shared" si="175"/>
        <v>0</v>
      </c>
      <c r="GU9" s="86">
        <f t="shared" si="176"/>
        <v>0</v>
      </c>
      <c r="GV9" s="85">
        <f t="shared" si="177"/>
        <v>0</v>
      </c>
      <c r="GW9" s="86">
        <f t="shared" si="178"/>
        <v>0</v>
      </c>
      <c r="GX9" s="85">
        <f t="shared" si="179"/>
        <v>0</v>
      </c>
      <c r="GY9" s="86">
        <f t="shared" si="180"/>
        <v>0</v>
      </c>
      <c r="GZ9" s="85">
        <f t="shared" si="181"/>
        <v>0</v>
      </c>
      <c r="HA9" s="86">
        <f t="shared" si="182"/>
        <v>0</v>
      </c>
      <c r="HB9" s="85">
        <f t="shared" si="183"/>
        <v>0</v>
      </c>
      <c r="HC9" s="86">
        <f t="shared" si="184"/>
        <v>0</v>
      </c>
      <c r="HD9" s="85">
        <f t="shared" si="185"/>
        <v>0</v>
      </c>
      <c r="HE9" s="86">
        <f t="shared" si="186"/>
        <v>0</v>
      </c>
      <c r="HF9" s="85">
        <f t="shared" si="187"/>
        <v>0</v>
      </c>
      <c r="HG9" s="86">
        <f t="shared" si="188"/>
        <v>0</v>
      </c>
      <c r="HH9" s="90">
        <f t="shared" si="189"/>
        <v>0</v>
      </c>
      <c r="HI9" s="91">
        <f t="shared" si="47"/>
        <v>0</v>
      </c>
      <c r="HK9" s="24"/>
      <c r="HL9" s="83"/>
      <c r="HM9" s="95">
        <f t="shared" si="48"/>
        <v>0</v>
      </c>
      <c r="HN9" s="85">
        <f t="shared" si="190"/>
        <v>0</v>
      </c>
      <c r="HO9" s="86">
        <f t="shared" si="191"/>
        <v>0</v>
      </c>
      <c r="HP9" s="85">
        <f t="shared" si="192"/>
        <v>0</v>
      </c>
      <c r="HQ9" s="86">
        <f t="shared" si="193"/>
        <v>0</v>
      </c>
      <c r="HR9" s="85">
        <f t="shared" si="192"/>
        <v>0</v>
      </c>
      <c r="HS9" s="86">
        <f t="shared" si="193"/>
        <v>0</v>
      </c>
      <c r="HT9" s="85">
        <f t="shared" si="192"/>
        <v>0</v>
      </c>
      <c r="HU9" s="86">
        <f t="shared" si="194"/>
        <v>0</v>
      </c>
      <c r="HV9" s="85">
        <f t="shared" si="192"/>
        <v>0</v>
      </c>
      <c r="HW9" s="86">
        <f t="shared" si="195"/>
        <v>0</v>
      </c>
      <c r="HX9" s="85">
        <f t="shared" si="196"/>
        <v>0</v>
      </c>
      <c r="HY9" s="86">
        <f t="shared" si="197"/>
        <v>0</v>
      </c>
      <c r="HZ9" s="85">
        <f t="shared" si="198"/>
        <v>0</v>
      </c>
      <c r="IA9" s="86">
        <f t="shared" si="199"/>
        <v>0</v>
      </c>
      <c r="IB9" s="85">
        <f t="shared" si="200"/>
        <v>0</v>
      </c>
      <c r="IC9" s="86">
        <f t="shared" si="201"/>
        <v>0</v>
      </c>
      <c r="ID9" s="85">
        <f t="shared" si="202"/>
        <v>0</v>
      </c>
      <c r="IE9" s="86">
        <f t="shared" si="203"/>
        <v>0</v>
      </c>
      <c r="IF9" s="85">
        <f t="shared" si="204"/>
        <v>0</v>
      </c>
      <c r="IG9" s="86">
        <f t="shared" si="205"/>
        <v>0</v>
      </c>
      <c r="IH9" s="85">
        <f t="shared" si="206"/>
        <v>0</v>
      </c>
      <c r="II9" s="86">
        <f t="shared" si="207"/>
        <v>0</v>
      </c>
      <c r="IJ9" s="85">
        <f t="shared" si="208"/>
        <v>0</v>
      </c>
      <c r="IK9" s="86">
        <f t="shared" si="209"/>
        <v>0</v>
      </c>
      <c r="IL9" s="90">
        <f t="shared" si="210"/>
        <v>0</v>
      </c>
      <c r="IM9" s="91">
        <f t="shared" si="211"/>
        <v>0</v>
      </c>
      <c r="IO9" s="24"/>
      <c r="IP9" s="83"/>
      <c r="IQ9" s="95">
        <f t="shared" si="49"/>
        <v>0</v>
      </c>
      <c r="IR9" s="85">
        <f t="shared" si="212"/>
        <v>0</v>
      </c>
      <c r="IS9" s="86">
        <f t="shared" si="213"/>
        <v>0</v>
      </c>
      <c r="IT9" s="85">
        <f t="shared" si="50"/>
        <v>0</v>
      </c>
      <c r="IU9" s="282">
        <f t="shared" si="214"/>
        <v>0</v>
      </c>
      <c r="IV9" s="85">
        <f t="shared" si="51"/>
        <v>0</v>
      </c>
      <c r="IW9" s="282">
        <f t="shared" si="214"/>
        <v>0</v>
      </c>
      <c r="IX9" s="85">
        <f t="shared" si="52"/>
        <v>0</v>
      </c>
      <c r="IY9" s="282">
        <f t="shared" si="215"/>
        <v>0</v>
      </c>
      <c r="IZ9" s="85">
        <f t="shared" si="53"/>
        <v>0</v>
      </c>
      <c r="JA9" s="282">
        <f t="shared" si="216"/>
        <v>0</v>
      </c>
      <c r="JB9" s="85">
        <f t="shared" si="54"/>
        <v>0</v>
      </c>
      <c r="JC9" s="282">
        <f t="shared" si="217"/>
        <v>0</v>
      </c>
      <c r="JD9" s="85">
        <f t="shared" si="218"/>
        <v>0</v>
      </c>
      <c r="JE9" s="282">
        <f t="shared" si="219"/>
        <v>0</v>
      </c>
      <c r="JF9" s="85">
        <f t="shared" si="55"/>
        <v>0</v>
      </c>
      <c r="JG9" s="282">
        <f t="shared" si="220"/>
        <v>0</v>
      </c>
      <c r="JH9" s="85">
        <f t="shared" si="221"/>
        <v>0</v>
      </c>
      <c r="JI9" s="282">
        <f t="shared" si="222"/>
        <v>0</v>
      </c>
      <c r="JJ9" s="85">
        <f t="shared" si="56"/>
        <v>0</v>
      </c>
      <c r="JK9" s="282">
        <f t="shared" si="223"/>
        <v>0</v>
      </c>
      <c r="JL9" s="85">
        <f t="shared" si="224"/>
        <v>0</v>
      </c>
      <c r="JM9" s="282">
        <f t="shared" si="225"/>
        <v>0</v>
      </c>
      <c r="JN9" s="85">
        <f t="shared" si="57"/>
        <v>0</v>
      </c>
      <c r="JO9" s="282">
        <f t="shared" si="226"/>
        <v>0</v>
      </c>
      <c r="JP9" s="90">
        <f t="shared" si="227"/>
        <v>0</v>
      </c>
      <c r="JQ9" s="91">
        <f t="shared" si="228"/>
        <v>0</v>
      </c>
      <c r="JS9" s="24"/>
      <c r="JT9" s="83"/>
      <c r="JU9" s="95">
        <f t="shared" si="58"/>
        <v>0</v>
      </c>
      <c r="JV9" s="85">
        <f t="shared" si="229"/>
        <v>0</v>
      </c>
      <c r="JW9" s="86">
        <f t="shared" si="230"/>
        <v>0</v>
      </c>
      <c r="JX9" s="365">
        <f t="shared" si="59"/>
        <v>0</v>
      </c>
      <c r="JY9" s="86">
        <f t="shared" si="231"/>
        <v>0</v>
      </c>
      <c r="JZ9" s="365">
        <f t="shared" si="60"/>
        <v>0</v>
      </c>
      <c r="KA9" s="86">
        <f t="shared" si="231"/>
        <v>0</v>
      </c>
      <c r="KB9" s="365">
        <f t="shared" si="61"/>
        <v>0</v>
      </c>
      <c r="KC9" s="86">
        <f t="shared" si="232"/>
        <v>0</v>
      </c>
      <c r="KD9" s="365">
        <f t="shared" si="62"/>
        <v>0</v>
      </c>
      <c r="KE9" s="86">
        <f t="shared" si="233"/>
        <v>0</v>
      </c>
      <c r="KF9" s="365">
        <f t="shared" si="63"/>
        <v>0</v>
      </c>
      <c r="KG9" s="86">
        <f t="shared" si="234"/>
        <v>0</v>
      </c>
      <c r="KH9" s="365">
        <f t="shared" si="235"/>
        <v>0</v>
      </c>
      <c r="KI9" s="86">
        <f t="shared" si="236"/>
        <v>0</v>
      </c>
      <c r="KJ9" s="365">
        <f t="shared" si="64"/>
        <v>0</v>
      </c>
      <c r="KK9" s="86">
        <f t="shared" si="237"/>
        <v>0</v>
      </c>
      <c r="KL9" s="365">
        <f t="shared" si="238"/>
        <v>0</v>
      </c>
      <c r="KM9" s="86">
        <f t="shared" si="239"/>
        <v>0</v>
      </c>
      <c r="KN9" s="365">
        <f t="shared" si="65"/>
        <v>0</v>
      </c>
      <c r="KO9" s="86">
        <f t="shared" si="240"/>
        <v>0</v>
      </c>
      <c r="KP9" s="365">
        <f t="shared" si="241"/>
        <v>0</v>
      </c>
      <c r="KQ9" s="86">
        <f t="shared" si="242"/>
        <v>0</v>
      </c>
      <c r="KR9" s="365">
        <f t="shared" si="66"/>
        <v>0</v>
      </c>
      <c r="KS9" s="87">
        <f t="shared" si="243"/>
        <v>0</v>
      </c>
      <c r="KT9" s="90">
        <f t="shared" si="244"/>
        <v>0</v>
      </c>
      <c r="KU9" s="91">
        <f t="shared" si="67"/>
        <v>0</v>
      </c>
      <c r="KW9" s="24">
        <v>0</v>
      </c>
      <c r="KX9" s="83"/>
      <c r="KY9" s="96">
        <f t="shared" si="68"/>
        <v>0</v>
      </c>
      <c r="KZ9" s="85">
        <f t="shared" si="271"/>
        <v>0</v>
      </c>
      <c r="LA9" s="86">
        <f t="shared" si="245"/>
        <v>0</v>
      </c>
      <c r="LB9" s="85">
        <f t="shared" si="272"/>
        <v>0</v>
      </c>
      <c r="LC9" s="86">
        <f t="shared" si="246"/>
        <v>0</v>
      </c>
      <c r="LD9" s="85">
        <f t="shared" si="272"/>
        <v>0</v>
      </c>
      <c r="LE9" s="86">
        <f t="shared" si="246"/>
        <v>0</v>
      </c>
      <c r="LF9" s="85">
        <f t="shared" si="272"/>
        <v>0</v>
      </c>
      <c r="LG9" s="86">
        <f t="shared" si="247"/>
        <v>0</v>
      </c>
      <c r="LH9" s="85">
        <f t="shared" si="272"/>
        <v>0</v>
      </c>
      <c r="LI9" s="86">
        <f t="shared" si="248"/>
        <v>0</v>
      </c>
      <c r="LJ9" s="85">
        <f t="shared" si="273"/>
        <v>0</v>
      </c>
      <c r="LK9" s="86">
        <f t="shared" si="249"/>
        <v>0</v>
      </c>
      <c r="LL9" s="85">
        <f t="shared" si="274"/>
        <v>0</v>
      </c>
      <c r="LM9" s="86">
        <f t="shared" si="250"/>
        <v>0</v>
      </c>
      <c r="LN9" s="85">
        <f t="shared" si="275"/>
        <v>0</v>
      </c>
      <c r="LO9" s="86">
        <f t="shared" si="251"/>
        <v>0</v>
      </c>
      <c r="LP9" s="85">
        <f t="shared" si="276"/>
        <v>0</v>
      </c>
      <c r="LQ9" s="86">
        <f t="shared" si="252"/>
        <v>0</v>
      </c>
      <c r="LR9" s="85">
        <f t="shared" si="277"/>
        <v>0</v>
      </c>
      <c r="LS9" s="86">
        <f t="shared" si="253"/>
        <v>0</v>
      </c>
      <c r="LT9" s="85">
        <f t="shared" si="278"/>
        <v>0</v>
      </c>
      <c r="LU9" s="86">
        <f t="shared" si="254"/>
        <v>0</v>
      </c>
      <c r="LV9" s="85">
        <f t="shared" si="279"/>
        <v>0</v>
      </c>
      <c r="LW9" s="86">
        <f t="shared" si="255"/>
        <v>0</v>
      </c>
      <c r="LX9" s="90">
        <f t="shared" si="256"/>
        <v>0</v>
      </c>
      <c r="LY9" s="91">
        <f t="shared" si="257"/>
        <v>0</v>
      </c>
      <c r="MA9" s="97">
        <f t="shared" si="69"/>
        <v>23</v>
      </c>
      <c r="MB9" s="383">
        <f t="shared" si="258"/>
        <v>2104843.5286195283</v>
      </c>
      <c r="MC9" s="391">
        <f t="shared" si="70"/>
        <v>23</v>
      </c>
      <c r="MD9" s="383">
        <f t="shared" si="259"/>
        <v>2104843.5286195283</v>
      </c>
      <c r="ME9" s="391">
        <f t="shared" si="71"/>
        <v>23</v>
      </c>
      <c r="MF9" s="383">
        <f t="shared" si="259"/>
        <v>2104843.5286195283</v>
      </c>
      <c r="MG9" s="391">
        <f t="shared" si="72"/>
        <v>23</v>
      </c>
      <c r="MH9" s="383">
        <f t="shared" si="260"/>
        <v>2104843.5286195283</v>
      </c>
      <c r="MI9" s="391">
        <f t="shared" si="73"/>
        <v>23</v>
      </c>
      <c r="MJ9" s="383">
        <f t="shared" si="261"/>
        <v>2104843.5286195283</v>
      </c>
      <c r="MK9" s="391">
        <f t="shared" si="74"/>
        <v>23</v>
      </c>
      <c r="ML9" s="383">
        <f t="shared" si="262"/>
        <v>2104843.5286195283</v>
      </c>
      <c r="MM9" s="391">
        <f t="shared" si="75"/>
        <v>23</v>
      </c>
      <c r="MN9" s="383">
        <f t="shared" si="263"/>
        <v>2104843.5286195283</v>
      </c>
      <c r="MO9" s="391">
        <f t="shared" si="76"/>
        <v>23</v>
      </c>
      <c r="MP9" s="383">
        <f t="shared" si="264"/>
        <v>2104843.5286195283</v>
      </c>
      <c r="MQ9" s="391">
        <f t="shared" si="77"/>
        <v>23</v>
      </c>
      <c r="MR9" s="383">
        <f t="shared" si="265"/>
        <v>2104843.5286195283</v>
      </c>
      <c r="MS9" s="391">
        <f t="shared" si="78"/>
        <v>23</v>
      </c>
      <c r="MT9" s="383">
        <f t="shared" si="266"/>
        <v>2104843.5286195283</v>
      </c>
      <c r="MU9" s="391">
        <f t="shared" si="79"/>
        <v>23</v>
      </c>
      <c r="MV9" s="383">
        <f t="shared" si="267"/>
        <v>2104843.5286195283</v>
      </c>
      <c r="MW9" s="391">
        <f t="shared" si="80"/>
        <v>23</v>
      </c>
      <c r="MX9" s="383">
        <f t="shared" si="268"/>
        <v>2104843.5286195283</v>
      </c>
      <c r="MY9" s="98">
        <f t="shared" si="269"/>
        <v>276</v>
      </c>
      <c r="MZ9" s="99">
        <f t="shared" si="270"/>
        <v>25258122.343434341</v>
      </c>
    </row>
    <row r="10" spans="1:364" s="63" customFormat="1" ht="26.4" x14ac:dyDescent="0.3">
      <c r="A10" s="540"/>
      <c r="B10" s="80" t="s">
        <v>40</v>
      </c>
      <c r="C10" s="81" t="s">
        <v>41</v>
      </c>
      <c r="D10" s="82" t="s">
        <v>37</v>
      </c>
      <c r="E10" s="9">
        <v>1</v>
      </c>
      <c r="F10" s="343">
        <v>36401.677026677018</v>
      </c>
      <c r="G10" s="343">
        <f t="shared" si="81"/>
        <v>37918.760252093576</v>
      </c>
      <c r="I10" s="415"/>
      <c r="J10" s="83"/>
      <c r="K10" s="84">
        <f t="shared" si="82"/>
        <v>0</v>
      </c>
      <c r="L10" s="85">
        <f t="shared" si="83"/>
        <v>0</v>
      </c>
      <c r="M10" s="282">
        <f t="shared" si="84"/>
        <v>0</v>
      </c>
      <c r="N10" s="85">
        <f t="shared" si="83"/>
        <v>0</v>
      </c>
      <c r="O10" s="282">
        <f t="shared" si="84"/>
        <v>0</v>
      </c>
      <c r="P10" s="85">
        <f t="shared" si="83"/>
        <v>0</v>
      </c>
      <c r="Q10" s="282">
        <f t="shared" si="85"/>
        <v>0</v>
      </c>
      <c r="R10" s="85">
        <f t="shared" si="83"/>
        <v>0</v>
      </c>
      <c r="S10" s="282">
        <f t="shared" si="86"/>
        <v>0</v>
      </c>
      <c r="T10" s="85">
        <f t="shared" si="83"/>
        <v>0</v>
      </c>
      <c r="U10" s="282">
        <f t="shared" si="87"/>
        <v>0</v>
      </c>
      <c r="V10" s="85">
        <f t="shared" si="83"/>
        <v>0</v>
      </c>
      <c r="W10" s="282">
        <f t="shared" si="88"/>
        <v>0</v>
      </c>
      <c r="X10" s="85">
        <f t="shared" si="83"/>
        <v>0</v>
      </c>
      <c r="Y10" s="282">
        <f t="shared" si="89"/>
        <v>0</v>
      </c>
      <c r="Z10" s="85">
        <f t="shared" si="83"/>
        <v>0</v>
      </c>
      <c r="AA10" s="282">
        <f t="shared" si="90"/>
        <v>0</v>
      </c>
      <c r="AB10" s="85">
        <f t="shared" si="83"/>
        <v>0</v>
      </c>
      <c r="AC10" s="282">
        <f t="shared" si="91"/>
        <v>0</v>
      </c>
      <c r="AD10" s="85">
        <f t="shared" si="83"/>
        <v>0</v>
      </c>
      <c r="AE10" s="282">
        <f t="shared" si="92"/>
        <v>0</v>
      </c>
      <c r="AF10" s="85">
        <f t="shared" si="83"/>
        <v>0</v>
      </c>
      <c r="AG10" s="282">
        <f t="shared" si="93"/>
        <v>0</v>
      </c>
      <c r="AH10" s="85">
        <f t="shared" si="83"/>
        <v>0</v>
      </c>
      <c r="AI10" s="291">
        <f t="shared" si="93"/>
        <v>0</v>
      </c>
      <c r="AJ10" s="88">
        <f t="shared" si="94"/>
        <v>0</v>
      </c>
      <c r="AK10" s="303">
        <f t="shared" si="95"/>
        <v>0</v>
      </c>
      <c r="AM10" s="24"/>
      <c r="AN10" s="83">
        <v>0</v>
      </c>
      <c r="AO10" s="89">
        <f t="shared" si="0"/>
        <v>0</v>
      </c>
      <c r="AP10" s="85">
        <f t="shared" si="1"/>
        <v>0</v>
      </c>
      <c r="AQ10" s="86">
        <f t="shared" si="96"/>
        <v>0</v>
      </c>
      <c r="AR10" s="314">
        <f t="shared" si="2"/>
        <v>0</v>
      </c>
      <c r="AS10" s="281">
        <f t="shared" si="97"/>
        <v>0</v>
      </c>
      <c r="AT10" s="314">
        <f t="shared" si="3"/>
        <v>0</v>
      </c>
      <c r="AU10" s="281">
        <f t="shared" si="97"/>
        <v>0</v>
      </c>
      <c r="AV10" s="314">
        <f t="shared" si="4"/>
        <v>0</v>
      </c>
      <c r="AW10" s="281">
        <f t="shared" si="98"/>
        <v>0</v>
      </c>
      <c r="AX10" s="314">
        <f t="shared" si="5"/>
        <v>0</v>
      </c>
      <c r="AY10" s="281">
        <f t="shared" si="99"/>
        <v>0</v>
      </c>
      <c r="AZ10" s="314">
        <f t="shared" si="6"/>
        <v>0</v>
      </c>
      <c r="BA10" s="281">
        <f t="shared" si="100"/>
        <v>0</v>
      </c>
      <c r="BB10" s="314">
        <f t="shared" si="7"/>
        <v>0</v>
      </c>
      <c r="BC10" s="281">
        <f t="shared" si="101"/>
        <v>0</v>
      </c>
      <c r="BD10" s="314">
        <f t="shared" si="8"/>
        <v>0</v>
      </c>
      <c r="BE10" s="281">
        <f t="shared" si="102"/>
        <v>0</v>
      </c>
      <c r="BF10" s="314">
        <f t="shared" si="9"/>
        <v>0</v>
      </c>
      <c r="BG10" s="281">
        <f t="shared" si="103"/>
        <v>0</v>
      </c>
      <c r="BH10" s="314">
        <f t="shared" si="10"/>
        <v>0</v>
      </c>
      <c r="BI10" s="281">
        <f t="shared" si="104"/>
        <v>0</v>
      </c>
      <c r="BJ10" s="314">
        <f t="shared" si="11"/>
        <v>0</v>
      </c>
      <c r="BK10" s="281">
        <f t="shared" si="104"/>
        <v>0</v>
      </c>
      <c r="BL10" s="85">
        <f t="shared" si="12"/>
        <v>0</v>
      </c>
      <c r="BM10" s="322">
        <f t="shared" si="105"/>
        <v>0</v>
      </c>
      <c r="BN10" s="72">
        <f t="shared" si="106"/>
        <v>0</v>
      </c>
      <c r="BO10" s="326">
        <f t="shared" si="13"/>
        <v>0</v>
      </c>
      <c r="BQ10" s="24">
        <v>15</v>
      </c>
      <c r="BR10" s="83">
        <v>1</v>
      </c>
      <c r="BS10" s="100">
        <f>+BR10*BQ10*$G10</f>
        <v>568781.40378140367</v>
      </c>
      <c r="BT10" s="85">
        <f t="shared" si="280"/>
        <v>15</v>
      </c>
      <c r="BU10" s="329">
        <f t="shared" si="107"/>
        <v>568781.40378140367</v>
      </c>
      <c r="BV10" s="85">
        <f t="shared" si="15"/>
        <v>15</v>
      </c>
      <c r="BW10" s="86">
        <f t="shared" si="108"/>
        <v>568781.40378140367</v>
      </c>
      <c r="BX10" s="85">
        <f t="shared" si="16"/>
        <v>15</v>
      </c>
      <c r="BY10" s="86">
        <f t="shared" si="109"/>
        <v>568781.40378140367</v>
      </c>
      <c r="BZ10" s="85">
        <f t="shared" si="17"/>
        <v>15</v>
      </c>
      <c r="CA10" s="86">
        <f t="shared" si="110"/>
        <v>568781.40378140367</v>
      </c>
      <c r="CB10" s="85">
        <f t="shared" si="18"/>
        <v>15</v>
      </c>
      <c r="CC10" s="86">
        <f t="shared" si="111"/>
        <v>568781.40378140367</v>
      </c>
      <c r="CD10" s="85">
        <f t="shared" si="19"/>
        <v>15</v>
      </c>
      <c r="CE10" s="86">
        <f t="shared" si="112"/>
        <v>568781.40378140367</v>
      </c>
      <c r="CF10" s="85">
        <f t="shared" si="113"/>
        <v>15</v>
      </c>
      <c r="CG10" s="86">
        <f t="shared" si="114"/>
        <v>568781.40378140367</v>
      </c>
      <c r="CH10" s="85">
        <f t="shared" si="20"/>
        <v>15</v>
      </c>
      <c r="CI10" s="86">
        <f t="shared" si="115"/>
        <v>568781.40378140367</v>
      </c>
      <c r="CJ10" s="85">
        <f t="shared" si="116"/>
        <v>15</v>
      </c>
      <c r="CK10" s="86">
        <f t="shared" si="117"/>
        <v>568781.40378140367</v>
      </c>
      <c r="CL10" s="85">
        <f t="shared" si="21"/>
        <v>15</v>
      </c>
      <c r="CM10" s="86">
        <f t="shared" si="118"/>
        <v>568781.40378140367</v>
      </c>
      <c r="CN10" s="85">
        <f t="shared" si="119"/>
        <v>15</v>
      </c>
      <c r="CO10" s="86">
        <f t="shared" si="120"/>
        <v>568781.40378140367</v>
      </c>
      <c r="CP10" s="85">
        <f t="shared" si="22"/>
        <v>15</v>
      </c>
      <c r="CQ10" s="87">
        <f t="shared" si="23"/>
        <v>568781.40378140367</v>
      </c>
      <c r="CR10" s="90">
        <f t="shared" si="121"/>
        <v>180</v>
      </c>
      <c r="CS10" s="91">
        <f t="shared" si="24"/>
        <v>6825376.8453768436</v>
      </c>
      <c r="CU10" s="24">
        <v>15</v>
      </c>
      <c r="CV10" s="83">
        <v>1</v>
      </c>
      <c r="CW10" s="95">
        <f>+CV10*CU10*$G10</f>
        <v>568781.40378140367</v>
      </c>
      <c r="CX10" s="85">
        <f t="shared" si="122"/>
        <v>15</v>
      </c>
      <c r="CY10" s="86">
        <f t="shared" si="123"/>
        <v>568781.40378140367</v>
      </c>
      <c r="CZ10" s="85">
        <f t="shared" si="26"/>
        <v>15</v>
      </c>
      <c r="DA10" s="282">
        <f t="shared" si="123"/>
        <v>568781.40378140367</v>
      </c>
      <c r="DB10" s="85">
        <f t="shared" si="27"/>
        <v>15</v>
      </c>
      <c r="DC10" s="282">
        <f t="shared" si="124"/>
        <v>568781.40378140367</v>
      </c>
      <c r="DD10" s="85">
        <f t="shared" si="28"/>
        <v>15</v>
      </c>
      <c r="DE10" s="282">
        <f t="shared" si="125"/>
        <v>568781.40378140367</v>
      </c>
      <c r="DF10" s="85">
        <f t="shared" si="29"/>
        <v>15</v>
      </c>
      <c r="DG10" s="282">
        <f t="shared" si="126"/>
        <v>568781.40378140367</v>
      </c>
      <c r="DH10" s="85">
        <f t="shared" si="30"/>
        <v>15</v>
      </c>
      <c r="DI10" s="282">
        <f t="shared" si="127"/>
        <v>568781.40378140367</v>
      </c>
      <c r="DJ10" s="85">
        <f t="shared" si="128"/>
        <v>15</v>
      </c>
      <c r="DK10" s="282">
        <f t="shared" si="129"/>
        <v>568781.40378140367</v>
      </c>
      <c r="DL10" s="85">
        <f t="shared" si="31"/>
        <v>15</v>
      </c>
      <c r="DM10" s="282">
        <f t="shared" si="130"/>
        <v>568781.40378140367</v>
      </c>
      <c r="DN10" s="85">
        <f t="shared" si="131"/>
        <v>15</v>
      </c>
      <c r="DO10" s="282">
        <f t="shared" si="132"/>
        <v>568781.40378140367</v>
      </c>
      <c r="DP10" s="85">
        <f t="shared" si="32"/>
        <v>15</v>
      </c>
      <c r="DQ10" s="282">
        <f t="shared" si="133"/>
        <v>568781.40378140367</v>
      </c>
      <c r="DR10" s="85">
        <f t="shared" si="134"/>
        <v>15</v>
      </c>
      <c r="DS10" s="282">
        <f t="shared" si="135"/>
        <v>568781.40378140367</v>
      </c>
      <c r="DT10" s="85">
        <f t="shared" si="33"/>
        <v>15</v>
      </c>
      <c r="DU10" s="282">
        <f t="shared" si="136"/>
        <v>568781.40378140367</v>
      </c>
      <c r="DV10" s="90">
        <f t="shared" si="137"/>
        <v>180</v>
      </c>
      <c r="DW10" s="91">
        <f t="shared" si="34"/>
        <v>6825376.8453768436</v>
      </c>
      <c r="DY10" s="97"/>
      <c r="DZ10" s="83"/>
      <c r="EA10" s="95">
        <f t="shared" si="35"/>
        <v>0</v>
      </c>
      <c r="EB10" s="85">
        <f t="shared" si="138"/>
        <v>0</v>
      </c>
      <c r="EC10" s="86">
        <f t="shared" si="139"/>
        <v>0</v>
      </c>
      <c r="ED10" s="314">
        <v>0</v>
      </c>
      <c r="EE10" s="86">
        <f t="shared" si="139"/>
        <v>0</v>
      </c>
      <c r="EF10" s="85">
        <f t="shared" si="140"/>
        <v>0</v>
      </c>
      <c r="EG10" s="86">
        <f t="shared" si="141"/>
        <v>0</v>
      </c>
      <c r="EH10" s="85">
        <f t="shared" si="142"/>
        <v>0</v>
      </c>
      <c r="EI10" s="86">
        <f t="shared" si="141"/>
        <v>0</v>
      </c>
      <c r="EJ10" s="85">
        <f t="shared" si="142"/>
        <v>0</v>
      </c>
      <c r="EK10" s="86">
        <f t="shared" si="143"/>
        <v>0</v>
      </c>
      <c r="EL10" s="85">
        <f t="shared" si="142"/>
        <v>0</v>
      </c>
      <c r="EM10" s="86">
        <f t="shared" si="144"/>
        <v>0</v>
      </c>
      <c r="EN10" s="85">
        <f t="shared" si="142"/>
        <v>0</v>
      </c>
      <c r="EO10" s="86">
        <f t="shared" si="145"/>
        <v>0</v>
      </c>
      <c r="EP10" s="85">
        <f t="shared" si="142"/>
        <v>0</v>
      </c>
      <c r="EQ10" s="86">
        <f t="shared" si="146"/>
        <v>0</v>
      </c>
      <c r="ER10" s="85">
        <f t="shared" si="142"/>
        <v>0</v>
      </c>
      <c r="ES10" s="86">
        <f t="shared" si="147"/>
        <v>0</v>
      </c>
      <c r="ET10" s="85">
        <f t="shared" si="142"/>
        <v>0</v>
      </c>
      <c r="EU10" s="86">
        <f t="shared" si="148"/>
        <v>0</v>
      </c>
      <c r="EV10" s="85">
        <f t="shared" si="142"/>
        <v>0</v>
      </c>
      <c r="EW10" s="86">
        <f t="shared" si="149"/>
        <v>0</v>
      </c>
      <c r="EX10" s="85">
        <f t="shared" si="142"/>
        <v>0</v>
      </c>
      <c r="EY10" s="86">
        <f t="shared" si="150"/>
        <v>0</v>
      </c>
      <c r="EZ10" s="90">
        <f t="shared" si="151"/>
        <v>0</v>
      </c>
      <c r="FA10" s="91">
        <f t="shared" si="36"/>
        <v>0</v>
      </c>
      <c r="FC10" s="24"/>
      <c r="FD10" s="83"/>
      <c r="FE10" s="95">
        <f t="shared" si="152"/>
        <v>0</v>
      </c>
      <c r="FF10" s="85">
        <f t="shared" si="153"/>
        <v>0</v>
      </c>
      <c r="FG10" s="86">
        <f t="shared" si="154"/>
        <v>0</v>
      </c>
      <c r="FH10" s="365">
        <f t="shared" si="37"/>
        <v>0</v>
      </c>
      <c r="FI10" s="86">
        <f t="shared" si="155"/>
        <v>0</v>
      </c>
      <c r="FJ10" s="365">
        <f t="shared" si="38"/>
        <v>0</v>
      </c>
      <c r="FK10" s="86">
        <f t="shared" si="155"/>
        <v>0</v>
      </c>
      <c r="FL10" s="365">
        <f t="shared" si="39"/>
        <v>0</v>
      </c>
      <c r="FM10" s="86">
        <f t="shared" si="156"/>
        <v>0</v>
      </c>
      <c r="FN10" s="365">
        <f t="shared" si="40"/>
        <v>0</v>
      </c>
      <c r="FO10" s="86">
        <f t="shared" si="157"/>
        <v>0</v>
      </c>
      <c r="FP10" s="365">
        <f t="shared" si="41"/>
        <v>0</v>
      </c>
      <c r="FQ10" s="86">
        <f t="shared" si="158"/>
        <v>0</v>
      </c>
      <c r="FR10" s="365">
        <f t="shared" si="159"/>
        <v>0</v>
      </c>
      <c r="FS10" s="86">
        <f t="shared" si="160"/>
        <v>0</v>
      </c>
      <c r="FT10" s="365">
        <f t="shared" si="42"/>
        <v>0</v>
      </c>
      <c r="FU10" s="86">
        <f t="shared" si="161"/>
        <v>0</v>
      </c>
      <c r="FV10" s="365">
        <f t="shared" si="162"/>
        <v>0</v>
      </c>
      <c r="FW10" s="86">
        <f t="shared" si="163"/>
        <v>0</v>
      </c>
      <c r="FX10" s="365">
        <f t="shared" si="43"/>
        <v>0</v>
      </c>
      <c r="FY10" s="86">
        <f t="shared" si="164"/>
        <v>0</v>
      </c>
      <c r="FZ10" s="365">
        <f t="shared" si="165"/>
        <v>0</v>
      </c>
      <c r="GA10" s="86">
        <f t="shared" si="166"/>
        <v>0</v>
      </c>
      <c r="GB10" s="365">
        <f t="shared" si="44"/>
        <v>0</v>
      </c>
      <c r="GC10" s="86">
        <f t="shared" si="167"/>
        <v>0</v>
      </c>
      <c r="GD10" s="90">
        <f t="shared" si="168"/>
        <v>0</v>
      </c>
      <c r="GE10" s="91">
        <f t="shared" si="45"/>
        <v>0</v>
      </c>
      <c r="GG10" s="24"/>
      <c r="GH10" s="83">
        <v>1</v>
      </c>
      <c r="GI10" s="95">
        <f t="shared" si="46"/>
        <v>0</v>
      </c>
      <c r="GJ10" s="85">
        <f t="shared" si="169"/>
        <v>0</v>
      </c>
      <c r="GK10" s="86">
        <f t="shared" si="170"/>
        <v>0</v>
      </c>
      <c r="GL10" s="85">
        <f t="shared" si="169"/>
        <v>0</v>
      </c>
      <c r="GM10" s="86">
        <f t="shared" si="170"/>
        <v>0</v>
      </c>
      <c r="GN10" s="85">
        <f t="shared" si="169"/>
        <v>0</v>
      </c>
      <c r="GO10" s="86">
        <f t="shared" si="171"/>
        <v>0</v>
      </c>
      <c r="GP10" s="85">
        <f t="shared" si="169"/>
        <v>0</v>
      </c>
      <c r="GQ10" s="86">
        <f t="shared" si="172"/>
        <v>0</v>
      </c>
      <c r="GR10" s="85">
        <f t="shared" si="173"/>
        <v>0</v>
      </c>
      <c r="GS10" s="86">
        <f t="shared" si="174"/>
        <v>0</v>
      </c>
      <c r="GT10" s="85">
        <f t="shared" si="175"/>
        <v>0</v>
      </c>
      <c r="GU10" s="86">
        <f t="shared" si="176"/>
        <v>0</v>
      </c>
      <c r="GV10" s="85">
        <f t="shared" si="177"/>
        <v>0</v>
      </c>
      <c r="GW10" s="86">
        <f t="shared" si="178"/>
        <v>0</v>
      </c>
      <c r="GX10" s="85">
        <f t="shared" si="179"/>
        <v>0</v>
      </c>
      <c r="GY10" s="86">
        <f t="shared" si="180"/>
        <v>0</v>
      </c>
      <c r="GZ10" s="85">
        <f t="shared" si="181"/>
        <v>0</v>
      </c>
      <c r="HA10" s="86">
        <f t="shared" si="182"/>
        <v>0</v>
      </c>
      <c r="HB10" s="85">
        <f t="shared" si="183"/>
        <v>0</v>
      </c>
      <c r="HC10" s="86">
        <f t="shared" si="184"/>
        <v>0</v>
      </c>
      <c r="HD10" s="85">
        <f t="shared" si="185"/>
        <v>0</v>
      </c>
      <c r="HE10" s="86">
        <f t="shared" si="186"/>
        <v>0</v>
      </c>
      <c r="HF10" s="85">
        <f t="shared" si="187"/>
        <v>0</v>
      </c>
      <c r="HG10" s="86">
        <f t="shared" si="188"/>
        <v>0</v>
      </c>
      <c r="HH10" s="90">
        <f t="shared" si="189"/>
        <v>0</v>
      </c>
      <c r="HI10" s="91">
        <f t="shared" si="47"/>
        <v>0</v>
      </c>
      <c r="HK10" s="24"/>
      <c r="HL10" s="83"/>
      <c r="HM10" s="95">
        <f t="shared" si="48"/>
        <v>0</v>
      </c>
      <c r="HN10" s="85">
        <f t="shared" si="190"/>
        <v>0</v>
      </c>
      <c r="HO10" s="86">
        <f t="shared" si="191"/>
        <v>0</v>
      </c>
      <c r="HP10" s="85">
        <f t="shared" si="192"/>
        <v>0</v>
      </c>
      <c r="HQ10" s="86">
        <f t="shared" si="193"/>
        <v>0</v>
      </c>
      <c r="HR10" s="85">
        <f t="shared" si="192"/>
        <v>0</v>
      </c>
      <c r="HS10" s="86">
        <f t="shared" si="193"/>
        <v>0</v>
      </c>
      <c r="HT10" s="85">
        <f t="shared" si="192"/>
        <v>0</v>
      </c>
      <c r="HU10" s="86">
        <f t="shared" si="194"/>
        <v>0</v>
      </c>
      <c r="HV10" s="85">
        <f t="shared" si="192"/>
        <v>0</v>
      </c>
      <c r="HW10" s="86">
        <f t="shared" si="195"/>
        <v>0</v>
      </c>
      <c r="HX10" s="85">
        <f t="shared" si="196"/>
        <v>0</v>
      </c>
      <c r="HY10" s="86">
        <f t="shared" si="197"/>
        <v>0</v>
      </c>
      <c r="HZ10" s="85">
        <f t="shared" si="198"/>
        <v>0</v>
      </c>
      <c r="IA10" s="86">
        <f t="shared" si="199"/>
        <v>0</v>
      </c>
      <c r="IB10" s="85">
        <f t="shared" si="200"/>
        <v>0</v>
      </c>
      <c r="IC10" s="86">
        <f t="shared" si="201"/>
        <v>0</v>
      </c>
      <c r="ID10" s="85">
        <f t="shared" si="202"/>
        <v>0</v>
      </c>
      <c r="IE10" s="86">
        <f t="shared" si="203"/>
        <v>0</v>
      </c>
      <c r="IF10" s="85">
        <f t="shared" si="204"/>
        <v>0</v>
      </c>
      <c r="IG10" s="86">
        <f t="shared" si="205"/>
        <v>0</v>
      </c>
      <c r="IH10" s="85">
        <f t="shared" si="206"/>
        <v>0</v>
      </c>
      <c r="II10" s="86">
        <f t="shared" si="207"/>
        <v>0</v>
      </c>
      <c r="IJ10" s="85">
        <f t="shared" si="208"/>
        <v>0</v>
      </c>
      <c r="IK10" s="86">
        <f t="shared" si="209"/>
        <v>0</v>
      </c>
      <c r="IL10" s="90">
        <f t="shared" si="210"/>
        <v>0</v>
      </c>
      <c r="IM10" s="91">
        <f t="shared" si="211"/>
        <v>0</v>
      </c>
      <c r="IO10" s="24"/>
      <c r="IP10" s="83"/>
      <c r="IQ10" s="95">
        <f t="shared" si="49"/>
        <v>0</v>
      </c>
      <c r="IR10" s="85">
        <f t="shared" si="212"/>
        <v>0</v>
      </c>
      <c r="IS10" s="86">
        <f t="shared" si="213"/>
        <v>0</v>
      </c>
      <c r="IT10" s="85">
        <f t="shared" si="50"/>
        <v>0</v>
      </c>
      <c r="IU10" s="282">
        <f t="shared" si="214"/>
        <v>0</v>
      </c>
      <c r="IV10" s="85">
        <f t="shared" si="51"/>
        <v>0</v>
      </c>
      <c r="IW10" s="282">
        <f t="shared" si="214"/>
        <v>0</v>
      </c>
      <c r="IX10" s="85">
        <f t="shared" si="52"/>
        <v>0</v>
      </c>
      <c r="IY10" s="282">
        <f t="shared" si="215"/>
        <v>0</v>
      </c>
      <c r="IZ10" s="85">
        <f t="shared" si="53"/>
        <v>0</v>
      </c>
      <c r="JA10" s="282">
        <f t="shared" si="216"/>
        <v>0</v>
      </c>
      <c r="JB10" s="85">
        <f t="shared" si="54"/>
        <v>0</v>
      </c>
      <c r="JC10" s="282">
        <f t="shared" si="217"/>
        <v>0</v>
      </c>
      <c r="JD10" s="85">
        <f t="shared" si="218"/>
        <v>0</v>
      </c>
      <c r="JE10" s="282">
        <f t="shared" si="219"/>
        <v>0</v>
      </c>
      <c r="JF10" s="85">
        <f t="shared" si="55"/>
        <v>0</v>
      </c>
      <c r="JG10" s="282">
        <f t="shared" si="220"/>
        <v>0</v>
      </c>
      <c r="JH10" s="85">
        <f t="shared" si="221"/>
        <v>0</v>
      </c>
      <c r="JI10" s="282">
        <f t="shared" si="222"/>
        <v>0</v>
      </c>
      <c r="JJ10" s="85">
        <f t="shared" si="56"/>
        <v>0</v>
      </c>
      <c r="JK10" s="282">
        <f t="shared" si="223"/>
        <v>0</v>
      </c>
      <c r="JL10" s="85">
        <f t="shared" si="224"/>
        <v>0</v>
      </c>
      <c r="JM10" s="282">
        <f t="shared" si="225"/>
        <v>0</v>
      </c>
      <c r="JN10" s="85">
        <f t="shared" si="57"/>
        <v>0</v>
      </c>
      <c r="JO10" s="282">
        <f t="shared" si="226"/>
        <v>0</v>
      </c>
      <c r="JP10" s="90">
        <f t="shared" si="227"/>
        <v>0</v>
      </c>
      <c r="JQ10" s="91">
        <f t="shared" si="228"/>
        <v>0</v>
      </c>
      <c r="JS10" s="24"/>
      <c r="JT10" s="83"/>
      <c r="JU10" s="95">
        <f t="shared" si="58"/>
        <v>0</v>
      </c>
      <c r="JV10" s="85">
        <f t="shared" si="229"/>
        <v>0</v>
      </c>
      <c r="JW10" s="86">
        <f t="shared" si="230"/>
        <v>0</v>
      </c>
      <c r="JX10" s="365">
        <f t="shared" si="59"/>
        <v>0</v>
      </c>
      <c r="JY10" s="86">
        <f t="shared" si="231"/>
        <v>0</v>
      </c>
      <c r="JZ10" s="365">
        <f t="shared" si="60"/>
        <v>0</v>
      </c>
      <c r="KA10" s="86">
        <f t="shared" si="231"/>
        <v>0</v>
      </c>
      <c r="KB10" s="365">
        <f t="shared" si="61"/>
        <v>0</v>
      </c>
      <c r="KC10" s="86">
        <f t="shared" si="232"/>
        <v>0</v>
      </c>
      <c r="KD10" s="365">
        <f t="shared" si="62"/>
        <v>0</v>
      </c>
      <c r="KE10" s="86">
        <f t="shared" si="233"/>
        <v>0</v>
      </c>
      <c r="KF10" s="365">
        <f t="shared" si="63"/>
        <v>0</v>
      </c>
      <c r="KG10" s="86">
        <f t="shared" si="234"/>
        <v>0</v>
      </c>
      <c r="KH10" s="365">
        <f t="shared" si="235"/>
        <v>0</v>
      </c>
      <c r="KI10" s="86">
        <f t="shared" si="236"/>
        <v>0</v>
      </c>
      <c r="KJ10" s="365">
        <f t="shared" si="64"/>
        <v>0</v>
      </c>
      <c r="KK10" s="86">
        <f t="shared" si="237"/>
        <v>0</v>
      </c>
      <c r="KL10" s="365">
        <f t="shared" si="238"/>
        <v>0</v>
      </c>
      <c r="KM10" s="86">
        <f t="shared" si="239"/>
        <v>0</v>
      </c>
      <c r="KN10" s="365">
        <f t="shared" si="65"/>
        <v>0</v>
      </c>
      <c r="KO10" s="86">
        <f t="shared" si="240"/>
        <v>0</v>
      </c>
      <c r="KP10" s="365">
        <f t="shared" si="241"/>
        <v>0</v>
      </c>
      <c r="KQ10" s="86">
        <f t="shared" si="242"/>
        <v>0</v>
      </c>
      <c r="KR10" s="365">
        <f t="shared" si="66"/>
        <v>0</v>
      </c>
      <c r="KS10" s="87">
        <f t="shared" si="243"/>
        <v>0</v>
      </c>
      <c r="KT10" s="90">
        <f t="shared" si="244"/>
        <v>0</v>
      </c>
      <c r="KU10" s="91">
        <f t="shared" si="67"/>
        <v>0</v>
      </c>
      <c r="KW10" s="24">
        <v>0</v>
      </c>
      <c r="KX10" s="83"/>
      <c r="KY10" s="96">
        <f t="shared" si="68"/>
        <v>0</v>
      </c>
      <c r="KZ10" s="85">
        <f t="shared" si="271"/>
        <v>0</v>
      </c>
      <c r="LA10" s="86">
        <f t="shared" si="245"/>
        <v>0</v>
      </c>
      <c r="LB10" s="85">
        <f t="shared" si="272"/>
        <v>0</v>
      </c>
      <c r="LC10" s="86">
        <f t="shared" si="246"/>
        <v>0</v>
      </c>
      <c r="LD10" s="85">
        <f t="shared" si="272"/>
        <v>0</v>
      </c>
      <c r="LE10" s="86">
        <f t="shared" si="246"/>
        <v>0</v>
      </c>
      <c r="LF10" s="85">
        <f t="shared" si="272"/>
        <v>0</v>
      </c>
      <c r="LG10" s="86">
        <f t="shared" si="247"/>
        <v>0</v>
      </c>
      <c r="LH10" s="85">
        <f t="shared" si="272"/>
        <v>0</v>
      </c>
      <c r="LI10" s="86">
        <f t="shared" si="248"/>
        <v>0</v>
      </c>
      <c r="LJ10" s="85">
        <f t="shared" si="273"/>
        <v>0</v>
      </c>
      <c r="LK10" s="86">
        <f t="shared" si="249"/>
        <v>0</v>
      </c>
      <c r="LL10" s="85">
        <f t="shared" si="274"/>
        <v>0</v>
      </c>
      <c r="LM10" s="86">
        <f t="shared" si="250"/>
        <v>0</v>
      </c>
      <c r="LN10" s="85">
        <f t="shared" si="275"/>
        <v>0</v>
      </c>
      <c r="LO10" s="86">
        <f t="shared" si="251"/>
        <v>0</v>
      </c>
      <c r="LP10" s="85">
        <f t="shared" si="276"/>
        <v>0</v>
      </c>
      <c r="LQ10" s="86">
        <f t="shared" si="252"/>
        <v>0</v>
      </c>
      <c r="LR10" s="85">
        <f t="shared" si="277"/>
        <v>0</v>
      </c>
      <c r="LS10" s="86">
        <f t="shared" si="253"/>
        <v>0</v>
      </c>
      <c r="LT10" s="85">
        <f t="shared" si="278"/>
        <v>0</v>
      </c>
      <c r="LU10" s="86">
        <f t="shared" si="254"/>
        <v>0</v>
      </c>
      <c r="LV10" s="85">
        <f t="shared" si="279"/>
        <v>0</v>
      </c>
      <c r="LW10" s="86">
        <f t="shared" si="255"/>
        <v>0</v>
      </c>
      <c r="LX10" s="90">
        <f t="shared" si="256"/>
        <v>0</v>
      </c>
      <c r="LY10" s="91">
        <f t="shared" si="257"/>
        <v>0</v>
      </c>
      <c r="MA10" s="97">
        <f t="shared" si="69"/>
        <v>30</v>
      </c>
      <c r="MB10" s="383">
        <f t="shared" si="258"/>
        <v>1137562.8075628073</v>
      </c>
      <c r="MC10" s="391">
        <f t="shared" si="70"/>
        <v>30</v>
      </c>
      <c r="MD10" s="383">
        <f t="shared" si="259"/>
        <v>1137562.8075628073</v>
      </c>
      <c r="ME10" s="391">
        <f t="shared" si="71"/>
        <v>30</v>
      </c>
      <c r="MF10" s="383">
        <f t="shared" si="259"/>
        <v>1137562.8075628073</v>
      </c>
      <c r="MG10" s="391">
        <f t="shared" si="72"/>
        <v>30</v>
      </c>
      <c r="MH10" s="383">
        <f t="shared" si="260"/>
        <v>1137562.8075628073</v>
      </c>
      <c r="MI10" s="391">
        <f t="shared" si="73"/>
        <v>30</v>
      </c>
      <c r="MJ10" s="383">
        <f t="shared" si="261"/>
        <v>1137562.8075628073</v>
      </c>
      <c r="MK10" s="391">
        <f t="shared" si="74"/>
        <v>30</v>
      </c>
      <c r="ML10" s="383">
        <f t="shared" si="262"/>
        <v>1137562.8075628073</v>
      </c>
      <c r="MM10" s="391">
        <f t="shared" si="75"/>
        <v>30</v>
      </c>
      <c r="MN10" s="383">
        <f t="shared" si="263"/>
        <v>1137562.8075628073</v>
      </c>
      <c r="MO10" s="391">
        <f t="shared" si="76"/>
        <v>30</v>
      </c>
      <c r="MP10" s="383">
        <f t="shared" si="264"/>
        <v>1137562.8075628073</v>
      </c>
      <c r="MQ10" s="391">
        <f t="shared" si="77"/>
        <v>30</v>
      </c>
      <c r="MR10" s="383">
        <f t="shared" si="265"/>
        <v>1137562.8075628073</v>
      </c>
      <c r="MS10" s="391">
        <f t="shared" si="78"/>
        <v>30</v>
      </c>
      <c r="MT10" s="383">
        <f t="shared" si="266"/>
        <v>1137562.8075628073</v>
      </c>
      <c r="MU10" s="391">
        <f t="shared" si="79"/>
        <v>30</v>
      </c>
      <c r="MV10" s="383">
        <f t="shared" si="267"/>
        <v>1137562.8075628073</v>
      </c>
      <c r="MW10" s="391">
        <f t="shared" si="80"/>
        <v>30</v>
      </c>
      <c r="MX10" s="383">
        <f t="shared" si="268"/>
        <v>1137562.8075628073</v>
      </c>
      <c r="MY10" s="98">
        <f t="shared" si="269"/>
        <v>360</v>
      </c>
      <c r="MZ10" s="99">
        <f t="shared" si="270"/>
        <v>13650753.690753687</v>
      </c>
    </row>
    <row r="11" spans="1:364" s="63" customFormat="1" x14ac:dyDescent="0.3">
      <c r="A11" s="540"/>
      <c r="B11" s="80" t="s">
        <v>42</v>
      </c>
      <c r="C11" s="81" t="s">
        <v>43</v>
      </c>
      <c r="D11" s="82" t="s">
        <v>37</v>
      </c>
      <c r="E11" s="9">
        <v>1</v>
      </c>
      <c r="F11" s="343">
        <v>40331.358456358452</v>
      </c>
      <c r="G11" s="343">
        <f t="shared" si="81"/>
        <v>42012.215833549162</v>
      </c>
      <c r="I11" s="24"/>
      <c r="J11" s="83"/>
      <c r="K11" s="84">
        <f t="shared" si="82"/>
        <v>0</v>
      </c>
      <c r="L11" s="85">
        <f t="shared" si="83"/>
        <v>0</v>
      </c>
      <c r="M11" s="282">
        <f t="shared" si="84"/>
        <v>0</v>
      </c>
      <c r="N11" s="85">
        <f t="shared" si="83"/>
        <v>0</v>
      </c>
      <c r="O11" s="282">
        <f t="shared" si="84"/>
        <v>0</v>
      </c>
      <c r="P11" s="85">
        <f t="shared" si="83"/>
        <v>0</v>
      </c>
      <c r="Q11" s="282">
        <f t="shared" si="85"/>
        <v>0</v>
      </c>
      <c r="R11" s="85">
        <f t="shared" si="83"/>
        <v>0</v>
      </c>
      <c r="S11" s="282">
        <f t="shared" si="86"/>
        <v>0</v>
      </c>
      <c r="T11" s="85">
        <f t="shared" si="83"/>
        <v>0</v>
      </c>
      <c r="U11" s="282">
        <f t="shared" si="87"/>
        <v>0</v>
      </c>
      <c r="V11" s="85">
        <f t="shared" si="83"/>
        <v>0</v>
      </c>
      <c r="W11" s="282">
        <f t="shared" si="88"/>
        <v>0</v>
      </c>
      <c r="X11" s="85">
        <f t="shared" si="83"/>
        <v>0</v>
      </c>
      <c r="Y11" s="282">
        <f t="shared" si="89"/>
        <v>0</v>
      </c>
      <c r="Z11" s="85">
        <f t="shared" si="83"/>
        <v>0</v>
      </c>
      <c r="AA11" s="282">
        <f t="shared" si="90"/>
        <v>0</v>
      </c>
      <c r="AB11" s="85">
        <f t="shared" si="83"/>
        <v>0</v>
      </c>
      <c r="AC11" s="282">
        <f t="shared" si="91"/>
        <v>0</v>
      </c>
      <c r="AD11" s="85">
        <f t="shared" si="83"/>
        <v>0</v>
      </c>
      <c r="AE11" s="282">
        <f t="shared" si="92"/>
        <v>0</v>
      </c>
      <c r="AF11" s="85">
        <f t="shared" si="83"/>
        <v>0</v>
      </c>
      <c r="AG11" s="282">
        <f t="shared" si="93"/>
        <v>0</v>
      </c>
      <c r="AH11" s="85">
        <f t="shared" si="83"/>
        <v>0</v>
      </c>
      <c r="AI11" s="291">
        <f t="shared" si="93"/>
        <v>0</v>
      </c>
      <c r="AJ11" s="88">
        <f t="shared" si="94"/>
        <v>0</v>
      </c>
      <c r="AK11" s="303">
        <f t="shared" si="95"/>
        <v>0</v>
      </c>
      <c r="AM11" s="24"/>
      <c r="AN11" s="83">
        <v>0</v>
      </c>
      <c r="AO11" s="89">
        <f t="shared" si="0"/>
        <v>0</v>
      </c>
      <c r="AP11" s="85">
        <f t="shared" si="1"/>
        <v>0</v>
      </c>
      <c r="AQ11" s="86">
        <f t="shared" si="96"/>
        <v>0</v>
      </c>
      <c r="AR11" s="314">
        <f t="shared" si="2"/>
        <v>0</v>
      </c>
      <c r="AS11" s="281">
        <f t="shared" si="97"/>
        <v>0</v>
      </c>
      <c r="AT11" s="314">
        <f t="shared" si="3"/>
        <v>0</v>
      </c>
      <c r="AU11" s="281">
        <f t="shared" si="97"/>
        <v>0</v>
      </c>
      <c r="AV11" s="314">
        <f t="shared" si="4"/>
        <v>0</v>
      </c>
      <c r="AW11" s="281">
        <f t="shared" si="98"/>
        <v>0</v>
      </c>
      <c r="AX11" s="314">
        <f t="shared" si="5"/>
        <v>0</v>
      </c>
      <c r="AY11" s="281">
        <f t="shared" si="99"/>
        <v>0</v>
      </c>
      <c r="AZ11" s="314">
        <f t="shared" si="6"/>
        <v>0</v>
      </c>
      <c r="BA11" s="281">
        <f t="shared" si="100"/>
        <v>0</v>
      </c>
      <c r="BB11" s="314">
        <f t="shared" si="7"/>
        <v>0</v>
      </c>
      <c r="BC11" s="281">
        <f t="shared" si="101"/>
        <v>0</v>
      </c>
      <c r="BD11" s="314">
        <f t="shared" si="8"/>
        <v>0</v>
      </c>
      <c r="BE11" s="281">
        <f t="shared" si="102"/>
        <v>0</v>
      </c>
      <c r="BF11" s="314">
        <f t="shared" si="9"/>
        <v>0</v>
      </c>
      <c r="BG11" s="281">
        <f t="shared" si="103"/>
        <v>0</v>
      </c>
      <c r="BH11" s="314">
        <f t="shared" si="10"/>
        <v>0</v>
      </c>
      <c r="BI11" s="281">
        <f t="shared" si="104"/>
        <v>0</v>
      </c>
      <c r="BJ11" s="314">
        <f t="shared" si="11"/>
        <v>0</v>
      </c>
      <c r="BK11" s="281">
        <f t="shared" si="104"/>
        <v>0</v>
      </c>
      <c r="BL11" s="85">
        <f t="shared" si="12"/>
        <v>0</v>
      </c>
      <c r="BM11" s="322">
        <f t="shared" si="105"/>
        <v>0</v>
      </c>
      <c r="BN11" s="72">
        <f t="shared" si="106"/>
        <v>0</v>
      </c>
      <c r="BO11" s="326">
        <f t="shared" si="13"/>
        <v>0</v>
      </c>
      <c r="BQ11" s="24">
        <v>1</v>
      </c>
      <c r="BR11" s="83">
        <v>1</v>
      </c>
      <c r="BS11" s="100">
        <f t="shared" ref="BS11:BS75" si="281">+BR11*BQ11*$G11</f>
        <v>42012.215833549162</v>
      </c>
      <c r="BT11" s="85">
        <f t="shared" si="280"/>
        <v>1</v>
      </c>
      <c r="BU11" s="329">
        <f t="shared" si="107"/>
        <v>42012.215833549162</v>
      </c>
      <c r="BV11" s="85">
        <f t="shared" si="15"/>
        <v>1</v>
      </c>
      <c r="BW11" s="86">
        <f t="shared" si="108"/>
        <v>42012.215833549162</v>
      </c>
      <c r="BX11" s="85">
        <f t="shared" si="16"/>
        <v>1</v>
      </c>
      <c r="BY11" s="86">
        <f t="shared" si="109"/>
        <v>42012.215833549162</v>
      </c>
      <c r="BZ11" s="85">
        <f t="shared" si="17"/>
        <v>1</v>
      </c>
      <c r="CA11" s="86">
        <f t="shared" si="110"/>
        <v>42012.215833549162</v>
      </c>
      <c r="CB11" s="85">
        <f t="shared" si="18"/>
        <v>1</v>
      </c>
      <c r="CC11" s="86">
        <f t="shared" si="111"/>
        <v>42012.215833549162</v>
      </c>
      <c r="CD11" s="85">
        <f t="shared" si="19"/>
        <v>1</v>
      </c>
      <c r="CE11" s="86">
        <f t="shared" si="112"/>
        <v>42012.215833549162</v>
      </c>
      <c r="CF11" s="85">
        <f t="shared" si="113"/>
        <v>1</v>
      </c>
      <c r="CG11" s="86">
        <f t="shared" si="114"/>
        <v>42012.215833549162</v>
      </c>
      <c r="CH11" s="85">
        <f t="shared" si="20"/>
        <v>1</v>
      </c>
      <c r="CI11" s="86">
        <f t="shared" si="115"/>
        <v>42012.215833549162</v>
      </c>
      <c r="CJ11" s="85">
        <f t="shared" si="116"/>
        <v>1</v>
      </c>
      <c r="CK11" s="86">
        <f t="shared" si="117"/>
        <v>42012.215833549162</v>
      </c>
      <c r="CL11" s="85">
        <f t="shared" si="21"/>
        <v>1</v>
      </c>
      <c r="CM11" s="86">
        <f t="shared" si="118"/>
        <v>42012.215833549162</v>
      </c>
      <c r="CN11" s="85">
        <f t="shared" si="119"/>
        <v>1</v>
      </c>
      <c r="CO11" s="86">
        <f t="shared" si="120"/>
        <v>42012.215833549162</v>
      </c>
      <c r="CP11" s="85">
        <f t="shared" si="22"/>
        <v>1</v>
      </c>
      <c r="CQ11" s="87">
        <f t="shared" si="23"/>
        <v>42012.215833549162</v>
      </c>
      <c r="CR11" s="90">
        <f t="shared" si="121"/>
        <v>12</v>
      </c>
      <c r="CS11" s="91">
        <f t="shared" si="24"/>
        <v>504146.59000258998</v>
      </c>
      <c r="CU11" s="24">
        <v>15</v>
      </c>
      <c r="CV11" s="83">
        <v>1</v>
      </c>
      <c r="CW11" s="95">
        <f t="shared" ref="CW11:CW18" si="282">+CV11*CU11*$G11</f>
        <v>630183.23750323744</v>
      </c>
      <c r="CX11" s="85">
        <f t="shared" si="122"/>
        <v>15</v>
      </c>
      <c r="CY11" s="86">
        <f t="shared" si="123"/>
        <v>630183.23750323744</v>
      </c>
      <c r="CZ11" s="85">
        <f t="shared" si="26"/>
        <v>15</v>
      </c>
      <c r="DA11" s="282">
        <f t="shared" si="123"/>
        <v>630183.23750323744</v>
      </c>
      <c r="DB11" s="85">
        <f t="shared" si="27"/>
        <v>15</v>
      </c>
      <c r="DC11" s="282">
        <f t="shared" si="124"/>
        <v>630183.23750323744</v>
      </c>
      <c r="DD11" s="85">
        <f t="shared" si="28"/>
        <v>15</v>
      </c>
      <c r="DE11" s="282">
        <f t="shared" si="125"/>
        <v>630183.23750323744</v>
      </c>
      <c r="DF11" s="85">
        <f t="shared" si="29"/>
        <v>15</v>
      </c>
      <c r="DG11" s="282">
        <f t="shared" si="126"/>
        <v>630183.23750323744</v>
      </c>
      <c r="DH11" s="85">
        <f t="shared" si="30"/>
        <v>15</v>
      </c>
      <c r="DI11" s="282">
        <f t="shared" si="127"/>
        <v>630183.23750323744</v>
      </c>
      <c r="DJ11" s="85">
        <f t="shared" si="128"/>
        <v>15</v>
      </c>
      <c r="DK11" s="282">
        <f t="shared" si="129"/>
        <v>630183.23750323744</v>
      </c>
      <c r="DL11" s="85">
        <f t="shared" si="31"/>
        <v>15</v>
      </c>
      <c r="DM11" s="282">
        <f t="shared" si="130"/>
        <v>630183.23750323744</v>
      </c>
      <c r="DN11" s="85">
        <f t="shared" si="131"/>
        <v>15</v>
      </c>
      <c r="DO11" s="282">
        <f t="shared" si="132"/>
        <v>630183.23750323744</v>
      </c>
      <c r="DP11" s="85">
        <f t="shared" si="32"/>
        <v>15</v>
      </c>
      <c r="DQ11" s="282">
        <f t="shared" si="133"/>
        <v>630183.23750323744</v>
      </c>
      <c r="DR11" s="85">
        <f t="shared" si="134"/>
        <v>15</v>
      </c>
      <c r="DS11" s="282">
        <f t="shared" si="135"/>
        <v>630183.23750323744</v>
      </c>
      <c r="DT11" s="85">
        <f t="shared" si="33"/>
        <v>15</v>
      </c>
      <c r="DU11" s="282">
        <f t="shared" si="136"/>
        <v>630183.23750323744</v>
      </c>
      <c r="DV11" s="90">
        <f t="shared" si="137"/>
        <v>180</v>
      </c>
      <c r="DW11" s="91">
        <f t="shared" si="34"/>
        <v>7562198.8500388488</v>
      </c>
      <c r="DY11" s="101"/>
      <c r="DZ11" s="83"/>
      <c r="EA11" s="95">
        <f t="shared" si="35"/>
        <v>0</v>
      </c>
      <c r="EB11" s="85">
        <f t="shared" si="138"/>
        <v>0</v>
      </c>
      <c r="EC11" s="86">
        <f t="shared" si="139"/>
        <v>0</v>
      </c>
      <c r="ED11" s="314">
        <v>0</v>
      </c>
      <c r="EE11" s="86">
        <f t="shared" si="139"/>
        <v>0</v>
      </c>
      <c r="EF11" s="85">
        <f t="shared" si="140"/>
        <v>0</v>
      </c>
      <c r="EG11" s="86">
        <f t="shared" si="141"/>
        <v>0</v>
      </c>
      <c r="EH11" s="85">
        <f t="shared" si="142"/>
        <v>0</v>
      </c>
      <c r="EI11" s="86">
        <f t="shared" si="141"/>
        <v>0</v>
      </c>
      <c r="EJ11" s="85">
        <f t="shared" si="142"/>
        <v>0</v>
      </c>
      <c r="EK11" s="86">
        <f t="shared" si="143"/>
        <v>0</v>
      </c>
      <c r="EL11" s="85">
        <f t="shared" si="142"/>
        <v>0</v>
      </c>
      <c r="EM11" s="86">
        <f t="shared" si="144"/>
        <v>0</v>
      </c>
      <c r="EN11" s="85">
        <f t="shared" si="142"/>
        <v>0</v>
      </c>
      <c r="EO11" s="86">
        <f t="shared" si="145"/>
        <v>0</v>
      </c>
      <c r="EP11" s="85">
        <f t="shared" si="142"/>
        <v>0</v>
      </c>
      <c r="EQ11" s="86">
        <f t="shared" si="146"/>
        <v>0</v>
      </c>
      <c r="ER11" s="85">
        <f t="shared" si="142"/>
        <v>0</v>
      </c>
      <c r="ES11" s="86">
        <f t="shared" si="147"/>
        <v>0</v>
      </c>
      <c r="ET11" s="85">
        <f t="shared" si="142"/>
        <v>0</v>
      </c>
      <c r="EU11" s="86">
        <f t="shared" si="148"/>
        <v>0</v>
      </c>
      <c r="EV11" s="85">
        <f t="shared" si="142"/>
        <v>0</v>
      </c>
      <c r="EW11" s="86">
        <f t="shared" si="149"/>
        <v>0</v>
      </c>
      <c r="EX11" s="85">
        <f t="shared" si="142"/>
        <v>0</v>
      </c>
      <c r="EY11" s="86">
        <f t="shared" si="150"/>
        <v>0</v>
      </c>
      <c r="EZ11" s="90">
        <f t="shared" si="151"/>
        <v>0</v>
      </c>
      <c r="FA11" s="91">
        <f t="shared" si="36"/>
        <v>0</v>
      </c>
      <c r="FC11" s="24"/>
      <c r="FD11" s="83"/>
      <c r="FE11" s="95">
        <f t="shared" si="152"/>
        <v>0</v>
      </c>
      <c r="FF11" s="85">
        <f t="shared" si="153"/>
        <v>0</v>
      </c>
      <c r="FG11" s="86">
        <f t="shared" si="154"/>
        <v>0</v>
      </c>
      <c r="FH11" s="365">
        <f t="shared" si="37"/>
        <v>0</v>
      </c>
      <c r="FI11" s="86">
        <f t="shared" si="155"/>
        <v>0</v>
      </c>
      <c r="FJ11" s="365">
        <f t="shared" si="38"/>
        <v>0</v>
      </c>
      <c r="FK11" s="86">
        <f t="shared" si="155"/>
        <v>0</v>
      </c>
      <c r="FL11" s="365">
        <f t="shared" si="39"/>
        <v>0</v>
      </c>
      <c r="FM11" s="86">
        <f t="shared" si="156"/>
        <v>0</v>
      </c>
      <c r="FN11" s="365">
        <f t="shared" si="40"/>
        <v>0</v>
      </c>
      <c r="FO11" s="86">
        <f t="shared" si="157"/>
        <v>0</v>
      </c>
      <c r="FP11" s="365">
        <f t="shared" si="41"/>
        <v>0</v>
      </c>
      <c r="FQ11" s="86">
        <f t="shared" si="158"/>
        <v>0</v>
      </c>
      <c r="FR11" s="365">
        <f t="shared" si="159"/>
        <v>0</v>
      </c>
      <c r="FS11" s="86">
        <f t="shared" si="160"/>
        <v>0</v>
      </c>
      <c r="FT11" s="365">
        <f t="shared" si="42"/>
        <v>0</v>
      </c>
      <c r="FU11" s="86">
        <f t="shared" si="161"/>
        <v>0</v>
      </c>
      <c r="FV11" s="365">
        <f t="shared" si="162"/>
        <v>0</v>
      </c>
      <c r="FW11" s="86">
        <f t="shared" si="163"/>
        <v>0</v>
      </c>
      <c r="FX11" s="365">
        <f t="shared" si="43"/>
        <v>0</v>
      </c>
      <c r="FY11" s="86">
        <f t="shared" si="164"/>
        <v>0</v>
      </c>
      <c r="FZ11" s="365">
        <f t="shared" si="165"/>
        <v>0</v>
      </c>
      <c r="GA11" s="86">
        <f t="shared" si="166"/>
        <v>0</v>
      </c>
      <c r="GB11" s="365">
        <f t="shared" si="44"/>
        <v>0</v>
      </c>
      <c r="GC11" s="86">
        <f t="shared" si="167"/>
        <v>0</v>
      </c>
      <c r="GD11" s="90">
        <f t="shared" si="168"/>
        <v>0</v>
      </c>
      <c r="GE11" s="91">
        <f t="shared" si="45"/>
        <v>0</v>
      </c>
      <c r="GG11" s="24"/>
      <c r="GH11" s="83">
        <v>1</v>
      </c>
      <c r="GI11" s="95">
        <f t="shared" si="46"/>
        <v>0</v>
      </c>
      <c r="GJ11" s="85">
        <f t="shared" si="169"/>
        <v>0</v>
      </c>
      <c r="GK11" s="86">
        <f t="shared" si="170"/>
        <v>0</v>
      </c>
      <c r="GL11" s="85">
        <f t="shared" si="169"/>
        <v>0</v>
      </c>
      <c r="GM11" s="86">
        <f t="shared" si="170"/>
        <v>0</v>
      </c>
      <c r="GN11" s="85">
        <f t="shared" si="169"/>
        <v>0</v>
      </c>
      <c r="GO11" s="86">
        <f t="shared" si="171"/>
        <v>0</v>
      </c>
      <c r="GP11" s="85">
        <f t="shared" si="169"/>
        <v>0</v>
      </c>
      <c r="GQ11" s="86">
        <f t="shared" si="172"/>
        <v>0</v>
      </c>
      <c r="GR11" s="85">
        <f t="shared" si="173"/>
        <v>0</v>
      </c>
      <c r="GS11" s="86">
        <f t="shared" si="174"/>
        <v>0</v>
      </c>
      <c r="GT11" s="85">
        <f t="shared" si="175"/>
        <v>0</v>
      </c>
      <c r="GU11" s="86">
        <f t="shared" si="176"/>
        <v>0</v>
      </c>
      <c r="GV11" s="85">
        <f t="shared" si="177"/>
        <v>0</v>
      </c>
      <c r="GW11" s="86">
        <f t="shared" si="178"/>
        <v>0</v>
      </c>
      <c r="GX11" s="85">
        <f t="shared" si="179"/>
        <v>0</v>
      </c>
      <c r="GY11" s="86">
        <f t="shared" si="180"/>
        <v>0</v>
      </c>
      <c r="GZ11" s="85">
        <f t="shared" si="181"/>
        <v>0</v>
      </c>
      <c r="HA11" s="86">
        <f t="shared" si="182"/>
        <v>0</v>
      </c>
      <c r="HB11" s="85">
        <f t="shared" si="183"/>
        <v>0</v>
      </c>
      <c r="HC11" s="86">
        <f t="shared" si="184"/>
        <v>0</v>
      </c>
      <c r="HD11" s="85">
        <f t="shared" si="185"/>
        <v>0</v>
      </c>
      <c r="HE11" s="86">
        <f t="shared" si="186"/>
        <v>0</v>
      </c>
      <c r="HF11" s="85">
        <f t="shared" si="187"/>
        <v>0</v>
      </c>
      <c r="HG11" s="86">
        <f t="shared" si="188"/>
        <v>0</v>
      </c>
      <c r="HH11" s="90">
        <f t="shared" si="189"/>
        <v>0</v>
      </c>
      <c r="HI11" s="91">
        <f t="shared" si="47"/>
        <v>0</v>
      </c>
      <c r="HK11" s="24"/>
      <c r="HL11" s="83"/>
      <c r="HM11" s="95">
        <f t="shared" si="48"/>
        <v>0</v>
      </c>
      <c r="HN11" s="85">
        <f t="shared" si="190"/>
        <v>0</v>
      </c>
      <c r="HO11" s="86">
        <f t="shared" si="191"/>
        <v>0</v>
      </c>
      <c r="HP11" s="85">
        <f t="shared" si="192"/>
        <v>0</v>
      </c>
      <c r="HQ11" s="86">
        <f t="shared" si="193"/>
        <v>0</v>
      </c>
      <c r="HR11" s="85">
        <f t="shared" si="192"/>
        <v>0</v>
      </c>
      <c r="HS11" s="86">
        <f t="shared" si="193"/>
        <v>0</v>
      </c>
      <c r="HT11" s="85">
        <f t="shared" si="192"/>
        <v>0</v>
      </c>
      <c r="HU11" s="86">
        <f t="shared" si="194"/>
        <v>0</v>
      </c>
      <c r="HV11" s="85">
        <f t="shared" si="192"/>
        <v>0</v>
      </c>
      <c r="HW11" s="86">
        <f t="shared" si="195"/>
        <v>0</v>
      </c>
      <c r="HX11" s="85">
        <f t="shared" si="196"/>
        <v>0</v>
      </c>
      <c r="HY11" s="86">
        <f t="shared" si="197"/>
        <v>0</v>
      </c>
      <c r="HZ11" s="85">
        <f t="shared" si="198"/>
        <v>0</v>
      </c>
      <c r="IA11" s="86">
        <f t="shared" si="199"/>
        <v>0</v>
      </c>
      <c r="IB11" s="85">
        <f t="shared" si="200"/>
        <v>0</v>
      </c>
      <c r="IC11" s="86">
        <f t="shared" si="201"/>
        <v>0</v>
      </c>
      <c r="ID11" s="85">
        <f t="shared" si="202"/>
        <v>0</v>
      </c>
      <c r="IE11" s="86">
        <f t="shared" si="203"/>
        <v>0</v>
      </c>
      <c r="IF11" s="85">
        <f t="shared" si="204"/>
        <v>0</v>
      </c>
      <c r="IG11" s="86">
        <f t="shared" si="205"/>
        <v>0</v>
      </c>
      <c r="IH11" s="85">
        <f t="shared" si="206"/>
        <v>0</v>
      </c>
      <c r="II11" s="86">
        <f t="shared" si="207"/>
        <v>0</v>
      </c>
      <c r="IJ11" s="85">
        <f t="shared" si="208"/>
        <v>0</v>
      </c>
      <c r="IK11" s="86">
        <f t="shared" si="209"/>
        <v>0</v>
      </c>
      <c r="IL11" s="90">
        <f t="shared" si="210"/>
        <v>0</v>
      </c>
      <c r="IM11" s="91">
        <f t="shared" si="211"/>
        <v>0</v>
      </c>
      <c r="IO11" s="24"/>
      <c r="IP11" s="83"/>
      <c r="IQ11" s="95">
        <f t="shared" si="49"/>
        <v>0</v>
      </c>
      <c r="IR11" s="85">
        <f t="shared" si="212"/>
        <v>0</v>
      </c>
      <c r="IS11" s="86">
        <f t="shared" si="213"/>
        <v>0</v>
      </c>
      <c r="IT11" s="85">
        <f t="shared" si="50"/>
        <v>0</v>
      </c>
      <c r="IU11" s="282">
        <f t="shared" si="214"/>
        <v>0</v>
      </c>
      <c r="IV11" s="85">
        <f t="shared" si="51"/>
        <v>0</v>
      </c>
      <c r="IW11" s="282">
        <f t="shared" si="214"/>
        <v>0</v>
      </c>
      <c r="IX11" s="85">
        <f t="shared" si="52"/>
        <v>0</v>
      </c>
      <c r="IY11" s="282">
        <f t="shared" si="215"/>
        <v>0</v>
      </c>
      <c r="IZ11" s="85">
        <f t="shared" si="53"/>
        <v>0</v>
      </c>
      <c r="JA11" s="282">
        <f t="shared" si="216"/>
        <v>0</v>
      </c>
      <c r="JB11" s="85">
        <f t="shared" si="54"/>
        <v>0</v>
      </c>
      <c r="JC11" s="282">
        <f t="shared" si="217"/>
        <v>0</v>
      </c>
      <c r="JD11" s="85">
        <f t="shared" si="218"/>
        <v>0</v>
      </c>
      <c r="JE11" s="282">
        <f t="shared" si="219"/>
        <v>0</v>
      </c>
      <c r="JF11" s="85">
        <f t="shared" si="55"/>
        <v>0</v>
      </c>
      <c r="JG11" s="282">
        <f t="shared" si="220"/>
        <v>0</v>
      </c>
      <c r="JH11" s="85">
        <f t="shared" si="221"/>
        <v>0</v>
      </c>
      <c r="JI11" s="282">
        <f t="shared" si="222"/>
        <v>0</v>
      </c>
      <c r="JJ11" s="85">
        <f t="shared" si="56"/>
        <v>0</v>
      </c>
      <c r="JK11" s="282">
        <f t="shared" si="223"/>
        <v>0</v>
      </c>
      <c r="JL11" s="85">
        <f t="shared" si="224"/>
        <v>0</v>
      </c>
      <c r="JM11" s="282">
        <f t="shared" si="225"/>
        <v>0</v>
      </c>
      <c r="JN11" s="85">
        <f t="shared" si="57"/>
        <v>0</v>
      </c>
      <c r="JO11" s="282">
        <f t="shared" si="226"/>
        <v>0</v>
      </c>
      <c r="JP11" s="90">
        <f t="shared" si="227"/>
        <v>0</v>
      </c>
      <c r="JQ11" s="91">
        <f t="shared" si="228"/>
        <v>0</v>
      </c>
      <c r="JS11" s="24"/>
      <c r="JT11" s="83"/>
      <c r="JU11" s="95">
        <f t="shared" si="58"/>
        <v>0</v>
      </c>
      <c r="JV11" s="85">
        <f t="shared" si="229"/>
        <v>0</v>
      </c>
      <c r="JW11" s="86">
        <f t="shared" si="230"/>
        <v>0</v>
      </c>
      <c r="JX11" s="365">
        <f t="shared" si="59"/>
        <v>0</v>
      </c>
      <c r="JY11" s="86">
        <f t="shared" si="231"/>
        <v>0</v>
      </c>
      <c r="JZ11" s="365">
        <f t="shared" si="60"/>
        <v>0</v>
      </c>
      <c r="KA11" s="86">
        <f t="shared" si="231"/>
        <v>0</v>
      </c>
      <c r="KB11" s="365">
        <f t="shared" si="61"/>
        <v>0</v>
      </c>
      <c r="KC11" s="86">
        <f t="shared" si="232"/>
        <v>0</v>
      </c>
      <c r="KD11" s="365">
        <f t="shared" si="62"/>
        <v>0</v>
      </c>
      <c r="KE11" s="86">
        <f t="shared" si="233"/>
        <v>0</v>
      </c>
      <c r="KF11" s="365">
        <f t="shared" si="63"/>
        <v>0</v>
      </c>
      <c r="KG11" s="86">
        <f t="shared" si="234"/>
        <v>0</v>
      </c>
      <c r="KH11" s="365">
        <f t="shared" si="235"/>
        <v>0</v>
      </c>
      <c r="KI11" s="86">
        <f t="shared" si="236"/>
        <v>0</v>
      </c>
      <c r="KJ11" s="365">
        <f t="shared" si="64"/>
        <v>0</v>
      </c>
      <c r="KK11" s="86">
        <f t="shared" si="237"/>
        <v>0</v>
      </c>
      <c r="KL11" s="365">
        <f t="shared" si="238"/>
        <v>0</v>
      </c>
      <c r="KM11" s="86">
        <f t="shared" si="239"/>
        <v>0</v>
      </c>
      <c r="KN11" s="365">
        <f t="shared" si="65"/>
        <v>0</v>
      </c>
      <c r="KO11" s="86">
        <f t="shared" si="240"/>
        <v>0</v>
      </c>
      <c r="KP11" s="365">
        <f t="shared" si="241"/>
        <v>0</v>
      </c>
      <c r="KQ11" s="86">
        <f t="shared" si="242"/>
        <v>0</v>
      </c>
      <c r="KR11" s="365">
        <f t="shared" si="66"/>
        <v>0</v>
      </c>
      <c r="KS11" s="87">
        <f t="shared" si="243"/>
        <v>0</v>
      </c>
      <c r="KT11" s="90">
        <f t="shared" si="244"/>
        <v>0</v>
      </c>
      <c r="KU11" s="91">
        <f t="shared" si="67"/>
        <v>0</v>
      </c>
      <c r="KW11" s="24">
        <v>0</v>
      </c>
      <c r="KX11" s="83"/>
      <c r="KY11" s="96">
        <f t="shared" si="68"/>
        <v>0</v>
      </c>
      <c r="KZ11" s="85">
        <f t="shared" si="271"/>
        <v>0</v>
      </c>
      <c r="LA11" s="86">
        <f t="shared" si="245"/>
        <v>0</v>
      </c>
      <c r="LB11" s="85">
        <f t="shared" si="272"/>
        <v>0</v>
      </c>
      <c r="LC11" s="86">
        <f t="shared" si="246"/>
        <v>0</v>
      </c>
      <c r="LD11" s="85">
        <f t="shared" si="272"/>
        <v>0</v>
      </c>
      <c r="LE11" s="86">
        <f t="shared" si="246"/>
        <v>0</v>
      </c>
      <c r="LF11" s="85">
        <f t="shared" si="272"/>
        <v>0</v>
      </c>
      <c r="LG11" s="86">
        <f t="shared" si="247"/>
        <v>0</v>
      </c>
      <c r="LH11" s="85">
        <f t="shared" si="272"/>
        <v>0</v>
      </c>
      <c r="LI11" s="86">
        <f t="shared" si="248"/>
        <v>0</v>
      </c>
      <c r="LJ11" s="85">
        <f t="shared" si="273"/>
        <v>0</v>
      </c>
      <c r="LK11" s="86">
        <f t="shared" si="249"/>
        <v>0</v>
      </c>
      <c r="LL11" s="85">
        <f t="shared" si="274"/>
        <v>0</v>
      </c>
      <c r="LM11" s="86">
        <f t="shared" si="250"/>
        <v>0</v>
      </c>
      <c r="LN11" s="85">
        <f t="shared" si="275"/>
        <v>0</v>
      </c>
      <c r="LO11" s="86">
        <f t="shared" si="251"/>
        <v>0</v>
      </c>
      <c r="LP11" s="85">
        <f t="shared" si="276"/>
        <v>0</v>
      </c>
      <c r="LQ11" s="86">
        <f t="shared" si="252"/>
        <v>0</v>
      </c>
      <c r="LR11" s="85">
        <f t="shared" si="277"/>
        <v>0</v>
      </c>
      <c r="LS11" s="86">
        <f t="shared" si="253"/>
        <v>0</v>
      </c>
      <c r="LT11" s="85">
        <f t="shared" si="278"/>
        <v>0</v>
      </c>
      <c r="LU11" s="86">
        <f t="shared" si="254"/>
        <v>0</v>
      </c>
      <c r="LV11" s="85">
        <f t="shared" si="279"/>
        <v>0</v>
      </c>
      <c r="LW11" s="86">
        <f t="shared" si="255"/>
        <v>0</v>
      </c>
      <c r="LX11" s="90">
        <f t="shared" si="256"/>
        <v>0</v>
      </c>
      <c r="LY11" s="91">
        <f t="shared" si="257"/>
        <v>0</v>
      </c>
      <c r="MA11" s="97">
        <f t="shared" si="69"/>
        <v>16</v>
      </c>
      <c r="MB11" s="383">
        <f t="shared" si="258"/>
        <v>672195.4533367866</v>
      </c>
      <c r="MC11" s="391">
        <f t="shared" si="70"/>
        <v>16</v>
      </c>
      <c r="MD11" s="383">
        <f t="shared" si="259"/>
        <v>672195.4533367866</v>
      </c>
      <c r="ME11" s="391">
        <f t="shared" si="71"/>
        <v>16</v>
      </c>
      <c r="MF11" s="383">
        <f t="shared" si="259"/>
        <v>672195.4533367866</v>
      </c>
      <c r="MG11" s="391">
        <f t="shared" si="72"/>
        <v>16</v>
      </c>
      <c r="MH11" s="383">
        <f t="shared" si="260"/>
        <v>672195.4533367866</v>
      </c>
      <c r="MI11" s="391">
        <f t="shared" si="73"/>
        <v>16</v>
      </c>
      <c r="MJ11" s="383">
        <f t="shared" si="261"/>
        <v>672195.4533367866</v>
      </c>
      <c r="MK11" s="391">
        <f t="shared" si="74"/>
        <v>16</v>
      </c>
      <c r="ML11" s="383">
        <f t="shared" si="262"/>
        <v>672195.4533367866</v>
      </c>
      <c r="MM11" s="391">
        <f t="shared" si="75"/>
        <v>16</v>
      </c>
      <c r="MN11" s="383">
        <f t="shared" si="263"/>
        <v>672195.4533367866</v>
      </c>
      <c r="MO11" s="391">
        <f t="shared" si="76"/>
        <v>16</v>
      </c>
      <c r="MP11" s="383">
        <f t="shared" si="264"/>
        <v>672195.4533367866</v>
      </c>
      <c r="MQ11" s="391">
        <f t="shared" si="77"/>
        <v>16</v>
      </c>
      <c r="MR11" s="383">
        <f t="shared" si="265"/>
        <v>672195.4533367866</v>
      </c>
      <c r="MS11" s="391">
        <f t="shared" si="78"/>
        <v>16</v>
      </c>
      <c r="MT11" s="383">
        <f t="shared" si="266"/>
        <v>672195.4533367866</v>
      </c>
      <c r="MU11" s="391">
        <f t="shared" si="79"/>
        <v>16</v>
      </c>
      <c r="MV11" s="383">
        <f t="shared" si="267"/>
        <v>672195.4533367866</v>
      </c>
      <c r="MW11" s="391">
        <f t="shared" si="80"/>
        <v>16</v>
      </c>
      <c r="MX11" s="383">
        <f t="shared" si="268"/>
        <v>672195.4533367866</v>
      </c>
      <c r="MY11" s="98">
        <f t="shared" si="269"/>
        <v>192</v>
      </c>
      <c r="MZ11" s="99">
        <f t="shared" si="270"/>
        <v>8066345.4400414396</v>
      </c>
    </row>
    <row r="12" spans="1:364" s="63" customFormat="1" ht="26.4" x14ac:dyDescent="0.3">
      <c r="A12" s="540"/>
      <c r="B12" s="80" t="s">
        <v>44</v>
      </c>
      <c r="C12" s="81" t="s">
        <v>45</v>
      </c>
      <c r="D12" s="82" t="s">
        <v>34</v>
      </c>
      <c r="E12" s="9">
        <v>1</v>
      </c>
      <c r="F12" s="343">
        <v>1805.0699300699298</v>
      </c>
      <c r="G12" s="343">
        <f t="shared" si="81"/>
        <v>1880.2983682983679</v>
      </c>
      <c r="I12" s="24">
        <v>450</v>
      </c>
      <c r="J12" s="83">
        <v>1</v>
      </c>
      <c r="K12" s="84">
        <f t="shared" si="82"/>
        <v>846134.26573426556</v>
      </c>
      <c r="L12" s="85">
        <f t="shared" si="83"/>
        <v>450</v>
      </c>
      <c r="M12" s="282">
        <f t="shared" si="84"/>
        <v>846134.26573426556</v>
      </c>
      <c r="N12" s="85">
        <f t="shared" si="83"/>
        <v>450</v>
      </c>
      <c r="O12" s="282">
        <f t="shared" si="84"/>
        <v>846134.26573426556</v>
      </c>
      <c r="P12" s="85">
        <f t="shared" si="83"/>
        <v>450</v>
      </c>
      <c r="Q12" s="282">
        <f t="shared" si="85"/>
        <v>846134.26573426556</v>
      </c>
      <c r="R12" s="85">
        <f t="shared" si="83"/>
        <v>450</v>
      </c>
      <c r="S12" s="282">
        <f t="shared" si="86"/>
        <v>846134.26573426556</v>
      </c>
      <c r="T12" s="85">
        <f t="shared" si="83"/>
        <v>450</v>
      </c>
      <c r="U12" s="282">
        <f t="shared" si="87"/>
        <v>846134.26573426556</v>
      </c>
      <c r="V12" s="85">
        <f t="shared" si="83"/>
        <v>450</v>
      </c>
      <c r="W12" s="282">
        <f t="shared" si="88"/>
        <v>846134.26573426556</v>
      </c>
      <c r="X12" s="85">
        <f t="shared" si="83"/>
        <v>450</v>
      </c>
      <c r="Y12" s="282">
        <f t="shared" si="89"/>
        <v>846134.26573426556</v>
      </c>
      <c r="Z12" s="85">
        <f t="shared" si="83"/>
        <v>450</v>
      </c>
      <c r="AA12" s="282">
        <f t="shared" si="90"/>
        <v>846134.26573426556</v>
      </c>
      <c r="AB12" s="85">
        <f t="shared" si="83"/>
        <v>450</v>
      </c>
      <c r="AC12" s="282">
        <f t="shared" si="91"/>
        <v>846134.26573426556</v>
      </c>
      <c r="AD12" s="85">
        <f t="shared" si="83"/>
        <v>450</v>
      </c>
      <c r="AE12" s="282">
        <f t="shared" si="92"/>
        <v>846134.26573426556</v>
      </c>
      <c r="AF12" s="85">
        <f t="shared" si="83"/>
        <v>450</v>
      </c>
      <c r="AG12" s="282">
        <f t="shared" si="93"/>
        <v>846134.26573426556</v>
      </c>
      <c r="AH12" s="85">
        <f t="shared" si="83"/>
        <v>450</v>
      </c>
      <c r="AI12" s="291">
        <f t="shared" si="93"/>
        <v>846134.26573426556</v>
      </c>
      <c r="AJ12" s="88">
        <f t="shared" si="94"/>
        <v>5400</v>
      </c>
      <c r="AK12" s="303">
        <f t="shared" si="95"/>
        <v>10153611.188811187</v>
      </c>
      <c r="AM12" s="24">
        <v>700</v>
      </c>
      <c r="AN12" s="83">
        <v>1</v>
      </c>
      <c r="AO12" s="89">
        <f t="shared" si="0"/>
        <v>1316208.8578088575</v>
      </c>
      <c r="AP12" s="85">
        <f t="shared" si="1"/>
        <v>700</v>
      </c>
      <c r="AQ12" s="282">
        <f t="shared" si="96"/>
        <v>1316208.8578088575</v>
      </c>
      <c r="AR12" s="314">
        <f t="shared" si="2"/>
        <v>700</v>
      </c>
      <c r="AS12" s="281">
        <f t="shared" si="97"/>
        <v>1316208.8578088575</v>
      </c>
      <c r="AT12" s="314">
        <f t="shared" si="3"/>
        <v>700</v>
      </c>
      <c r="AU12" s="281">
        <f t="shared" si="97"/>
        <v>1316208.8578088575</v>
      </c>
      <c r="AV12" s="314">
        <f t="shared" si="4"/>
        <v>700</v>
      </c>
      <c r="AW12" s="281">
        <f t="shared" si="98"/>
        <v>1316208.8578088575</v>
      </c>
      <c r="AX12" s="314">
        <f t="shared" si="5"/>
        <v>700</v>
      </c>
      <c r="AY12" s="281">
        <f t="shared" si="99"/>
        <v>1316208.8578088575</v>
      </c>
      <c r="AZ12" s="314">
        <f t="shared" si="6"/>
        <v>700</v>
      </c>
      <c r="BA12" s="281">
        <f t="shared" si="100"/>
        <v>1316208.8578088575</v>
      </c>
      <c r="BB12" s="314">
        <f t="shared" si="7"/>
        <v>700</v>
      </c>
      <c r="BC12" s="281">
        <f t="shared" si="101"/>
        <v>1316208.8578088575</v>
      </c>
      <c r="BD12" s="314">
        <f t="shared" si="8"/>
        <v>700</v>
      </c>
      <c r="BE12" s="281">
        <f t="shared" si="102"/>
        <v>1316208.8578088575</v>
      </c>
      <c r="BF12" s="314">
        <f t="shared" si="9"/>
        <v>700</v>
      </c>
      <c r="BG12" s="281">
        <f t="shared" si="103"/>
        <v>1316208.8578088575</v>
      </c>
      <c r="BH12" s="314">
        <f t="shared" si="10"/>
        <v>700</v>
      </c>
      <c r="BI12" s="281">
        <f t="shared" si="104"/>
        <v>1316208.8578088575</v>
      </c>
      <c r="BJ12" s="314">
        <f t="shared" si="11"/>
        <v>700</v>
      </c>
      <c r="BK12" s="281">
        <f t="shared" si="104"/>
        <v>1316208.8578088575</v>
      </c>
      <c r="BL12" s="85">
        <f t="shared" si="12"/>
        <v>700</v>
      </c>
      <c r="BM12" s="322">
        <f t="shared" si="105"/>
        <v>1316208.8578088575</v>
      </c>
      <c r="BN12" s="72">
        <f t="shared" si="106"/>
        <v>8400</v>
      </c>
      <c r="BO12" s="326">
        <f t="shared" si="13"/>
        <v>15794506.29370629</v>
      </c>
      <c r="BQ12" s="26">
        <v>300</v>
      </c>
      <c r="BR12" s="83">
        <v>1</v>
      </c>
      <c r="BS12" s="92">
        <f t="shared" si="281"/>
        <v>564089.51048951037</v>
      </c>
      <c r="BT12" s="85">
        <f t="shared" si="280"/>
        <v>300</v>
      </c>
      <c r="BU12" s="329">
        <f t="shared" si="107"/>
        <v>564089.51048951037</v>
      </c>
      <c r="BV12" s="85">
        <f t="shared" si="15"/>
        <v>300</v>
      </c>
      <c r="BW12" s="86">
        <f t="shared" si="108"/>
        <v>564089.51048951037</v>
      </c>
      <c r="BX12" s="85">
        <f t="shared" si="16"/>
        <v>300</v>
      </c>
      <c r="BY12" s="86">
        <f t="shared" si="109"/>
        <v>564089.51048951037</v>
      </c>
      <c r="BZ12" s="85">
        <f t="shared" si="17"/>
        <v>300</v>
      </c>
      <c r="CA12" s="86">
        <f t="shared" si="110"/>
        <v>564089.51048951037</v>
      </c>
      <c r="CB12" s="85">
        <f t="shared" si="18"/>
        <v>300</v>
      </c>
      <c r="CC12" s="86">
        <f t="shared" si="111"/>
        <v>564089.51048951037</v>
      </c>
      <c r="CD12" s="85">
        <f t="shared" si="19"/>
        <v>300</v>
      </c>
      <c r="CE12" s="86">
        <f t="shared" si="112"/>
        <v>564089.51048951037</v>
      </c>
      <c r="CF12" s="85">
        <f t="shared" si="113"/>
        <v>300</v>
      </c>
      <c r="CG12" s="86">
        <f t="shared" si="114"/>
        <v>564089.51048951037</v>
      </c>
      <c r="CH12" s="85">
        <f t="shared" si="20"/>
        <v>300</v>
      </c>
      <c r="CI12" s="86">
        <f t="shared" si="115"/>
        <v>564089.51048951037</v>
      </c>
      <c r="CJ12" s="85">
        <f t="shared" si="116"/>
        <v>300</v>
      </c>
      <c r="CK12" s="86">
        <f t="shared" si="117"/>
        <v>564089.51048951037</v>
      </c>
      <c r="CL12" s="85">
        <f t="shared" si="21"/>
        <v>300</v>
      </c>
      <c r="CM12" s="86">
        <f t="shared" si="118"/>
        <v>564089.51048951037</v>
      </c>
      <c r="CN12" s="85">
        <f t="shared" si="119"/>
        <v>300</v>
      </c>
      <c r="CO12" s="86">
        <f t="shared" si="120"/>
        <v>564089.51048951037</v>
      </c>
      <c r="CP12" s="85">
        <f t="shared" si="22"/>
        <v>300</v>
      </c>
      <c r="CQ12" s="87">
        <f t="shared" si="23"/>
        <v>564089.51048951037</v>
      </c>
      <c r="CR12" s="90">
        <f t="shared" si="121"/>
        <v>3600</v>
      </c>
      <c r="CS12" s="91">
        <f t="shared" si="24"/>
        <v>6769074.1258741245</v>
      </c>
      <c r="CU12" s="26">
        <v>450</v>
      </c>
      <c r="CV12" s="83">
        <v>1</v>
      </c>
      <c r="CW12" s="93">
        <f t="shared" si="282"/>
        <v>846134.26573426556</v>
      </c>
      <c r="CX12" s="85">
        <f t="shared" si="122"/>
        <v>450</v>
      </c>
      <c r="CY12" s="86">
        <f t="shared" si="123"/>
        <v>846134.26573426556</v>
      </c>
      <c r="CZ12" s="85">
        <f t="shared" si="26"/>
        <v>450</v>
      </c>
      <c r="DA12" s="282">
        <f t="shared" si="123"/>
        <v>846134.26573426556</v>
      </c>
      <c r="DB12" s="85">
        <f t="shared" si="27"/>
        <v>450</v>
      </c>
      <c r="DC12" s="282">
        <f t="shared" si="124"/>
        <v>846134.26573426556</v>
      </c>
      <c r="DD12" s="85">
        <f t="shared" si="28"/>
        <v>450</v>
      </c>
      <c r="DE12" s="282">
        <f t="shared" si="125"/>
        <v>846134.26573426556</v>
      </c>
      <c r="DF12" s="85">
        <f t="shared" si="29"/>
        <v>450</v>
      </c>
      <c r="DG12" s="282">
        <f t="shared" si="126"/>
        <v>846134.26573426556</v>
      </c>
      <c r="DH12" s="85">
        <f t="shared" si="30"/>
        <v>450</v>
      </c>
      <c r="DI12" s="282">
        <f t="shared" si="127"/>
        <v>846134.26573426556</v>
      </c>
      <c r="DJ12" s="85">
        <f t="shared" si="128"/>
        <v>450</v>
      </c>
      <c r="DK12" s="282">
        <f t="shared" si="129"/>
        <v>846134.26573426556</v>
      </c>
      <c r="DL12" s="85">
        <f t="shared" si="31"/>
        <v>450</v>
      </c>
      <c r="DM12" s="282">
        <f t="shared" si="130"/>
        <v>846134.26573426556</v>
      </c>
      <c r="DN12" s="85">
        <f t="shared" si="131"/>
        <v>450</v>
      </c>
      <c r="DO12" s="282">
        <f t="shared" si="132"/>
        <v>846134.26573426556</v>
      </c>
      <c r="DP12" s="85">
        <f t="shared" si="32"/>
        <v>450</v>
      </c>
      <c r="DQ12" s="282">
        <f t="shared" si="133"/>
        <v>846134.26573426556</v>
      </c>
      <c r="DR12" s="85">
        <f t="shared" si="134"/>
        <v>450</v>
      </c>
      <c r="DS12" s="282">
        <f t="shared" si="135"/>
        <v>846134.26573426556</v>
      </c>
      <c r="DT12" s="85">
        <f t="shared" si="33"/>
        <v>450</v>
      </c>
      <c r="DU12" s="282">
        <f t="shared" si="136"/>
        <v>846134.26573426556</v>
      </c>
      <c r="DV12" s="90">
        <f t="shared" si="137"/>
        <v>5400</v>
      </c>
      <c r="DW12" s="91">
        <f t="shared" si="34"/>
        <v>10153611.188811187</v>
      </c>
      <c r="DY12" s="94">
        <v>350</v>
      </c>
      <c r="DZ12" s="83">
        <v>1</v>
      </c>
      <c r="EA12" s="93">
        <f t="shared" si="35"/>
        <v>658104.42890442873</v>
      </c>
      <c r="EB12" s="85">
        <v>0</v>
      </c>
      <c r="EC12" s="86">
        <f t="shared" si="139"/>
        <v>0</v>
      </c>
      <c r="ED12" s="314">
        <v>0</v>
      </c>
      <c r="EE12" s="86">
        <f t="shared" si="139"/>
        <v>0</v>
      </c>
      <c r="EF12" s="85">
        <v>0</v>
      </c>
      <c r="EG12" s="86">
        <f t="shared" si="141"/>
        <v>0</v>
      </c>
      <c r="EH12" s="85">
        <f>+$DZ12*$DY12</f>
        <v>350</v>
      </c>
      <c r="EI12" s="86">
        <f t="shared" si="141"/>
        <v>658104.42890442873</v>
      </c>
      <c r="EJ12" s="85">
        <f>+$DZ12*$DY12</f>
        <v>350</v>
      </c>
      <c r="EK12" s="86">
        <f t="shared" si="143"/>
        <v>658104.42890442873</v>
      </c>
      <c r="EL12" s="85">
        <f>+$DZ12*$DY12</f>
        <v>350</v>
      </c>
      <c r="EM12" s="86">
        <f t="shared" si="144"/>
        <v>658104.42890442873</v>
      </c>
      <c r="EN12" s="85">
        <f>+$DZ12*$DY12</f>
        <v>350</v>
      </c>
      <c r="EO12" s="86">
        <f t="shared" si="145"/>
        <v>658104.42890442873</v>
      </c>
      <c r="EP12" s="85">
        <f>+$DZ12*$DY12</f>
        <v>350</v>
      </c>
      <c r="EQ12" s="86">
        <f t="shared" si="146"/>
        <v>658104.42890442873</v>
      </c>
      <c r="ER12" s="85">
        <f>+$DZ12*$DY12</f>
        <v>350</v>
      </c>
      <c r="ES12" s="86">
        <f t="shared" si="147"/>
        <v>658104.42890442873</v>
      </c>
      <c r="ET12" s="85">
        <f>+$DZ12*$DY12</f>
        <v>350</v>
      </c>
      <c r="EU12" s="86">
        <f t="shared" si="148"/>
        <v>658104.42890442873</v>
      </c>
      <c r="EV12" s="85">
        <f>+$DZ12*$DY12</f>
        <v>350</v>
      </c>
      <c r="EW12" s="86">
        <f t="shared" si="149"/>
        <v>658104.42890442873</v>
      </c>
      <c r="EX12" s="85">
        <f>+$DZ12*$DY12</f>
        <v>350</v>
      </c>
      <c r="EY12" s="86">
        <f t="shared" si="150"/>
        <v>658104.42890442873</v>
      </c>
      <c r="EZ12" s="90">
        <f t="shared" si="151"/>
        <v>3150</v>
      </c>
      <c r="FA12" s="91">
        <f t="shared" si="36"/>
        <v>5922939.8601398589</v>
      </c>
      <c r="FC12" s="24"/>
      <c r="FD12" s="83"/>
      <c r="FE12" s="95">
        <f t="shared" si="152"/>
        <v>0</v>
      </c>
      <c r="FF12" s="85">
        <f t="shared" si="153"/>
        <v>0</v>
      </c>
      <c r="FG12" s="86">
        <f t="shared" si="154"/>
        <v>0</v>
      </c>
      <c r="FH12" s="365">
        <f t="shared" si="37"/>
        <v>0</v>
      </c>
      <c r="FI12" s="86">
        <f t="shared" si="155"/>
        <v>0</v>
      </c>
      <c r="FJ12" s="365">
        <f t="shared" si="38"/>
        <v>0</v>
      </c>
      <c r="FK12" s="86">
        <f t="shared" si="155"/>
        <v>0</v>
      </c>
      <c r="FL12" s="365">
        <f t="shared" si="39"/>
        <v>0</v>
      </c>
      <c r="FM12" s="86">
        <f t="shared" si="156"/>
        <v>0</v>
      </c>
      <c r="FN12" s="365">
        <f t="shared" si="40"/>
        <v>0</v>
      </c>
      <c r="FO12" s="86">
        <f t="shared" si="157"/>
        <v>0</v>
      </c>
      <c r="FP12" s="365">
        <f t="shared" si="41"/>
        <v>0</v>
      </c>
      <c r="FQ12" s="86">
        <f t="shared" si="158"/>
        <v>0</v>
      </c>
      <c r="FR12" s="365">
        <f t="shared" si="159"/>
        <v>0</v>
      </c>
      <c r="FS12" s="86">
        <f t="shared" si="160"/>
        <v>0</v>
      </c>
      <c r="FT12" s="365">
        <f t="shared" si="42"/>
        <v>0</v>
      </c>
      <c r="FU12" s="86">
        <f t="shared" si="161"/>
        <v>0</v>
      </c>
      <c r="FV12" s="365">
        <f t="shared" si="162"/>
        <v>0</v>
      </c>
      <c r="FW12" s="86">
        <f t="shared" si="163"/>
        <v>0</v>
      </c>
      <c r="FX12" s="365">
        <f t="shared" si="43"/>
        <v>0</v>
      </c>
      <c r="FY12" s="86">
        <f t="shared" si="164"/>
        <v>0</v>
      </c>
      <c r="FZ12" s="365">
        <f t="shared" si="165"/>
        <v>0</v>
      </c>
      <c r="GA12" s="86">
        <f t="shared" si="166"/>
        <v>0</v>
      </c>
      <c r="GB12" s="365">
        <f t="shared" si="44"/>
        <v>0</v>
      </c>
      <c r="GC12" s="86">
        <f t="shared" si="167"/>
        <v>0</v>
      </c>
      <c r="GD12" s="90">
        <f t="shared" si="168"/>
        <v>0</v>
      </c>
      <c r="GE12" s="91">
        <f t="shared" si="45"/>
        <v>0</v>
      </c>
      <c r="GG12" s="24">
        <v>300</v>
      </c>
      <c r="GH12" s="83">
        <v>1</v>
      </c>
      <c r="GI12" s="95">
        <f t="shared" si="46"/>
        <v>564089.51048951037</v>
      </c>
      <c r="GJ12" s="85">
        <f t="shared" si="169"/>
        <v>300</v>
      </c>
      <c r="GK12" s="86">
        <f t="shared" si="170"/>
        <v>564089.51048951037</v>
      </c>
      <c r="GL12" s="85">
        <f t="shared" si="169"/>
        <v>300</v>
      </c>
      <c r="GM12" s="86">
        <f t="shared" si="170"/>
        <v>564089.51048951037</v>
      </c>
      <c r="GN12" s="85">
        <f t="shared" si="169"/>
        <v>300</v>
      </c>
      <c r="GO12" s="86">
        <f t="shared" si="171"/>
        <v>564089.51048951037</v>
      </c>
      <c r="GP12" s="85">
        <f t="shared" si="169"/>
        <v>300</v>
      </c>
      <c r="GQ12" s="86">
        <f t="shared" si="172"/>
        <v>564089.51048951037</v>
      </c>
      <c r="GR12" s="85">
        <f t="shared" si="173"/>
        <v>300</v>
      </c>
      <c r="GS12" s="86">
        <f t="shared" si="174"/>
        <v>564089.51048951037</v>
      </c>
      <c r="GT12" s="85">
        <f t="shared" si="175"/>
        <v>300</v>
      </c>
      <c r="GU12" s="86">
        <f t="shared" si="176"/>
        <v>564089.51048951037</v>
      </c>
      <c r="GV12" s="85">
        <f t="shared" si="177"/>
        <v>300</v>
      </c>
      <c r="GW12" s="86">
        <f t="shared" si="178"/>
        <v>564089.51048951037</v>
      </c>
      <c r="GX12" s="85">
        <f t="shared" si="179"/>
        <v>300</v>
      </c>
      <c r="GY12" s="86">
        <f t="shared" si="180"/>
        <v>564089.51048951037</v>
      </c>
      <c r="GZ12" s="85">
        <f t="shared" si="181"/>
        <v>300</v>
      </c>
      <c r="HA12" s="86">
        <f t="shared" si="182"/>
        <v>564089.51048951037</v>
      </c>
      <c r="HB12" s="85">
        <f t="shared" si="183"/>
        <v>300</v>
      </c>
      <c r="HC12" s="86">
        <f t="shared" si="184"/>
        <v>564089.51048951037</v>
      </c>
      <c r="HD12" s="85">
        <f t="shared" si="185"/>
        <v>300</v>
      </c>
      <c r="HE12" s="86">
        <f t="shared" si="186"/>
        <v>564089.51048951037</v>
      </c>
      <c r="HF12" s="85">
        <f t="shared" si="187"/>
        <v>300</v>
      </c>
      <c r="HG12" s="86">
        <f t="shared" si="188"/>
        <v>564089.51048951037</v>
      </c>
      <c r="HH12" s="90">
        <f t="shared" si="189"/>
        <v>3600</v>
      </c>
      <c r="HI12" s="91">
        <f t="shared" si="47"/>
        <v>6769074.1258741245</v>
      </c>
      <c r="HK12" s="24"/>
      <c r="HL12" s="83"/>
      <c r="HM12" s="95">
        <f t="shared" si="48"/>
        <v>0</v>
      </c>
      <c r="HN12" s="85">
        <f t="shared" si="190"/>
        <v>0</v>
      </c>
      <c r="HO12" s="86">
        <f t="shared" si="191"/>
        <v>0</v>
      </c>
      <c r="HP12" s="85">
        <f t="shared" si="192"/>
        <v>0</v>
      </c>
      <c r="HQ12" s="86">
        <f t="shared" si="193"/>
        <v>0</v>
      </c>
      <c r="HR12" s="85">
        <f t="shared" si="192"/>
        <v>0</v>
      </c>
      <c r="HS12" s="86">
        <f t="shared" si="193"/>
        <v>0</v>
      </c>
      <c r="HT12" s="85">
        <f t="shared" si="192"/>
        <v>0</v>
      </c>
      <c r="HU12" s="86">
        <f t="shared" si="194"/>
        <v>0</v>
      </c>
      <c r="HV12" s="85">
        <f t="shared" si="192"/>
        <v>0</v>
      </c>
      <c r="HW12" s="86">
        <f t="shared" si="195"/>
        <v>0</v>
      </c>
      <c r="HX12" s="85">
        <f t="shared" si="196"/>
        <v>0</v>
      </c>
      <c r="HY12" s="86">
        <f t="shared" si="197"/>
        <v>0</v>
      </c>
      <c r="HZ12" s="85">
        <f t="shared" si="198"/>
        <v>0</v>
      </c>
      <c r="IA12" s="86">
        <f t="shared" si="199"/>
        <v>0</v>
      </c>
      <c r="IB12" s="85">
        <f t="shared" si="200"/>
        <v>0</v>
      </c>
      <c r="IC12" s="86">
        <f t="shared" si="201"/>
        <v>0</v>
      </c>
      <c r="ID12" s="85">
        <f t="shared" si="202"/>
        <v>0</v>
      </c>
      <c r="IE12" s="86">
        <f t="shared" si="203"/>
        <v>0</v>
      </c>
      <c r="IF12" s="85">
        <f t="shared" si="204"/>
        <v>0</v>
      </c>
      <c r="IG12" s="86">
        <f t="shared" si="205"/>
        <v>0</v>
      </c>
      <c r="IH12" s="85">
        <f t="shared" si="206"/>
        <v>0</v>
      </c>
      <c r="II12" s="86">
        <f t="shared" si="207"/>
        <v>0</v>
      </c>
      <c r="IJ12" s="85">
        <f t="shared" si="208"/>
        <v>0</v>
      </c>
      <c r="IK12" s="86">
        <f t="shared" si="209"/>
        <v>0</v>
      </c>
      <c r="IL12" s="90">
        <f t="shared" si="210"/>
        <v>0</v>
      </c>
      <c r="IM12" s="91">
        <f t="shared" si="211"/>
        <v>0</v>
      </c>
      <c r="IO12" s="24"/>
      <c r="IP12" s="83"/>
      <c r="IQ12" s="95">
        <f t="shared" si="49"/>
        <v>0</v>
      </c>
      <c r="IR12" s="85">
        <f t="shared" si="212"/>
        <v>0</v>
      </c>
      <c r="IS12" s="86">
        <f t="shared" si="213"/>
        <v>0</v>
      </c>
      <c r="IT12" s="85">
        <f t="shared" si="50"/>
        <v>0</v>
      </c>
      <c r="IU12" s="282">
        <f t="shared" si="214"/>
        <v>0</v>
      </c>
      <c r="IV12" s="85">
        <f t="shared" si="51"/>
        <v>0</v>
      </c>
      <c r="IW12" s="282">
        <f t="shared" si="214"/>
        <v>0</v>
      </c>
      <c r="IX12" s="85">
        <f t="shared" si="52"/>
        <v>0</v>
      </c>
      <c r="IY12" s="282">
        <f t="shared" si="215"/>
        <v>0</v>
      </c>
      <c r="IZ12" s="85">
        <f t="shared" si="53"/>
        <v>0</v>
      </c>
      <c r="JA12" s="282">
        <f t="shared" si="216"/>
        <v>0</v>
      </c>
      <c r="JB12" s="85">
        <f t="shared" si="54"/>
        <v>0</v>
      </c>
      <c r="JC12" s="282">
        <f t="shared" si="217"/>
        <v>0</v>
      </c>
      <c r="JD12" s="85">
        <f t="shared" si="218"/>
        <v>0</v>
      </c>
      <c r="JE12" s="282">
        <f t="shared" si="219"/>
        <v>0</v>
      </c>
      <c r="JF12" s="85">
        <f t="shared" si="55"/>
        <v>0</v>
      </c>
      <c r="JG12" s="282">
        <f t="shared" si="220"/>
        <v>0</v>
      </c>
      <c r="JH12" s="85">
        <f t="shared" si="221"/>
        <v>0</v>
      </c>
      <c r="JI12" s="282">
        <f t="shared" si="222"/>
        <v>0</v>
      </c>
      <c r="JJ12" s="85">
        <f t="shared" si="56"/>
        <v>0</v>
      </c>
      <c r="JK12" s="282">
        <f t="shared" si="223"/>
        <v>0</v>
      </c>
      <c r="JL12" s="85">
        <f t="shared" si="224"/>
        <v>0</v>
      </c>
      <c r="JM12" s="282">
        <f t="shared" si="225"/>
        <v>0</v>
      </c>
      <c r="JN12" s="85">
        <f t="shared" si="57"/>
        <v>0</v>
      </c>
      <c r="JO12" s="282">
        <f t="shared" si="226"/>
        <v>0</v>
      </c>
      <c r="JP12" s="90">
        <f t="shared" si="227"/>
        <v>0</v>
      </c>
      <c r="JQ12" s="91">
        <f t="shared" si="228"/>
        <v>0</v>
      </c>
      <c r="JS12" s="24"/>
      <c r="JT12" s="83"/>
      <c r="JU12" s="95">
        <f t="shared" si="58"/>
        <v>0</v>
      </c>
      <c r="JV12" s="85">
        <f t="shared" si="229"/>
        <v>0</v>
      </c>
      <c r="JW12" s="86">
        <f t="shared" si="230"/>
        <v>0</v>
      </c>
      <c r="JX12" s="365">
        <f t="shared" si="59"/>
        <v>0</v>
      </c>
      <c r="JY12" s="86">
        <f t="shared" si="231"/>
        <v>0</v>
      </c>
      <c r="JZ12" s="365">
        <f t="shared" si="60"/>
        <v>0</v>
      </c>
      <c r="KA12" s="86">
        <f t="shared" si="231"/>
        <v>0</v>
      </c>
      <c r="KB12" s="365">
        <f t="shared" si="61"/>
        <v>0</v>
      </c>
      <c r="KC12" s="86">
        <f t="shared" si="232"/>
        <v>0</v>
      </c>
      <c r="KD12" s="365">
        <f t="shared" si="62"/>
        <v>0</v>
      </c>
      <c r="KE12" s="86">
        <f t="shared" si="233"/>
        <v>0</v>
      </c>
      <c r="KF12" s="365">
        <f t="shared" si="63"/>
        <v>0</v>
      </c>
      <c r="KG12" s="86">
        <f t="shared" si="234"/>
        <v>0</v>
      </c>
      <c r="KH12" s="365">
        <f t="shared" si="235"/>
        <v>0</v>
      </c>
      <c r="KI12" s="86">
        <f t="shared" si="236"/>
        <v>0</v>
      </c>
      <c r="KJ12" s="365">
        <f t="shared" si="64"/>
        <v>0</v>
      </c>
      <c r="KK12" s="86">
        <f t="shared" si="237"/>
        <v>0</v>
      </c>
      <c r="KL12" s="365">
        <f t="shared" si="238"/>
        <v>0</v>
      </c>
      <c r="KM12" s="86">
        <f t="shared" si="239"/>
        <v>0</v>
      </c>
      <c r="KN12" s="365">
        <f t="shared" si="65"/>
        <v>0</v>
      </c>
      <c r="KO12" s="86">
        <f t="shared" si="240"/>
        <v>0</v>
      </c>
      <c r="KP12" s="365">
        <f t="shared" si="241"/>
        <v>0</v>
      </c>
      <c r="KQ12" s="86">
        <f t="shared" si="242"/>
        <v>0</v>
      </c>
      <c r="KR12" s="365">
        <f t="shared" si="66"/>
        <v>0</v>
      </c>
      <c r="KS12" s="87">
        <f t="shared" si="243"/>
        <v>0</v>
      </c>
      <c r="KT12" s="90">
        <f t="shared" si="244"/>
        <v>0</v>
      </c>
      <c r="KU12" s="91">
        <f t="shared" si="67"/>
        <v>0</v>
      </c>
      <c r="KW12" s="24">
        <v>520</v>
      </c>
      <c r="KX12" s="83">
        <v>1</v>
      </c>
      <c r="KY12" s="96">
        <f t="shared" si="68"/>
        <v>977755.15151515126</v>
      </c>
      <c r="KZ12" s="85"/>
      <c r="LA12" s="86">
        <f t="shared" si="245"/>
        <v>0</v>
      </c>
      <c r="LB12" s="85"/>
      <c r="LC12" s="86">
        <f t="shared" si="246"/>
        <v>0</v>
      </c>
      <c r="LD12" s="85">
        <f t="shared" si="272"/>
        <v>520</v>
      </c>
      <c r="LE12" s="86">
        <f t="shared" si="246"/>
        <v>977755.15151515126</v>
      </c>
      <c r="LF12" s="85"/>
      <c r="LG12" s="86">
        <f t="shared" si="247"/>
        <v>0</v>
      </c>
      <c r="LH12" s="85"/>
      <c r="LI12" s="86">
        <f t="shared" si="248"/>
        <v>0</v>
      </c>
      <c r="LJ12" s="85">
        <f t="shared" si="273"/>
        <v>520</v>
      </c>
      <c r="LK12" s="86">
        <f t="shared" si="249"/>
        <v>977755.15151515126</v>
      </c>
      <c r="LL12" s="85"/>
      <c r="LM12" s="86">
        <f t="shared" si="250"/>
        <v>0</v>
      </c>
      <c r="LN12" s="85"/>
      <c r="LO12" s="86">
        <f t="shared" si="251"/>
        <v>0</v>
      </c>
      <c r="LP12" s="85">
        <f t="shared" si="276"/>
        <v>520</v>
      </c>
      <c r="LQ12" s="86">
        <f t="shared" si="252"/>
        <v>977755.15151515126</v>
      </c>
      <c r="LR12" s="85"/>
      <c r="LS12" s="86">
        <f t="shared" si="253"/>
        <v>0</v>
      </c>
      <c r="LT12" s="85"/>
      <c r="LU12" s="86">
        <f t="shared" si="254"/>
        <v>0</v>
      </c>
      <c r="LV12" s="85">
        <f t="shared" si="279"/>
        <v>520</v>
      </c>
      <c r="LW12" s="86">
        <f t="shared" si="255"/>
        <v>977755.15151515126</v>
      </c>
      <c r="LX12" s="90">
        <f t="shared" si="256"/>
        <v>2080</v>
      </c>
      <c r="LY12" s="91">
        <f t="shared" si="257"/>
        <v>3911020.606060605</v>
      </c>
      <c r="MA12" s="97">
        <f t="shared" si="69"/>
        <v>2200</v>
      </c>
      <c r="MB12" s="383">
        <f t="shared" si="258"/>
        <v>4136656.4102564096</v>
      </c>
      <c r="MC12" s="391">
        <f t="shared" si="70"/>
        <v>2200</v>
      </c>
      <c r="MD12" s="383">
        <f t="shared" si="259"/>
        <v>4136656.4102564096</v>
      </c>
      <c r="ME12" s="391">
        <f t="shared" si="71"/>
        <v>2720</v>
      </c>
      <c r="MF12" s="383">
        <f t="shared" si="259"/>
        <v>5114411.5617715605</v>
      </c>
      <c r="MG12" s="391">
        <f t="shared" si="72"/>
        <v>2550</v>
      </c>
      <c r="MH12" s="383">
        <f t="shared" si="260"/>
        <v>4794760.8391608382</v>
      </c>
      <c r="MI12" s="391">
        <f t="shared" si="73"/>
        <v>2550</v>
      </c>
      <c r="MJ12" s="383">
        <f t="shared" si="261"/>
        <v>4794760.8391608382</v>
      </c>
      <c r="MK12" s="391">
        <f t="shared" si="74"/>
        <v>3070</v>
      </c>
      <c r="ML12" s="383">
        <f t="shared" si="262"/>
        <v>5772515.9906759895</v>
      </c>
      <c r="MM12" s="391">
        <f t="shared" si="75"/>
        <v>2550</v>
      </c>
      <c r="MN12" s="383">
        <f t="shared" si="263"/>
        <v>4794760.8391608382</v>
      </c>
      <c r="MO12" s="391">
        <f t="shared" si="76"/>
        <v>2550</v>
      </c>
      <c r="MP12" s="383">
        <f t="shared" si="264"/>
        <v>4794760.8391608382</v>
      </c>
      <c r="MQ12" s="391">
        <f t="shared" si="77"/>
        <v>3070</v>
      </c>
      <c r="MR12" s="383">
        <f t="shared" si="265"/>
        <v>5772515.9906759895</v>
      </c>
      <c r="MS12" s="391">
        <f t="shared" si="78"/>
        <v>2550</v>
      </c>
      <c r="MT12" s="383">
        <f t="shared" si="266"/>
        <v>4794760.8391608382</v>
      </c>
      <c r="MU12" s="391">
        <f t="shared" si="79"/>
        <v>2550</v>
      </c>
      <c r="MV12" s="383">
        <f t="shared" si="267"/>
        <v>4794760.8391608382</v>
      </c>
      <c r="MW12" s="391">
        <f t="shared" si="80"/>
        <v>3070</v>
      </c>
      <c r="MX12" s="383">
        <f t="shared" si="268"/>
        <v>5772515.9906759895</v>
      </c>
      <c r="MY12" s="98">
        <f t="shared" si="269"/>
        <v>31630</v>
      </c>
      <c r="MZ12" s="99">
        <f t="shared" si="270"/>
        <v>59473837.389277376</v>
      </c>
    </row>
    <row r="13" spans="1:364" s="63" customFormat="1" x14ac:dyDescent="0.3">
      <c r="A13" s="540"/>
      <c r="B13" s="80" t="s">
        <v>46</v>
      </c>
      <c r="C13" s="81" t="s">
        <v>47</v>
      </c>
      <c r="D13" s="82" t="s">
        <v>28</v>
      </c>
      <c r="E13" s="9">
        <v>1</v>
      </c>
      <c r="F13" s="343">
        <v>1052.6741776741776</v>
      </c>
      <c r="G13" s="343">
        <f t="shared" si="81"/>
        <v>1096.5456272122938</v>
      </c>
      <c r="I13" s="24">
        <f>+I17</f>
        <v>7267</v>
      </c>
      <c r="J13" s="83">
        <v>1</v>
      </c>
      <c r="K13" s="84">
        <f t="shared" si="82"/>
        <v>7968597.0729517387</v>
      </c>
      <c r="L13" s="85">
        <f t="shared" si="83"/>
        <v>7267</v>
      </c>
      <c r="M13" s="282">
        <f t="shared" si="84"/>
        <v>7968597.0729517387</v>
      </c>
      <c r="N13" s="85">
        <f t="shared" si="83"/>
        <v>7267</v>
      </c>
      <c r="O13" s="282">
        <f t="shared" si="84"/>
        <v>7968597.0729517387</v>
      </c>
      <c r="P13" s="85">
        <f t="shared" si="83"/>
        <v>7267</v>
      </c>
      <c r="Q13" s="282">
        <f t="shared" si="85"/>
        <v>7968597.0729517387</v>
      </c>
      <c r="R13" s="85">
        <f t="shared" si="83"/>
        <v>7267</v>
      </c>
      <c r="S13" s="282">
        <f t="shared" si="86"/>
        <v>7968597.0729517387</v>
      </c>
      <c r="T13" s="85">
        <f t="shared" si="83"/>
        <v>7267</v>
      </c>
      <c r="U13" s="282">
        <f t="shared" si="87"/>
        <v>7968597.0729517387</v>
      </c>
      <c r="V13" s="85">
        <f t="shared" si="83"/>
        <v>7267</v>
      </c>
      <c r="W13" s="282">
        <f t="shared" si="88"/>
        <v>7968597.0729517387</v>
      </c>
      <c r="X13" s="85">
        <f t="shared" si="83"/>
        <v>7267</v>
      </c>
      <c r="Y13" s="282">
        <f t="shared" si="89"/>
        <v>7968597.0729517387</v>
      </c>
      <c r="Z13" s="85">
        <f t="shared" si="83"/>
        <v>7267</v>
      </c>
      <c r="AA13" s="282">
        <f t="shared" si="90"/>
        <v>7968597.0729517387</v>
      </c>
      <c r="AB13" s="85">
        <f t="shared" si="83"/>
        <v>7267</v>
      </c>
      <c r="AC13" s="282">
        <f t="shared" si="91"/>
        <v>7968597.0729517387</v>
      </c>
      <c r="AD13" s="85">
        <f t="shared" si="83"/>
        <v>7267</v>
      </c>
      <c r="AE13" s="282">
        <f t="shared" si="92"/>
        <v>7968597.0729517387</v>
      </c>
      <c r="AF13" s="85">
        <f t="shared" si="83"/>
        <v>7267</v>
      </c>
      <c r="AG13" s="282">
        <f t="shared" si="93"/>
        <v>7968597.0729517387</v>
      </c>
      <c r="AH13" s="85">
        <f t="shared" si="83"/>
        <v>7267</v>
      </c>
      <c r="AI13" s="291">
        <f t="shared" si="93"/>
        <v>7968597.0729517387</v>
      </c>
      <c r="AJ13" s="88">
        <f t="shared" si="94"/>
        <v>87204</v>
      </c>
      <c r="AK13" s="303">
        <f t="shared" si="95"/>
        <v>95623164.875420868</v>
      </c>
      <c r="AM13" s="24">
        <f>+AM17/2</f>
        <v>7045</v>
      </c>
      <c r="AN13" s="83">
        <v>1</v>
      </c>
      <c r="AO13" s="89">
        <f t="shared" si="0"/>
        <v>7725163.9437106093</v>
      </c>
      <c r="AP13" s="85">
        <f t="shared" si="1"/>
        <v>7045</v>
      </c>
      <c r="AQ13" s="282">
        <f t="shared" si="96"/>
        <v>7725163.9437106093</v>
      </c>
      <c r="AR13" s="314">
        <f t="shared" si="2"/>
        <v>7045</v>
      </c>
      <c r="AS13" s="281">
        <f t="shared" si="97"/>
        <v>7725163.9437106093</v>
      </c>
      <c r="AT13" s="314">
        <f t="shared" si="3"/>
        <v>7045</v>
      </c>
      <c r="AU13" s="281">
        <f t="shared" si="97"/>
        <v>7725163.9437106093</v>
      </c>
      <c r="AV13" s="314">
        <f t="shared" si="4"/>
        <v>7045</v>
      </c>
      <c r="AW13" s="281">
        <f t="shared" si="98"/>
        <v>7725163.9437106093</v>
      </c>
      <c r="AX13" s="314">
        <f t="shared" si="5"/>
        <v>7045</v>
      </c>
      <c r="AY13" s="281">
        <f t="shared" si="99"/>
        <v>7725163.9437106093</v>
      </c>
      <c r="AZ13" s="314">
        <f t="shared" si="6"/>
        <v>7045</v>
      </c>
      <c r="BA13" s="281">
        <f t="shared" si="100"/>
        <v>7725163.9437106093</v>
      </c>
      <c r="BB13" s="314">
        <f t="shared" si="7"/>
        <v>7045</v>
      </c>
      <c r="BC13" s="281">
        <f t="shared" si="101"/>
        <v>7725163.9437106093</v>
      </c>
      <c r="BD13" s="314">
        <f t="shared" si="8"/>
        <v>7045</v>
      </c>
      <c r="BE13" s="281">
        <f t="shared" si="102"/>
        <v>7725163.9437106093</v>
      </c>
      <c r="BF13" s="314">
        <f t="shared" si="9"/>
        <v>7045</v>
      </c>
      <c r="BG13" s="281">
        <f t="shared" si="103"/>
        <v>7725163.9437106093</v>
      </c>
      <c r="BH13" s="314">
        <f t="shared" si="10"/>
        <v>7045</v>
      </c>
      <c r="BI13" s="281">
        <f t="shared" si="104"/>
        <v>7725163.9437106093</v>
      </c>
      <c r="BJ13" s="314">
        <f t="shared" si="11"/>
        <v>7045</v>
      </c>
      <c r="BK13" s="281">
        <f t="shared" si="104"/>
        <v>7725163.9437106093</v>
      </c>
      <c r="BL13" s="85">
        <f t="shared" si="12"/>
        <v>7045</v>
      </c>
      <c r="BM13" s="322">
        <f t="shared" si="105"/>
        <v>7725163.9437106093</v>
      </c>
      <c r="BN13" s="72">
        <f t="shared" si="106"/>
        <v>84540</v>
      </c>
      <c r="BO13" s="326">
        <f t="shared" si="13"/>
        <v>92701967.324527308</v>
      </c>
      <c r="BQ13" s="26">
        <f>+BQ17</f>
        <v>19287.400000000001</v>
      </c>
      <c r="BR13" s="83">
        <v>1</v>
      </c>
      <c r="BS13" s="92">
        <f t="shared" si="281"/>
        <v>21149514.130294397</v>
      </c>
      <c r="BT13" s="85">
        <f t="shared" si="280"/>
        <v>19287.400000000001</v>
      </c>
      <c r="BU13" s="329">
        <f t="shared" si="107"/>
        <v>21149514.130294397</v>
      </c>
      <c r="BV13" s="85">
        <f t="shared" si="15"/>
        <v>19287.400000000001</v>
      </c>
      <c r="BW13" s="86">
        <f t="shared" si="108"/>
        <v>21149514.130294397</v>
      </c>
      <c r="BX13" s="85">
        <f t="shared" si="16"/>
        <v>19287.400000000001</v>
      </c>
      <c r="BY13" s="86">
        <f t="shared" si="109"/>
        <v>21149514.130294397</v>
      </c>
      <c r="BZ13" s="85">
        <f t="shared" si="17"/>
        <v>19287.400000000001</v>
      </c>
      <c r="CA13" s="86">
        <f t="shared" si="110"/>
        <v>21149514.130294397</v>
      </c>
      <c r="CB13" s="85">
        <f t="shared" si="18"/>
        <v>19287.400000000001</v>
      </c>
      <c r="CC13" s="86">
        <f t="shared" si="111"/>
        <v>21149514.130294397</v>
      </c>
      <c r="CD13" s="85">
        <f t="shared" si="19"/>
        <v>19287.400000000001</v>
      </c>
      <c r="CE13" s="86">
        <f t="shared" si="112"/>
        <v>21149514.130294397</v>
      </c>
      <c r="CF13" s="85">
        <f t="shared" si="113"/>
        <v>19287.400000000001</v>
      </c>
      <c r="CG13" s="86">
        <f t="shared" si="114"/>
        <v>21149514.130294397</v>
      </c>
      <c r="CH13" s="85">
        <f t="shared" si="20"/>
        <v>19287.400000000001</v>
      </c>
      <c r="CI13" s="86">
        <f t="shared" si="115"/>
        <v>21149514.130294397</v>
      </c>
      <c r="CJ13" s="85">
        <f t="shared" si="116"/>
        <v>19287.400000000001</v>
      </c>
      <c r="CK13" s="86">
        <f t="shared" si="117"/>
        <v>21149514.130294397</v>
      </c>
      <c r="CL13" s="85">
        <f t="shared" si="21"/>
        <v>19287.400000000001</v>
      </c>
      <c r="CM13" s="86">
        <f t="shared" si="118"/>
        <v>21149514.130294397</v>
      </c>
      <c r="CN13" s="85">
        <f t="shared" si="119"/>
        <v>19287.400000000001</v>
      </c>
      <c r="CO13" s="86">
        <f t="shared" si="120"/>
        <v>21149514.130294397</v>
      </c>
      <c r="CP13" s="85">
        <f t="shared" si="22"/>
        <v>19287.400000000001</v>
      </c>
      <c r="CQ13" s="87">
        <f t="shared" si="23"/>
        <v>21149514.130294397</v>
      </c>
      <c r="CR13" s="90">
        <f t="shared" si="121"/>
        <v>231448.79999999996</v>
      </c>
      <c r="CS13" s="91">
        <f t="shared" si="24"/>
        <v>253794169.56353268</v>
      </c>
      <c r="CU13" s="26">
        <f>+CU17</f>
        <v>18070</v>
      </c>
      <c r="CV13" s="83">
        <v>1</v>
      </c>
      <c r="CW13" s="93">
        <f t="shared" si="282"/>
        <v>19814579.483726148</v>
      </c>
      <c r="CX13" s="85">
        <f t="shared" si="122"/>
        <v>18070</v>
      </c>
      <c r="CY13" s="86">
        <f t="shared" si="123"/>
        <v>19814579.483726148</v>
      </c>
      <c r="CZ13" s="85">
        <f t="shared" si="26"/>
        <v>18070</v>
      </c>
      <c r="DA13" s="282">
        <f t="shared" si="123"/>
        <v>19814579.483726148</v>
      </c>
      <c r="DB13" s="85">
        <f t="shared" si="27"/>
        <v>18070</v>
      </c>
      <c r="DC13" s="282">
        <f t="shared" si="124"/>
        <v>19814579.483726148</v>
      </c>
      <c r="DD13" s="85">
        <f t="shared" si="28"/>
        <v>18070</v>
      </c>
      <c r="DE13" s="282">
        <f t="shared" si="125"/>
        <v>19814579.483726148</v>
      </c>
      <c r="DF13" s="85">
        <f t="shared" si="29"/>
        <v>18070</v>
      </c>
      <c r="DG13" s="282">
        <f t="shared" si="126"/>
        <v>19814579.483726148</v>
      </c>
      <c r="DH13" s="85">
        <f t="shared" si="30"/>
        <v>18070</v>
      </c>
      <c r="DI13" s="282">
        <f t="shared" si="127"/>
        <v>19814579.483726148</v>
      </c>
      <c r="DJ13" s="85">
        <f t="shared" si="128"/>
        <v>18070</v>
      </c>
      <c r="DK13" s="282">
        <f t="shared" si="129"/>
        <v>19814579.483726148</v>
      </c>
      <c r="DL13" s="85">
        <f t="shared" si="31"/>
        <v>18070</v>
      </c>
      <c r="DM13" s="282">
        <f t="shared" si="130"/>
        <v>19814579.483726148</v>
      </c>
      <c r="DN13" s="85">
        <f t="shared" si="131"/>
        <v>18070</v>
      </c>
      <c r="DO13" s="282">
        <f t="shared" si="132"/>
        <v>19814579.483726148</v>
      </c>
      <c r="DP13" s="85">
        <f t="shared" si="32"/>
        <v>18070</v>
      </c>
      <c r="DQ13" s="282">
        <f t="shared" si="133"/>
        <v>19814579.483726148</v>
      </c>
      <c r="DR13" s="85">
        <f t="shared" si="134"/>
        <v>18070</v>
      </c>
      <c r="DS13" s="282">
        <f t="shared" si="135"/>
        <v>19814579.483726148</v>
      </c>
      <c r="DT13" s="85">
        <f t="shared" si="33"/>
        <v>18070</v>
      </c>
      <c r="DU13" s="282">
        <f t="shared" si="136"/>
        <v>19814579.483726148</v>
      </c>
      <c r="DV13" s="90">
        <f t="shared" si="137"/>
        <v>216840</v>
      </c>
      <c r="DW13" s="91">
        <f t="shared" si="34"/>
        <v>237774953.80471379</v>
      </c>
      <c r="DY13" s="94">
        <f>+DY17</f>
        <v>60000</v>
      </c>
      <c r="DZ13" s="83">
        <v>1</v>
      </c>
      <c r="EA13" s="93">
        <f t="shared" si="35"/>
        <v>65792737.632737629</v>
      </c>
      <c r="EB13" s="85">
        <v>0</v>
      </c>
      <c r="EC13" s="86">
        <f t="shared" si="139"/>
        <v>0</v>
      </c>
      <c r="ED13" s="314">
        <v>0</v>
      </c>
      <c r="EE13" s="86">
        <f t="shared" si="139"/>
        <v>0</v>
      </c>
      <c r="EF13" s="85">
        <v>0</v>
      </c>
      <c r="EG13" s="86">
        <f t="shared" si="141"/>
        <v>0</v>
      </c>
      <c r="EH13" s="85">
        <f t="shared" ref="EH13:EX18" si="283">+$DZ13*$DY13</f>
        <v>60000</v>
      </c>
      <c r="EI13" s="86">
        <f t="shared" si="141"/>
        <v>65792737.632737629</v>
      </c>
      <c r="EJ13" s="85">
        <f t="shared" si="283"/>
        <v>60000</v>
      </c>
      <c r="EK13" s="86">
        <f t="shared" si="143"/>
        <v>65792737.632737629</v>
      </c>
      <c r="EL13" s="85">
        <f t="shared" si="283"/>
        <v>60000</v>
      </c>
      <c r="EM13" s="86">
        <f t="shared" si="144"/>
        <v>65792737.632737629</v>
      </c>
      <c r="EN13" s="85">
        <f t="shared" si="283"/>
        <v>60000</v>
      </c>
      <c r="EO13" s="86">
        <f t="shared" si="145"/>
        <v>65792737.632737629</v>
      </c>
      <c r="EP13" s="85">
        <f t="shared" si="283"/>
        <v>60000</v>
      </c>
      <c r="EQ13" s="86">
        <f t="shared" si="146"/>
        <v>65792737.632737629</v>
      </c>
      <c r="ER13" s="85">
        <f t="shared" si="283"/>
        <v>60000</v>
      </c>
      <c r="ES13" s="86">
        <f t="shared" si="147"/>
        <v>65792737.632737629</v>
      </c>
      <c r="ET13" s="85">
        <f t="shared" si="283"/>
        <v>60000</v>
      </c>
      <c r="EU13" s="86">
        <f t="shared" si="148"/>
        <v>65792737.632737629</v>
      </c>
      <c r="EV13" s="85">
        <f t="shared" si="283"/>
        <v>60000</v>
      </c>
      <c r="EW13" s="86">
        <f t="shared" si="149"/>
        <v>65792737.632737629</v>
      </c>
      <c r="EX13" s="85">
        <f t="shared" si="283"/>
        <v>60000</v>
      </c>
      <c r="EY13" s="86">
        <f t="shared" si="150"/>
        <v>65792737.632737629</v>
      </c>
      <c r="EZ13" s="90">
        <f t="shared" si="151"/>
        <v>540000</v>
      </c>
      <c r="FA13" s="91">
        <f t="shared" si="36"/>
        <v>592134638.69463861</v>
      </c>
      <c r="FC13" s="24"/>
      <c r="FD13" s="83"/>
      <c r="FE13" s="95">
        <f t="shared" si="152"/>
        <v>0</v>
      </c>
      <c r="FF13" s="85">
        <f t="shared" si="153"/>
        <v>0</v>
      </c>
      <c r="FG13" s="86">
        <f t="shared" si="154"/>
        <v>0</v>
      </c>
      <c r="FH13" s="365">
        <f t="shared" si="37"/>
        <v>0</v>
      </c>
      <c r="FI13" s="86">
        <f t="shared" si="155"/>
        <v>0</v>
      </c>
      <c r="FJ13" s="365">
        <f t="shared" si="38"/>
        <v>0</v>
      </c>
      <c r="FK13" s="86">
        <f t="shared" si="155"/>
        <v>0</v>
      </c>
      <c r="FL13" s="365">
        <f t="shared" si="39"/>
        <v>0</v>
      </c>
      <c r="FM13" s="86">
        <f t="shared" si="156"/>
        <v>0</v>
      </c>
      <c r="FN13" s="365">
        <f t="shared" si="40"/>
        <v>0</v>
      </c>
      <c r="FO13" s="86">
        <f t="shared" si="157"/>
        <v>0</v>
      </c>
      <c r="FP13" s="365">
        <f t="shared" si="41"/>
        <v>0</v>
      </c>
      <c r="FQ13" s="86">
        <f t="shared" si="158"/>
        <v>0</v>
      </c>
      <c r="FR13" s="365">
        <f t="shared" si="159"/>
        <v>0</v>
      </c>
      <c r="FS13" s="86">
        <f t="shared" si="160"/>
        <v>0</v>
      </c>
      <c r="FT13" s="365">
        <f t="shared" si="42"/>
        <v>0</v>
      </c>
      <c r="FU13" s="86">
        <f t="shared" si="161"/>
        <v>0</v>
      </c>
      <c r="FV13" s="365">
        <f t="shared" si="162"/>
        <v>0</v>
      </c>
      <c r="FW13" s="86">
        <f t="shared" si="163"/>
        <v>0</v>
      </c>
      <c r="FX13" s="365">
        <f t="shared" si="43"/>
        <v>0</v>
      </c>
      <c r="FY13" s="86">
        <f t="shared" si="164"/>
        <v>0</v>
      </c>
      <c r="FZ13" s="365">
        <f t="shared" si="165"/>
        <v>0</v>
      </c>
      <c r="GA13" s="86">
        <f t="shared" si="166"/>
        <v>0</v>
      </c>
      <c r="GB13" s="365">
        <f t="shared" si="44"/>
        <v>0</v>
      </c>
      <c r="GC13" s="86">
        <f t="shared" si="167"/>
        <v>0</v>
      </c>
      <c r="GD13" s="90">
        <f t="shared" si="168"/>
        <v>0</v>
      </c>
      <c r="GE13" s="91">
        <f t="shared" si="45"/>
        <v>0</v>
      </c>
      <c r="GG13" s="24">
        <f>+GG17</f>
        <v>23412</v>
      </c>
      <c r="GH13" s="83">
        <v>1</v>
      </c>
      <c r="GI13" s="95">
        <f t="shared" si="46"/>
        <v>25672326.224294223</v>
      </c>
      <c r="GJ13" s="85">
        <f>+GG13*GH13</f>
        <v>23412</v>
      </c>
      <c r="GK13" s="86">
        <f t="shared" si="170"/>
        <v>25672326.224294223</v>
      </c>
      <c r="GL13" s="85">
        <f t="shared" si="169"/>
        <v>23412</v>
      </c>
      <c r="GM13" s="86">
        <f t="shared" si="170"/>
        <v>25672326.224294223</v>
      </c>
      <c r="GN13" s="85">
        <f t="shared" si="169"/>
        <v>23412</v>
      </c>
      <c r="GO13" s="86">
        <f t="shared" si="171"/>
        <v>25672326.224294223</v>
      </c>
      <c r="GP13" s="85">
        <f t="shared" si="169"/>
        <v>23412</v>
      </c>
      <c r="GQ13" s="86">
        <f t="shared" si="172"/>
        <v>25672326.224294223</v>
      </c>
      <c r="GR13" s="85">
        <f t="shared" si="173"/>
        <v>23412</v>
      </c>
      <c r="GS13" s="86">
        <f t="shared" si="174"/>
        <v>25672326.224294223</v>
      </c>
      <c r="GT13" s="85">
        <f t="shared" si="175"/>
        <v>23412</v>
      </c>
      <c r="GU13" s="86">
        <f t="shared" si="176"/>
        <v>25672326.224294223</v>
      </c>
      <c r="GV13" s="85">
        <f t="shared" si="177"/>
        <v>23412</v>
      </c>
      <c r="GW13" s="86">
        <f t="shared" si="178"/>
        <v>25672326.224294223</v>
      </c>
      <c r="GX13" s="85">
        <f t="shared" si="179"/>
        <v>23412</v>
      </c>
      <c r="GY13" s="86">
        <f t="shared" si="180"/>
        <v>25672326.224294223</v>
      </c>
      <c r="GZ13" s="85">
        <f t="shared" si="181"/>
        <v>23412</v>
      </c>
      <c r="HA13" s="86">
        <f t="shared" si="182"/>
        <v>25672326.224294223</v>
      </c>
      <c r="HB13" s="85">
        <f t="shared" si="183"/>
        <v>23412</v>
      </c>
      <c r="HC13" s="86">
        <f t="shared" si="184"/>
        <v>25672326.224294223</v>
      </c>
      <c r="HD13" s="85">
        <f t="shared" si="185"/>
        <v>23412</v>
      </c>
      <c r="HE13" s="86">
        <f t="shared" si="186"/>
        <v>25672326.224294223</v>
      </c>
      <c r="HF13" s="85">
        <f t="shared" si="187"/>
        <v>23412</v>
      </c>
      <c r="HG13" s="86">
        <f t="shared" si="188"/>
        <v>25672326.224294223</v>
      </c>
      <c r="HH13" s="90">
        <f t="shared" si="189"/>
        <v>280944</v>
      </c>
      <c r="HI13" s="91">
        <f t="shared" si="47"/>
        <v>308067914.69153064</v>
      </c>
      <c r="HK13" s="24"/>
      <c r="HL13" s="83"/>
      <c r="HM13" s="95">
        <f t="shared" si="48"/>
        <v>0</v>
      </c>
      <c r="HN13" s="85">
        <f t="shared" si="190"/>
        <v>0</v>
      </c>
      <c r="HO13" s="86">
        <f t="shared" si="191"/>
        <v>0</v>
      </c>
      <c r="HP13" s="85">
        <f t="shared" si="192"/>
        <v>0</v>
      </c>
      <c r="HQ13" s="86">
        <f t="shared" si="193"/>
        <v>0</v>
      </c>
      <c r="HR13" s="85">
        <f t="shared" si="192"/>
        <v>0</v>
      </c>
      <c r="HS13" s="86">
        <f t="shared" si="193"/>
        <v>0</v>
      </c>
      <c r="HT13" s="85">
        <f t="shared" si="192"/>
        <v>0</v>
      </c>
      <c r="HU13" s="86">
        <f t="shared" si="194"/>
        <v>0</v>
      </c>
      <c r="HV13" s="85">
        <f t="shared" si="192"/>
        <v>0</v>
      </c>
      <c r="HW13" s="86">
        <f t="shared" si="195"/>
        <v>0</v>
      </c>
      <c r="HX13" s="85">
        <f t="shared" si="196"/>
        <v>0</v>
      </c>
      <c r="HY13" s="86">
        <f t="shared" si="197"/>
        <v>0</v>
      </c>
      <c r="HZ13" s="85">
        <f t="shared" si="198"/>
        <v>0</v>
      </c>
      <c r="IA13" s="86">
        <f t="shared" si="199"/>
        <v>0</v>
      </c>
      <c r="IB13" s="85">
        <f t="shared" si="200"/>
        <v>0</v>
      </c>
      <c r="IC13" s="86">
        <f t="shared" si="201"/>
        <v>0</v>
      </c>
      <c r="ID13" s="85">
        <f t="shared" si="202"/>
        <v>0</v>
      </c>
      <c r="IE13" s="86">
        <f t="shared" si="203"/>
        <v>0</v>
      </c>
      <c r="IF13" s="85">
        <f t="shared" si="204"/>
        <v>0</v>
      </c>
      <c r="IG13" s="86">
        <f t="shared" si="205"/>
        <v>0</v>
      </c>
      <c r="IH13" s="85">
        <f t="shared" si="206"/>
        <v>0</v>
      </c>
      <c r="II13" s="86">
        <f t="shared" si="207"/>
        <v>0</v>
      </c>
      <c r="IJ13" s="85">
        <f t="shared" si="208"/>
        <v>0</v>
      </c>
      <c r="IK13" s="86">
        <f t="shared" si="209"/>
        <v>0</v>
      </c>
      <c r="IL13" s="90">
        <f t="shared" si="210"/>
        <v>0</v>
      </c>
      <c r="IM13" s="91">
        <f t="shared" si="211"/>
        <v>0</v>
      </c>
      <c r="IO13" s="24"/>
      <c r="IP13" s="83"/>
      <c r="IQ13" s="95">
        <f t="shared" si="49"/>
        <v>0</v>
      </c>
      <c r="IR13" s="85">
        <f t="shared" si="212"/>
        <v>0</v>
      </c>
      <c r="IS13" s="86">
        <f t="shared" si="213"/>
        <v>0</v>
      </c>
      <c r="IT13" s="85">
        <f t="shared" si="50"/>
        <v>0</v>
      </c>
      <c r="IU13" s="282">
        <f t="shared" si="214"/>
        <v>0</v>
      </c>
      <c r="IV13" s="85">
        <f t="shared" si="51"/>
        <v>0</v>
      </c>
      <c r="IW13" s="282">
        <f t="shared" si="214"/>
        <v>0</v>
      </c>
      <c r="IX13" s="85">
        <f t="shared" si="52"/>
        <v>0</v>
      </c>
      <c r="IY13" s="282">
        <f t="shared" si="215"/>
        <v>0</v>
      </c>
      <c r="IZ13" s="85">
        <f t="shared" si="53"/>
        <v>0</v>
      </c>
      <c r="JA13" s="282">
        <f t="shared" si="216"/>
        <v>0</v>
      </c>
      <c r="JB13" s="85">
        <f t="shared" si="54"/>
        <v>0</v>
      </c>
      <c r="JC13" s="282">
        <f t="shared" si="217"/>
        <v>0</v>
      </c>
      <c r="JD13" s="85">
        <f t="shared" si="218"/>
        <v>0</v>
      </c>
      <c r="JE13" s="282">
        <f t="shared" si="219"/>
        <v>0</v>
      </c>
      <c r="JF13" s="85">
        <f t="shared" si="55"/>
        <v>0</v>
      </c>
      <c r="JG13" s="282">
        <f t="shared" si="220"/>
        <v>0</v>
      </c>
      <c r="JH13" s="85">
        <f t="shared" si="221"/>
        <v>0</v>
      </c>
      <c r="JI13" s="282">
        <f t="shared" si="222"/>
        <v>0</v>
      </c>
      <c r="JJ13" s="85">
        <f t="shared" si="56"/>
        <v>0</v>
      </c>
      <c r="JK13" s="282">
        <f t="shared" si="223"/>
        <v>0</v>
      </c>
      <c r="JL13" s="85">
        <f t="shared" si="224"/>
        <v>0</v>
      </c>
      <c r="JM13" s="282">
        <f t="shared" si="225"/>
        <v>0</v>
      </c>
      <c r="JN13" s="85">
        <f t="shared" si="57"/>
        <v>0</v>
      </c>
      <c r="JO13" s="282">
        <f t="shared" si="226"/>
        <v>0</v>
      </c>
      <c r="JP13" s="90">
        <f t="shared" si="227"/>
        <v>0</v>
      </c>
      <c r="JQ13" s="91">
        <f t="shared" si="228"/>
        <v>0</v>
      </c>
      <c r="JS13" s="24"/>
      <c r="JT13" s="83"/>
      <c r="JU13" s="95">
        <f t="shared" si="58"/>
        <v>0</v>
      </c>
      <c r="JV13" s="85">
        <f t="shared" si="229"/>
        <v>0</v>
      </c>
      <c r="JW13" s="86">
        <f t="shared" si="230"/>
        <v>0</v>
      </c>
      <c r="JX13" s="365">
        <f t="shared" si="59"/>
        <v>0</v>
      </c>
      <c r="JY13" s="86">
        <f t="shared" si="231"/>
        <v>0</v>
      </c>
      <c r="JZ13" s="365">
        <f t="shared" si="60"/>
        <v>0</v>
      </c>
      <c r="KA13" s="86">
        <f t="shared" si="231"/>
        <v>0</v>
      </c>
      <c r="KB13" s="365">
        <f t="shared" si="61"/>
        <v>0</v>
      </c>
      <c r="KC13" s="86">
        <f t="shared" si="232"/>
        <v>0</v>
      </c>
      <c r="KD13" s="365">
        <f t="shared" si="62"/>
        <v>0</v>
      </c>
      <c r="KE13" s="86">
        <f t="shared" si="233"/>
        <v>0</v>
      </c>
      <c r="KF13" s="365">
        <f t="shared" si="63"/>
        <v>0</v>
      </c>
      <c r="KG13" s="86">
        <f t="shared" si="234"/>
        <v>0</v>
      </c>
      <c r="KH13" s="365">
        <f t="shared" si="235"/>
        <v>0</v>
      </c>
      <c r="KI13" s="86">
        <f t="shared" si="236"/>
        <v>0</v>
      </c>
      <c r="KJ13" s="365">
        <f t="shared" si="64"/>
        <v>0</v>
      </c>
      <c r="KK13" s="86">
        <f t="shared" si="237"/>
        <v>0</v>
      </c>
      <c r="KL13" s="365">
        <f t="shared" si="238"/>
        <v>0</v>
      </c>
      <c r="KM13" s="86">
        <f t="shared" si="239"/>
        <v>0</v>
      </c>
      <c r="KN13" s="365">
        <f t="shared" si="65"/>
        <v>0</v>
      </c>
      <c r="KO13" s="86">
        <f t="shared" si="240"/>
        <v>0</v>
      </c>
      <c r="KP13" s="365">
        <f t="shared" si="241"/>
        <v>0</v>
      </c>
      <c r="KQ13" s="86">
        <f t="shared" si="242"/>
        <v>0</v>
      </c>
      <c r="KR13" s="365">
        <f t="shared" si="66"/>
        <v>0</v>
      </c>
      <c r="KS13" s="87">
        <f t="shared" si="243"/>
        <v>0</v>
      </c>
      <c r="KT13" s="90">
        <f t="shared" si="244"/>
        <v>0</v>
      </c>
      <c r="KU13" s="91">
        <f t="shared" si="67"/>
        <v>0</v>
      </c>
      <c r="KW13" s="24">
        <f>+KW4</f>
        <v>21267</v>
      </c>
      <c r="KX13" s="83">
        <v>1</v>
      </c>
      <c r="KY13" s="96">
        <f t="shared" si="68"/>
        <v>23320235.85392385</v>
      </c>
      <c r="KZ13" s="85"/>
      <c r="LA13" s="86">
        <f t="shared" si="245"/>
        <v>0</v>
      </c>
      <c r="LB13" s="85"/>
      <c r="LC13" s="86">
        <f t="shared" si="246"/>
        <v>0</v>
      </c>
      <c r="LD13" s="85">
        <f t="shared" si="272"/>
        <v>21267</v>
      </c>
      <c r="LE13" s="86">
        <f t="shared" si="246"/>
        <v>23320235.85392385</v>
      </c>
      <c r="LF13" s="85"/>
      <c r="LG13" s="86">
        <f t="shared" si="247"/>
        <v>0</v>
      </c>
      <c r="LH13" s="85"/>
      <c r="LI13" s="86">
        <f t="shared" si="248"/>
        <v>0</v>
      </c>
      <c r="LJ13" s="85">
        <f t="shared" si="273"/>
        <v>21267</v>
      </c>
      <c r="LK13" s="86">
        <f t="shared" si="249"/>
        <v>23320235.85392385</v>
      </c>
      <c r="LL13" s="85"/>
      <c r="LM13" s="86">
        <f t="shared" si="250"/>
        <v>0</v>
      </c>
      <c r="LN13" s="85"/>
      <c r="LO13" s="86">
        <f t="shared" si="251"/>
        <v>0</v>
      </c>
      <c r="LP13" s="85">
        <f t="shared" si="276"/>
        <v>21267</v>
      </c>
      <c r="LQ13" s="86">
        <f t="shared" si="252"/>
        <v>23320235.85392385</v>
      </c>
      <c r="LR13" s="85"/>
      <c r="LS13" s="86">
        <f t="shared" si="253"/>
        <v>0</v>
      </c>
      <c r="LT13" s="85"/>
      <c r="LU13" s="86">
        <f t="shared" si="254"/>
        <v>0</v>
      </c>
      <c r="LV13" s="85">
        <f t="shared" si="279"/>
        <v>21267</v>
      </c>
      <c r="LW13" s="86">
        <f t="shared" si="255"/>
        <v>23320235.85392385</v>
      </c>
      <c r="LX13" s="90">
        <f t="shared" si="256"/>
        <v>85068</v>
      </c>
      <c r="LY13" s="91">
        <f t="shared" si="257"/>
        <v>93280943.415695399</v>
      </c>
      <c r="MA13" s="97">
        <f t="shared" si="69"/>
        <v>75081.399999999994</v>
      </c>
      <c r="MB13" s="383">
        <f t="shared" si="258"/>
        <v>82330180.854977101</v>
      </c>
      <c r="MC13" s="391">
        <f t="shared" si="70"/>
        <v>75081.399999999994</v>
      </c>
      <c r="MD13" s="383">
        <f t="shared" si="259"/>
        <v>82330180.854977101</v>
      </c>
      <c r="ME13" s="391">
        <f t="shared" si="71"/>
        <v>96348.4</v>
      </c>
      <c r="MF13" s="383">
        <f t="shared" si="259"/>
        <v>105650416.70890096</v>
      </c>
      <c r="MG13" s="391">
        <f t="shared" si="72"/>
        <v>135081.4</v>
      </c>
      <c r="MH13" s="383">
        <f t="shared" si="260"/>
        <v>148122918.48771474</v>
      </c>
      <c r="MI13" s="391">
        <f t="shared" si="73"/>
        <v>135081.4</v>
      </c>
      <c r="MJ13" s="383">
        <f t="shared" si="261"/>
        <v>148122918.48771474</v>
      </c>
      <c r="MK13" s="391">
        <f t="shared" si="74"/>
        <v>156348.4</v>
      </c>
      <c r="ML13" s="383">
        <f t="shared" si="262"/>
        <v>171443154.34163859</v>
      </c>
      <c r="MM13" s="391">
        <f t="shared" si="75"/>
        <v>135081.4</v>
      </c>
      <c r="MN13" s="383">
        <f t="shared" si="263"/>
        <v>148122918.48771474</v>
      </c>
      <c r="MO13" s="391">
        <f t="shared" si="76"/>
        <v>135081.4</v>
      </c>
      <c r="MP13" s="383">
        <f t="shared" si="264"/>
        <v>148122918.48771474</v>
      </c>
      <c r="MQ13" s="391">
        <f t="shared" si="77"/>
        <v>156348.4</v>
      </c>
      <c r="MR13" s="383">
        <f t="shared" si="265"/>
        <v>171443154.34163859</v>
      </c>
      <c r="MS13" s="391">
        <f t="shared" si="78"/>
        <v>135081.4</v>
      </c>
      <c r="MT13" s="383">
        <f t="shared" si="266"/>
        <v>148122918.48771474</v>
      </c>
      <c r="MU13" s="391">
        <f t="shared" si="79"/>
        <v>135081.4</v>
      </c>
      <c r="MV13" s="383">
        <f t="shared" si="267"/>
        <v>148122918.48771474</v>
      </c>
      <c r="MW13" s="391">
        <f t="shared" si="80"/>
        <v>156348.4</v>
      </c>
      <c r="MX13" s="383">
        <f t="shared" si="268"/>
        <v>171443154.34163859</v>
      </c>
      <c r="MY13" s="98">
        <f t="shared" si="269"/>
        <v>1526044.7999999998</v>
      </c>
      <c r="MZ13" s="99">
        <f t="shared" si="270"/>
        <v>1673377752.3700593</v>
      </c>
    </row>
    <row r="14" spans="1:364" s="63" customFormat="1" ht="26.4" x14ac:dyDescent="0.3">
      <c r="A14" s="540"/>
      <c r="B14" s="80" t="s">
        <v>48</v>
      </c>
      <c r="C14" s="81" t="s">
        <v>49</v>
      </c>
      <c r="D14" s="82" t="s">
        <v>28</v>
      </c>
      <c r="E14" s="9">
        <v>1</v>
      </c>
      <c r="F14" s="343">
        <v>1109.3304843304843</v>
      </c>
      <c r="G14" s="343">
        <f t="shared" si="81"/>
        <v>1155.5631528964861</v>
      </c>
      <c r="I14" s="24">
        <f>+I17/2</f>
        <v>3633.5</v>
      </c>
      <c r="J14" s="10">
        <v>1</v>
      </c>
      <c r="K14" s="84">
        <f t="shared" si="82"/>
        <v>4198738.7160493825</v>
      </c>
      <c r="L14" s="85">
        <f t="shared" si="83"/>
        <v>3633.5</v>
      </c>
      <c r="M14" s="282">
        <f t="shared" si="84"/>
        <v>4198738.7160493825</v>
      </c>
      <c r="N14" s="85">
        <f t="shared" si="83"/>
        <v>3633.5</v>
      </c>
      <c r="O14" s="282">
        <f t="shared" si="84"/>
        <v>4198738.7160493825</v>
      </c>
      <c r="P14" s="85">
        <f t="shared" si="83"/>
        <v>3633.5</v>
      </c>
      <c r="Q14" s="282">
        <f t="shared" si="85"/>
        <v>4198738.7160493825</v>
      </c>
      <c r="R14" s="85">
        <f t="shared" si="83"/>
        <v>3633.5</v>
      </c>
      <c r="S14" s="282">
        <f t="shared" si="86"/>
        <v>4198738.7160493825</v>
      </c>
      <c r="T14" s="85">
        <f t="shared" si="83"/>
        <v>3633.5</v>
      </c>
      <c r="U14" s="282">
        <f t="shared" si="87"/>
        <v>4198738.7160493825</v>
      </c>
      <c r="V14" s="85">
        <f t="shared" si="83"/>
        <v>3633.5</v>
      </c>
      <c r="W14" s="282">
        <f t="shared" si="88"/>
        <v>4198738.7160493825</v>
      </c>
      <c r="X14" s="85">
        <f t="shared" si="83"/>
        <v>3633.5</v>
      </c>
      <c r="Y14" s="282">
        <f t="shared" si="89"/>
        <v>4198738.7160493825</v>
      </c>
      <c r="Z14" s="85">
        <f t="shared" si="83"/>
        <v>3633.5</v>
      </c>
      <c r="AA14" s="282">
        <f t="shared" si="90"/>
        <v>4198738.7160493825</v>
      </c>
      <c r="AB14" s="85">
        <f t="shared" si="83"/>
        <v>3633.5</v>
      </c>
      <c r="AC14" s="282">
        <f t="shared" si="91"/>
        <v>4198738.7160493825</v>
      </c>
      <c r="AD14" s="85">
        <f t="shared" si="83"/>
        <v>3633.5</v>
      </c>
      <c r="AE14" s="282">
        <f t="shared" si="92"/>
        <v>4198738.7160493825</v>
      </c>
      <c r="AF14" s="85">
        <f t="shared" si="83"/>
        <v>3633.5</v>
      </c>
      <c r="AG14" s="282">
        <f t="shared" si="93"/>
        <v>4198738.7160493825</v>
      </c>
      <c r="AH14" s="85">
        <f t="shared" si="83"/>
        <v>3633.5</v>
      </c>
      <c r="AI14" s="291">
        <f t="shared" si="93"/>
        <v>4198738.7160493825</v>
      </c>
      <c r="AJ14" s="88">
        <f t="shared" si="94"/>
        <v>43602</v>
      </c>
      <c r="AK14" s="303">
        <f t="shared" si="95"/>
        <v>50384864.59259259</v>
      </c>
      <c r="AM14" s="12">
        <f>+AM18/2</f>
        <v>7045</v>
      </c>
      <c r="AN14" s="10">
        <v>1</v>
      </c>
      <c r="AO14" s="89">
        <f t="shared" si="0"/>
        <v>8140942.4121557446</v>
      </c>
      <c r="AP14" s="85">
        <f t="shared" si="1"/>
        <v>7045</v>
      </c>
      <c r="AQ14" s="282">
        <f t="shared" si="96"/>
        <v>8140942.4121557446</v>
      </c>
      <c r="AR14" s="314">
        <f t="shared" si="2"/>
        <v>7045</v>
      </c>
      <c r="AS14" s="281">
        <f t="shared" si="97"/>
        <v>8140942.4121557446</v>
      </c>
      <c r="AT14" s="314">
        <f t="shared" si="3"/>
        <v>7045</v>
      </c>
      <c r="AU14" s="281">
        <f t="shared" si="97"/>
        <v>8140942.4121557446</v>
      </c>
      <c r="AV14" s="314">
        <f t="shared" si="4"/>
        <v>7045</v>
      </c>
      <c r="AW14" s="281">
        <f t="shared" si="98"/>
        <v>8140942.4121557446</v>
      </c>
      <c r="AX14" s="314">
        <f t="shared" si="5"/>
        <v>7045</v>
      </c>
      <c r="AY14" s="281">
        <f t="shared" si="99"/>
        <v>8140942.4121557446</v>
      </c>
      <c r="AZ14" s="314">
        <f t="shared" si="6"/>
        <v>7045</v>
      </c>
      <c r="BA14" s="281">
        <f t="shared" si="100"/>
        <v>8140942.4121557446</v>
      </c>
      <c r="BB14" s="314">
        <f t="shared" si="7"/>
        <v>7045</v>
      </c>
      <c r="BC14" s="281">
        <f t="shared" si="101"/>
        <v>8140942.4121557446</v>
      </c>
      <c r="BD14" s="314">
        <f t="shared" si="8"/>
        <v>7045</v>
      </c>
      <c r="BE14" s="281">
        <f t="shared" si="102"/>
        <v>8140942.4121557446</v>
      </c>
      <c r="BF14" s="314">
        <f t="shared" si="9"/>
        <v>7045</v>
      </c>
      <c r="BG14" s="281">
        <f t="shared" si="103"/>
        <v>8140942.4121557446</v>
      </c>
      <c r="BH14" s="314">
        <f t="shared" si="10"/>
        <v>7045</v>
      </c>
      <c r="BI14" s="281">
        <f t="shared" si="104"/>
        <v>8140942.4121557446</v>
      </c>
      <c r="BJ14" s="314">
        <f t="shared" si="11"/>
        <v>7045</v>
      </c>
      <c r="BK14" s="281">
        <f t="shared" si="104"/>
        <v>8140942.4121557446</v>
      </c>
      <c r="BL14" s="85">
        <f t="shared" si="12"/>
        <v>7045</v>
      </c>
      <c r="BM14" s="322">
        <f t="shared" si="105"/>
        <v>8140942.4121557446</v>
      </c>
      <c r="BN14" s="72">
        <f t="shared" si="106"/>
        <v>84540</v>
      </c>
      <c r="BO14" s="326">
        <f t="shared" si="13"/>
        <v>97691308.945868939</v>
      </c>
      <c r="BQ14" s="26">
        <f>+BQ17*50%</f>
        <v>9643.7000000000007</v>
      </c>
      <c r="BR14" s="83">
        <v>1</v>
      </c>
      <c r="BS14" s="92">
        <f t="shared" si="281"/>
        <v>11143904.377587844</v>
      </c>
      <c r="BT14" s="85">
        <f t="shared" si="280"/>
        <v>9643.7000000000007</v>
      </c>
      <c r="BU14" s="329">
        <f t="shared" si="107"/>
        <v>11143904.377587844</v>
      </c>
      <c r="BV14" s="85">
        <f t="shared" si="15"/>
        <v>9643.7000000000007</v>
      </c>
      <c r="BW14" s="86">
        <f t="shared" si="108"/>
        <v>11143904.377587844</v>
      </c>
      <c r="BX14" s="85">
        <f t="shared" si="16"/>
        <v>9643.7000000000007</v>
      </c>
      <c r="BY14" s="86">
        <f t="shared" si="109"/>
        <v>11143904.377587844</v>
      </c>
      <c r="BZ14" s="85">
        <f t="shared" si="17"/>
        <v>9643.7000000000007</v>
      </c>
      <c r="CA14" s="86">
        <f t="shared" si="110"/>
        <v>11143904.377587844</v>
      </c>
      <c r="CB14" s="85">
        <f t="shared" si="18"/>
        <v>9643.7000000000007</v>
      </c>
      <c r="CC14" s="86">
        <f t="shared" si="111"/>
        <v>11143904.377587844</v>
      </c>
      <c r="CD14" s="85">
        <f t="shared" si="19"/>
        <v>9643.7000000000007</v>
      </c>
      <c r="CE14" s="86">
        <f t="shared" si="112"/>
        <v>11143904.377587844</v>
      </c>
      <c r="CF14" s="85">
        <f t="shared" si="113"/>
        <v>9643.7000000000007</v>
      </c>
      <c r="CG14" s="86">
        <f t="shared" si="114"/>
        <v>11143904.377587844</v>
      </c>
      <c r="CH14" s="85">
        <f t="shared" si="20"/>
        <v>9643.7000000000007</v>
      </c>
      <c r="CI14" s="86">
        <f t="shared" si="115"/>
        <v>11143904.377587844</v>
      </c>
      <c r="CJ14" s="85">
        <f t="shared" si="116"/>
        <v>9643.7000000000007</v>
      </c>
      <c r="CK14" s="86">
        <f t="shared" si="117"/>
        <v>11143904.377587844</v>
      </c>
      <c r="CL14" s="85">
        <f t="shared" si="21"/>
        <v>9643.7000000000007</v>
      </c>
      <c r="CM14" s="86">
        <f t="shared" si="118"/>
        <v>11143904.377587844</v>
      </c>
      <c r="CN14" s="85">
        <f t="shared" si="119"/>
        <v>9643.7000000000007</v>
      </c>
      <c r="CO14" s="86">
        <f t="shared" si="120"/>
        <v>11143904.377587844</v>
      </c>
      <c r="CP14" s="85">
        <f t="shared" si="22"/>
        <v>9643.7000000000007</v>
      </c>
      <c r="CQ14" s="87">
        <f t="shared" si="23"/>
        <v>11143904.377587844</v>
      </c>
      <c r="CR14" s="90">
        <f t="shared" si="121"/>
        <v>115724.39999999998</v>
      </c>
      <c r="CS14" s="91">
        <f t="shared" si="24"/>
        <v>133726852.53105409</v>
      </c>
      <c r="CU14" s="26">
        <f>+CU17*0.5</f>
        <v>9035</v>
      </c>
      <c r="CV14" s="83">
        <v>1</v>
      </c>
      <c r="CW14" s="93">
        <f t="shared" si="282"/>
        <v>10440513.086419752</v>
      </c>
      <c r="CX14" s="85">
        <f t="shared" si="122"/>
        <v>9035</v>
      </c>
      <c r="CY14" s="86">
        <f t="shared" si="123"/>
        <v>10440513.086419752</v>
      </c>
      <c r="CZ14" s="85">
        <f t="shared" si="26"/>
        <v>9035</v>
      </c>
      <c r="DA14" s="282">
        <f t="shared" si="123"/>
        <v>10440513.086419752</v>
      </c>
      <c r="DB14" s="85">
        <f t="shared" si="27"/>
        <v>9035</v>
      </c>
      <c r="DC14" s="282">
        <f t="shared" si="124"/>
        <v>10440513.086419752</v>
      </c>
      <c r="DD14" s="85">
        <f t="shared" si="28"/>
        <v>9035</v>
      </c>
      <c r="DE14" s="282">
        <f t="shared" si="125"/>
        <v>10440513.086419752</v>
      </c>
      <c r="DF14" s="85">
        <f t="shared" si="29"/>
        <v>9035</v>
      </c>
      <c r="DG14" s="282">
        <f t="shared" si="126"/>
        <v>10440513.086419752</v>
      </c>
      <c r="DH14" s="85">
        <f t="shared" si="30"/>
        <v>9035</v>
      </c>
      <c r="DI14" s="282">
        <f t="shared" si="127"/>
        <v>10440513.086419752</v>
      </c>
      <c r="DJ14" s="85">
        <f t="shared" si="128"/>
        <v>9035</v>
      </c>
      <c r="DK14" s="282">
        <f t="shared" si="129"/>
        <v>10440513.086419752</v>
      </c>
      <c r="DL14" s="85">
        <f t="shared" si="31"/>
        <v>9035</v>
      </c>
      <c r="DM14" s="282">
        <f t="shared" si="130"/>
        <v>10440513.086419752</v>
      </c>
      <c r="DN14" s="85">
        <f t="shared" si="131"/>
        <v>9035</v>
      </c>
      <c r="DO14" s="282">
        <f t="shared" si="132"/>
        <v>10440513.086419752</v>
      </c>
      <c r="DP14" s="85">
        <f t="shared" si="32"/>
        <v>9035</v>
      </c>
      <c r="DQ14" s="282">
        <f t="shared" si="133"/>
        <v>10440513.086419752</v>
      </c>
      <c r="DR14" s="85">
        <f t="shared" si="134"/>
        <v>9035</v>
      </c>
      <c r="DS14" s="282">
        <f t="shared" si="135"/>
        <v>10440513.086419752</v>
      </c>
      <c r="DT14" s="85">
        <f t="shared" si="33"/>
        <v>9035</v>
      </c>
      <c r="DU14" s="282">
        <f t="shared" si="136"/>
        <v>10440513.086419752</v>
      </c>
      <c r="DV14" s="90">
        <f t="shared" si="137"/>
        <v>108420</v>
      </c>
      <c r="DW14" s="91">
        <f t="shared" si="34"/>
        <v>125286157.03703703</v>
      </c>
      <c r="DY14" s="94">
        <f>+DY17/2</f>
        <v>30000</v>
      </c>
      <c r="DZ14" s="10">
        <v>1</v>
      </c>
      <c r="EA14" s="93">
        <f t="shared" si="35"/>
        <v>34666894.586894587</v>
      </c>
      <c r="EB14" s="85">
        <v>0</v>
      </c>
      <c r="EC14" s="86">
        <f t="shared" si="139"/>
        <v>0</v>
      </c>
      <c r="ED14" s="314">
        <v>0</v>
      </c>
      <c r="EE14" s="86">
        <f t="shared" si="139"/>
        <v>0</v>
      </c>
      <c r="EF14" s="85">
        <v>0</v>
      </c>
      <c r="EG14" s="86">
        <f t="shared" si="141"/>
        <v>0</v>
      </c>
      <c r="EH14" s="85">
        <f t="shared" si="283"/>
        <v>30000</v>
      </c>
      <c r="EI14" s="86">
        <f t="shared" si="141"/>
        <v>34666894.586894587</v>
      </c>
      <c r="EJ14" s="85">
        <f t="shared" si="283"/>
        <v>30000</v>
      </c>
      <c r="EK14" s="86">
        <f t="shared" si="143"/>
        <v>34666894.586894587</v>
      </c>
      <c r="EL14" s="85">
        <f t="shared" si="283"/>
        <v>30000</v>
      </c>
      <c r="EM14" s="86">
        <f t="shared" si="144"/>
        <v>34666894.586894587</v>
      </c>
      <c r="EN14" s="85">
        <f t="shared" si="283"/>
        <v>30000</v>
      </c>
      <c r="EO14" s="86">
        <f t="shared" si="145"/>
        <v>34666894.586894587</v>
      </c>
      <c r="EP14" s="85">
        <f t="shared" si="283"/>
        <v>30000</v>
      </c>
      <c r="EQ14" s="86">
        <f t="shared" si="146"/>
        <v>34666894.586894587</v>
      </c>
      <c r="ER14" s="85">
        <f t="shared" si="283"/>
        <v>30000</v>
      </c>
      <c r="ES14" s="86">
        <f t="shared" si="147"/>
        <v>34666894.586894587</v>
      </c>
      <c r="ET14" s="85">
        <f t="shared" si="283"/>
        <v>30000</v>
      </c>
      <c r="EU14" s="86">
        <f t="shared" si="148"/>
        <v>34666894.586894587</v>
      </c>
      <c r="EV14" s="85">
        <f t="shared" si="283"/>
        <v>30000</v>
      </c>
      <c r="EW14" s="86">
        <f t="shared" si="149"/>
        <v>34666894.586894587</v>
      </c>
      <c r="EX14" s="85">
        <f t="shared" si="283"/>
        <v>30000</v>
      </c>
      <c r="EY14" s="86">
        <f t="shared" si="150"/>
        <v>34666894.586894587</v>
      </c>
      <c r="EZ14" s="90">
        <f t="shared" si="151"/>
        <v>270000</v>
      </c>
      <c r="FA14" s="91">
        <f t="shared" si="36"/>
        <v>312002051.28205127</v>
      </c>
      <c r="FC14" s="12"/>
      <c r="FD14" s="10"/>
      <c r="FE14" s="95">
        <f t="shared" si="152"/>
        <v>0</v>
      </c>
      <c r="FF14" s="85">
        <f t="shared" si="153"/>
        <v>0</v>
      </c>
      <c r="FG14" s="86">
        <f t="shared" si="154"/>
        <v>0</v>
      </c>
      <c r="FH14" s="365">
        <f t="shared" si="37"/>
        <v>0</v>
      </c>
      <c r="FI14" s="86">
        <f t="shared" si="155"/>
        <v>0</v>
      </c>
      <c r="FJ14" s="365">
        <f t="shared" si="38"/>
        <v>0</v>
      </c>
      <c r="FK14" s="86">
        <f t="shared" si="155"/>
        <v>0</v>
      </c>
      <c r="FL14" s="365">
        <f t="shared" si="39"/>
        <v>0</v>
      </c>
      <c r="FM14" s="86">
        <f t="shared" si="156"/>
        <v>0</v>
      </c>
      <c r="FN14" s="365">
        <f t="shared" si="40"/>
        <v>0</v>
      </c>
      <c r="FO14" s="86">
        <f t="shared" si="157"/>
        <v>0</v>
      </c>
      <c r="FP14" s="365">
        <f t="shared" si="41"/>
        <v>0</v>
      </c>
      <c r="FQ14" s="86">
        <f t="shared" si="158"/>
        <v>0</v>
      </c>
      <c r="FR14" s="365">
        <f t="shared" si="159"/>
        <v>0</v>
      </c>
      <c r="FS14" s="86">
        <f t="shared" si="160"/>
        <v>0</v>
      </c>
      <c r="FT14" s="365">
        <f t="shared" si="42"/>
        <v>0</v>
      </c>
      <c r="FU14" s="86">
        <f t="shared" si="161"/>
        <v>0</v>
      </c>
      <c r="FV14" s="365">
        <f t="shared" si="162"/>
        <v>0</v>
      </c>
      <c r="FW14" s="86">
        <f t="shared" si="163"/>
        <v>0</v>
      </c>
      <c r="FX14" s="365">
        <f t="shared" si="43"/>
        <v>0</v>
      </c>
      <c r="FY14" s="86">
        <f t="shared" si="164"/>
        <v>0</v>
      </c>
      <c r="FZ14" s="365">
        <f t="shared" si="165"/>
        <v>0</v>
      </c>
      <c r="GA14" s="86">
        <f t="shared" si="166"/>
        <v>0</v>
      </c>
      <c r="GB14" s="365">
        <f t="shared" si="44"/>
        <v>0</v>
      </c>
      <c r="GC14" s="86">
        <f t="shared" si="167"/>
        <v>0</v>
      </c>
      <c r="GD14" s="90">
        <f t="shared" si="168"/>
        <v>0</v>
      </c>
      <c r="GE14" s="91">
        <f t="shared" si="45"/>
        <v>0</v>
      </c>
      <c r="GG14" s="12">
        <f>+GG4*0.5</f>
        <v>11706</v>
      </c>
      <c r="GH14" s="10">
        <v>1</v>
      </c>
      <c r="GI14" s="95">
        <f t="shared" si="46"/>
        <v>13527022.267806267</v>
      </c>
      <c r="GJ14" s="85">
        <f>+GG14*GH14</f>
        <v>11706</v>
      </c>
      <c r="GK14" s="86">
        <f t="shared" si="170"/>
        <v>13527022.267806267</v>
      </c>
      <c r="GL14" s="85">
        <f t="shared" si="169"/>
        <v>11706</v>
      </c>
      <c r="GM14" s="86">
        <f t="shared" si="170"/>
        <v>13527022.267806267</v>
      </c>
      <c r="GN14" s="85">
        <f t="shared" si="169"/>
        <v>11706</v>
      </c>
      <c r="GO14" s="86">
        <f t="shared" si="171"/>
        <v>13527022.267806267</v>
      </c>
      <c r="GP14" s="85">
        <f t="shared" si="169"/>
        <v>11706</v>
      </c>
      <c r="GQ14" s="86">
        <f t="shared" si="172"/>
        <v>13527022.267806267</v>
      </c>
      <c r="GR14" s="85">
        <f t="shared" si="173"/>
        <v>11706</v>
      </c>
      <c r="GS14" s="86">
        <f t="shared" si="174"/>
        <v>13527022.267806267</v>
      </c>
      <c r="GT14" s="85">
        <f t="shared" si="175"/>
        <v>11706</v>
      </c>
      <c r="GU14" s="86">
        <f t="shared" si="176"/>
        <v>13527022.267806267</v>
      </c>
      <c r="GV14" s="85">
        <f t="shared" si="177"/>
        <v>11706</v>
      </c>
      <c r="GW14" s="86">
        <f t="shared" si="178"/>
        <v>13527022.267806267</v>
      </c>
      <c r="GX14" s="85">
        <f t="shared" si="179"/>
        <v>11706</v>
      </c>
      <c r="GY14" s="86">
        <f t="shared" si="180"/>
        <v>13527022.267806267</v>
      </c>
      <c r="GZ14" s="85">
        <f t="shared" si="181"/>
        <v>11706</v>
      </c>
      <c r="HA14" s="86">
        <f t="shared" si="182"/>
        <v>13527022.267806267</v>
      </c>
      <c r="HB14" s="85">
        <f t="shared" si="183"/>
        <v>11706</v>
      </c>
      <c r="HC14" s="86">
        <f t="shared" si="184"/>
        <v>13527022.267806267</v>
      </c>
      <c r="HD14" s="85">
        <f t="shared" si="185"/>
        <v>11706</v>
      </c>
      <c r="HE14" s="86">
        <f t="shared" si="186"/>
        <v>13527022.267806267</v>
      </c>
      <c r="HF14" s="85">
        <f t="shared" si="187"/>
        <v>11706</v>
      </c>
      <c r="HG14" s="86">
        <f t="shared" si="188"/>
        <v>13527022.267806267</v>
      </c>
      <c r="HH14" s="90">
        <f t="shared" si="189"/>
        <v>140472</v>
      </c>
      <c r="HI14" s="91">
        <f t="shared" si="47"/>
        <v>162324267.2136752</v>
      </c>
      <c r="HK14" s="12"/>
      <c r="HL14" s="10"/>
      <c r="HM14" s="95">
        <f t="shared" si="48"/>
        <v>0</v>
      </c>
      <c r="HN14" s="85">
        <f t="shared" si="190"/>
        <v>0</v>
      </c>
      <c r="HO14" s="86">
        <f t="shared" si="191"/>
        <v>0</v>
      </c>
      <c r="HP14" s="85">
        <f t="shared" si="192"/>
        <v>0</v>
      </c>
      <c r="HQ14" s="86">
        <f t="shared" si="193"/>
        <v>0</v>
      </c>
      <c r="HR14" s="85">
        <f t="shared" si="192"/>
        <v>0</v>
      </c>
      <c r="HS14" s="86">
        <f t="shared" si="193"/>
        <v>0</v>
      </c>
      <c r="HT14" s="85">
        <f t="shared" si="192"/>
        <v>0</v>
      </c>
      <c r="HU14" s="86">
        <f t="shared" si="194"/>
        <v>0</v>
      </c>
      <c r="HV14" s="85">
        <f t="shared" si="192"/>
        <v>0</v>
      </c>
      <c r="HW14" s="86">
        <f t="shared" si="195"/>
        <v>0</v>
      </c>
      <c r="HX14" s="85">
        <f t="shared" si="196"/>
        <v>0</v>
      </c>
      <c r="HY14" s="86">
        <f t="shared" si="197"/>
        <v>0</v>
      </c>
      <c r="HZ14" s="85">
        <f t="shared" si="198"/>
        <v>0</v>
      </c>
      <c r="IA14" s="86">
        <f t="shared" si="199"/>
        <v>0</v>
      </c>
      <c r="IB14" s="85">
        <f t="shared" si="200"/>
        <v>0</v>
      </c>
      <c r="IC14" s="86">
        <f t="shared" si="201"/>
        <v>0</v>
      </c>
      <c r="ID14" s="85">
        <f t="shared" si="202"/>
        <v>0</v>
      </c>
      <c r="IE14" s="86">
        <f t="shared" si="203"/>
        <v>0</v>
      </c>
      <c r="IF14" s="85">
        <f t="shared" si="204"/>
        <v>0</v>
      </c>
      <c r="IG14" s="86">
        <f t="shared" si="205"/>
        <v>0</v>
      </c>
      <c r="IH14" s="85">
        <f t="shared" si="206"/>
        <v>0</v>
      </c>
      <c r="II14" s="86">
        <f t="shared" si="207"/>
        <v>0</v>
      </c>
      <c r="IJ14" s="85">
        <f t="shared" si="208"/>
        <v>0</v>
      </c>
      <c r="IK14" s="86">
        <f t="shared" si="209"/>
        <v>0</v>
      </c>
      <c r="IL14" s="90">
        <f t="shared" si="210"/>
        <v>0</v>
      </c>
      <c r="IM14" s="91">
        <f t="shared" si="211"/>
        <v>0</v>
      </c>
      <c r="IO14" s="12"/>
      <c r="IP14" s="10"/>
      <c r="IQ14" s="95">
        <f t="shared" si="49"/>
        <v>0</v>
      </c>
      <c r="IR14" s="85">
        <f t="shared" si="212"/>
        <v>0</v>
      </c>
      <c r="IS14" s="86">
        <f t="shared" si="213"/>
        <v>0</v>
      </c>
      <c r="IT14" s="85">
        <f t="shared" si="50"/>
        <v>0</v>
      </c>
      <c r="IU14" s="282">
        <f t="shared" si="214"/>
        <v>0</v>
      </c>
      <c r="IV14" s="85">
        <f t="shared" si="51"/>
        <v>0</v>
      </c>
      <c r="IW14" s="282">
        <f t="shared" si="214"/>
        <v>0</v>
      </c>
      <c r="IX14" s="85">
        <f t="shared" si="52"/>
        <v>0</v>
      </c>
      <c r="IY14" s="282">
        <f t="shared" si="215"/>
        <v>0</v>
      </c>
      <c r="IZ14" s="85">
        <f t="shared" si="53"/>
        <v>0</v>
      </c>
      <c r="JA14" s="282">
        <f t="shared" si="216"/>
        <v>0</v>
      </c>
      <c r="JB14" s="85">
        <f t="shared" si="54"/>
        <v>0</v>
      </c>
      <c r="JC14" s="282">
        <f t="shared" si="217"/>
        <v>0</v>
      </c>
      <c r="JD14" s="85">
        <f t="shared" si="218"/>
        <v>0</v>
      </c>
      <c r="JE14" s="282">
        <f t="shared" si="219"/>
        <v>0</v>
      </c>
      <c r="JF14" s="85">
        <f t="shared" si="55"/>
        <v>0</v>
      </c>
      <c r="JG14" s="282">
        <f t="shared" si="220"/>
        <v>0</v>
      </c>
      <c r="JH14" s="85">
        <f t="shared" si="221"/>
        <v>0</v>
      </c>
      <c r="JI14" s="282">
        <f t="shared" si="222"/>
        <v>0</v>
      </c>
      <c r="JJ14" s="85">
        <f t="shared" si="56"/>
        <v>0</v>
      </c>
      <c r="JK14" s="282">
        <f t="shared" si="223"/>
        <v>0</v>
      </c>
      <c r="JL14" s="85">
        <f t="shared" si="224"/>
        <v>0</v>
      </c>
      <c r="JM14" s="282">
        <f t="shared" si="225"/>
        <v>0</v>
      </c>
      <c r="JN14" s="85">
        <f t="shared" si="57"/>
        <v>0</v>
      </c>
      <c r="JO14" s="282">
        <f t="shared" si="226"/>
        <v>0</v>
      </c>
      <c r="JP14" s="90">
        <f t="shared" si="227"/>
        <v>0</v>
      </c>
      <c r="JQ14" s="91">
        <f t="shared" si="228"/>
        <v>0</v>
      </c>
      <c r="JS14" s="12"/>
      <c r="JT14" s="10"/>
      <c r="JU14" s="95">
        <f t="shared" si="58"/>
        <v>0</v>
      </c>
      <c r="JV14" s="85">
        <f t="shared" si="229"/>
        <v>0</v>
      </c>
      <c r="JW14" s="86">
        <f t="shared" si="230"/>
        <v>0</v>
      </c>
      <c r="JX14" s="365">
        <f t="shared" si="59"/>
        <v>0</v>
      </c>
      <c r="JY14" s="86">
        <f t="shared" si="231"/>
        <v>0</v>
      </c>
      <c r="JZ14" s="365">
        <f t="shared" si="60"/>
        <v>0</v>
      </c>
      <c r="KA14" s="86">
        <f t="shared" si="231"/>
        <v>0</v>
      </c>
      <c r="KB14" s="365">
        <f t="shared" si="61"/>
        <v>0</v>
      </c>
      <c r="KC14" s="86">
        <f t="shared" si="232"/>
        <v>0</v>
      </c>
      <c r="KD14" s="365">
        <f t="shared" si="62"/>
        <v>0</v>
      </c>
      <c r="KE14" s="86">
        <f t="shared" si="233"/>
        <v>0</v>
      </c>
      <c r="KF14" s="365">
        <f t="shared" si="63"/>
        <v>0</v>
      </c>
      <c r="KG14" s="86">
        <f t="shared" si="234"/>
        <v>0</v>
      </c>
      <c r="KH14" s="365">
        <f t="shared" si="235"/>
        <v>0</v>
      </c>
      <c r="KI14" s="86">
        <f t="shared" si="236"/>
        <v>0</v>
      </c>
      <c r="KJ14" s="365">
        <f t="shared" si="64"/>
        <v>0</v>
      </c>
      <c r="KK14" s="86">
        <f t="shared" si="237"/>
        <v>0</v>
      </c>
      <c r="KL14" s="365">
        <f t="shared" si="238"/>
        <v>0</v>
      </c>
      <c r="KM14" s="86">
        <f t="shared" si="239"/>
        <v>0</v>
      </c>
      <c r="KN14" s="365">
        <f t="shared" si="65"/>
        <v>0</v>
      </c>
      <c r="KO14" s="86">
        <f t="shared" si="240"/>
        <v>0</v>
      </c>
      <c r="KP14" s="365">
        <f t="shared" si="241"/>
        <v>0</v>
      </c>
      <c r="KQ14" s="86">
        <f t="shared" si="242"/>
        <v>0</v>
      </c>
      <c r="KR14" s="365">
        <f t="shared" si="66"/>
        <v>0</v>
      </c>
      <c r="KS14" s="87">
        <f t="shared" si="243"/>
        <v>0</v>
      </c>
      <c r="KT14" s="90">
        <f t="shared" si="244"/>
        <v>0</v>
      </c>
      <c r="KU14" s="91">
        <f t="shared" si="67"/>
        <v>0</v>
      </c>
      <c r="KW14" s="12">
        <f>+KW4/2</f>
        <v>10633.5</v>
      </c>
      <c r="KX14" s="10">
        <v>1</v>
      </c>
      <c r="KY14" s="96">
        <f t="shared" si="68"/>
        <v>12287680.786324786</v>
      </c>
      <c r="KZ14" s="85"/>
      <c r="LA14" s="86">
        <f t="shared" si="245"/>
        <v>0</v>
      </c>
      <c r="LB14" s="85"/>
      <c r="LC14" s="86">
        <f t="shared" si="246"/>
        <v>0</v>
      </c>
      <c r="LD14" s="85">
        <f t="shared" si="272"/>
        <v>10633.5</v>
      </c>
      <c r="LE14" s="86">
        <f t="shared" si="246"/>
        <v>12287680.786324786</v>
      </c>
      <c r="LF14" s="85"/>
      <c r="LG14" s="86">
        <f t="shared" si="247"/>
        <v>0</v>
      </c>
      <c r="LH14" s="85"/>
      <c r="LI14" s="86">
        <f t="shared" si="248"/>
        <v>0</v>
      </c>
      <c r="LJ14" s="85">
        <f t="shared" si="273"/>
        <v>10633.5</v>
      </c>
      <c r="LK14" s="86">
        <f t="shared" si="249"/>
        <v>12287680.786324786</v>
      </c>
      <c r="LL14" s="85"/>
      <c r="LM14" s="86">
        <f t="shared" si="250"/>
        <v>0</v>
      </c>
      <c r="LN14" s="85"/>
      <c r="LO14" s="86">
        <f t="shared" si="251"/>
        <v>0</v>
      </c>
      <c r="LP14" s="85">
        <f t="shared" si="276"/>
        <v>10633.5</v>
      </c>
      <c r="LQ14" s="86">
        <f t="shared" si="252"/>
        <v>12287680.786324786</v>
      </c>
      <c r="LR14" s="85"/>
      <c r="LS14" s="86">
        <f t="shared" si="253"/>
        <v>0</v>
      </c>
      <c r="LT14" s="85"/>
      <c r="LU14" s="86">
        <f t="shared" si="254"/>
        <v>0</v>
      </c>
      <c r="LV14" s="85">
        <f t="shared" si="279"/>
        <v>10633.5</v>
      </c>
      <c r="LW14" s="86">
        <f t="shared" si="255"/>
        <v>12287680.786324786</v>
      </c>
      <c r="LX14" s="90">
        <f t="shared" si="256"/>
        <v>42534</v>
      </c>
      <c r="LY14" s="91">
        <f t="shared" si="257"/>
        <v>49150723.145299144</v>
      </c>
      <c r="MA14" s="97">
        <f t="shared" si="69"/>
        <v>41063.199999999997</v>
      </c>
      <c r="MB14" s="383">
        <f t="shared" si="258"/>
        <v>47451120.860018983</v>
      </c>
      <c r="MC14" s="391">
        <f t="shared" si="70"/>
        <v>41063.199999999997</v>
      </c>
      <c r="MD14" s="383">
        <f t="shared" si="259"/>
        <v>47451120.860018983</v>
      </c>
      <c r="ME14" s="391">
        <f t="shared" si="71"/>
        <v>51696.7</v>
      </c>
      <c r="MF14" s="383">
        <f t="shared" si="259"/>
        <v>59738801.646343775</v>
      </c>
      <c r="MG14" s="391">
        <f t="shared" si="72"/>
        <v>71063.199999999997</v>
      </c>
      <c r="MH14" s="383">
        <f t="shared" si="260"/>
        <v>82118015.44691357</v>
      </c>
      <c r="MI14" s="391">
        <f t="shared" si="73"/>
        <v>71063.199999999997</v>
      </c>
      <c r="MJ14" s="383">
        <f t="shared" si="261"/>
        <v>82118015.44691357</v>
      </c>
      <c r="MK14" s="391">
        <f t="shared" si="74"/>
        <v>81696.7</v>
      </c>
      <c r="ML14" s="383">
        <f t="shared" si="262"/>
        <v>94405696.233238354</v>
      </c>
      <c r="MM14" s="391">
        <f t="shared" si="75"/>
        <v>71063.199999999997</v>
      </c>
      <c r="MN14" s="383">
        <f t="shared" si="263"/>
        <v>82118015.44691357</v>
      </c>
      <c r="MO14" s="391">
        <f t="shared" si="76"/>
        <v>71063.199999999997</v>
      </c>
      <c r="MP14" s="383">
        <f t="shared" si="264"/>
        <v>82118015.44691357</v>
      </c>
      <c r="MQ14" s="391">
        <f t="shared" si="77"/>
        <v>81696.7</v>
      </c>
      <c r="MR14" s="383">
        <f t="shared" si="265"/>
        <v>94405696.233238354</v>
      </c>
      <c r="MS14" s="391">
        <f t="shared" si="78"/>
        <v>71063.199999999997</v>
      </c>
      <c r="MT14" s="383">
        <f t="shared" si="266"/>
        <v>82118015.44691357</v>
      </c>
      <c r="MU14" s="391">
        <f t="shared" si="79"/>
        <v>71063.199999999997</v>
      </c>
      <c r="MV14" s="383">
        <f t="shared" si="267"/>
        <v>82118015.44691357</v>
      </c>
      <c r="MW14" s="391">
        <f t="shared" si="80"/>
        <v>81696.7</v>
      </c>
      <c r="MX14" s="383">
        <f t="shared" si="268"/>
        <v>94405696.233238354</v>
      </c>
      <c r="MY14" s="98">
        <f t="shared" si="269"/>
        <v>805292.39999999991</v>
      </c>
      <c r="MZ14" s="99">
        <f t="shared" si="270"/>
        <v>930566224.74757814</v>
      </c>
    </row>
    <row r="15" spans="1:364" s="63" customFormat="1" ht="39.6" x14ac:dyDescent="0.3">
      <c r="A15" s="540"/>
      <c r="B15" s="80" t="s">
        <v>50</v>
      </c>
      <c r="C15" s="81" t="s">
        <v>51</v>
      </c>
      <c r="D15" s="82" t="s">
        <v>37</v>
      </c>
      <c r="E15" s="9">
        <v>1</v>
      </c>
      <c r="F15" s="343">
        <v>84729.506604506591</v>
      </c>
      <c r="G15" s="343">
        <f t="shared" si="81"/>
        <v>88260.709660709646</v>
      </c>
      <c r="I15" s="12">
        <v>15</v>
      </c>
      <c r="J15" s="10">
        <v>4</v>
      </c>
      <c r="K15" s="84">
        <f t="shared" si="82"/>
        <v>5295642.579642579</v>
      </c>
      <c r="L15" s="85">
        <f t="shared" si="83"/>
        <v>60</v>
      </c>
      <c r="M15" s="282">
        <f t="shared" si="84"/>
        <v>5295642.579642579</v>
      </c>
      <c r="N15" s="85">
        <f t="shared" si="83"/>
        <v>60</v>
      </c>
      <c r="O15" s="282">
        <f t="shared" si="84"/>
        <v>5295642.579642579</v>
      </c>
      <c r="P15" s="85">
        <f t="shared" si="83"/>
        <v>60</v>
      </c>
      <c r="Q15" s="282">
        <f t="shared" si="85"/>
        <v>5295642.579642579</v>
      </c>
      <c r="R15" s="85">
        <f t="shared" si="83"/>
        <v>60</v>
      </c>
      <c r="S15" s="282">
        <f t="shared" si="86"/>
        <v>5295642.579642579</v>
      </c>
      <c r="T15" s="85">
        <f t="shared" si="83"/>
        <v>60</v>
      </c>
      <c r="U15" s="282">
        <f t="shared" si="87"/>
        <v>5295642.579642579</v>
      </c>
      <c r="V15" s="85">
        <f t="shared" si="83"/>
        <v>60</v>
      </c>
      <c r="W15" s="282">
        <f t="shared" si="88"/>
        <v>5295642.579642579</v>
      </c>
      <c r="X15" s="85">
        <f t="shared" si="83"/>
        <v>60</v>
      </c>
      <c r="Y15" s="282">
        <f t="shared" si="89"/>
        <v>5295642.579642579</v>
      </c>
      <c r="Z15" s="85">
        <f t="shared" si="83"/>
        <v>60</v>
      </c>
      <c r="AA15" s="282">
        <f t="shared" si="90"/>
        <v>5295642.579642579</v>
      </c>
      <c r="AB15" s="85">
        <f t="shared" si="83"/>
        <v>60</v>
      </c>
      <c r="AC15" s="282">
        <f t="shared" si="91"/>
        <v>5295642.579642579</v>
      </c>
      <c r="AD15" s="85">
        <f t="shared" si="83"/>
        <v>60</v>
      </c>
      <c r="AE15" s="282">
        <f t="shared" si="92"/>
        <v>5295642.579642579</v>
      </c>
      <c r="AF15" s="85">
        <f t="shared" si="83"/>
        <v>60</v>
      </c>
      <c r="AG15" s="282">
        <f t="shared" si="93"/>
        <v>5295642.579642579</v>
      </c>
      <c r="AH15" s="85">
        <f t="shared" si="83"/>
        <v>60</v>
      </c>
      <c r="AI15" s="291">
        <f t="shared" si="93"/>
        <v>5295642.579642579</v>
      </c>
      <c r="AJ15" s="88">
        <f t="shared" si="94"/>
        <v>720</v>
      </c>
      <c r="AK15" s="303">
        <f t="shared" si="95"/>
        <v>63547710.955710948</v>
      </c>
      <c r="AM15" s="12">
        <v>15</v>
      </c>
      <c r="AN15" s="10">
        <v>4</v>
      </c>
      <c r="AO15" s="89">
        <f t="shared" si="0"/>
        <v>5295642.579642579</v>
      </c>
      <c r="AP15" s="85">
        <f t="shared" si="1"/>
        <v>60</v>
      </c>
      <c r="AQ15" s="282">
        <f t="shared" si="96"/>
        <v>5295642.579642579</v>
      </c>
      <c r="AR15" s="314">
        <f t="shared" si="2"/>
        <v>60</v>
      </c>
      <c r="AS15" s="281">
        <f t="shared" si="97"/>
        <v>5295642.579642579</v>
      </c>
      <c r="AT15" s="314">
        <f t="shared" si="3"/>
        <v>60</v>
      </c>
      <c r="AU15" s="281">
        <f t="shared" si="97"/>
        <v>5295642.579642579</v>
      </c>
      <c r="AV15" s="314">
        <f t="shared" si="4"/>
        <v>60</v>
      </c>
      <c r="AW15" s="281">
        <f t="shared" si="98"/>
        <v>5295642.579642579</v>
      </c>
      <c r="AX15" s="314">
        <f t="shared" si="5"/>
        <v>60</v>
      </c>
      <c r="AY15" s="281">
        <f t="shared" si="99"/>
        <v>5295642.579642579</v>
      </c>
      <c r="AZ15" s="314">
        <f t="shared" si="6"/>
        <v>60</v>
      </c>
      <c r="BA15" s="281">
        <f t="shared" si="100"/>
        <v>5295642.579642579</v>
      </c>
      <c r="BB15" s="314">
        <f t="shared" si="7"/>
        <v>60</v>
      </c>
      <c r="BC15" s="281">
        <f t="shared" si="101"/>
        <v>5295642.579642579</v>
      </c>
      <c r="BD15" s="314">
        <f t="shared" si="8"/>
        <v>60</v>
      </c>
      <c r="BE15" s="281">
        <f t="shared" si="102"/>
        <v>5295642.579642579</v>
      </c>
      <c r="BF15" s="314">
        <f t="shared" si="9"/>
        <v>60</v>
      </c>
      <c r="BG15" s="281">
        <f t="shared" si="103"/>
        <v>5295642.579642579</v>
      </c>
      <c r="BH15" s="314">
        <f t="shared" si="10"/>
        <v>60</v>
      </c>
      <c r="BI15" s="281">
        <f t="shared" si="104"/>
        <v>5295642.579642579</v>
      </c>
      <c r="BJ15" s="314">
        <f t="shared" si="11"/>
        <v>60</v>
      </c>
      <c r="BK15" s="281">
        <f t="shared" si="104"/>
        <v>5295642.579642579</v>
      </c>
      <c r="BL15" s="85">
        <f t="shared" si="12"/>
        <v>60</v>
      </c>
      <c r="BM15" s="322">
        <f t="shared" si="105"/>
        <v>5295642.579642579</v>
      </c>
      <c r="BN15" s="72">
        <f t="shared" si="106"/>
        <v>720</v>
      </c>
      <c r="BO15" s="326">
        <f t="shared" si="13"/>
        <v>63547710.955710948</v>
      </c>
      <c r="BQ15" s="26">
        <v>15</v>
      </c>
      <c r="BR15" s="83">
        <v>6</v>
      </c>
      <c r="BS15" s="92">
        <f t="shared" si="281"/>
        <v>7943463.8694638684</v>
      </c>
      <c r="BT15" s="85">
        <f t="shared" si="280"/>
        <v>90</v>
      </c>
      <c r="BU15" s="329">
        <f t="shared" si="107"/>
        <v>7943463.8694638684</v>
      </c>
      <c r="BV15" s="85">
        <f t="shared" si="15"/>
        <v>90</v>
      </c>
      <c r="BW15" s="86">
        <f t="shared" si="108"/>
        <v>7943463.8694638684</v>
      </c>
      <c r="BX15" s="85">
        <f t="shared" si="16"/>
        <v>90</v>
      </c>
      <c r="BY15" s="86">
        <f t="shared" si="109"/>
        <v>7943463.8694638684</v>
      </c>
      <c r="BZ15" s="85">
        <f t="shared" si="17"/>
        <v>90</v>
      </c>
      <c r="CA15" s="86">
        <f t="shared" si="110"/>
        <v>7943463.8694638684</v>
      </c>
      <c r="CB15" s="85">
        <f t="shared" si="18"/>
        <v>90</v>
      </c>
      <c r="CC15" s="86">
        <f t="shared" si="111"/>
        <v>7943463.8694638684</v>
      </c>
      <c r="CD15" s="85">
        <f t="shared" si="19"/>
        <v>90</v>
      </c>
      <c r="CE15" s="86">
        <f t="shared" si="112"/>
        <v>7943463.8694638684</v>
      </c>
      <c r="CF15" s="85">
        <f t="shared" si="113"/>
        <v>90</v>
      </c>
      <c r="CG15" s="86">
        <f t="shared" si="114"/>
        <v>7943463.8694638684</v>
      </c>
      <c r="CH15" s="85">
        <f t="shared" si="20"/>
        <v>90</v>
      </c>
      <c r="CI15" s="86">
        <f t="shared" si="115"/>
        <v>7943463.8694638684</v>
      </c>
      <c r="CJ15" s="85">
        <f t="shared" si="116"/>
        <v>90</v>
      </c>
      <c r="CK15" s="86">
        <f t="shared" si="117"/>
        <v>7943463.8694638684</v>
      </c>
      <c r="CL15" s="85">
        <f t="shared" si="21"/>
        <v>90</v>
      </c>
      <c r="CM15" s="86">
        <f t="shared" si="118"/>
        <v>7943463.8694638684</v>
      </c>
      <c r="CN15" s="85">
        <f t="shared" si="119"/>
        <v>90</v>
      </c>
      <c r="CO15" s="86">
        <f t="shared" si="120"/>
        <v>7943463.8694638684</v>
      </c>
      <c r="CP15" s="85">
        <f t="shared" si="22"/>
        <v>90</v>
      </c>
      <c r="CQ15" s="87">
        <f t="shared" si="23"/>
        <v>7943463.8694638684</v>
      </c>
      <c r="CR15" s="90">
        <f t="shared" si="121"/>
        <v>1080</v>
      </c>
      <c r="CS15" s="91">
        <f t="shared" si="24"/>
        <v>95321566.433566421</v>
      </c>
      <c r="CU15" s="26">
        <v>15</v>
      </c>
      <c r="CV15" s="83">
        <v>6</v>
      </c>
      <c r="CW15" s="93">
        <f t="shared" si="282"/>
        <v>7943463.8694638684</v>
      </c>
      <c r="CX15" s="85">
        <f t="shared" si="122"/>
        <v>90</v>
      </c>
      <c r="CY15" s="86">
        <f t="shared" si="123"/>
        <v>7943463.8694638684</v>
      </c>
      <c r="CZ15" s="85">
        <f t="shared" si="26"/>
        <v>90</v>
      </c>
      <c r="DA15" s="282">
        <f t="shared" si="123"/>
        <v>7943463.8694638684</v>
      </c>
      <c r="DB15" s="85">
        <f t="shared" si="27"/>
        <v>90</v>
      </c>
      <c r="DC15" s="282">
        <f t="shared" si="124"/>
        <v>7943463.8694638684</v>
      </c>
      <c r="DD15" s="85">
        <f t="shared" si="28"/>
        <v>90</v>
      </c>
      <c r="DE15" s="282">
        <f t="shared" si="125"/>
        <v>7943463.8694638684</v>
      </c>
      <c r="DF15" s="85">
        <f t="shared" si="29"/>
        <v>90</v>
      </c>
      <c r="DG15" s="282">
        <f t="shared" si="126"/>
        <v>7943463.8694638684</v>
      </c>
      <c r="DH15" s="85">
        <f t="shared" si="30"/>
        <v>90</v>
      </c>
      <c r="DI15" s="282">
        <f t="shared" si="127"/>
        <v>7943463.8694638684</v>
      </c>
      <c r="DJ15" s="85">
        <f t="shared" si="128"/>
        <v>90</v>
      </c>
      <c r="DK15" s="282">
        <f t="shared" si="129"/>
        <v>7943463.8694638684</v>
      </c>
      <c r="DL15" s="85">
        <f t="shared" si="31"/>
        <v>90</v>
      </c>
      <c r="DM15" s="282">
        <f t="shared" si="130"/>
        <v>7943463.8694638684</v>
      </c>
      <c r="DN15" s="85">
        <f t="shared" si="131"/>
        <v>90</v>
      </c>
      <c r="DO15" s="282">
        <f t="shared" si="132"/>
        <v>7943463.8694638684</v>
      </c>
      <c r="DP15" s="85">
        <f t="shared" si="32"/>
        <v>90</v>
      </c>
      <c r="DQ15" s="282">
        <f t="shared" si="133"/>
        <v>7943463.8694638684</v>
      </c>
      <c r="DR15" s="85">
        <f t="shared" si="134"/>
        <v>90</v>
      </c>
      <c r="DS15" s="282">
        <f t="shared" si="135"/>
        <v>7943463.8694638684</v>
      </c>
      <c r="DT15" s="85">
        <f t="shared" si="33"/>
        <v>90</v>
      </c>
      <c r="DU15" s="282">
        <f t="shared" si="136"/>
        <v>7943463.8694638684</v>
      </c>
      <c r="DV15" s="90">
        <f t="shared" si="137"/>
        <v>1080</v>
      </c>
      <c r="DW15" s="91">
        <f t="shared" si="34"/>
        <v>95321566.433566421</v>
      </c>
      <c r="DY15" s="94">
        <v>15</v>
      </c>
      <c r="DZ15" s="10">
        <v>6</v>
      </c>
      <c r="EA15" s="93">
        <f t="shared" si="35"/>
        <v>1323910.6449106447</v>
      </c>
      <c r="EB15" s="85">
        <v>0</v>
      </c>
      <c r="EC15" s="86">
        <f t="shared" si="139"/>
        <v>0</v>
      </c>
      <c r="ED15" s="314">
        <v>0</v>
      </c>
      <c r="EE15" s="86">
        <f t="shared" si="139"/>
        <v>0</v>
      </c>
      <c r="EF15" s="85">
        <v>0</v>
      </c>
      <c r="EG15" s="86">
        <f t="shared" si="141"/>
        <v>0</v>
      </c>
      <c r="EH15" s="85">
        <f t="shared" si="283"/>
        <v>90</v>
      </c>
      <c r="EI15" s="86">
        <f t="shared" si="141"/>
        <v>7943463.8694638684</v>
      </c>
      <c r="EJ15" s="85">
        <f t="shared" si="283"/>
        <v>90</v>
      </c>
      <c r="EK15" s="86">
        <f t="shared" si="143"/>
        <v>7943463.8694638684</v>
      </c>
      <c r="EL15" s="85">
        <f t="shared" si="283"/>
        <v>90</v>
      </c>
      <c r="EM15" s="86">
        <f t="shared" si="144"/>
        <v>7943463.8694638684</v>
      </c>
      <c r="EN15" s="85">
        <f t="shared" si="283"/>
        <v>90</v>
      </c>
      <c r="EO15" s="86">
        <f t="shared" si="145"/>
        <v>7943463.8694638684</v>
      </c>
      <c r="EP15" s="85">
        <f t="shared" si="283"/>
        <v>90</v>
      </c>
      <c r="EQ15" s="86">
        <f t="shared" si="146"/>
        <v>7943463.8694638684</v>
      </c>
      <c r="ER15" s="85">
        <f t="shared" si="283"/>
        <v>90</v>
      </c>
      <c r="ES15" s="86">
        <f t="shared" si="147"/>
        <v>7943463.8694638684</v>
      </c>
      <c r="ET15" s="85">
        <f t="shared" si="283"/>
        <v>90</v>
      </c>
      <c r="EU15" s="86">
        <f t="shared" si="148"/>
        <v>7943463.8694638684</v>
      </c>
      <c r="EV15" s="85">
        <f t="shared" si="283"/>
        <v>90</v>
      </c>
      <c r="EW15" s="86">
        <f t="shared" si="149"/>
        <v>7943463.8694638684</v>
      </c>
      <c r="EX15" s="85">
        <f t="shared" si="283"/>
        <v>90</v>
      </c>
      <c r="EY15" s="86">
        <f t="shared" si="150"/>
        <v>7943463.8694638684</v>
      </c>
      <c r="EZ15" s="90">
        <f t="shared" si="151"/>
        <v>810</v>
      </c>
      <c r="FA15" s="91">
        <f t="shared" si="36"/>
        <v>71491174.825174809</v>
      </c>
      <c r="FC15" s="12"/>
      <c r="FD15" s="10"/>
      <c r="FE15" s="95">
        <f t="shared" si="152"/>
        <v>0</v>
      </c>
      <c r="FF15" s="85">
        <f t="shared" si="153"/>
        <v>0</v>
      </c>
      <c r="FG15" s="86">
        <f t="shared" si="154"/>
        <v>0</v>
      </c>
      <c r="FH15" s="365">
        <f t="shared" si="37"/>
        <v>0</v>
      </c>
      <c r="FI15" s="86">
        <f t="shared" si="155"/>
        <v>0</v>
      </c>
      <c r="FJ15" s="365">
        <f t="shared" si="38"/>
        <v>0</v>
      </c>
      <c r="FK15" s="86">
        <f t="shared" si="155"/>
        <v>0</v>
      </c>
      <c r="FL15" s="365">
        <f t="shared" si="39"/>
        <v>0</v>
      </c>
      <c r="FM15" s="86">
        <f t="shared" si="156"/>
        <v>0</v>
      </c>
      <c r="FN15" s="365">
        <f t="shared" si="40"/>
        <v>0</v>
      </c>
      <c r="FO15" s="86">
        <f t="shared" si="157"/>
        <v>0</v>
      </c>
      <c r="FP15" s="365">
        <f t="shared" si="41"/>
        <v>0</v>
      </c>
      <c r="FQ15" s="86">
        <f t="shared" si="158"/>
        <v>0</v>
      </c>
      <c r="FR15" s="365">
        <f t="shared" si="159"/>
        <v>0</v>
      </c>
      <c r="FS15" s="86">
        <f t="shared" si="160"/>
        <v>0</v>
      </c>
      <c r="FT15" s="365">
        <f t="shared" si="42"/>
        <v>0</v>
      </c>
      <c r="FU15" s="86">
        <f t="shared" si="161"/>
        <v>0</v>
      </c>
      <c r="FV15" s="365">
        <f t="shared" si="162"/>
        <v>0</v>
      </c>
      <c r="FW15" s="86">
        <f t="shared" si="163"/>
        <v>0</v>
      </c>
      <c r="FX15" s="365">
        <f t="shared" si="43"/>
        <v>0</v>
      </c>
      <c r="FY15" s="86">
        <f t="shared" si="164"/>
        <v>0</v>
      </c>
      <c r="FZ15" s="365">
        <f t="shared" si="165"/>
        <v>0</v>
      </c>
      <c r="GA15" s="86">
        <f t="shared" si="166"/>
        <v>0</v>
      </c>
      <c r="GB15" s="365">
        <f t="shared" si="44"/>
        <v>0</v>
      </c>
      <c r="GC15" s="86">
        <f t="shared" si="167"/>
        <v>0</v>
      </c>
      <c r="GD15" s="90">
        <f t="shared" si="168"/>
        <v>0</v>
      </c>
      <c r="GE15" s="91">
        <f t="shared" si="45"/>
        <v>0</v>
      </c>
      <c r="GG15" s="12">
        <v>15</v>
      </c>
      <c r="GH15" s="10">
        <v>4</v>
      </c>
      <c r="GI15" s="95">
        <f t="shared" si="46"/>
        <v>5295642.579642579</v>
      </c>
      <c r="GJ15" s="85">
        <f t="shared" si="169"/>
        <v>60</v>
      </c>
      <c r="GK15" s="86">
        <f t="shared" si="170"/>
        <v>5295642.579642579</v>
      </c>
      <c r="GL15" s="85">
        <f t="shared" si="169"/>
        <v>60</v>
      </c>
      <c r="GM15" s="86">
        <f t="shared" si="170"/>
        <v>5295642.579642579</v>
      </c>
      <c r="GN15" s="85">
        <f t="shared" si="169"/>
        <v>60</v>
      </c>
      <c r="GO15" s="86">
        <f t="shared" si="171"/>
        <v>5295642.579642579</v>
      </c>
      <c r="GP15" s="85">
        <f t="shared" si="169"/>
        <v>60</v>
      </c>
      <c r="GQ15" s="86">
        <f t="shared" si="172"/>
        <v>5295642.579642579</v>
      </c>
      <c r="GR15" s="85">
        <f t="shared" si="173"/>
        <v>60</v>
      </c>
      <c r="GS15" s="86">
        <f t="shared" si="174"/>
        <v>5295642.579642579</v>
      </c>
      <c r="GT15" s="85">
        <f t="shared" si="175"/>
        <v>60</v>
      </c>
      <c r="GU15" s="86">
        <f t="shared" si="176"/>
        <v>5295642.579642579</v>
      </c>
      <c r="GV15" s="85">
        <f t="shared" si="177"/>
        <v>60</v>
      </c>
      <c r="GW15" s="86">
        <f t="shared" si="178"/>
        <v>5295642.579642579</v>
      </c>
      <c r="GX15" s="85">
        <f t="shared" si="179"/>
        <v>60</v>
      </c>
      <c r="GY15" s="86">
        <f t="shared" si="180"/>
        <v>5295642.579642579</v>
      </c>
      <c r="GZ15" s="85">
        <f t="shared" si="181"/>
        <v>60</v>
      </c>
      <c r="HA15" s="86">
        <f t="shared" si="182"/>
        <v>5295642.579642579</v>
      </c>
      <c r="HB15" s="85">
        <f t="shared" si="183"/>
        <v>60</v>
      </c>
      <c r="HC15" s="86">
        <f t="shared" si="184"/>
        <v>5295642.579642579</v>
      </c>
      <c r="HD15" s="85">
        <f t="shared" si="185"/>
        <v>60</v>
      </c>
      <c r="HE15" s="86">
        <f t="shared" si="186"/>
        <v>5295642.579642579</v>
      </c>
      <c r="HF15" s="85">
        <f t="shared" si="187"/>
        <v>60</v>
      </c>
      <c r="HG15" s="86">
        <f t="shared" si="188"/>
        <v>5295642.579642579</v>
      </c>
      <c r="HH15" s="90">
        <f t="shared" si="189"/>
        <v>720</v>
      </c>
      <c r="HI15" s="91">
        <f t="shared" si="47"/>
        <v>63547710.955710948</v>
      </c>
      <c r="HK15" s="12"/>
      <c r="HL15" s="10"/>
      <c r="HM15" s="95">
        <f t="shared" si="48"/>
        <v>0</v>
      </c>
      <c r="HN15" s="85">
        <f t="shared" si="190"/>
        <v>0</v>
      </c>
      <c r="HO15" s="86">
        <f t="shared" si="191"/>
        <v>0</v>
      </c>
      <c r="HP15" s="85">
        <f t="shared" si="192"/>
        <v>0</v>
      </c>
      <c r="HQ15" s="86">
        <f t="shared" si="193"/>
        <v>0</v>
      </c>
      <c r="HR15" s="85">
        <f t="shared" si="192"/>
        <v>0</v>
      </c>
      <c r="HS15" s="86">
        <f t="shared" si="193"/>
        <v>0</v>
      </c>
      <c r="HT15" s="85">
        <f t="shared" si="192"/>
        <v>0</v>
      </c>
      <c r="HU15" s="86">
        <f t="shared" si="194"/>
        <v>0</v>
      </c>
      <c r="HV15" s="85">
        <f t="shared" si="192"/>
        <v>0</v>
      </c>
      <c r="HW15" s="86">
        <f t="shared" si="195"/>
        <v>0</v>
      </c>
      <c r="HX15" s="85">
        <f t="shared" si="196"/>
        <v>0</v>
      </c>
      <c r="HY15" s="86">
        <f t="shared" si="197"/>
        <v>0</v>
      </c>
      <c r="HZ15" s="85">
        <f t="shared" si="198"/>
        <v>0</v>
      </c>
      <c r="IA15" s="86">
        <f t="shared" si="199"/>
        <v>0</v>
      </c>
      <c r="IB15" s="85">
        <f t="shared" si="200"/>
        <v>0</v>
      </c>
      <c r="IC15" s="86">
        <f t="shared" si="201"/>
        <v>0</v>
      </c>
      <c r="ID15" s="85">
        <f t="shared" si="202"/>
        <v>0</v>
      </c>
      <c r="IE15" s="86">
        <f t="shared" si="203"/>
        <v>0</v>
      </c>
      <c r="IF15" s="85">
        <f t="shared" si="204"/>
        <v>0</v>
      </c>
      <c r="IG15" s="86">
        <f t="shared" si="205"/>
        <v>0</v>
      </c>
      <c r="IH15" s="85">
        <f t="shared" si="206"/>
        <v>0</v>
      </c>
      <c r="II15" s="86">
        <f t="shared" si="207"/>
        <v>0</v>
      </c>
      <c r="IJ15" s="85">
        <f t="shared" si="208"/>
        <v>0</v>
      </c>
      <c r="IK15" s="86">
        <f t="shared" si="209"/>
        <v>0</v>
      </c>
      <c r="IL15" s="90">
        <f t="shared" si="210"/>
        <v>0</v>
      </c>
      <c r="IM15" s="91">
        <f t="shared" si="211"/>
        <v>0</v>
      </c>
      <c r="IO15" s="12"/>
      <c r="IP15" s="10"/>
      <c r="IQ15" s="95">
        <f t="shared" si="49"/>
        <v>0</v>
      </c>
      <c r="IR15" s="85">
        <f t="shared" si="212"/>
        <v>0</v>
      </c>
      <c r="IS15" s="86">
        <f t="shared" si="213"/>
        <v>0</v>
      </c>
      <c r="IT15" s="85">
        <f t="shared" si="50"/>
        <v>0</v>
      </c>
      <c r="IU15" s="282">
        <f t="shared" si="214"/>
        <v>0</v>
      </c>
      <c r="IV15" s="85">
        <f t="shared" si="51"/>
        <v>0</v>
      </c>
      <c r="IW15" s="282">
        <f t="shared" si="214"/>
        <v>0</v>
      </c>
      <c r="IX15" s="85">
        <f t="shared" si="52"/>
        <v>0</v>
      </c>
      <c r="IY15" s="282">
        <f t="shared" si="215"/>
        <v>0</v>
      </c>
      <c r="IZ15" s="85">
        <f t="shared" si="53"/>
        <v>0</v>
      </c>
      <c r="JA15" s="282">
        <f t="shared" si="216"/>
        <v>0</v>
      </c>
      <c r="JB15" s="85">
        <f t="shared" si="54"/>
        <v>0</v>
      </c>
      <c r="JC15" s="282">
        <f t="shared" si="217"/>
        <v>0</v>
      </c>
      <c r="JD15" s="85">
        <f t="shared" si="218"/>
        <v>0</v>
      </c>
      <c r="JE15" s="282">
        <f t="shared" si="219"/>
        <v>0</v>
      </c>
      <c r="JF15" s="85">
        <f t="shared" si="55"/>
        <v>0</v>
      </c>
      <c r="JG15" s="282">
        <f t="shared" si="220"/>
        <v>0</v>
      </c>
      <c r="JH15" s="85">
        <f t="shared" si="221"/>
        <v>0</v>
      </c>
      <c r="JI15" s="282">
        <f t="shared" si="222"/>
        <v>0</v>
      </c>
      <c r="JJ15" s="85">
        <f t="shared" si="56"/>
        <v>0</v>
      </c>
      <c r="JK15" s="282">
        <f t="shared" si="223"/>
        <v>0</v>
      </c>
      <c r="JL15" s="85">
        <f t="shared" si="224"/>
        <v>0</v>
      </c>
      <c r="JM15" s="282">
        <f t="shared" si="225"/>
        <v>0</v>
      </c>
      <c r="JN15" s="85">
        <f t="shared" si="57"/>
        <v>0</v>
      </c>
      <c r="JO15" s="282">
        <f t="shared" si="226"/>
        <v>0</v>
      </c>
      <c r="JP15" s="90">
        <f t="shared" si="227"/>
        <v>0</v>
      </c>
      <c r="JQ15" s="91">
        <f t="shared" si="228"/>
        <v>0</v>
      </c>
      <c r="JS15" s="12"/>
      <c r="JT15" s="10"/>
      <c r="JU15" s="95">
        <f t="shared" si="58"/>
        <v>0</v>
      </c>
      <c r="JV15" s="85">
        <f t="shared" si="229"/>
        <v>0</v>
      </c>
      <c r="JW15" s="86">
        <f t="shared" si="230"/>
        <v>0</v>
      </c>
      <c r="JX15" s="365">
        <f t="shared" si="59"/>
        <v>0</v>
      </c>
      <c r="JY15" s="86">
        <f t="shared" si="231"/>
        <v>0</v>
      </c>
      <c r="JZ15" s="365">
        <f t="shared" si="60"/>
        <v>0</v>
      </c>
      <c r="KA15" s="86">
        <f t="shared" si="231"/>
        <v>0</v>
      </c>
      <c r="KB15" s="365">
        <f t="shared" si="61"/>
        <v>0</v>
      </c>
      <c r="KC15" s="86">
        <f t="shared" si="232"/>
        <v>0</v>
      </c>
      <c r="KD15" s="365">
        <f t="shared" si="62"/>
        <v>0</v>
      </c>
      <c r="KE15" s="86">
        <f t="shared" si="233"/>
        <v>0</v>
      </c>
      <c r="KF15" s="365">
        <f t="shared" si="63"/>
        <v>0</v>
      </c>
      <c r="KG15" s="86">
        <f t="shared" si="234"/>
        <v>0</v>
      </c>
      <c r="KH15" s="365">
        <f t="shared" si="235"/>
        <v>0</v>
      </c>
      <c r="KI15" s="86">
        <f t="shared" si="236"/>
        <v>0</v>
      </c>
      <c r="KJ15" s="365">
        <f t="shared" si="64"/>
        <v>0</v>
      </c>
      <c r="KK15" s="86">
        <f t="shared" si="237"/>
        <v>0</v>
      </c>
      <c r="KL15" s="365">
        <f t="shared" si="238"/>
        <v>0</v>
      </c>
      <c r="KM15" s="86">
        <f t="shared" si="239"/>
        <v>0</v>
      </c>
      <c r="KN15" s="365">
        <f t="shared" si="65"/>
        <v>0</v>
      </c>
      <c r="KO15" s="86">
        <f t="shared" si="240"/>
        <v>0</v>
      </c>
      <c r="KP15" s="365">
        <f t="shared" si="241"/>
        <v>0</v>
      </c>
      <c r="KQ15" s="86">
        <f t="shared" si="242"/>
        <v>0</v>
      </c>
      <c r="KR15" s="365">
        <f t="shared" si="66"/>
        <v>0</v>
      </c>
      <c r="KS15" s="87">
        <f t="shared" si="243"/>
        <v>0</v>
      </c>
      <c r="KT15" s="90">
        <f t="shared" si="244"/>
        <v>0</v>
      </c>
      <c r="KU15" s="91">
        <f t="shared" si="67"/>
        <v>0</v>
      </c>
      <c r="KW15" s="12">
        <v>15</v>
      </c>
      <c r="KX15" s="10">
        <v>4</v>
      </c>
      <c r="KY15" s="96">
        <f t="shared" si="68"/>
        <v>5295642.579642579</v>
      </c>
      <c r="KZ15" s="85"/>
      <c r="LA15" s="86">
        <f t="shared" si="245"/>
        <v>0</v>
      </c>
      <c r="LB15" s="85"/>
      <c r="LC15" s="86">
        <f t="shared" si="246"/>
        <v>0</v>
      </c>
      <c r="LD15" s="85">
        <f t="shared" si="272"/>
        <v>60</v>
      </c>
      <c r="LE15" s="86">
        <f t="shared" si="246"/>
        <v>5295642.579642579</v>
      </c>
      <c r="LF15" s="85"/>
      <c r="LG15" s="86">
        <f t="shared" si="247"/>
        <v>0</v>
      </c>
      <c r="LH15" s="85"/>
      <c r="LI15" s="86">
        <f t="shared" si="248"/>
        <v>0</v>
      </c>
      <c r="LJ15" s="85">
        <f t="shared" si="273"/>
        <v>60</v>
      </c>
      <c r="LK15" s="86">
        <f t="shared" si="249"/>
        <v>5295642.579642579</v>
      </c>
      <c r="LL15" s="85"/>
      <c r="LM15" s="86">
        <f t="shared" si="250"/>
        <v>0</v>
      </c>
      <c r="LN15" s="85"/>
      <c r="LO15" s="86">
        <f t="shared" si="251"/>
        <v>0</v>
      </c>
      <c r="LP15" s="85">
        <f t="shared" si="276"/>
        <v>60</v>
      </c>
      <c r="LQ15" s="86">
        <f t="shared" si="252"/>
        <v>5295642.579642579</v>
      </c>
      <c r="LR15" s="85"/>
      <c r="LS15" s="86">
        <f t="shared" si="253"/>
        <v>0</v>
      </c>
      <c r="LT15" s="85"/>
      <c r="LU15" s="86">
        <f t="shared" si="254"/>
        <v>0</v>
      </c>
      <c r="LV15" s="85">
        <f t="shared" si="279"/>
        <v>60</v>
      </c>
      <c r="LW15" s="86">
        <f t="shared" si="255"/>
        <v>5295642.579642579</v>
      </c>
      <c r="LX15" s="90">
        <f t="shared" si="256"/>
        <v>240</v>
      </c>
      <c r="LY15" s="91">
        <f t="shared" si="257"/>
        <v>21182570.318570316</v>
      </c>
      <c r="MA15" s="97">
        <f t="shared" si="69"/>
        <v>360</v>
      </c>
      <c r="MB15" s="383">
        <f t="shared" si="258"/>
        <v>31773855.477855474</v>
      </c>
      <c r="MC15" s="391">
        <f t="shared" si="70"/>
        <v>360</v>
      </c>
      <c r="MD15" s="383">
        <f t="shared" si="259"/>
        <v>31773855.477855474</v>
      </c>
      <c r="ME15" s="391">
        <f t="shared" si="71"/>
        <v>420</v>
      </c>
      <c r="MF15" s="383">
        <f t="shared" si="259"/>
        <v>37069498.057498053</v>
      </c>
      <c r="MG15" s="391">
        <f t="shared" si="72"/>
        <v>450</v>
      </c>
      <c r="MH15" s="383">
        <f t="shared" si="260"/>
        <v>39717319.347319342</v>
      </c>
      <c r="MI15" s="391">
        <f t="shared" si="73"/>
        <v>450</v>
      </c>
      <c r="MJ15" s="383">
        <f t="shared" si="261"/>
        <v>39717319.347319342</v>
      </c>
      <c r="MK15" s="391">
        <f t="shared" si="74"/>
        <v>510</v>
      </c>
      <c r="ML15" s="383">
        <f t="shared" si="262"/>
        <v>45012961.926961921</v>
      </c>
      <c r="MM15" s="391">
        <f t="shared" si="75"/>
        <v>450</v>
      </c>
      <c r="MN15" s="383">
        <f t="shared" si="263"/>
        <v>39717319.347319342</v>
      </c>
      <c r="MO15" s="391">
        <f t="shared" si="76"/>
        <v>450</v>
      </c>
      <c r="MP15" s="383">
        <f t="shared" si="264"/>
        <v>39717319.347319342</v>
      </c>
      <c r="MQ15" s="391">
        <f t="shared" si="77"/>
        <v>510</v>
      </c>
      <c r="MR15" s="383">
        <f t="shared" si="265"/>
        <v>45012961.926961921</v>
      </c>
      <c r="MS15" s="391">
        <f t="shared" si="78"/>
        <v>450</v>
      </c>
      <c r="MT15" s="383">
        <f t="shared" si="266"/>
        <v>39717319.347319342</v>
      </c>
      <c r="MU15" s="391">
        <f t="shared" si="79"/>
        <v>450</v>
      </c>
      <c r="MV15" s="383">
        <f t="shared" si="267"/>
        <v>39717319.347319342</v>
      </c>
      <c r="MW15" s="391">
        <f t="shared" si="80"/>
        <v>510</v>
      </c>
      <c r="MX15" s="383">
        <f t="shared" si="268"/>
        <v>45012961.926961921</v>
      </c>
      <c r="MY15" s="98">
        <f t="shared" si="269"/>
        <v>5370</v>
      </c>
      <c r="MZ15" s="99">
        <f t="shared" si="270"/>
        <v>473960010.87801081</v>
      </c>
    </row>
    <row r="16" spans="1:364" s="63" customFormat="1" ht="39.6" x14ac:dyDescent="0.3">
      <c r="A16" s="540"/>
      <c r="B16" s="80" t="s">
        <v>52</v>
      </c>
      <c r="C16" s="81" t="s">
        <v>53</v>
      </c>
      <c r="D16" s="82" t="s">
        <v>37</v>
      </c>
      <c r="E16" s="9">
        <v>1</v>
      </c>
      <c r="F16" s="343">
        <v>84729.506604506591</v>
      </c>
      <c r="G16" s="343">
        <f t="shared" si="81"/>
        <v>88260.709660709646</v>
      </c>
      <c r="I16" s="12">
        <v>15</v>
      </c>
      <c r="J16" s="10">
        <v>2</v>
      </c>
      <c r="K16" s="84">
        <f t="shared" si="82"/>
        <v>2647821.2898212895</v>
      </c>
      <c r="L16" s="85">
        <f t="shared" si="83"/>
        <v>30</v>
      </c>
      <c r="M16" s="282">
        <f t="shared" si="84"/>
        <v>2647821.2898212895</v>
      </c>
      <c r="N16" s="85">
        <f t="shared" si="83"/>
        <v>30</v>
      </c>
      <c r="O16" s="282">
        <f t="shared" si="84"/>
        <v>2647821.2898212895</v>
      </c>
      <c r="P16" s="85">
        <f t="shared" si="83"/>
        <v>30</v>
      </c>
      <c r="Q16" s="282">
        <f t="shared" si="85"/>
        <v>2647821.2898212895</v>
      </c>
      <c r="R16" s="85">
        <f t="shared" si="83"/>
        <v>30</v>
      </c>
      <c r="S16" s="282">
        <f t="shared" si="86"/>
        <v>2647821.2898212895</v>
      </c>
      <c r="T16" s="85">
        <f t="shared" si="83"/>
        <v>30</v>
      </c>
      <c r="U16" s="282">
        <f t="shared" si="87"/>
        <v>2647821.2898212895</v>
      </c>
      <c r="V16" s="85">
        <f t="shared" si="83"/>
        <v>30</v>
      </c>
      <c r="W16" s="282">
        <f t="shared" si="88"/>
        <v>2647821.2898212895</v>
      </c>
      <c r="X16" s="85">
        <f t="shared" si="83"/>
        <v>30</v>
      </c>
      <c r="Y16" s="282">
        <f t="shared" si="89"/>
        <v>2647821.2898212895</v>
      </c>
      <c r="Z16" s="85">
        <f t="shared" si="83"/>
        <v>30</v>
      </c>
      <c r="AA16" s="282">
        <f t="shared" si="90"/>
        <v>2647821.2898212895</v>
      </c>
      <c r="AB16" s="85">
        <f t="shared" si="83"/>
        <v>30</v>
      </c>
      <c r="AC16" s="282">
        <f t="shared" si="91"/>
        <v>2647821.2898212895</v>
      </c>
      <c r="AD16" s="85">
        <f t="shared" si="83"/>
        <v>30</v>
      </c>
      <c r="AE16" s="282">
        <f t="shared" si="92"/>
        <v>2647821.2898212895</v>
      </c>
      <c r="AF16" s="85">
        <f t="shared" si="83"/>
        <v>30</v>
      </c>
      <c r="AG16" s="282">
        <f t="shared" si="93"/>
        <v>2647821.2898212895</v>
      </c>
      <c r="AH16" s="85">
        <f t="shared" si="83"/>
        <v>30</v>
      </c>
      <c r="AI16" s="291">
        <f t="shared" si="93"/>
        <v>2647821.2898212895</v>
      </c>
      <c r="AJ16" s="88">
        <f t="shared" si="94"/>
        <v>360</v>
      </c>
      <c r="AK16" s="303">
        <f t="shared" si="95"/>
        <v>31773855.477855474</v>
      </c>
      <c r="AM16" s="12">
        <v>15</v>
      </c>
      <c r="AN16" s="10">
        <v>2</v>
      </c>
      <c r="AO16" s="89">
        <f t="shared" si="0"/>
        <v>2647821.2898212895</v>
      </c>
      <c r="AP16" s="85">
        <f t="shared" si="1"/>
        <v>30</v>
      </c>
      <c r="AQ16" s="282">
        <f t="shared" si="96"/>
        <v>2647821.2898212895</v>
      </c>
      <c r="AR16" s="314">
        <f t="shared" si="2"/>
        <v>30</v>
      </c>
      <c r="AS16" s="281">
        <f t="shared" si="97"/>
        <v>2647821.2898212895</v>
      </c>
      <c r="AT16" s="314">
        <f t="shared" si="3"/>
        <v>30</v>
      </c>
      <c r="AU16" s="281">
        <f t="shared" si="97"/>
        <v>2647821.2898212895</v>
      </c>
      <c r="AV16" s="314">
        <f t="shared" si="4"/>
        <v>30</v>
      </c>
      <c r="AW16" s="281">
        <f t="shared" si="98"/>
        <v>2647821.2898212895</v>
      </c>
      <c r="AX16" s="314">
        <f t="shared" si="5"/>
        <v>30</v>
      </c>
      <c r="AY16" s="281">
        <f t="shared" si="99"/>
        <v>2647821.2898212895</v>
      </c>
      <c r="AZ16" s="314">
        <f t="shared" si="6"/>
        <v>30</v>
      </c>
      <c r="BA16" s="281">
        <f t="shared" si="100"/>
        <v>2647821.2898212895</v>
      </c>
      <c r="BB16" s="314">
        <f t="shared" si="7"/>
        <v>30</v>
      </c>
      <c r="BC16" s="281">
        <f t="shared" si="101"/>
        <v>2647821.2898212895</v>
      </c>
      <c r="BD16" s="314">
        <f t="shared" si="8"/>
        <v>30</v>
      </c>
      <c r="BE16" s="281">
        <f t="shared" si="102"/>
        <v>2647821.2898212895</v>
      </c>
      <c r="BF16" s="314">
        <f t="shared" si="9"/>
        <v>30</v>
      </c>
      <c r="BG16" s="281">
        <f t="shared" si="103"/>
        <v>2647821.2898212895</v>
      </c>
      <c r="BH16" s="314">
        <f t="shared" si="10"/>
        <v>30</v>
      </c>
      <c r="BI16" s="281">
        <f t="shared" si="104"/>
        <v>2647821.2898212895</v>
      </c>
      <c r="BJ16" s="314">
        <f t="shared" si="11"/>
        <v>30</v>
      </c>
      <c r="BK16" s="281">
        <f t="shared" si="104"/>
        <v>2647821.2898212895</v>
      </c>
      <c r="BL16" s="85">
        <f t="shared" si="12"/>
        <v>30</v>
      </c>
      <c r="BM16" s="322">
        <f t="shared" si="105"/>
        <v>2647821.2898212895</v>
      </c>
      <c r="BN16" s="72">
        <f t="shared" si="106"/>
        <v>360</v>
      </c>
      <c r="BO16" s="326">
        <f t="shared" si="13"/>
        <v>31773855.477855474</v>
      </c>
      <c r="BQ16" s="26">
        <v>15</v>
      </c>
      <c r="BR16" s="83">
        <v>4</v>
      </c>
      <c r="BS16" s="92">
        <f t="shared" si="281"/>
        <v>5295642.579642579</v>
      </c>
      <c r="BT16" s="85">
        <f t="shared" si="280"/>
        <v>60</v>
      </c>
      <c r="BU16" s="329">
        <f t="shared" si="107"/>
        <v>5295642.579642579</v>
      </c>
      <c r="BV16" s="85">
        <f t="shared" si="15"/>
        <v>60</v>
      </c>
      <c r="BW16" s="86">
        <f t="shared" si="108"/>
        <v>5295642.579642579</v>
      </c>
      <c r="BX16" s="85">
        <f t="shared" si="16"/>
        <v>60</v>
      </c>
      <c r="BY16" s="86">
        <f t="shared" si="109"/>
        <v>5295642.579642579</v>
      </c>
      <c r="BZ16" s="85">
        <f t="shared" si="17"/>
        <v>60</v>
      </c>
      <c r="CA16" s="86">
        <f t="shared" si="110"/>
        <v>5295642.579642579</v>
      </c>
      <c r="CB16" s="85">
        <f t="shared" si="18"/>
        <v>60</v>
      </c>
      <c r="CC16" s="86">
        <f t="shared" si="111"/>
        <v>5295642.579642579</v>
      </c>
      <c r="CD16" s="85">
        <f t="shared" si="19"/>
        <v>60</v>
      </c>
      <c r="CE16" s="86">
        <f t="shared" si="112"/>
        <v>5295642.579642579</v>
      </c>
      <c r="CF16" s="85">
        <f t="shared" si="113"/>
        <v>60</v>
      </c>
      <c r="CG16" s="86">
        <f t="shared" si="114"/>
        <v>5295642.579642579</v>
      </c>
      <c r="CH16" s="85">
        <f t="shared" si="20"/>
        <v>60</v>
      </c>
      <c r="CI16" s="86">
        <f t="shared" si="115"/>
        <v>5295642.579642579</v>
      </c>
      <c r="CJ16" s="85">
        <f t="shared" si="116"/>
        <v>60</v>
      </c>
      <c r="CK16" s="86">
        <f t="shared" si="117"/>
        <v>5295642.579642579</v>
      </c>
      <c r="CL16" s="85">
        <f t="shared" si="21"/>
        <v>60</v>
      </c>
      <c r="CM16" s="86">
        <f t="shared" si="118"/>
        <v>5295642.579642579</v>
      </c>
      <c r="CN16" s="85">
        <f t="shared" si="119"/>
        <v>60</v>
      </c>
      <c r="CO16" s="86">
        <f t="shared" si="120"/>
        <v>5295642.579642579</v>
      </c>
      <c r="CP16" s="85">
        <f t="shared" si="22"/>
        <v>60</v>
      </c>
      <c r="CQ16" s="87">
        <f t="shared" si="23"/>
        <v>5295642.579642579</v>
      </c>
      <c r="CR16" s="90">
        <f t="shared" si="121"/>
        <v>720</v>
      </c>
      <c r="CS16" s="91">
        <f t="shared" si="24"/>
        <v>63547710.955710948</v>
      </c>
      <c r="CU16" s="26">
        <v>15</v>
      </c>
      <c r="CV16" s="83">
        <v>4</v>
      </c>
      <c r="CW16" s="93">
        <f t="shared" si="282"/>
        <v>5295642.579642579</v>
      </c>
      <c r="CX16" s="85">
        <f t="shared" si="122"/>
        <v>60</v>
      </c>
      <c r="CY16" s="86">
        <f t="shared" si="123"/>
        <v>5295642.579642579</v>
      </c>
      <c r="CZ16" s="85">
        <f t="shared" si="26"/>
        <v>60</v>
      </c>
      <c r="DA16" s="282">
        <f t="shared" si="123"/>
        <v>5295642.579642579</v>
      </c>
      <c r="DB16" s="85">
        <f t="shared" si="27"/>
        <v>60</v>
      </c>
      <c r="DC16" s="282">
        <f t="shared" si="124"/>
        <v>5295642.579642579</v>
      </c>
      <c r="DD16" s="85">
        <f t="shared" si="28"/>
        <v>60</v>
      </c>
      <c r="DE16" s="282">
        <f t="shared" si="125"/>
        <v>5295642.579642579</v>
      </c>
      <c r="DF16" s="85">
        <f t="shared" si="29"/>
        <v>60</v>
      </c>
      <c r="DG16" s="282">
        <f t="shared" si="126"/>
        <v>5295642.579642579</v>
      </c>
      <c r="DH16" s="85">
        <f t="shared" si="30"/>
        <v>60</v>
      </c>
      <c r="DI16" s="282">
        <f t="shared" si="127"/>
        <v>5295642.579642579</v>
      </c>
      <c r="DJ16" s="85">
        <f t="shared" si="128"/>
        <v>60</v>
      </c>
      <c r="DK16" s="282">
        <f t="shared" si="129"/>
        <v>5295642.579642579</v>
      </c>
      <c r="DL16" s="85">
        <f t="shared" si="31"/>
        <v>60</v>
      </c>
      <c r="DM16" s="282">
        <f t="shared" si="130"/>
        <v>5295642.579642579</v>
      </c>
      <c r="DN16" s="85">
        <f t="shared" si="131"/>
        <v>60</v>
      </c>
      <c r="DO16" s="282">
        <f t="shared" si="132"/>
        <v>5295642.579642579</v>
      </c>
      <c r="DP16" s="85">
        <f t="shared" si="32"/>
        <v>60</v>
      </c>
      <c r="DQ16" s="282">
        <f t="shared" si="133"/>
        <v>5295642.579642579</v>
      </c>
      <c r="DR16" s="85">
        <f t="shared" si="134"/>
        <v>60</v>
      </c>
      <c r="DS16" s="282">
        <f t="shared" si="135"/>
        <v>5295642.579642579</v>
      </c>
      <c r="DT16" s="85">
        <f t="shared" si="33"/>
        <v>60</v>
      </c>
      <c r="DU16" s="282">
        <f t="shared" si="136"/>
        <v>5295642.579642579</v>
      </c>
      <c r="DV16" s="90">
        <f t="shared" si="137"/>
        <v>720</v>
      </c>
      <c r="DW16" s="91">
        <f t="shared" si="34"/>
        <v>63547710.955710948</v>
      </c>
      <c r="DY16" s="94">
        <v>15</v>
      </c>
      <c r="DZ16" s="10">
        <v>4</v>
      </c>
      <c r="EA16" s="93">
        <f t="shared" si="35"/>
        <v>1323910.6449106447</v>
      </c>
      <c r="EB16" s="85">
        <v>0</v>
      </c>
      <c r="EC16" s="86">
        <f t="shared" si="139"/>
        <v>0</v>
      </c>
      <c r="ED16" s="314">
        <v>0</v>
      </c>
      <c r="EE16" s="86">
        <f t="shared" si="139"/>
        <v>0</v>
      </c>
      <c r="EF16" s="85">
        <v>0</v>
      </c>
      <c r="EG16" s="86">
        <f t="shared" si="141"/>
        <v>0</v>
      </c>
      <c r="EH16" s="85">
        <f t="shared" si="283"/>
        <v>60</v>
      </c>
      <c r="EI16" s="86">
        <f t="shared" si="141"/>
        <v>5295642.579642579</v>
      </c>
      <c r="EJ16" s="85">
        <f t="shared" si="283"/>
        <v>60</v>
      </c>
      <c r="EK16" s="86">
        <f t="shared" si="143"/>
        <v>5295642.579642579</v>
      </c>
      <c r="EL16" s="85">
        <f t="shared" si="283"/>
        <v>60</v>
      </c>
      <c r="EM16" s="86">
        <f t="shared" si="144"/>
        <v>5295642.579642579</v>
      </c>
      <c r="EN16" s="85">
        <f t="shared" si="283"/>
        <v>60</v>
      </c>
      <c r="EO16" s="86">
        <f t="shared" si="145"/>
        <v>5295642.579642579</v>
      </c>
      <c r="EP16" s="85">
        <f t="shared" si="283"/>
        <v>60</v>
      </c>
      <c r="EQ16" s="86">
        <f t="shared" si="146"/>
        <v>5295642.579642579</v>
      </c>
      <c r="ER16" s="85">
        <f t="shared" si="283"/>
        <v>60</v>
      </c>
      <c r="ES16" s="86">
        <f t="shared" si="147"/>
        <v>5295642.579642579</v>
      </c>
      <c r="ET16" s="85">
        <f t="shared" si="283"/>
        <v>60</v>
      </c>
      <c r="EU16" s="86">
        <f t="shared" si="148"/>
        <v>5295642.579642579</v>
      </c>
      <c r="EV16" s="85">
        <f t="shared" si="283"/>
        <v>60</v>
      </c>
      <c r="EW16" s="86">
        <f t="shared" si="149"/>
        <v>5295642.579642579</v>
      </c>
      <c r="EX16" s="85">
        <f t="shared" si="283"/>
        <v>60</v>
      </c>
      <c r="EY16" s="86">
        <f t="shared" si="150"/>
        <v>5295642.579642579</v>
      </c>
      <c r="EZ16" s="90">
        <f t="shared" si="151"/>
        <v>540</v>
      </c>
      <c r="FA16" s="91">
        <f t="shared" si="36"/>
        <v>47660783.216783211</v>
      </c>
      <c r="FC16" s="12"/>
      <c r="FD16" s="10"/>
      <c r="FE16" s="95">
        <f t="shared" si="152"/>
        <v>0</v>
      </c>
      <c r="FF16" s="85">
        <f t="shared" si="153"/>
        <v>0</v>
      </c>
      <c r="FG16" s="86">
        <f t="shared" si="154"/>
        <v>0</v>
      </c>
      <c r="FH16" s="365">
        <f t="shared" si="37"/>
        <v>0</v>
      </c>
      <c r="FI16" s="86">
        <f t="shared" si="155"/>
        <v>0</v>
      </c>
      <c r="FJ16" s="365">
        <f t="shared" si="38"/>
        <v>0</v>
      </c>
      <c r="FK16" s="86">
        <f t="shared" si="155"/>
        <v>0</v>
      </c>
      <c r="FL16" s="365">
        <f t="shared" si="39"/>
        <v>0</v>
      </c>
      <c r="FM16" s="86">
        <f t="shared" si="156"/>
        <v>0</v>
      </c>
      <c r="FN16" s="365">
        <f t="shared" si="40"/>
        <v>0</v>
      </c>
      <c r="FO16" s="86">
        <f t="shared" si="157"/>
        <v>0</v>
      </c>
      <c r="FP16" s="365">
        <f t="shared" si="41"/>
        <v>0</v>
      </c>
      <c r="FQ16" s="86">
        <f t="shared" si="158"/>
        <v>0</v>
      </c>
      <c r="FR16" s="365">
        <f t="shared" si="159"/>
        <v>0</v>
      </c>
      <c r="FS16" s="86">
        <f t="shared" si="160"/>
        <v>0</v>
      </c>
      <c r="FT16" s="365">
        <f t="shared" si="42"/>
        <v>0</v>
      </c>
      <c r="FU16" s="86">
        <f t="shared" si="161"/>
        <v>0</v>
      </c>
      <c r="FV16" s="365">
        <f t="shared" si="162"/>
        <v>0</v>
      </c>
      <c r="FW16" s="86">
        <f t="shared" si="163"/>
        <v>0</v>
      </c>
      <c r="FX16" s="365">
        <f t="shared" si="43"/>
        <v>0</v>
      </c>
      <c r="FY16" s="86">
        <f t="shared" si="164"/>
        <v>0</v>
      </c>
      <c r="FZ16" s="365">
        <f t="shared" si="165"/>
        <v>0</v>
      </c>
      <c r="GA16" s="86">
        <f t="shared" si="166"/>
        <v>0</v>
      </c>
      <c r="GB16" s="365">
        <f t="shared" si="44"/>
        <v>0</v>
      </c>
      <c r="GC16" s="86">
        <f t="shared" si="167"/>
        <v>0</v>
      </c>
      <c r="GD16" s="90">
        <f t="shared" si="168"/>
        <v>0</v>
      </c>
      <c r="GE16" s="91">
        <f t="shared" si="45"/>
        <v>0</v>
      </c>
      <c r="GG16" s="12">
        <v>15</v>
      </c>
      <c r="GH16" s="10">
        <v>4</v>
      </c>
      <c r="GI16" s="95">
        <f t="shared" si="46"/>
        <v>5295642.579642579</v>
      </c>
      <c r="GJ16" s="85">
        <f t="shared" si="169"/>
        <v>60</v>
      </c>
      <c r="GK16" s="86">
        <f t="shared" si="170"/>
        <v>5295642.579642579</v>
      </c>
      <c r="GL16" s="85">
        <f t="shared" si="169"/>
        <v>60</v>
      </c>
      <c r="GM16" s="86">
        <f t="shared" si="170"/>
        <v>5295642.579642579</v>
      </c>
      <c r="GN16" s="85">
        <f t="shared" si="169"/>
        <v>60</v>
      </c>
      <c r="GO16" s="86">
        <f t="shared" si="171"/>
        <v>5295642.579642579</v>
      </c>
      <c r="GP16" s="85">
        <f t="shared" si="169"/>
        <v>60</v>
      </c>
      <c r="GQ16" s="86">
        <f t="shared" si="172"/>
        <v>5295642.579642579</v>
      </c>
      <c r="GR16" s="85">
        <f t="shared" si="173"/>
        <v>60</v>
      </c>
      <c r="GS16" s="86">
        <f t="shared" si="174"/>
        <v>5295642.579642579</v>
      </c>
      <c r="GT16" s="85">
        <f t="shared" si="175"/>
        <v>60</v>
      </c>
      <c r="GU16" s="86">
        <f t="shared" si="176"/>
        <v>5295642.579642579</v>
      </c>
      <c r="GV16" s="85">
        <f t="shared" si="177"/>
        <v>60</v>
      </c>
      <c r="GW16" s="86">
        <f t="shared" si="178"/>
        <v>5295642.579642579</v>
      </c>
      <c r="GX16" s="85">
        <f t="shared" si="179"/>
        <v>60</v>
      </c>
      <c r="GY16" s="86">
        <f t="shared" si="180"/>
        <v>5295642.579642579</v>
      </c>
      <c r="GZ16" s="85">
        <f t="shared" si="181"/>
        <v>60</v>
      </c>
      <c r="HA16" s="86">
        <f t="shared" si="182"/>
        <v>5295642.579642579</v>
      </c>
      <c r="HB16" s="85">
        <f t="shared" si="183"/>
        <v>60</v>
      </c>
      <c r="HC16" s="86">
        <f t="shared" si="184"/>
        <v>5295642.579642579</v>
      </c>
      <c r="HD16" s="85">
        <f t="shared" si="185"/>
        <v>60</v>
      </c>
      <c r="HE16" s="86">
        <f t="shared" si="186"/>
        <v>5295642.579642579</v>
      </c>
      <c r="HF16" s="85">
        <f t="shared" si="187"/>
        <v>60</v>
      </c>
      <c r="HG16" s="86">
        <f t="shared" si="188"/>
        <v>5295642.579642579</v>
      </c>
      <c r="HH16" s="90">
        <f t="shared" si="189"/>
        <v>720</v>
      </c>
      <c r="HI16" s="91">
        <f t="shared" si="47"/>
        <v>63547710.955710948</v>
      </c>
      <c r="HK16" s="12"/>
      <c r="HL16" s="10"/>
      <c r="HM16" s="95">
        <f t="shared" si="48"/>
        <v>0</v>
      </c>
      <c r="HN16" s="85">
        <f t="shared" si="190"/>
        <v>0</v>
      </c>
      <c r="HO16" s="86">
        <f t="shared" si="191"/>
        <v>0</v>
      </c>
      <c r="HP16" s="85">
        <f t="shared" si="192"/>
        <v>0</v>
      </c>
      <c r="HQ16" s="86">
        <f t="shared" si="193"/>
        <v>0</v>
      </c>
      <c r="HR16" s="85">
        <f t="shared" si="192"/>
        <v>0</v>
      </c>
      <c r="HS16" s="86">
        <f t="shared" si="193"/>
        <v>0</v>
      </c>
      <c r="HT16" s="85">
        <f t="shared" si="192"/>
        <v>0</v>
      </c>
      <c r="HU16" s="86">
        <f t="shared" si="194"/>
        <v>0</v>
      </c>
      <c r="HV16" s="85">
        <f t="shared" si="192"/>
        <v>0</v>
      </c>
      <c r="HW16" s="86">
        <f t="shared" si="195"/>
        <v>0</v>
      </c>
      <c r="HX16" s="85">
        <f t="shared" si="196"/>
        <v>0</v>
      </c>
      <c r="HY16" s="86">
        <f t="shared" si="197"/>
        <v>0</v>
      </c>
      <c r="HZ16" s="85">
        <f t="shared" si="198"/>
        <v>0</v>
      </c>
      <c r="IA16" s="86">
        <f t="shared" si="199"/>
        <v>0</v>
      </c>
      <c r="IB16" s="85">
        <f t="shared" si="200"/>
        <v>0</v>
      </c>
      <c r="IC16" s="86">
        <f t="shared" si="201"/>
        <v>0</v>
      </c>
      <c r="ID16" s="85">
        <f t="shared" si="202"/>
        <v>0</v>
      </c>
      <c r="IE16" s="86">
        <f t="shared" si="203"/>
        <v>0</v>
      </c>
      <c r="IF16" s="85">
        <f t="shared" si="204"/>
        <v>0</v>
      </c>
      <c r="IG16" s="86">
        <f t="shared" si="205"/>
        <v>0</v>
      </c>
      <c r="IH16" s="85">
        <f t="shared" si="206"/>
        <v>0</v>
      </c>
      <c r="II16" s="86">
        <f t="shared" si="207"/>
        <v>0</v>
      </c>
      <c r="IJ16" s="85">
        <f t="shared" si="208"/>
        <v>0</v>
      </c>
      <c r="IK16" s="86">
        <f t="shared" si="209"/>
        <v>0</v>
      </c>
      <c r="IL16" s="90">
        <f t="shared" si="210"/>
        <v>0</v>
      </c>
      <c r="IM16" s="91">
        <f t="shared" si="211"/>
        <v>0</v>
      </c>
      <c r="IO16" s="12"/>
      <c r="IP16" s="10"/>
      <c r="IQ16" s="95">
        <f t="shared" si="49"/>
        <v>0</v>
      </c>
      <c r="IR16" s="85">
        <f t="shared" si="212"/>
        <v>0</v>
      </c>
      <c r="IS16" s="86">
        <f t="shared" si="213"/>
        <v>0</v>
      </c>
      <c r="IT16" s="85">
        <f t="shared" si="50"/>
        <v>0</v>
      </c>
      <c r="IU16" s="282">
        <f t="shared" si="214"/>
        <v>0</v>
      </c>
      <c r="IV16" s="85">
        <f t="shared" si="51"/>
        <v>0</v>
      </c>
      <c r="IW16" s="282">
        <f t="shared" si="214"/>
        <v>0</v>
      </c>
      <c r="IX16" s="85">
        <f t="shared" si="52"/>
        <v>0</v>
      </c>
      <c r="IY16" s="282">
        <f t="shared" si="215"/>
        <v>0</v>
      </c>
      <c r="IZ16" s="85">
        <f t="shared" si="53"/>
        <v>0</v>
      </c>
      <c r="JA16" s="282">
        <f t="shared" si="216"/>
        <v>0</v>
      </c>
      <c r="JB16" s="85">
        <f t="shared" si="54"/>
        <v>0</v>
      </c>
      <c r="JC16" s="282">
        <f t="shared" si="217"/>
        <v>0</v>
      </c>
      <c r="JD16" s="85">
        <f t="shared" si="218"/>
        <v>0</v>
      </c>
      <c r="JE16" s="282">
        <f t="shared" si="219"/>
        <v>0</v>
      </c>
      <c r="JF16" s="85">
        <f t="shared" si="55"/>
        <v>0</v>
      </c>
      <c r="JG16" s="282">
        <f t="shared" si="220"/>
        <v>0</v>
      </c>
      <c r="JH16" s="85">
        <f t="shared" si="221"/>
        <v>0</v>
      </c>
      <c r="JI16" s="282">
        <f t="shared" si="222"/>
        <v>0</v>
      </c>
      <c r="JJ16" s="85">
        <f t="shared" si="56"/>
        <v>0</v>
      </c>
      <c r="JK16" s="282">
        <f t="shared" si="223"/>
        <v>0</v>
      </c>
      <c r="JL16" s="85">
        <f t="shared" si="224"/>
        <v>0</v>
      </c>
      <c r="JM16" s="282">
        <f t="shared" si="225"/>
        <v>0</v>
      </c>
      <c r="JN16" s="85">
        <f t="shared" si="57"/>
        <v>0</v>
      </c>
      <c r="JO16" s="282">
        <f t="shared" si="226"/>
        <v>0</v>
      </c>
      <c r="JP16" s="90">
        <f t="shared" si="227"/>
        <v>0</v>
      </c>
      <c r="JQ16" s="91">
        <f t="shared" si="228"/>
        <v>0</v>
      </c>
      <c r="JS16" s="12"/>
      <c r="JT16" s="10"/>
      <c r="JU16" s="95">
        <f t="shared" si="58"/>
        <v>0</v>
      </c>
      <c r="JV16" s="85">
        <f t="shared" si="229"/>
        <v>0</v>
      </c>
      <c r="JW16" s="86">
        <f t="shared" si="230"/>
        <v>0</v>
      </c>
      <c r="JX16" s="365">
        <f t="shared" si="59"/>
        <v>0</v>
      </c>
      <c r="JY16" s="86">
        <f t="shared" si="231"/>
        <v>0</v>
      </c>
      <c r="JZ16" s="365">
        <f t="shared" si="60"/>
        <v>0</v>
      </c>
      <c r="KA16" s="86">
        <f t="shared" si="231"/>
        <v>0</v>
      </c>
      <c r="KB16" s="365">
        <f t="shared" si="61"/>
        <v>0</v>
      </c>
      <c r="KC16" s="86">
        <f t="shared" si="232"/>
        <v>0</v>
      </c>
      <c r="KD16" s="365">
        <f t="shared" si="62"/>
        <v>0</v>
      </c>
      <c r="KE16" s="86">
        <f t="shared" si="233"/>
        <v>0</v>
      </c>
      <c r="KF16" s="365">
        <f t="shared" si="63"/>
        <v>0</v>
      </c>
      <c r="KG16" s="86">
        <f t="shared" si="234"/>
        <v>0</v>
      </c>
      <c r="KH16" s="365">
        <f t="shared" si="235"/>
        <v>0</v>
      </c>
      <c r="KI16" s="86">
        <f t="shared" si="236"/>
        <v>0</v>
      </c>
      <c r="KJ16" s="365">
        <f t="shared" si="64"/>
        <v>0</v>
      </c>
      <c r="KK16" s="86">
        <f t="shared" si="237"/>
        <v>0</v>
      </c>
      <c r="KL16" s="365">
        <f t="shared" si="238"/>
        <v>0</v>
      </c>
      <c r="KM16" s="86">
        <f t="shared" si="239"/>
        <v>0</v>
      </c>
      <c r="KN16" s="365">
        <f t="shared" si="65"/>
        <v>0</v>
      </c>
      <c r="KO16" s="86">
        <f t="shared" si="240"/>
        <v>0</v>
      </c>
      <c r="KP16" s="365">
        <f t="shared" si="241"/>
        <v>0</v>
      </c>
      <c r="KQ16" s="86">
        <f t="shared" si="242"/>
        <v>0</v>
      </c>
      <c r="KR16" s="365">
        <f t="shared" si="66"/>
        <v>0</v>
      </c>
      <c r="KS16" s="87">
        <f t="shared" si="243"/>
        <v>0</v>
      </c>
      <c r="KT16" s="90">
        <f t="shared" si="244"/>
        <v>0</v>
      </c>
      <c r="KU16" s="91">
        <f t="shared" si="67"/>
        <v>0</v>
      </c>
      <c r="KW16" s="12">
        <v>15</v>
      </c>
      <c r="KX16" s="10">
        <v>1</v>
      </c>
      <c r="KY16" s="96">
        <f t="shared" si="68"/>
        <v>1323910.6449106447</v>
      </c>
      <c r="KZ16" s="85"/>
      <c r="LA16" s="86">
        <f t="shared" si="245"/>
        <v>0</v>
      </c>
      <c r="LB16" s="85"/>
      <c r="LC16" s="86">
        <f t="shared" si="246"/>
        <v>0</v>
      </c>
      <c r="LD16" s="85">
        <f t="shared" si="272"/>
        <v>15</v>
      </c>
      <c r="LE16" s="86">
        <f t="shared" si="246"/>
        <v>1323910.6449106447</v>
      </c>
      <c r="LF16" s="85"/>
      <c r="LG16" s="86">
        <f t="shared" si="247"/>
        <v>0</v>
      </c>
      <c r="LH16" s="85"/>
      <c r="LI16" s="86">
        <f t="shared" si="248"/>
        <v>0</v>
      </c>
      <c r="LJ16" s="85">
        <f t="shared" si="273"/>
        <v>15</v>
      </c>
      <c r="LK16" s="86">
        <f t="shared" si="249"/>
        <v>1323910.6449106447</v>
      </c>
      <c r="LL16" s="85"/>
      <c r="LM16" s="86">
        <f t="shared" si="250"/>
        <v>0</v>
      </c>
      <c r="LN16" s="85"/>
      <c r="LO16" s="86">
        <f t="shared" si="251"/>
        <v>0</v>
      </c>
      <c r="LP16" s="85">
        <f t="shared" si="276"/>
        <v>15</v>
      </c>
      <c r="LQ16" s="86">
        <f t="shared" si="252"/>
        <v>1323910.6449106447</v>
      </c>
      <c r="LR16" s="85"/>
      <c r="LS16" s="86">
        <f t="shared" si="253"/>
        <v>0</v>
      </c>
      <c r="LT16" s="85"/>
      <c r="LU16" s="86">
        <f t="shared" si="254"/>
        <v>0</v>
      </c>
      <c r="LV16" s="85">
        <f t="shared" si="279"/>
        <v>15</v>
      </c>
      <c r="LW16" s="86">
        <f t="shared" si="255"/>
        <v>1323910.6449106447</v>
      </c>
      <c r="LX16" s="90">
        <f t="shared" si="256"/>
        <v>60</v>
      </c>
      <c r="LY16" s="91">
        <f t="shared" si="257"/>
        <v>5295642.579642579</v>
      </c>
      <c r="MA16" s="97">
        <f t="shared" si="69"/>
        <v>240</v>
      </c>
      <c r="MB16" s="383">
        <f t="shared" si="258"/>
        <v>21182570.318570316</v>
      </c>
      <c r="MC16" s="391">
        <f t="shared" si="70"/>
        <v>240</v>
      </c>
      <c r="MD16" s="383">
        <f t="shared" si="259"/>
        <v>21182570.318570316</v>
      </c>
      <c r="ME16" s="391">
        <f t="shared" si="71"/>
        <v>255</v>
      </c>
      <c r="MF16" s="383">
        <f t="shared" si="259"/>
        <v>22506480.963480961</v>
      </c>
      <c r="MG16" s="391">
        <f t="shared" si="72"/>
        <v>300</v>
      </c>
      <c r="MH16" s="383">
        <f t="shared" si="260"/>
        <v>26478212.898212895</v>
      </c>
      <c r="MI16" s="391">
        <f t="shared" si="73"/>
        <v>300</v>
      </c>
      <c r="MJ16" s="383">
        <f t="shared" si="261"/>
        <v>26478212.898212895</v>
      </c>
      <c r="MK16" s="391">
        <f t="shared" si="74"/>
        <v>315</v>
      </c>
      <c r="ML16" s="383">
        <f t="shared" si="262"/>
        <v>27802123.54312354</v>
      </c>
      <c r="MM16" s="391">
        <f t="shared" si="75"/>
        <v>300</v>
      </c>
      <c r="MN16" s="383">
        <f t="shared" si="263"/>
        <v>26478212.898212895</v>
      </c>
      <c r="MO16" s="391">
        <f t="shared" si="76"/>
        <v>300</v>
      </c>
      <c r="MP16" s="383">
        <f t="shared" si="264"/>
        <v>26478212.898212895</v>
      </c>
      <c r="MQ16" s="391">
        <f t="shared" si="77"/>
        <v>315</v>
      </c>
      <c r="MR16" s="383">
        <f t="shared" si="265"/>
        <v>27802123.54312354</v>
      </c>
      <c r="MS16" s="391">
        <f t="shared" si="78"/>
        <v>300</v>
      </c>
      <c r="MT16" s="383">
        <f t="shared" si="266"/>
        <v>26478212.898212895</v>
      </c>
      <c r="MU16" s="391">
        <f t="shared" si="79"/>
        <v>300</v>
      </c>
      <c r="MV16" s="383">
        <f t="shared" si="267"/>
        <v>26478212.898212895</v>
      </c>
      <c r="MW16" s="391">
        <f t="shared" si="80"/>
        <v>315</v>
      </c>
      <c r="MX16" s="383">
        <f t="shared" si="268"/>
        <v>27802123.54312354</v>
      </c>
      <c r="MY16" s="98">
        <f t="shared" si="269"/>
        <v>3480</v>
      </c>
      <c r="MZ16" s="99">
        <f t="shared" si="270"/>
        <v>307147269.61926955</v>
      </c>
    </row>
    <row r="17" spans="1:364" s="63" customFormat="1" ht="26.4" x14ac:dyDescent="0.3">
      <c r="A17" s="540"/>
      <c r="B17" s="80" t="s">
        <v>54</v>
      </c>
      <c r="C17" s="81" t="s">
        <v>55</v>
      </c>
      <c r="D17" s="82" t="s">
        <v>28</v>
      </c>
      <c r="E17" s="9">
        <v>1</v>
      </c>
      <c r="F17" s="343">
        <v>163.17016317016316</v>
      </c>
      <c r="G17" s="343">
        <f t="shared" si="81"/>
        <v>169.97047397047396</v>
      </c>
      <c r="I17" s="24">
        <v>7267</v>
      </c>
      <c r="J17" s="83">
        <v>1</v>
      </c>
      <c r="K17" s="84">
        <f t="shared" si="82"/>
        <v>1235175.4343434342</v>
      </c>
      <c r="L17" s="85">
        <f t="shared" si="83"/>
        <v>7267</v>
      </c>
      <c r="M17" s="282">
        <f t="shared" si="84"/>
        <v>1235175.4343434342</v>
      </c>
      <c r="N17" s="85"/>
      <c r="O17" s="282">
        <f t="shared" si="84"/>
        <v>0</v>
      </c>
      <c r="P17" s="85"/>
      <c r="Q17" s="282">
        <f t="shared" si="85"/>
        <v>0</v>
      </c>
      <c r="R17" s="85"/>
      <c r="S17" s="282">
        <f t="shared" si="86"/>
        <v>0</v>
      </c>
      <c r="T17" s="85">
        <f t="shared" si="83"/>
        <v>7267</v>
      </c>
      <c r="U17" s="282">
        <f t="shared" si="87"/>
        <v>1235175.4343434342</v>
      </c>
      <c r="V17" s="85"/>
      <c r="W17" s="282">
        <f t="shared" si="88"/>
        <v>0</v>
      </c>
      <c r="X17" s="85"/>
      <c r="Y17" s="282">
        <f t="shared" si="89"/>
        <v>0</v>
      </c>
      <c r="Z17" s="85"/>
      <c r="AA17" s="282">
        <f t="shared" si="90"/>
        <v>0</v>
      </c>
      <c r="AB17" s="85">
        <f t="shared" si="83"/>
        <v>7267</v>
      </c>
      <c r="AC17" s="282">
        <f t="shared" si="91"/>
        <v>1235175.4343434342</v>
      </c>
      <c r="AD17" s="85"/>
      <c r="AE17" s="282">
        <f t="shared" si="92"/>
        <v>0</v>
      </c>
      <c r="AF17" s="85"/>
      <c r="AG17" s="282">
        <f t="shared" si="93"/>
        <v>0</v>
      </c>
      <c r="AH17" s="85"/>
      <c r="AI17" s="291">
        <f t="shared" si="93"/>
        <v>0</v>
      </c>
      <c r="AJ17" s="88">
        <f t="shared" si="94"/>
        <v>21801</v>
      </c>
      <c r="AK17" s="303">
        <f t="shared" si="95"/>
        <v>3705526.3030303027</v>
      </c>
      <c r="AM17" s="24">
        <v>14090</v>
      </c>
      <c r="AN17" s="83">
        <v>1</v>
      </c>
      <c r="AO17" s="89">
        <f t="shared" si="0"/>
        <v>2394883.9782439782</v>
      </c>
      <c r="AP17" s="85">
        <f>+AM17*AN17</f>
        <v>14090</v>
      </c>
      <c r="AQ17" s="282">
        <f t="shared" si="96"/>
        <v>2394883.9782439782</v>
      </c>
      <c r="AR17" s="314"/>
      <c r="AS17" s="281">
        <f t="shared" si="97"/>
        <v>0</v>
      </c>
      <c r="AT17" s="314"/>
      <c r="AU17" s="281">
        <f t="shared" si="97"/>
        <v>0</v>
      </c>
      <c r="AV17" s="314"/>
      <c r="AW17" s="281">
        <f t="shared" si="98"/>
        <v>0</v>
      </c>
      <c r="AX17" s="314"/>
      <c r="AY17" s="281">
        <f t="shared" si="99"/>
        <v>0</v>
      </c>
      <c r="AZ17" s="314"/>
      <c r="BA17" s="281">
        <f t="shared" si="100"/>
        <v>0</v>
      </c>
      <c r="BB17" s="314"/>
      <c r="BC17" s="281">
        <f t="shared" si="101"/>
        <v>0</v>
      </c>
      <c r="BD17" s="314"/>
      <c r="BE17" s="281">
        <f t="shared" si="102"/>
        <v>0</v>
      </c>
      <c r="BF17" s="314"/>
      <c r="BG17" s="281">
        <f t="shared" si="103"/>
        <v>0</v>
      </c>
      <c r="BH17" s="314"/>
      <c r="BI17" s="281">
        <f t="shared" si="104"/>
        <v>0</v>
      </c>
      <c r="BJ17" s="314"/>
      <c r="BK17" s="281">
        <f t="shared" si="104"/>
        <v>0</v>
      </c>
      <c r="BL17" s="85"/>
      <c r="BM17" s="322">
        <f t="shared" si="105"/>
        <v>0</v>
      </c>
      <c r="BN17" s="72">
        <f t="shared" si="106"/>
        <v>14090</v>
      </c>
      <c r="BO17" s="326">
        <f t="shared" si="13"/>
        <v>2394883.9782439782</v>
      </c>
      <c r="BQ17" s="26">
        <v>19287.400000000001</v>
      </c>
      <c r="BR17" s="83">
        <v>1</v>
      </c>
      <c r="BS17" s="92">
        <f t="shared" si="281"/>
        <v>3278288.5196581199</v>
      </c>
      <c r="BT17" s="85">
        <f t="shared" si="280"/>
        <v>19287.400000000001</v>
      </c>
      <c r="BU17" s="329">
        <f t="shared" si="107"/>
        <v>3278288.5196581199</v>
      </c>
      <c r="BV17" s="85"/>
      <c r="BW17" s="86">
        <f t="shared" si="108"/>
        <v>0</v>
      </c>
      <c r="BX17" s="85"/>
      <c r="BY17" s="86">
        <f t="shared" si="109"/>
        <v>0</v>
      </c>
      <c r="BZ17" s="85">
        <f t="shared" si="17"/>
        <v>19287.400000000001</v>
      </c>
      <c r="CA17" s="86">
        <f t="shared" si="110"/>
        <v>3278288.5196581199</v>
      </c>
      <c r="CB17" s="85"/>
      <c r="CC17" s="86">
        <f t="shared" si="111"/>
        <v>0</v>
      </c>
      <c r="CD17" s="85"/>
      <c r="CE17" s="86">
        <f t="shared" si="112"/>
        <v>0</v>
      </c>
      <c r="CF17" s="85">
        <f t="shared" si="113"/>
        <v>19287.400000000001</v>
      </c>
      <c r="CG17" s="86">
        <f t="shared" si="114"/>
        <v>3278288.5196581199</v>
      </c>
      <c r="CH17" s="85"/>
      <c r="CI17" s="86">
        <f t="shared" si="115"/>
        <v>0</v>
      </c>
      <c r="CJ17" s="85"/>
      <c r="CK17" s="86">
        <f t="shared" si="117"/>
        <v>0</v>
      </c>
      <c r="CL17" s="85">
        <f t="shared" si="21"/>
        <v>19287.400000000001</v>
      </c>
      <c r="CM17" s="86">
        <f t="shared" si="118"/>
        <v>3278288.5196581199</v>
      </c>
      <c r="CN17" s="85"/>
      <c r="CO17" s="86">
        <f t="shared" si="120"/>
        <v>0</v>
      </c>
      <c r="CP17" s="85"/>
      <c r="CQ17" s="87">
        <f t="shared" si="23"/>
        <v>0</v>
      </c>
      <c r="CR17" s="90">
        <f t="shared" si="121"/>
        <v>77149.600000000006</v>
      </c>
      <c r="CS17" s="91">
        <f t="shared" si="24"/>
        <v>13113154.07863248</v>
      </c>
      <c r="CU17" s="26">
        <v>18070</v>
      </c>
      <c r="CV17" s="83">
        <v>1</v>
      </c>
      <c r="CW17" s="93">
        <f t="shared" si="282"/>
        <v>3071366.4646464647</v>
      </c>
      <c r="CX17" s="85">
        <f t="shared" si="122"/>
        <v>18070</v>
      </c>
      <c r="CY17" s="86">
        <f t="shared" si="123"/>
        <v>3071366.4646464647</v>
      </c>
      <c r="CZ17" s="85"/>
      <c r="DA17" s="282">
        <f t="shared" si="123"/>
        <v>0</v>
      </c>
      <c r="DB17" s="85"/>
      <c r="DC17" s="282">
        <f t="shared" si="124"/>
        <v>0</v>
      </c>
      <c r="DD17" s="85">
        <f t="shared" si="28"/>
        <v>18070</v>
      </c>
      <c r="DE17" s="282">
        <f t="shared" si="125"/>
        <v>3071366.4646464647</v>
      </c>
      <c r="DF17" s="85"/>
      <c r="DG17" s="282">
        <f t="shared" si="126"/>
        <v>0</v>
      </c>
      <c r="DH17" s="85"/>
      <c r="DI17" s="282">
        <f t="shared" si="127"/>
        <v>0</v>
      </c>
      <c r="DJ17" s="85">
        <f t="shared" si="128"/>
        <v>18070</v>
      </c>
      <c r="DK17" s="282">
        <f t="shared" si="129"/>
        <v>3071366.4646464647</v>
      </c>
      <c r="DL17" s="85"/>
      <c r="DM17" s="282">
        <f t="shared" si="130"/>
        <v>0</v>
      </c>
      <c r="DN17" s="85"/>
      <c r="DO17" s="282">
        <f t="shared" si="132"/>
        <v>0</v>
      </c>
      <c r="DP17" s="85">
        <f t="shared" si="32"/>
        <v>18070</v>
      </c>
      <c r="DQ17" s="282">
        <f t="shared" si="133"/>
        <v>3071366.4646464647</v>
      </c>
      <c r="DR17" s="85"/>
      <c r="DS17" s="282">
        <f t="shared" si="135"/>
        <v>0</v>
      </c>
      <c r="DT17" s="85"/>
      <c r="DU17" s="282">
        <f t="shared" si="136"/>
        <v>0</v>
      </c>
      <c r="DV17" s="90">
        <f t="shared" si="137"/>
        <v>72280</v>
      </c>
      <c r="DW17" s="91">
        <f t="shared" si="34"/>
        <v>12285465.858585859</v>
      </c>
      <c r="DY17" s="94">
        <v>60000</v>
      </c>
      <c r="DZ17" s="83">
        <v>1</v>
      </c>
      <c r="EA17" s="93">
        <f t="shared" si="35"/>
        <v>10198228.438228438</v>
      </c>
      <c r="EB17" s="85">
        <v>0</v>
      </c>
      <c r="EC17" s="86">
        <f t="shared" si="139"/>
        <v>0</v>
      </c>
      <c r="ED17" s="314">
        <v>0</v>
      </c>
      <c r="EE17" s="86">
        <f t="shared" si="139"/>
        <v>0</v>
      </c>
      <c r="EF17" s="85">
        <v>0</v>
      </c>
      <c r="EG17" s="86">
        <f t="shared" si="141"/>
        <v>0</v>
      </c>
      <c r="EH17" s="85">
        <f t="shared" si="283"/>
        <v>60000</v>
      </c>
      <c r="EI17" s="86">
        <f t="shared" si="141"/>
        <v>10198228.438228438</v>
      </c>
      <c r="EJ17" s="85">
        <v>0</v>
      </c>
      <c r="EK17" s="86">
        <f t="shared" si="143"/>
        <v>0</v>
      </c>
      <c r="EL17" s="85">
        <v>0</v>
      </c>
      <c r="EM17" s="86">
        <f t="shared" si="144"/>
        <v>0</v>
      </c>
      <c r="EN17" s="85">
        <v>0</v>
      </c>
      <c r="EO17" s="86">
        <f t="shared" si="145"/>
        <v>0</v>
      </c>
      <c r="EP17" s="85">
        <f t="shared" si="283"/>
        <v>60000</v>
      </c>
      <c r="EQ17" s="86">
        <f t="shared" si="146"/>
        <v>10198228.438228438</v>
      </c>
      <c r="ER17" s="85">
        <v>0</v>
      </c>
      <c r="ES17" s="86">
        <f t="shared" si="147"/>
        <v>0</v>
      </c>
      <c r="ET17" s="85">
        <v>0</v>
      </c>
      <c r="EU17" s="86">
        <f t="shared" si="148"/>
        <v>0</v>
      </c>
      <c r="EV17" s="85">
        <v>0</v>
      </c>
      <c r="EW17" s="86">
        <f t="shared" si="149"/>
        <v>0</v>
      </c>
      <c r="EX17" s="85">
        <f t="shared" si="283"/>
        <v>60000</v>
      </c>
      <c r="EY17" s="86">
        <f t="shared" si="150"/>
        <v>10198228.438228438</v>
      </c>
      <c r="EZ17" s="90">
        <f t="shared" si="151"/>
        <v>180000</v>
      </c>
      <c r="FA17" s="91">
        <f t="shared" si="36"/>
        <v>30594685.314685311</v>
      </c>
      <c r="FC17" s="24"/>
      <c r="FD17" s="83"/>
      <c r="FE17" s="95">
        <f t="shared" si="152"/>
        <v>0</v>
      </c>
      <c r="FF17" s="85">
        <f t="shared" si="153"/>
        <v>0</v>
      </c>
      <c r="FG17" s="86">
        <f t="shared" si="154"/>
        <v>0</v>
      </c>
      <c r="FH17" s="365">
        <f t="shared" si="37"/>
        <v>0</v>
      </c>
      <c r="FI17" s="86">
        <f t="shared" si="155"/>
        <v>0</v>
      </c>
      <c r="FJ17" s="365">
        <f t="shared" si="38"/>
        <v>0</v>
      </c>
      <c r="FK17" s="86">
        <f t="shared" si="155"/>
        <v>0</v>
      </c>
      <c r="FL17" s="365">
        <f t="shared" si="39"/>
        <v>0</v>
      </c>
      <c r="FM17" s="86">
        <f t="shared" si="156"/>
        <v>0</v>
      </c>
      <c r="FN17" s="365">
        <f t="shared" si="40"/>
        <v>0</v>
      </c>
      <c r="FO17" s="86">
        <f t="shared" si="157"/>
        <v>0</v>
      </c>
      <c r="FP17" s="365">
        <f t="shared" si="41"/>
        <v>0</v>
      </c>
      <c r="FQ17" s="86">
        <f t="shared" si="158"/>
        <v>0</v>
      </c>
      <c r="FR17" s="365">
        <f t="shared" si="159"/>
        <v>0</v>
      </c>
      <c r="FS17" s="86">
        <f t="shared" si="160"/>
        <v>0</v>
      </c>
      <c r="FT17" s="365">
        <f t="shared" si="42"/>
        <v>0</v>
      </c>
      <c r="FU17" s="86">
        <f t="shared" si="161"/>
        <v>0</v>
      </c>
      <c r="FV17" s="365">
        <f t="shared" si="162"/>
        <v>0</v>
      </c>
      <c r="FW17" s="86">
        <f t="shared" si="163"/>
        <v>0</v>
      </c>
      <c r="FX17" s="365">
        <f t="shared" si="43"/>
        <v>0</v>
      </c>
      <c r="FY17" s="86">
        <f t="shared" si="164"/>
        <v>0</v>
      </c>
      <c r="FZ17" s="365">
        <f t="shared" si="165"/>
        <v>0</v>
      </c>
      <c r="GA17" s="86">
        <f t="shared" si="166"/>
        <v>0</v>
      </c>
      <c r="GB17" s="365">
        <f t="shared" si="44"/>
        <v>0</v>
      </c>
      <c r="GC17" s="86">
        <f t="shared" si="167"/>
        <v>0</v>
      </c>
      <c r="GD17" s="90">
        <f t="shared" si="168"/>
        <v>0</v>
      </c>
      <c r="GE17" s="91">
        <f t="shared" si="45"/>
        <v>0</v>
      </c>
      <c r="GG17" s="24">
        <v>23412</v>
      </c>
      <c r="GH17" s="83">
        <v>1</v>
      </c>
      <c r="GI17" s="95">
        <f t="shared" si="46"/>
        <v>3979348.7365967366</v>
      </c>
      <c r="GJ17" s="85">
        <f>+GG17*GH17</f>
        <v>23412</v>
      </c>
      <c r="GK17" s="86">
        <f t="shared" si="170"/>
        <v>3979348.7365967366</v>
      </c>
      <c r="GL17" s="85"/>
      <c r="GM17" s="86">
        <f t="shared" si="170"/>
        <v>0</v>
      </c>
      <c r="GN17" s="85"/>
      <c r="GO17" s="86">
        <f t="shared" si="171"/>
        <v>0</v>
      </c>
      <c r="GP17" s="85">
        <f>+GG17*GH17</f>
        <v>23412</v>
      </c>
      <c r="GQ17" s="86">
        <f t="shared" si="172"/>
        <v>3979348.7365967366</v>
      </c>
      <c r="GR17" s="85"/>
      <c r="GS17" s="86">
        <f t="shared" si="174"/>
        <v>0</v>
      </c>
      <c r="GT17" s="85">
        <v>0</v>
      </c>
      <c r="GU17" s="86">
        <f t="shared" si="176"/>
        <v>0</v>
      </c>
      <c r="GV17" s="85">
        <f>+GG17*GH17</f>
        <v>23412</v>
      </c>
      <c r="GW17" s="86">
        <f t="shared" si="178"/>
        <v>3979348.7365967366</v>
      </c>
      <c r="GX17" s="85"/>
      <c r="GY17" s="86">
        <f t="shared" si="180"/>
        <v>0</v>
      </c>
      <c r="GZ17" s="85"/>
      <c r="HA17" s="86">
        <f t="shared" si="182"/>
        <v>0</v>
      </c>
      <c r="HB17" s="85">
        <f>+GG17*GH17</f>
        <v>23412</v>
      </c>
      <c r="HC17" s="86">
        <f t="shared" si="184"/>
        <v>3979348.7365967366</v>
      </c>
      <c r="HD17" s="85"/>
      <c r="HE17" s="86">
        <f t="shared" si="186"/>
        <v>0</v>
      </c>
      <c r="HF17" s="85"/>
      <c r="HG17" s="86">
        <f t="shared" si="188"/>
        <v>0</v>
      </c>
      <c r="HH17" s="90">
        <f t="shared" si="189"/>
        <v>93648</v>
      </c>
      <c r="HI17" s="91">
        <f t="shared" si="47"/>
        <v>15917394.946386946</v>
      </c>
      <c r="HK17" s="24"/>
      <c r="HL17" s="83"/>
      <c r="HM17" s="95">
        <f t="shared" si="48"/>
        <v>0</v>
      </c>
      <c r="HN17" s="85">
        <f t="shared" si="190"/>
        <v>0</v>
      </c>
      <c r="HO17" s="86">
        <f t="shared" si="191"/>
        <v>0</v>
      </c>
      <c r="HP17" s="85">
        <f t="shared" si="192"/>
        <v>0</v>
      </c>
      <c r="HQ17" s="86">
        <f t="shared" si="193"/>
        <v>0</v>
      </c>
      <c r="HR17" s="85">
        <f t="shared" si="192"/>
        <v>0</v>
      </c>
      <c r="HS17" s="86">
        <f t="shared" si="193"/>
        <v>0</v>
      </c>
      <c r="HT17" s="85">
        <f t="shared" si="192"/>
        <v>0</v>
      </c>
      <c r="HU17" s="86">
        <f t="shared" si="194"/>
        <v>0</v>
      </c>
      <c r="HV17" s="85">
        <f t="shared" si="192"/>
        <v>0</v>
      </c>
      <c r="HW17" s="86">
        <f t="shared" si="195"/>
        <v>0</v>
      </c>
      <c r="HX17" s="85">
        <f t="shared" si="196"/>
        <v>0</v>
      </c>
      <c r="HY17" s="86">
        <f t="shared" si="197"/>
        <v>0</v>
      </c>
      <c r="HZ17" s="85">
        <f t="shared" si="198"/>
        <v>0</v>
      </c>
      <c r="IA17" s="86">
        <f t="shared" si="199"/>
        <v>0</v>
      </c>
      <c r="IB17" s="85">
        <f t="shared" si="200"/>
        <v>0</v>
      </c>
      <c r="IC17" s="86">
        <f t="shared" si="201"/>
        <v>0</v>
      </c>
      <c r="ID17" s="85">
        <f t="shared" si="202"/>
        <v>0</v>
      </c>
      <c r="IE17" s="86">
        <f t="shared" si="203"/>
        <v>0</v>
      </c>
      <c r="IF17" s="85">
        <f t="shared" si="204"/>
        <v>0</v>
      </c>
      <c r="IG17" s="86">
        <f t="shared" si="205"/>
        <v>0</v>
      </c>
      <c r="IH17" s="85">
        <f t="shared" si="206"/>
        <v>0</v>
      </c>
      <c r="II17" s="86">
        <f t="shared" si="207"/>
        <v>0</v>
      </c>
      <c r="IJ17" s="85">
        <f t="shared" si="208"/>
        <v>0</v>
      </c>
      <c r="IK17" s="86">
        <f t="shared" si="209"/>
        <v>0</v>
      </c>
      <c r="IL17" s="90">
        <f t="shared" si="210"/>
        <v>0</v>
      </c>
      <c r="IM17" s="91">
        <f t="shared" si="211"/>
        <v>0</v>
      </c>
      <c r="IO17" s="24"/>
      <c r="IP17" s="83"/>
      <c r="IQ17" s="95">
        <f t="shared" si="49"/>
        <v>0</v>
      </c>
      <c r="IR17" s="85">
        <f t="shared" si="212"/>
        <v>0</v>
      </c>
      <c r="IS17" s="86">
        <f t="shared" si="213"/>
        <v>0</v>
      </c>
      <c r="IT17" s="85">
        <f t="shared" si="50"/>
        <v>0</v>
      </c>
      <c r="IU17" s="282">
        <f t="shared" si="214"/>
        <v>0</v>
      </c>
      <c r="IV17" s="85">
        <f t="shared" si="51"/>
        <v>0</v>
      </c>
      <c r="IW17" s="282">
        <f t="shared" si="214"/>
        <v>0</v>
      </c>
      <c r="IX17" s="85">
        <f t="shared" si="52"/>
        <v>0</v>
      </c>
      <c r="IY17" s="282">
        <f t="shared" si="215"/>
        <v>0</v>
      </c>
      <c r="IZ17" s="85">
        <f t="shared" si="53"/>
        <v>0</v>
      </c>
      <c r="JA17" s="282">
        <f t="shared" si="216"/>
        <v>0</v>
      </c>
      <c r="JB17" s="85">
        <f t="shared" si="54"/>
        <v>0</v>
      </c>
      <c r="JC17" s="282">
        <f t="shared" si="217"/>
        <v>0</v>
      </c>
      <c r="JD17" s="85">
        <f t="shared" si="218"/>
        <v>0</v>
      </c>
      <c r="JE17" s="282">
        <f t="shared" si="219"/>
        <v>0</v>
      </c>
      <c r="JF17" s="85">
        <f t="shared" si="55"/>
        <v>0</v>
      </c>
      <c r="JG17" s="282">
        <f t="shared" si="220"/>
        <v>0</v>
      </c>
      <c r="JH17" s="85">
        <f t="shared" si="221"/>
        <v>0</v>
      </c>
      <c r="JI17" s="282">
        <f t="shared" si="222"/>
        <v>0</v>
      </c>
      <c r="JJ17" s="85">
        <f t="shared" si="56"/>
        <v>0</v>
      </c>
      <c r="JK17" s="282">
        <f t="shared" si="223"/>
        <v>0</v>
      </c>
      <c r="JL17" s="85">
        <f t="shared" si="224"/>
        <v>0</v>
      </c>
      <c r="JM17" s="282">
        <f t="shared" si="225"/>
        <v>0</v>
      </c>
      <c r="JN17" s="85">
        <f t="shared" si="57"/>
        <v>0</v>
      </c>
      <c r="JO17" s="282">
        <f t="shared" si="226"/>
        <v>0</v>
      </c>
      <c r="JP17" s="90">
        <f t="shared" si="227"/>
        <v>0</v>
      </c>
      <c r="JQ17" s="91">
        <f t="shared" si="228"/>
        <v>0</v>
      </c>
      <c r="JS17" s="24"/>
      <c r="JT17" s="83"/>
      <c r="JU17" s="95">
        <f t="shared" si="58"/>
        <v>0</v>
      </c>
      <c r="JV17" s="85">
        <f t="shared" si="229"/>
        <v>0</v>
      </c>
      <c r="JW17" s="86">
        <f t="shared" si="230"/>
        <v>0</v>
      </c>
      <c r="JX17" s="365">
        <f t="shared" si="59"/>
        <v>0</v>
      </c>
      <c r="JY17" s="86">
        <f t="shared" si="231"/>
        <v>0</v>
      </c>
      <c r="JZ17" s="365">
        <f t="shared" si="60"/>
        <v>0</v>
      </c>
      <c r="KA17" s="86">
        <f t="shared" si="231"/>
        <v>0</v>
      </c>
      <c r="KB17" s="365">
        <f t="shared" si="61"/>
        <v>0</v>
      </c>
      <c r="KC17" s="86">
        <f t="shared" si="232"/>
        <v>0</v>
      </c>
      <c r="KD17" s="365">
        <f t="shared" si="62"/>
        <v>0</v>
      </c>
      <c r="KE17" s="86">
        <f t="shared" si="233"/>
        <v>0</v>
      </c>
      <c r="KF17" s="365">
        <f t="shared" si="63"/>
        <v>0</v>
      </c>
      <c r="KG17" s="86">
        <f t="shared" si="234"/>
        <v>0</v>
      </c>
      <c r="KH17" s="365">
        <f t="shared" si="235"/>
        <v>0</v>
      </c>
      <c r="KI17" s="86">
        <f t="shared" si="236"/>
        <v>0</v>
      </c>
      <c r="KJ17" s="365">
        <f t="shared" si="64"/>
        <v>0</v>
      </c>
      <c r="KK17" s="86">
        <f t="shared" si="237"/>
        <v>0</v>
      </c>
      <c r="KL17" s="365">
        <f t="shared" si="238"/>
        <v>0</v>
      </c>
      <c r="KM17" s="86">
        <f t="shared" si="239"/>
        <v>0</v>
      </c>
      <c r="KN17" s="365">
        <f t="shared" si="65"/>
        <v>0</v>
      </c>
      <c r="KO17" s="86">
        <f t="shared" si="240"/>
        <v>0</v>
      </c>
      <c r="KP17" s="365">
        <f t="shared" si="241"/>
        <v>0</v>
      </c>
      <c r="KQ17" s="86">
        <f t="shared" si="242"/>
        <v>0</v>
      </c>
      <c r="KR17" s="365">
        <f t="shared" si="66"/>
        <v>0</v>
      </c>
      <c r="KS17" s="87">
        <f t="shared" si="243"/>
        <v>0</v>
      </c>
      <c r="KT17" s="90">
        <f t="shared" si="244"/>
        <v>0</v>
      </c>
      <c r="KU17" s="91">
        <f t="shared" si="67"/>
        <v>0</v>
      </c>
      <c r="KW17" s="24">
        <f>+KW4</f>
        <v>21267</v>
      </c>
      <c r="KX17" s="83">
        <v>1</v>
      </c>
      <c r="KY17" s="96">
        <f t="shared" si="68"/>
        <v>3614762.0699300696</v>
      </c>
      <c r="KZ17" s="85">
        <f t="shared" si="271"/>
        <v>21267</v>
      </c>
      <c r="LA17" s="86">
        <f t="shared" si="245"/>
        <v>3614762.0699300696</v>
      </c>
      <c r="LB17" s="85">
        <f t="shared" si="272"/>
        <v>21267</v>
      </c>
      <c r="LC17" s="86">
        <f t="shared" si="246"/>
        <v>3614762.0699300696</v>
      </c>
      <c r="LD17" s="85">
        <f t="shared" si="272"/>
        <v>21267</v>
      </c>
      <c r="LE17" s="86">
        <f t="shared" si="246"/>
        <v>3614762.0699300696</v>
      </c>
      <c r="LF17" s="85">
        <f t="shared" si="272"/>
        <v>21267</v>
      </c>
      <c r="LG17" s="86">
        <f t="shared" si="247"/>
        <v>3614762.0699300696</v>
      </c>
      <c r="LH17" s="85">
        <f t="shared" si="272"/>
        <v>21267</v>
      </c>
      <c r="LI17" s="86">
        <f t="shared" si="248"/>
        <v>3614762.0699300696</v>
      </c>
      <c r="LJ17" s="85">
        <f t="shared" si="273"/>
        <v>21267</v>
      </c>
      <c r="LK17" s="86">
        <f t="shared" si="249"/>
        <v>3614762.0699300696</v>
      </c>
      <c r="LL17" s="85">
        <f t="shared" si="274"/>
        <v>21267</v>
      </c>
      <c r="LM17" s="86">
        <f t="shared" si="250"/>
        <v>3614762.0699300696</v>
      </c>
      <c r="LN17" s="85">
        <f t="shared" si="274"/>
        <v>21267</v>
      </c>
      <c r="LO17" s="86">
        <f t="shared" si="251"/>
        <v>3614762.0699300696</v>
      </c>
      <c r="LP17" s="85">
        <f t="shared" si="276"/>
        <v>21267</v>
      </c>
      <c r="LQ17" s="86">
        <f t="shared" si="252"/>
        <v>3614762.0699300696</v>
      </c>
      <c r="LR17" s="85">
        <f t="shared" ref="LR17:LT17" si="284">+$KW17*$KX17</f>
        <v>21267</v>
      </c>
      <c r="LS17" s="86">
        <f t="shared" si="253"/>
        <v>3614762.0699300696</v>
      </c>
      <c r="LT17" s="85">
        <f t="shared" si="284"/>
        <v>21267</v>
      </c>
      <c r="LU17" s="86">
        <f t="shared" si="254"/>
        <v>3614762.0699300696</v>
      </c>
      <c r="LV17" s="85">
        <f t="shared" si="279"/>
        <v>21267</v>
      </c>
      <c r="LW17" s="86">
        <f t="shared" si="255"/>
        <v>3614762.0699300696</v>
      </c>
      <c r="LX17" s="90">
        <f t="shared" si="256"/>
        <v>255204</v>
      </c>
      <c r="LY17" s="91">
        <f t="shared" si="257"/>
        <v>43377144.839160837</v>
      </c>
      <c r="MA17" s="97">
        <f t="shared" si="69"/>
        <v>103393.4</v>
      </c>
      <c r="MB17" s="383">
        <f t="shared" si="258"/>
        <v>17573825.203418802</v>
      </c>
      <c r="MC17" s="391">
        <f t="shared" si="70"/>
        <v>21267</v>
      </c>
      <c r="MD17" s="383">
        <f t="shared" si="259"/>
        <v>3614762.0699300696</v>
      </c>
      <c r="ME17" s="391">
        <f t="shared" si="71"/>
        <v>21267</v>
      </c>
      <c r="MF17" s="383">
        <f t="shared" si="259"/>
        <v>3614762.0699300696</v>
      </c>
      <c r="MG17" s="391">
        <f t="shared" si="72"/>
        <v>142036.4</v>
      </c>
      <c r="MH17" s="383">
        <f t="shared" si="260"/>
        <v>24141994.229059827</v>
      </c>
      <c r="MI17" s="391">
        <f t="shared" si="73"/>
        <v>28534</v>
      </c>
      <c r="MJ17" s="383">
        <f t="shared" si="261"/>
        <v>4849937.504273504</v>
      </c>
      <c r="MK17" s="391">
        <f t="shared" si="74"/>
        <v>21267</v>
      </c>
      <c r="ML17" s="383">
        <f t="shared" si="262"/>
        <v>3614762.0699300696</v>
      </c>
      <c r="MM17" s="391">
        <f t="shared" si="75"/>
        <v>82036.399999999994</v>
      </c>
      <c r="MN17" s="383">
        <f t="shared" si="263"/>
        <v>13943765.790831389</v>
      </c>
      <c r="MO17" s="391">
        <f t="shared" si="76"/>
        <v>81267</v>
      </c>
      <c r="MP17" s="383">
        <f t="shared" si="264"/>
        <v>13812990.508158507</v>
      </c>
      <c r="MQ17" s="391">
        <f t="shared" si="77"/>
        <v>28534</v>
      </c>
      <c r="MR17" s="383">
        <f t="shared" si="265"/>
        <v>4849937.504273504</v>
      </c>
      <c r="MS17" s="391">
        <f t="shared" si="78"/>
        <v>82036.399999999994</v>
      </c>
      <c r="MT17" s="383">
        <f t="shared" si="266"/>
        <v>13943765.790831389</v>
      </c>
      <c r="MU17" s="391">
        <f t="shared" si="79"/>
        <v>21267</v>
      </c>
      <c r="MV17" s="383">
        <f t="shared" si="267"/>
        <v>3614762.0699300696</v>
      </c>
      <c r="MW17" s="391">
        <f t="shared" si="80"/>
        <v>81267</v>
      </c>
      <c r="MX17" s="383">
        <f t="shared" si="268"/>
        <v>13812990.508158507</v>
      </c>
      <c r="MY17" s="98">
        <f t="shared" si="269"/>
        <v>714172.6</v>
      </c>
      <c r="MZ17" s="99">
        <f t="shared" si="270"/>
        <v>121388255.31872571</v>
      </c>
    </row>
    <row r="18" spans="1:364" s="63" customFormat="1" ht="40.200000000000003" thickBot="1" x14ac:dyDescent="0.35">
      <c r="A18" s="541"/>
      <c r="B18" s="102" t="s">
        <v>56</v>
      </c>
      <c r="C18" s="103" t="s">
        <v>57</v>
      </c>
      <c r="D18" s="104" t="s">
        <v>28</v>
      </c>
      <c r="E18" s="11">
        <v>1</v>
      </c>
      <c r="F18" s="344">
        <v>191.49831649831646</v>
      </c>
      <c r="G18" s="344">
        <f t="shared" si="81"/>
        <v>199.47923681257009</v>
      </c>
      <c r="I18" s="29">
        <v>7267</v>
      </c>
      <c r="J18" s="105">
        <v>4</v>
      </c>
      <c r="K18" s="106">
        <f t="shared" si="82"/>
        <v>5798462.4556677872</v>
      </c>
      <c r="L18" s="107">
        <f t="shared" si="83"/>
        <v>29068</v>
      </c>
      <c r="M18" s="283">
        <f t="shared" si="84"/>
        <v>5798462.4556677872</v>
      </c>
      <c r="N18" s="107">
        <f t="shared" si="83"/>
        <v>29068</v>
      </c>
      <c r="O18" s="283">
        <f t="shared" si="84"/>
        <v>5798462.4556677872</v>
      </c>
      <c r="P18" s="107">
        <f t="shared" si="83"/>
        <v>29068</v>
      </c>
      <c r="Q18" s="283">
        <f t="shared" si="85"/>
        <v>5798462.4556677872</v>
      </c>
      <c r="R18" s="107">
        <f t="shared" si="83"/>
        <v>29068</v>
      </c>
      <c r="S18" s="283">
        <f t="shared" si="86"/>
        <v>5798462.4556677872</v>
      </c>
      <c r="T18" s="107">
        <f t="shared" si="83"/>
        <v>29068</v>
      </c>
      <c r="U18" s="283">
        <f t="shared" si="87"/>
        <v>5798462.4556677872</v>
      </c>
      <c r="V18" s="107">
        <f t="shared" si="83"/>
        <v>29068</v>
      </c>
      <c r="W18" s="283">
        <f t="shared" si="88"/>
        <v>5798462.4556677872</v>
      </c>
      <c r="X18" s="107">
        <f t="shared" si="83"/>
        <v>29068</v>
      </c>
      <c r="Y18" s="283">
        <f t="shared" si="89"/>
        <v>5798462.4556677872</v>
      </c>
      <c r="Z18" s="107">
        <f t="shared" si="83"/>
        <v>29068</v>
      </c>
      <c r="AA18" s="283">
        <f t="shared" si="90"/>
        <v>5798462.4556677872</v>
      </c>
      <c r="AB18" s="107">
        <f t="shared" si="83"/>
        <v>29068</v>
      </c>
      <c r="AC18" s="283">
        <f t="shared" si="91"/>
        <v>5798462.4556677872</v>
      </c>
      <c r="AD18" s="107">
        <f t="shared" si="83"/>
        <v>29068</v>
      </c>
      <c r="AE18" s="283">
        <f t="shared" si="92"/>
        <v>5798462.4556677872</v>
      </c>
      <c r="AF18" s="107">
        <f t="shared" si="83"/>
        <v>29068</v>
      </c>
      <c r="AG18" s="283">
        <f t="shared" si="93"/>
        <v>5798462.4556677872</v>
      </c>
      <c r="AH18" s="107">
        <f t="shared" si="83"/>
        <v>29068</v>
      </c>
      <c r="AI18" s="292">
        <f t="shared" si="93"/>
        <v>5798462.4556677872</v>
      </c>
      <c r="AJ18" s="110">
        <f t="shared" si="94"/>
        <v>348816</v>
      </c>
      <c r="AK18" s="304">
        <f t="shared" si="95"/>
        <v>69581549.468013451</v>
      </c>
      <c r="AM18" s="29">
        <v>14090</v>
      </c>
      <c r="AN18" s="105">
        <v>2</v>
      </c>
      <c r="AO18" s="111">
        <f t="shared" si="0"/>
        <v>5621324.8933782252</v>
      </c>
      <c r="AP18" s="107">
        <f t="shared" si="1"/>
        <v>28180</v>
      </c>
      <c r="AQ18" s="283">
        <f t="shared" si="96"/>
        <v>5621324.8933782252</v>
      </c>
      <c r="AR18" s="315">
        <f t="shared" si="2"/>
        <v>28180</v>
      </c>
      <c r="AS18" s="283">
        <f t="shared" si="96"/>
        <v>5621324.8933782252</v>
      </c>
      <c r="AT18" s="315">
        <f t="shared" si="3"/>
        <v>28180</v>
      </c>
      <c r="AU18" s="283">
        <f t="shared" si="97"/>
        <v>5621324.8933782252</v>
      </c>
      <c r="AV18" s="315">
        <f t="shared" si="4"/>
        <v>28180</v>
      </c>
      <c r="AW18" s="283">
        <f t="shared" si="98"/>
        <v>5621324.8933782252</v>
      </c>
      <c r="AX18" s="315">
        <f t="shared" si="5"/>
        <v>28180</v>
      </c>
      <c r="AY18" s="283">
        <f t="shared" si="99"/>
        <v>5621324.8933782252</v>
      </c>
      <c r="AZ18" s="315">
        <f t="shared" si="6"/>
        <v>28180</v>
      </c>
      <c r="BA18" s="283">
        <f t="shared" si="100"/>
        <v>5621324.8933782252</v>
      </c>
      <c r="BB18" s="315">
        <f t="shared" si="7"/>
        <v>28180</v>
      </c>
      <c r="BC18" s="283">
        <f t="shared" si="101"/>
        <v>5621324.8933782252</v>
      </c>
      <c r="BD18" s="315">
        <f t="shared" si="8"/>
        <v>28180</v>
      </c>
      <c r="BE18" s="283">
        <f t="shared" si="102"/>
        <v>5621324.8933782252</v>
      </c>
      <c r="BF18" s="315">
        <f t="shared" si="9"/>
        <v>28180</v>
      </c>
      <c r="BG18" s="283">
        <f t="shared" si="103"/>
        <v>5621324.8933782252</v>
      </c>
      <c r="BH18" s="315">
        <f t="shared" si="10"/>
        <v>28180</v>
      </c>
      <c r="BI18" s="283">
        <f t="shared" si="104"/>
        <v>5621324.8933782252</v>
      </c>
      <c r="BJ18" s="315">
        <f t="shared" si="11"/>
        <v>28180</v>
      </c>
      <c r="BK18" s="283">
        <f t="shared" si="104"/>
        <v>5621324.8933782252</v>
      </c>
      <c r="BL18" s="107">
        <f t="shared" si="12"/>
        <v>28180</v>
      </c>
      <c r="BM18" s="323">
        <f t="shared" si="105"/>
        <v>5621324.8933782252</v>
      </c>
      <c r="BN18" s="112">
        <f t="shared" si="106"/>
        <v>338160</v>
      </c>
      <c r="BO18" s="327">
        <f t="shared" si="13"/>
        <v>67455898.720538706</v>
      </c>
      <c r="BQ18" s="114">
        <v>19287.400000000001</v>
      </c>
      <c r="BR18" s="105">
        <v>6</v>
      </c>
      <c r="BS18" s="115">
        <f t="shared" si="281"/>
        <v>23084614.992592588</v>
      </c>
      <c r="BT18" s="107">
        <f t="shared" si="280"/>
        <v>115724.40000000001</v>
      </c>
      <c r="BU18" s="330">
        <f t="shared" si="107"/>
        <v>23084614.992592588</v>
      </c>
      <c r="BV18" s="107">
        <f t="shared" si="15"/>
        <v>115724.40000000001</v>
      </c>
      <c r="BW18" s="108">
        <f t="shared" si="108"/>
        <v>23084614.992592588</v>
      </c>
      <c r="BX18" s="107">
        <f t="shared" si="16"/>
        <v>115724.40000000001</v>
      </c>
      <c r="BY18" s="108">
        <f t="shared" si="109"/>
        <v>23084614.992592588</v>
      </c>
      <c r="BZ18" s="107">
        <f t="shared" si="17"/>
        <v>115724.40000000001</v>
      </c>
      <c r="CA18" s="108">
        <f t="shared" si="110"/>
        <v>23084614.992592588</v>
      </c>
      <c r="CB18" s="107">
        <f t="shared" si="18"/>
        <v>115724.40000000001</v>
      </c>
      <c r="CC18" s="108">
        <f t="shared" si="111"/>
        <v>23084614.992592588</v>
      </c>
      <c r="CD18" s="107">
        <f t="shared" si="19"/>
        <v>115724.40000000001</v>
      </c>
      <c r="CE18" s="108">
        <f t="shared" si="112"/>
        <v>23084614.992592588</v>
      </c>
      <c r="CF18" s="107">
        <f t="shared" si="113"/>
        <v>115724.40000000001</v>
      </c>
      <c r="CG18" s="108">
        <f t="shared" si="114"/>
        <v>23084614.992592588</v>
      </c>
      <c r="CH18" s="107">
        <f t="shared" si="20"/>
        <v>115724.40000000001</v>
      </c>
      <c r="CI18" s="108">
        <f t="shared" si="115"/>
        <v>23084614.992592588</v>
      </c>
      <c r="CJ18" s="107">
        <f t="shared" si="116"/>
        <v>115724.40000000001</v>
      </c>
      <c r="CK18" s="108">
        <f t="shared" si="117"/>
        <v>23084614.992592588</v>
      </c>
      <c r="CL18" s="107">
        <f t="shared" si="21"/>
        <v>115724.40000000001</v>
      </c>
      <c r="CM18" s="108">
        <f t="shared" si="118"/>
        <v>23084614.992592588</v>
      </c>
      <c r="CN18" s="107">
        <f t="shared" si="119"/>
        <v>115724.40000000001</v>
      </c>
      <c r="CO18" s="108">
        <f t="shared" si="120"/>
        <v>23084614.992592588</v>
      </c>
      <c r="CP18" s="107">
        <f t="shared" si="22"/>
        <v>115724.40000000001</v>
      </c>
      <c r="CQ18" s="109">
        <f t="shared" si="23"/>
        <v>23084614.992592588</v>
      </c>
      <c r="CR18" s="116">
        <f t="shared" si="121"/>
        <v>1388692.7999999998</v>
      </c>
      <c r="CS18" s="113">
        <f t="shared" si="24"/>
        <v>277015379.911111</v>
      </c>
      <c r="CU18" s="114">
        <v>18070</v>
      </c>
      <c r="CV18" s="105">
        <v>6</v>
      </c>
      <c r="CW18" s="117">
        <f t="shared" si="282"/>
        <v>21627538.85521885</v>
      </c>
      <c r="CX18" s="107">
        <f t="shared" si="122"/>
        <v>108420</v>
      </c>
      <c r="CY18" s="108">
        <f t="shared" si="123"/>
        <v>21627538.85521885</v>
      </c>
      <c r="CZ18" s="107">
        <f t="shared" si="26"/>
        <v>108420</v>
      </c>
      <c r="DA18" s="283">
        <f t="shared" si="123"/>
        <v>21627538.85521885</v>
      </c>
      <c r="DB18" s="107">
        <f t="shared" si="27"/>
        <v>108420</v>
      </c>
      <c r="DC18" s="283">
        <f t="shared" si="124"/>
        <v>21627538.85521885</v>
      </c>
      <c r="DD18" s="107">
        <f t="shared" si="28"/>
        <v>108420</v>
      </c>
      <c r="DE18" s="283">
        <f t="shared" si="125"/>
        <v>21627538.85521885</v>
      </c>
      <c r="DF18" s="107">
        <f t="shared" si="29"/>
        <v>108420</v>
      </c>
      <c r="DG18" s="283">
        <f t="shared" si="126"/>
        <v>21627538.85521885</v>
      </c>
      <c r="DH18" s="107">
        <f t="shared" si="30"/>
        <v>108420</v>
      </c>
      <c r="DI18" s="283">
        <f t="shared" si="127"/>
        <v>21627538.85521885</v>
      </c>
      <c r="DJ18" s="107">
        <f t="shared" si="128"/>
        <v>108420</v>
      </c>
      <c r="DK18" s="283">
        <f t="shared" si="129"/>
        <v>21627538.85521885</v>
      </c>
      <c r="DL18" s="107">
        <f t="shared" si="31"/>
        <v>108420</v>
      </c>
      <c r="DM18" s="283">
        <f t="shared" si="130"/>
        <v>21627538.85521885</v>
      </c>
      <c r="DN18" s="107">
        <f t="shared" si="131"/>
        <v>108420</v>
      </c>
      <c r="DO18" s="283">
        <f t="shared" si="132"/>
        <v>21627538.85521885</v>
      </c>
      <c r="DP18" s="107">
        <f t="shared" si="32"/>
        <v>108420</v>
      </c>
      <c r="DQ18" s="283">
        <f t="shared" si="133"/>
        <v>21627538.85521885</v>
      </c>
      <c r="DR18" s="107">
        <f t="shared" si="134"/>
        <v>108420</v>
      </c>
      <c r="DS18" s="283">
        <f t="shared" si="135"/>
        <v>21627538.85521885</v>
      </c>
      <c r="DT18" s="107">
        <f t="shared" si="33"/>
        <v>108420</v>
      </c>
      <c r="DU18" s="283">
        <f t="shared" si="136"/>
        <v>21627538.85521885</v>
      </c>
      <c r="DV18" s="116">
        <f t="shared" si="137"/>
        <v>1301040</v>
      </c>
      <c r="DW18" s="113">
        <f t="shared" si="34"/>
        <v>259530466.2626262</v>
      </c>
      <c r="DY18" s="118">
        <v>60000</v>
      </c>
      <c r="DZ18" s="105">
        <v>4</v>
      </c>
      <c r="EA18" s="117">
        <f t="shared" si="35"/>
        <v>11968754.208754206</v>
      </c>
      <c r="EB18" s="107">
        <v>0</v>
      </c>
      <c r="EC18" s="108">
        <f t="shared" si="139"/>
        <v>0</v>
      </c>
      <c r="ED18" s="315">
        <v>0</v>
      </c>
      <c r="EE18" s="108">
        <f t="shared" si="139"/>
        <v>0</v>
      </c>
      <c r="EF18" s="107">
        <v>0</v>
      </c>
      <c r="EG18" s="108">
        <f t="shared" si="141"/>
        <v>0</v>
      </c>
      <c r="EH18" s="107">
        <f t="shared" si="283"/>
        <v>240000</v>
      </c>
      <c r="EI18" s="108">
        <f t="shared" si="141"/>
        <v>47875016.835016824</v>
      </c>
      <c r="EJ18" s="107">
        <f t="shared" si="283"/>
        <v>240000</v>
      </c>
      <c r="EK18" s="108">
        <f t="shared" si="143"/>
        <v>47875016.835016824</v>
      </c>
      <c r="EL18" s="107">
        <f t="shared" si="283"/>
        <v>240000</v>
      </c>
      <c r="EM18" s="108">
        <f t="shared" si="144"/>
        <v>47875016.835016824</v>
      </c>
      <c r="EN18" s="107">
        <f t="shared" si="283"/>
        <v>240000</v>
      </c>
      <c r="EO18" s="108">
        <f t="shared" si="145"/>
        <v>47875016.835016824</v>
      </c>
      <c r="EP18" s="107">
        <f t="shared" si="283"/>
        <v>240000</v>
      </c>
      <c r="EQ18" s="108">
        <f t="shared" si="146"/>
        <v>47875016.835016824</v>
      </c>
      <c r="ER18" s="107">
        <f t="shared" si="283"/>
        <v>240000</v>
      </c>
      <c r="ES18" s="108">
        <f t="shared" si="147"/>
        <v>47875016.835016824</v>
      </c>
      <c r="ET18" s="107">
        <f t="shared" si="283"/>
        <v>240000</v>
      </c>
      <c r="EU18" s="108">
        <f t="shared" si="148"/>
        <v>47875016.835016824</v>
      </c>
      <c r="EV18" s="107">
        <f t="shared" si="283"/>
        <v>240000</v>
      </c>
      <c r="EW18" s="108">
        <f t="shared" si="149"/>
        <v>47875016.835016824</v>
      </c>
      <c r="EX18" s="107">
        <f t="shared" si="283"/>
        <v>240000</v>
      </c>
      <c r="EY18" s="108">
        <f t="shared" si="150"/>
        <v>47875016.835016824</v>
      </c>
      <c r="EZ18" s="112">
        <f t="shared" si="151"/>
        <v>2160000</v>
      </c>
      <c r="FA18" s="113">
        <f t="shared" si="36"/>
        <v>430875151.51515138</v>
      </c>
      <c r="FC18" s="29"/>
      <c r="FD18" s="105"/>
      <c r="FE18" s="119">
        <f t="shared" si="152"/>
        <v>0</v>
      </c>
      <c r="FF18" s="107">
        <f t="shared" si="153"/>
        <v>0</v>
      </c>
      <c r="FG18" s="108">
        <f t="shared" si="154"/>
        <v>0</v>
      </c>
      <c r="FH18" s="366">
        <f t="shared" si="37"/>
        <v>0</v>
      </c>
      <c r="FI18" s="108">
        <f t="shared" si="155"/>
        <v>0</v>
      </c>
      <c r="FJ18" s="366">
        <f t="shared" si="38"/>
        <v>0</v>
      </c>
      <c r="FK18" s="108">
        <f t="shared" si="155"/>
        <v>0</v>
      </c>
      <c r="FL18" s="366">
        <f t="shared" si="39"/>
        <v>0</v>
      </c>
      <c r="FM18" s="108">
        <f t="shared" si="156"/>
        <v>0</v>
      </c>
      <c r="FN18" s="366">
        <f t="shared" si="40"/>
        <v>0</v>
      </c>
      <c r="FO18" s="108">
        <f t="shared" si="157"/>
        <v>0</v>
      </c>
      <c r="FP18" s="366">
        <f t="shared" si="41"/>
        <v>0</v>
      </c>
      <c r="FQ18" s="108">
        <f t="shared" si="158"/>
        <v>0</v>
      </c>
      <c r="FR18" s="366">
        <f t="shared" si="159"/>
        <v>0</v>
      </c>
      <c r="FS18" s="108">
        <f t="shared" si="160"/>
        <v>0</v>
      </c>
      <c r="FT18" s="366">
        <f t="shared" si="42"/>
        <v>0</v>
      </c>
      <c r="FU18" s="108">
        <f t="shared" si="161"/>
        <v>0</v>
      </c>
      <c r="FV18" s="366">
        <f t="shared" si="162"/>
        <v>0</v>
      </c>
      <c r="FW18" s="108">
        <f t="shared" si="163"/>
        <v>0</v>
      </c>
      <c r="FX18" s="366">
        <f t="shared" si="43"/>
        <v>0</v>
      </c>
      <c r="FY18" s="108">
        <f t="shared" si="164"/>
        <v>0</v>
      </c>
      <c r="FZ18" s="366">
        <f t="shared" si="165"/>
        <v>0</v>
      </c>
      <c r="GA18" s="108">
        <f t="shared" si="166"/>
        <v>0</v>
      </c>
      <c r="GB18" s="366">
        <f t="shared" si="44"/>
        <v>0</v>
      </c>
      <c r="GC18" s="108">
        <f t="shared" si="167"/>
        <v>0</v>
      </c>
      <c r="GD18" s="112">
        <f t="shared" si="168"/>
        <v>0</v>
      </c>
      <c r="GE18" s="113">
        <f t="shared" si="45"/>
        <v>0</v>
      </c>
      <c r="GG18" s="29">
        <v>23412</v>
      </c>
      <c r="GH18" s="105">
        <v>4</v>
      </c>
      <c r="GI18" s="119">
        <f t="shared" si="46"/>
        <v>18680831.569023564</v>
      </c>
      <c r="GJ18" s="107">
        <f>+GG18*GH18</f>
        <v>93648</v>
      </c>
      <c r="GK18" s="108">
        <f t="shared" si="170"/>
        <v>18680831.569023564</v>
      </c>
      <c r="GL18" s="107">
        <f t="shared" si="169"/>
        <v>93648</v>
      </c>
      <c r="GM18" s="108">
        <f t="shared" si="170"/>
        <v>18680831.569023564</v>
      </c>
      <c r="GN18" s="107">
        <f t="shared" si="169"/>
        <v>93648</v>
      </c>
      <c r="GO18" s="108">
        <f t="shared" si="171"/>
        <v>18680831.569023564</v>
      </c>
      <c r="GP18" s="107">
        <f t="shared" si="169"/>
        <v>93648</v>
      </c>
      <c r="GQ18" s="108">
        <f t="shared" si="172"/>
        <v>18680831.569023564</v>
      </c>
      <c r="GR18" s="107">
        <f t="shared" si="173"/>
        <v>93648</v>
      </c>
      <c r="GS18" s="108">
        <f t="shared" si="174"/>
        <v>18680831.569023564</v>
      </c>
      <c r="GT18" s="107">
        <f t="shared" si="175"/>
        <v>93648</v>
      </c>
      <c r="GU18" s="108">
        <f t="shared" si="176"/>
        <v>18680831.569023564</v>
      </c>
      <c r="GV18" s="107">
        <f t="shared" si="177"/>
        <v>93648</v>
      </c>
      <c r="GW18" s="108">
        <f t="shared" si="178"/>
        <v>18680831.569023564</v>
      </c>
      <c r="GX18" s="107">
        <f t="shared" si="179"/>
        <v>93648</v>
      </c>
      <c r="GY18" s="108">
        <f t="shared" si="180"/>
        <v>18680831.569023564</v>
      </c>
      <c r="GZ18" s="107">
        <f t="shared" si="181"/>
        <v>93648</v>
      </c>
      <c r="HA18" s="108">
        <f t="shared" si="182"/>
        <v>18680831.569023564</v>
      </c>
      <c r="HB18" s="107">
        <f t="shared" si="183"/>
        <v>93648</v>
      </c>
      <c r="HC18" s="108">
        <f t="shared" si="184"/>
        <v>18680831.569023564</v>
      </c>
      <c r="HD18" s="107">
        <f t="shared" si="185"/>
        <v>93648</v>
      </c>
      <c r="HE18" s="108">
        <f t="shared" si="186"/>
        <v>18680831.569023564</v>
      </c>
      <c r="HF18" s="107">
        <f t="shared" si="187"/>
        <v>93648</v>
      </c>
      <c r="HG18" s="108">
        <f t="shared" si="188"/>
        <v>18680831.569023564</v>
      </c>
      <c r="HH18" s="116">
        <f t="shared" si="189"/>
        <v>1123776</v>
      </c>
      <c r="HI18" s="113">
        <f t="shared" si="47"/>
        <v>224169978.82828277</v>
      </c>
      <c r="HK18" s="29"/>
      <c r="HL18" s="105"/>
      <c r="HM18" s="119">
        <f t="shared" si="48"/>
        <v>0</v>
      </c>
      <c r="HN18" s="107">
        <f t="shared" si="190"/>
        <v>0</v>
      </c>
      <c r="HO18" s="108">
        <f t="shared" si="191"/>
        <v>0</v>
      </c>
      <c r="HP18" s="107">
        <f t="shared" si="192"/>
        <v>0</v>
      </c>
      <c r="HQ18" s="108">
        <f t="shared" si="193"/>
        <v>0</v>
      </c>
      <c r="HR18" s="107">
        <f t="shared" si="192"/>
        <v>0</v>
      </c>
      <c r="HS18" s="108">
        <f t="shared" si="193"/>
        <v>0</v>
      </c>
      <c r="HT18" s="107">
        <f t="shared" si="192"/>
        <v>0</v>
      </c>
      <c r="HU18" s="108">
        <f t="shared" si="194"/>
        <v>0</v>
      </c>
      <c r="HV18" s="107">
        <f t="shared" si="192"/>
        <v>0</v>
      </c>
      <c r="HW18" s="108">
        <f t="shared" si="195"/>
        <v>0</v>
      </c>
      <c r="HX18" s="107">
        <f t="shared" si="196"/>
        <v>0</v>
      </c>
      <c r="HY18" s="108">
        <f t="shared" si="197"/>
        <v>0</v>
      </c>
      <c r="HZ18" s="107">
        <f t="shared" si="198"/>
        <v>0</v>
      </c>
      <c r="IA18" s="108">
        <f t="shared" si="199"/>
        <v>0</v>
      </c>
      <c r="IB18" s="107">
        <f t="shared" si="200"/>
        <v>0</v>
      </c>
      <c r="IC18" s="108">
        <f t="shared" si="201"/>
        <v>0</v>
      </c>
      <c r="ID18" s="107">
        <f t="shared" si="202"/>
        <v>0</v>
      </c>
      <c r="IE18" s="108">
        <f t="shared" si="203"/>
        <v>0</v>
      </c>
      <c r="IF18" s="107">
        <f t="shared" si="204"/>
        <v>0</v>
      </c>
      <c r="IG18" s="108">
        <f t="shared" si="205"/>
        <v>0</v>
      </c>
      <c r="IH18" s="107">
        <f t="shared" si="206"/>
        <v>0</v>
      </c>
      <c r="II18" s="108">
        <f t="shared" si="207"/>
        <v>0</v>
      </c>
      <c r="IJ18" s="107">
        <f t="shared" si="208"/>
        <v>0</v>
      </c>
      <c r="IK18" s="108">
        <f t="shared" si="209"/>
        <v>0</v>
      </c>
      <c r="IL18" s="112">
        <f t="shared" si="210"/>
        <v>0</v>
      </c>
      <c r="IM18" s="113">
        <f t="shared" si="211"/>
        <v>0</v>
      </c>
      <c r="IO18" s="29"/>
      <c r="IP18" s="105"/>
      <c r="IQ18" s="119">
        <f t="shared" si="49"/>
        <v>0</v>
      </c>
      <c r="IR18" s="107">
        <f t="shared" si="212"/>
        <v>0</v>
      </c>
      <c r="IS18" s="108">
        <f t="shared" si="213"/>
        <v>0</v>
      </c>
      <c r="IT18" s="107">
        <f t="shared" si="50"/>
        <v>0</v>
      </c>
      <c r="IU18" s="283">
        <f t="shared" si="214"/>
        <v>0</v>
      </c>
      <c r="IV18" s="107">
        <f t="shared" si="51"/>
        <v>0</v>
      </c>
      <c r="IW18" s="283">
        <f t="shared" si="214"/>
        <v>0</v>
      </c>
      <c r="IX18" s="107">
        <f t="shared" si="52"/>
        <v>0</v>
      </c>
      <c r="IY18" s="283">
        <f t="shared" si="215"/>
        <v>0</v>
      </c>
      <c r="IZ18" s="107">
        <f t="shared" si="53"/>
        <v>0</v>
      </c>
      <c r="JA18" s="283">
        <f t="shared" si="216"/>
        <v>0</v>
      </c>
      <c r="JB18" s="107">
        <f t="shared" si="54"/>
        <v>0</v>
      </c>
      <c r="JC18" s="283">
        <f t="shared" si="217"/>
        <v>0</v>
      </c>
      <c r="JD18" s="107">
        <f t="shared" si="218"/>
        <v>0</v>
      </c>
      <c r="JE18" s="283">
        <f t="shared" si="219"/>
        <v>0</v>
      </c>
      <c r="JF18" s="107">
        <f t="shared" si="55"/>
        <v>0</v>
      </c>
      <c r="JG18" s="283">
        <f t="shared" si="220"/>
        <v>0</v>
      </c>
      <c r="JH18" s="107">
        <f t="shared" si="221"/>
        <v>0</v>
      </c>
      <c r="JI18" s="283">
        <f t="shared" si="222"/>
        <v>0</v>
      </c>
      <c r="JJ18" s="107">
        <f t="shared" si="56"/>
        <v>0</v>
      </c>
      <c r="JK18" s="283">
        <f t="shared" si="223"/>
        <v>0</v>
      </c>
      <c r="JL18" s="107">
        <f t="shared" si="224"/>
        <v>0</v>
      </c>
      <c r="JM18" s="283">
        <f t="shared" si="225"/>
        <v>0</v>
      </c>
      <c r="JN18" s="107">
        <f t="shared" si="57"/>
        <v>0</v>
      </c>
      <c r="JO18" s="283">
        <f t="shared" si="226"/>
        <v>0</v>
      </c>
      <c r="JP18" s="112">
        <f t="shared" si="227"/>
        <v>0</v>
      </c>
      <c r="JQ18" s="113">
        <f t="shared" si="228"/>
        <v>0</v>
      </c>
      <c r="JS18" s="29"/>
      <c r="JT18" s="105"/>
      <c r="JU18" s="119">
        <f t="shared" si="58"/>
        <v>0</v>
      </c>
      <c r="JV18" s="107">
        <f t="shared" si="229"/>
        <v>0</v>
      </c>
      <c r="JW18" s="108">
        <f t="shared" si="230"/>
        <v>0</v>
      </c>
      <c r="JX18" s="366">
        <f t="shared" si="59"/>
        <v>0</v>
      </c>
      <c r="JY18" s="108">
        <f t="shared" si="231"/>
        <v>0</v>
      </c>
      <c r="JZ18" s="366">
        <f t="shared" si="60"/>
        <v>0</v>
      </c>
      <c r="KA18" s="108">
        <f t="shared" si="231"/>
        <v>0</v>
      </c>
      <c r="KB18" s="366">
        <f t="shared" si="61"/>
        <v>0</v>
      </c>
      <c r="KC18" s="108">
        <f t="shared" si="232"/>
        <v>0</v>
      </c>
      <c r="KD18" s="366">
        <f t="shared" si="62"/>
        <v>0</v>
      </c>
      <c r="KE18" s="108">
        <f t="shared" si="233"/>
        <v>0</v>
      </c>
      <c r="KF18" s="366">
        <f t="shared" si="63"/>
        <v>0</v>
      </c>
      <c r="KG18" s="108">
        <f t="shared" si="234"/>
        <v>0</v>
      </c>
      <c r="KH18" s="366">
        <f t="shared" si="235"/>
        <v>0</v>
      </c>
      <c r="KI18" s="108">
        <f t="shared" si="236"/>
        <v>0</v>
      </c>
      <c r="KJ18" s="366">
        <f t="shared" si="64"/>
        <v>0</v>
      </c>
      <c r="KK18" s="108">
        <f t="shared" si="237"/>
        <v>0</v>
      </c>
      <c r="KL18" s="366">
        <f t="shared" si="238"/>
        <v>0</v>
      </c>
      <c r="KM18" s="108">
        <f t="shared" si="239"/>
        <v>0</v>
      </c>
      <c r="KN18" s="366">
        <f t="shared" si="65"/>
        <v>0</v>
      </c>
      <c r="KO18" s="108">
        <f t="shared" si="240"/>
        <v>0</v>
      </c>
      <c r="KP18" s="366">
        <f t="shared" si="241"/>
        <v>0</v>
      </c>
      <c r="KQ18" s="108">
        <f t="shared" si="242"/>
        <v>0</v>
      </c>
      <c r="KR18" s="366">
        <f t="shared" si="66"/>
        <v>0</v>
      </c>
      <c r="KS18" s="109">
        <f t="shared" si="243"/>
        <v>0</v>
      </c>
      <c r="KT18" s="112">
        <f t="shared" si="244"/>
        <v>0</v>
      </c>
      <c r="KU18" s="113">
        <f t="shared" si="67"/>
        <v>0</v>
      </c>
      <c r="KW18" s="29">
        <f>+KW4*1</f>
        <v>21267</v>
      </c>
      <c r="KX18" s="105">
        <v>1</v>
      </c>
      <c r="KY18" s="120">
        <f t="shared" si="68"/>
        <v>4242324.9292929284</v>
      </c>
      <c r="KZ18" s="107">
        <f>+$KW18*$KX18</f>
        <v>21267</v>
      </c>
      <c r="LA18" s="108">
        <f t="shared" si="245"/>
        <v>4242324.9292929284</v>
      </c>
      <c r="LB18" s="107">
        <f>+$KW18*$KX18</f>
        <v>21267</v>
      </c>
      <c r="LC18" s="108">
        <f t="shared" si="246"/>
        <v>4242324.9292929284</v>
      </c>
      <c r="LD18" s="107">
        <f>+$KW18*$KX18</f>
        <v>21267</v>
      </c>
      <c r="LE18" s="108">
        <f t="shared" si="246"/>
        <v>4242324.9292929284</v>
      </c>
      <c r="LF18" s="107">
        <f>+$KW18*$KX18</f>
        <v>21267</v>
      </c>
      <c r="LG18" s="108">
        <f t="shared" si="247"/>
        <v>4242324.9292929284</v>
      </c>
      <c r="LH18" s="107">
        <f>+$KW18*$KX18</f>
        <v>21267</v>
      </c>
      <c r="LI18" s="108">
        <f t="shared" si="248"/>
        <v>4242324.9292929284</v>
      </c>
      <c r="LJ18" s="107">
        <f>+$KW18*$KX18</f>
        <v>21267</v>
      </c>
      <c r="LK18" s="108">
        <f t="shared" si="249"/>
        <v>4242324.9292929284</v>
      </c>
      <c r="LL18" s="107">
        <f>+$KW18*$KX18</f>
        <v>21267</v>
      </c>
      <c r="LM18" s="108">
        <f t="shared" si="250"/>
        <v>4242324.9292929284</v>
      </c>
      <c r="LN18" s="107">
        <f>+$KW18*$KX18</f>
        <v>21267</v>
      </c>
      <c r="LO18" s="108">
        <f t="shared" si="251"/>
        <v>4242324.9292929284</v>
      </c>
      <c r="LP18" s="107">
        <f>+$KW18*$KX18</f>
        <v>21267</v>
      </c>
      <c r="LQ18" s="108">
        <f t="shared" si="252"/>
        <v>4242324.9292929284</v>
      </c>
      <c r="LR18" s="107">
        <f>+$KW18*$KX18</f>
        <v>21267</v>
      </c>
      <c r="LS18" s="108">
        <f t="shared" si="253"/>
        <v>4242324.9292929284</v>
      </c>
      <c r="LT18" s="107">
        <f>+$KW18*$KX18</f>
        <v>21267</v>
      </c>
      <c r="LU18" s="108">
        <f t="shared" si="254"/>
        <v>4242324.9292929284</v>
      </c>
      <c r="LV18" s="107">
        <f>+$KW18*$KX18</f>
        <v>21267</v>
      </c>
      <c r="LW18" s="108">
        <f t="shared" si="255"/>
        <v>4242324.9292929284</v>
      </c>
      <c r="LX18" s="112">
        <f t="shared" si="256"/>
        <v>255204</v>
      </c>
      <c r="LY18" s="113">
        <f t="shared" si="257"/>
        <v>50907899.151515141</v>
      </c>
      <c r="MA18" s="121">
        <f t="shared" si="69"/>
        <v>396307.4</v>
      </c>
      <c r="MB18" s="384">
        <f t="shared" si="258"/>
        <v>79055097.695173949</v>
      </c>
      <c r="MC18" s="392">
        <f t="shared" si="70"/>
        <v>396307.4</v>
      </c>
      <c r="MD18" s="384">
        <f t="shared" si="259"/>
        <v>79055097.695173949</v>
      </c>
      <c r="ME18" s="392">
        <f t="shared" si="71"/>
        <v>396307.4</v>
      </c>
      <c r="MF18" s="384">
        <f t="shared" si="259"/>
        <v>79055097.695173949</v>
      </c>
      <c r="MG18" s="392">
        <f t="shared" si="72"/>
        <v>636307.4</v>
      </c>
      <c r="MH18" s="384">
        <f t="shared" si="260"/>
        <v>126930114.53019077</v>
      </c>
      <c r="MI18" s="392">
        <f t="shared" si="73"/>
        <v>636307.4</v>
      </c>
      <c r="MJ18" s="384">
        <f t="shared" si="261"/>
        <v>126930114.53019077</v>
      </c>
      <c r="MK18" s="392">
        <f t="shared" si="74"/>
        <v>636307.4</v>
      </c>
      <c r="ML18" s="384">
        <f t="shared" si="262"/>
        <v>126930114.53019077</v>
      </c>
      <c r="MM18" s="392">
        <f t="shared" si="75"/>
        <v>636307.4</v>
      </c>
      <c r="MN18" s="384">
        <f t="shared" si="263"/>
        <v>126930114.53019077</v>
      </c>
      <c r="MO18" s="392">
        <f t="shared" si="76"/>
        <v>636307.4</v>
      </c>
      <c r="MP18" s="384">
        <f t="shared" si="264"/>
        <v>126930114.53019077</v>
      </c>
      <c r="MQ18" s="392">
        <f t="shared" si="77"/>
        <v>636307.4</v>
      </c>
      <c r="MR18" s="384">
        <f t="shared" si="265"/>
        <v>126930114.53019077</v>
      </c>
      <c r="MS18" s="392">
        <f t="shared" si="78"/>
        <v>636307.4</v>
      </c>
      <c r="MT18" s="384">
        <f t="shared" si="266"/>
        <v>126930114.53019077</v>
      </c>
      <c r="MU18" s="392">
        <f t="shared" si="79"/>
        <v>636307.4</v>
      </c>
      <c r="MV18" s="384">
        <f t="shared" si="267"/>
        <v>126930114.53019077</v>
      </c>
      <c r="MW18" s="392">
        <f t="shared" si="80"/>
        <v>636307.4</v>
      </c>
      <c r="MX18" s="384">
        <f t="shared" si="268"/>
        <v>126930114.53019077</v>
      </c>
      <c r="MY18" s="122">
        <f t="shared" si="269"/>
        <v>6915688.8000000017</v>
      </c>
      <c r="MZ18" s="123">
        <f t="shared" si="270"/>
        <v>1379536323.857239</v>
      </c>
    </row>
    <row r="19" spans="1:364" s="126" customFormat="1" ht="52.95" customHeight="1" x14ac:dyDescent="0.3">
      <c r="A19" s="527" t="s">
        <v>58</v>
      </c>
      <c r="B19" s="13" t="s">
        <v>59</v>
      </c>
      <c r="C19" s="124" t="s">
        <v>60</v>
      </c>
      <c r="D19" s="125" t="s">
        <v>25</v>
      </c>
      <c r="E19" s="13">
        <v>1</v>
      </c>
      <c r="F19" s="345">
        <v>597.15747215747206</v>
      </c>
      <c r="G19" s="345">
        <f t="shared" si="81"/>
        <v>622.04472071138719</v>
      </c>
      <c r="I19" s="127">
        <f>1500.43+180.36+169.54</f>
        <v>1850.33</v>
      </c>
      <c r="J19" s="128">
        <v>1</v>
      </c>
      <c r="K19" s="129">
        <f t="shared" si="82"/>
        <v>1150988.0080739011</v>
      </c>
      <c r="L19" s="130">
        <f t="shared" si="83"/>
        <v>1850.33</v>
      </c>
      <c r="M19" s="284">
        <f t="shared" si="84"/>
        <v>1150988.0080739011</v>
      </c>
      <c r="N19" s="277">
        <f t="shared" si="83"/>
        <v>1850.33</v>
      </c>
      <c r="O19" s="284">
        <f t="shared" si="84"/>
        <v>1150988.0080739011</v>
      </c>
      <c r="P19" s="277">
        <f t="shared" si="83"/>
        <v>1850.33</v>
      </c>
      <c r="Q19" s="284">
        <f t="shared" si="85"/>
        <v>1150988.0080739011</v>
      </c>
      <c r="R19" s="277">
        <f t="shared" si="83"/>
        <v>1850.33</v>
      </c>
      <c r="S19" s="284">
        <f t="shared" si="86"/>
        <v>1150988.0080739011</v>
      </c>
      <c r="T19" s="277">
        <f t="shared" si="83"/>
        <v>1850.33</v>
      </c>
      <c r="U19" s="284">
        <f t="shared" si="87"/>
        <v>1150988.0080739011</v>
      </c>
      <c r="V19" s="277">
        <f t="shared" si="83"/>
        <v>1850.33</v>
      </c>
      <c r="W19" s="284">
        <f t="shared" si="88"/>
        <v>1150988.0080739011</v>
      </c>
      <c r="X19" s="277">
        <f t="shared" si="83"/>
        <v>1850.33</v>
      </c>
      <c r="Y19" s="284">
        <f t="shared" si="89"/>
        <v>1150988.0080739011</v>
      </c>
      <c r="Z19" s="130">
        <f t="shared" si="83"/>
        <v>1850.33</v>
      </c>
      <c r="AA19" s="284">
        <f t="shared" si="90"/>
        <v>1150988.0080739011</v>
      </c>
      <c r="AB19" s="130">
        <f t="shared" si="83"/>
        <v>1850.33</v>
      </c>
      <c r="AC19" s="284">
        <f t="shared" si="91"/>
        <v>1150988.0080739011</v>
      </c>
      <c r="AD19" s="130">
        <f t="shared" si="83"/>
        <v>1850.33</v>
      </c>
      <c r="AE19" s="284">
        <f t="shared" si="92"/>
        <v>1150988.0080739011</v>
      </c>
      <c r="AF19" s="130">
        <f t="shared" si="83"/>
        <v>1850.33</v>
      </c>
      <c r="AG19" s="284">
        <f t="shared" si="93"/>
        <v>1150988.0080739011</v>
      </c>
      <c r="AH19" s="130">
        <f t="shared" si="83"/>
        <v>1850.33</v>
      </c>
      <c r="AI19" s="293">
        <f t="shared" si="93"/>
        <v>1150988.0080739011</v>
      </c>
      <c r="AJ19" s="131">
        <f t="shared" si="94"/>
        <v>22203.960000000006</v>
      </c>
      <c r="AK19" s="305">
        <f t="shared" si="95"/>
        <v>13811856.096886817</v>
      </c>
      <c r="AM19" s="132">
        <v>350</v>
      </c>
      <c r="AN19" s="133">
        <v>1</v>
      </c>
      <c r="AO19" s="134">
        <f t="shared" ref="AO19:AO36" si="285">+AM19*G19</f>
        <v>217715.65224898551</v>
      </c>
      <c r="AP19" s="135">
        <f t="shared" si="1"/>
        <v>350</v>
      </c>
      <c r="AQ19" s="320">
        <f t="shared" si="96"/>
        <v>217715.65224898551</v>
      </c>
      <c r="AR19" s="316">
        <f t="shared" si="2"/>
        <v>350</v>
      </c>
      <c r="AS19" s="320">
        <f t="shared" si="96"/>
        <v>217715.65224898551</v>
      </c>
      <c r="AT19" s="316">
        <f t="shared" si="3"/>
        <v>350</v>
      </c>
      <c r="AU19" s="320">
        <f t="shared" si="96"/>
        <v>217715.65224898551</v>
      </c>
      <c r="AV19" s="316">
        <f t="shared" si="4"/>
        <v>350</v>
      </c>
      <c r="AW19" s="320">
        <f t="shared" si="98"/>
        <v>217715.65224898551</v>
      </c>
      <c r="AX19" s="316">
        <f t="shared" si="5"/>
        <v>350</v>
      </c>
      <c r="AY19" s="320">
        <f t="shared" si="99"/>
        <v>217715.65224898551</v>
      </c>
      <c r="AZ19" s="316">
        <f t="shared" si="6"/>
        <v>350</v>
      </c>
      <c r="BA19" s="320">
        <f t="shared" si="100"/>
        <v>217715.65224898551</v>
      </c>
      <c r="BB19" s="316">
        <f t="shared" si="7"/>
        <v>350</v>
      </c>
      <c r="BC19" s="320">
        <f t="shared" si="101"/>
        <v>217715.65224898551</v>
      </c>
      <c r="BD19" s="316">
        <f t="shared" si="8"/>
        <v>350</v>
      </c>
      <c r="BE19" s="320">
        <f t="shared" si="102"/>
        <v>217715.65224898551</v>
      </c>
      <c r="BF19" s="316">
        <f t="shared" si="9"/>
        <v>350</v>
      </c>
      <c r="BG19" s="320">
        <f t="shared" si="103"/>
        <v>217715.65224898551</v>
      </c>
      <c r="BH19" s="316">
        <f t="shared" si="10"/>
        <v>350</v>
      </c>
      <c r="BI19" s="320">
        <f t="shared" si="104"/>
        <v>217715.65224898551</v>
      </c>
      <c r="BJ19" s="316">
        <f t="shared" si="11"/>
        <v>350</v>
      </c>
      <c r="BK19" s="320">
        <f t="shared" si="104"/>
        <v>217715.65224898551</v>
      </c>
      <c r="BL19" s="135">
        <f t="shared" si="12"/>
        <v>350</v>
      </c>
      <c r="BM19" s="324">
        <f t="shared" si="105"/>
        <v>217715.65224898551</v>
      </c>
      <c r="BN19" s="72">
        <f t="shared" si="106"/>
        <v>4200</v>
      </c>
      <c r="BO19" s="328">
        <f t="shared" si="13"/>
        <v>2612587.8269878263</v>
      </c>
      <c r="BQ19" s="132">
        <v>2295</v>
      </c>
      <c r="BR19" s="133">
        <v>1</v>
      </c>
      <c r="BS19" s="140">
        <f t="shared" si="281"/>
        <v>1427592.6340326336</v>
      </c>
      <c r="BT19" s="135">
        <f t="shared" si="280"/>
        <v>2295</v>
      </c>
      <c r="BU19" s="331">
        <f t="shared" si="107"/>
        <v>1427592.6340326336</v>
      </c>
      <c r="BV19" s="135">
        <f t="shared" si="15"/>
        <v>2295</v>
      </c>
      <c r="BW19" s="136">
        <f t="shared" si="108"/>
        <v>1427592.6340326336</v>
      </c>
      <c r="BX19" s="135">
        <f t="shared" si="16"/>
        <v>2295</v>
      </c>
      <c r="BY19" s="136">
        <f t="shared" si="109"/>
        <v>1427592.6340326336</v>
      </c>
      <c r="BZ19" s="135">
        <f t="shared" si="17"/>
        <v>2295</v>
      </c>
      <c r="CA19" s="136">
        <f t="shared" si="110"/>
        <v>1427592.6340326336</v>
      </c>
      <c r="CB19" s="135">
        <f t="shared" si="18"/>
        <v>2295</v>
      </c>
      <c r="CC19" s="136">
        <f t="shared" si="111"/>
        <v>1427592.6340326336</v>
      </c>
      <c r="CD19" s="135">
        <f t="shared" si="19"/>
        <v>2295</v>
      </c>
      <c r="CE19" s="136">
        <f t="shared" si="112"/>
        <v>1427592.6340326336</v>
      </c>
      <c r="CF19" s="135">
        <f t="shared" si="113"/>
        <v>2295</v>
      </c>
      <c r="CG19" s="136">
        <f t="shared" si="114"/>
        <v>1427592.6340326336</v>
      </c>
      <c r="CH19" s="135">
        <f t="shared" si="20"/>
        <v>2295</v>
      </c>
      <c r="CI19" s="136">
        <f t="shared" si="115"/>
        <v>1427592.6340326336</v>
      </c>
      <c r="CJ19" s="135">
        <f t="shared" si="116"/>
        <v>2295</v>
      </c>
      <c r="CK19" s="136">
        <f t="shared" si="117"/>
        <v>1427592.6340326336</v>
      </c>
      <c r="CL19" s="135">
        <f t="shared" si="21"/>
        <v>2295</v>
      </c>
      <c r="CM19" s="136">
        <f t="shared" si="118"/>
        <v>1427592.6340326336</v>
      </c>
      <c r="CN19" s="135">
        <f t="shared" si="119"/>
        <v>2295</v>
      </c>
      <c r="CO19" s="136">
        <f t="shared" si="120"/>
        <v>1427592.6340326336</v>
      </c>
      <c r="CP19" s="135">
        <f t="shared" si="22"/>
        <v>2295</v>
      </c>
      <c r="CQ19" s="137">
        <f t="shared" si="23"/>
        <v>1427592.6340326336</v>
      </c>
      <c r="CR19" s="138">
        <f t="shared" si="121"/>
        <v>27540</v>
      </c>
      <c r="CS19" s="139">
        <f t="shared" si="24"/>
        <v>17131111.608391602</v>
      </c>
      <c r="CU19" s="132">
        <v>3636.5</v>
      </c>
      <c r="CV19" s="133">
        <v>1</v>
      </c>
      <c r="CW19" s="141">
        <f>+CV19*CU19*$G19</f>
        <v>2262065.6268669595</v>
      </c>
      <c r="CX19" s="135">
        <f t="shared" si="122"/>
        <v>3636.5</v>
      </c>
      <c r="CY19" s="136">
        <f t="shared" si="123"/>
        <v>2262065.6268669595</v>
      </c>
      <c r="CZ19" s="135">
        <f t="shared" si="26"/>
        <v>3636.5</v>
      </c>
      <c r="DA19" s="320">
        <f t="shared" si="123"/>
        <v>2262065.6268669595</v>
      </c>
      <c r="DB19" s="135">
        <f t="shared" si="27"/>
        <v>3636.5</v>
      </c>
      <c r="DC19" s="320">
        <f t="shared" si="124"/>
        <v>2262065.6268669595</v>
      </c>
      <c r="DD19" s="135">
        <f t="shared" si="28"/>
        <v>3636.5</v>
      </c>
      <c r="DE19" s="320">
        <f t="shared" si="125"/>
        <v>2262065.6268669595</v>
      </c>
      <c r="DF19" s="135">
        <f t="shared" si="29"/>
        <v>3636.5</v>
      </c>
      <c r="DG19" s="320">
        <f t="shared" si="126"/>
        <v>2262065.6268669595</v>
      </c>
      <c r="DH19" s="135">
        <f t="shared" si="30"/>
        <v>3636.5</v>
      </c>
      <c r="DI19" s="320">
        <f t="shared" si="127"/>
        <v>2262065.6268669595</v>
      </c>
      <c r="DJ19" s="135">
        <f t="shared" si="128"/>
        <v>3636.5</v>
      </c>
      <c r="DK19" s="320">
        <f t="shared" si="129"/>
        <v>2262065.6268669595</v>
      </c>
      <c r="DL19" s="135">
        <f t="shared" si="31"/>
        <v>3636.5</v>
      </c>
      <c r="DM19" s="320">
        <f t="shared" si="130"/>
        <v>2262065.6268669595</v>
      </c>
      <c r="DN19" s="135">
        <f t="shared" si="131"/>
        <v>3636.5</v>
      </c>
      <c r="DO19" s="320">
        <f t="shared" si="132"/>
        <v>2262065.6268669595</v>
      </c>
      <c r="DP19" s="135">
        <f t="shared" si="32"/>
        <v>3636.5</v>
      </c>
      <c r="DQ19" s="320">
        <f t="shared" si="133"/>
        <v>2262065.6268669595</v>
      </c>
      <c r="DR19" s="135">
        <f t="shared" si="134"/>
        <v>3636.5</v>
      </c>
      <c r="DS19" s="320">
        <f t="shared" si="135"/>
        <v>2262065.6268669595</v>
      </c>
      <c r="DT19" s="135">
        <f t="shared" si="33"/>
        <v>3636.5</v>
      </c>
      <c r="DU19" s="320">
        <f t="shared" si="136"/>
        <v>2262065.6268669595</v>
      </c>
      <c r="DV19" s="138">
        <f t="shared" si="137"/>
        <v>43638</v>
      </c>
      <c r="DW19" s="139">
        <f t="shared" si="34"/>
        <v>27144787.522403512</v>
      </c>
      <c r="DY19" s="142">
        <f>1276.98+1398.28+1083.16+1173.57</f>
        <v>4931.99</v>
      </c>
      <c r="DZ19" s="133">
        <v>1</v>
      </c>
      <c r="EA19" s="141">
        <f t="shared" si="35"/>
        <v>3067918.3421013542</v>
      </c>
      <c r="EB19" s="135">
        <f t="shared" ref="EB19:EB26" si="286">+$DY19*$DZ19</f>
        <v>4931.99</v>
      </c>
      <c r="EC19" s="136">
        <f t="shared" si="139"/>
        <v>3067918.3421013542</v>
      </c>
      <c r="ED19" s="316">
        <f>+$DY19*$DZ19</f>
        <v>4931.99</v>
      </c>
      <c r="EE19" s="136">
        <f t="shared" si="139"/>
        <v>3067918.3421013542</v>
      </c>
      <c r="EF19" s="135">
        <f t="shared" ref="EF19:EF26" si="287">+$DY19*$DZ19</f>
        <v>4931.99</v>
      </c>
      <c r="EG19" s="136">
        <f t="shared" si="141"/>
        <v>3067918.3421013542</v>
      </c>
      <c r="EH19" s="135">
        <f t="shared" si="142"/>
        <v>4931.99</v>
      </c>
      <c r="EI19" s="136">
        <f t="shared" si="141"/>
        <v>3067918.3421013542</v>
      </c>
      <c r="EJ19" s="135">
        <f t="shared" ref="EJ19:EJ26" si="288">+$DY19*$DZ19</f>
        <v>4931.99</v>
      </c>
      <c r="EK19" s="136">
        <f t="shared" si="143"/>
        <v>3067918.3421013542</v>
      </c>
      <c r="EL19" s="135">
        <f t="shared" ref="EL19:EL21" si="289">+$DY19*$DZ19</f>
        <v>4931.99</v>
      </c>
      <c r="EM19" s="136">
        <f t="shared" si="144"/>
        <v>3067918.3421013542</v>
      </c>
      <c r="EN19" s="135">
        <f t="shared" ref="EN19:EN69" si="290">+$DY19*$DZ19</f>
        <v>4931.99</v>
      </c>
      <c r="EO19" s="136">
        <f t="shared" si="145"/>
        <v>3067918.3421013542</v>
      </c>
      <c r="EP19" s="135">
        <f t="shared" ref="EP19:EP21" si="291">+$DY19*$DZ19</f>
        <v>4931.99</v>
      </c>
      <c r="EQ19" s="136">
        <f t="shared" si="146"/>
        <v>3067918.3421013542</v>
      </c>
      <c r="ER19" s="135">
        <f t="shared" ref="ER19:ER69" si="292">+$DY19*$DZ19</f>
        <v>4931.99</v>
      </c>
      <c r="ES19" s="136">
        <f t="shared" si="147"/>
        <v>3067918.3421013542</v>
      </c>
      <c r="ET19" s="135">
        <f t="shared" ref="ET19:ET21" si="293">+$DY19*$DZ19</f>
        <v>4931.99</v>
      </c>
      <c r="EU19" s="136">
        <f t="shared" si="148"/>
        <v>3067918.3421013542</v>
      </c>
      <c r="EV19" s="135">
        <f t="shared" ref="EV19:EV69" si="294">+$DY19*$DZ19</f>
        <v>4931.99</v>
      </c>
      <c r="EW19" s="136">
        <f t="shared" si="149"/>
        <v>3067918.3421013542</v>
      </c>
      <c r="EX19" s="135">
        <f t="shared" ref="EX19:EX21" si="295">+$DY19*$DZ19</f>
        <v>4931.99</v>
      </c>
      <c r="EY19" s="136">
        <f t="shared" si="150"/>
        <v>3067918.3421013542</v>
      </c>
      <c r="EZ19" s="138">
        <f t="shared" si="151"/>
        <v>59183.879999999983</v>
      </c>
      <c r="FA19" s="139">
        <f t="shared" si="36"/>
        <v>36815020.105216242</v>
      </c>
      <c r="FC19" s="143">
        <v>723.53</v>
      </c>
      <c r="FD19" s="133">
        <v>1</v>
      </c>
      <c r="FE19" s="141">
        <f t="shared" ref="FE19:FE48" si="296">+FD19*FC19*G19</f>
        <v>450068.01677630993</v>
      </c>
      <c r="FF19" s="135">
        <f t="shared" si="153"/>
        <v>723.53</v>
      </c>
      <c r="FG19" s="136">
        <f t="shared" si="154"/>
        <v>450068.01677630993</v>
      </c>
      <c r="FH19" s="367">
        <f t="shared" si="37"/>
        <v>723.53</v>
      </c>
      <c r="FI19" s="136">
        <f t="shared" si="155"/>
        <v>450068.01677630993</v>
      </c>
      <c r="FJ19" s="367">
        <f t="shared" si="38"/>
        <v>723.53</v>
      </c>
      <c r="FK19" s="136">
        <f t="shared" si="155"/>
        <v>450068.01677630993</v>
      </c>
      <c r="FL19" s="367">
        <f t="shared" si="39"/>
        <v>723.53</v>
      </c>
      <c r="FM19" s="136">
        <f t="shared" si="156"/>
        <v>450068.01677630993</v>
      </c>
      <c r="FN19" s="367">
        <f t="shared" si="40"/>
        <v>723.53</v>
      </c>
      <c r="FO19" s="136">
        <f t="shared" si="157"/>
        <v>450068.01677630993</v>
      </c>
      <c r="FP19" s="367">
        <f t="shared" si="41"/>
        <v>723.53</v>
      </c>
      <c r="FQ19" s="136">
        <f t="shared" si="158"/>
        <v>450068.01677630993</v>
      </c>
      <c r="FR19" s="367">
        <f t="shared" si="159"/>
        <v>723.53</v>
      </c>
      <c r="FS19" s="136">
        <f t="shared" si="160"/>
        <v>450068.01677630993</v>
      </c>
      <c r="FT19" s="367">
        <f t="shared" si="42"/>
        <v>723.53</v>
      </c>
      <c r="FU19" s="136">
        <f t="shared" si="161"/>
        <v>450068.01677630993</v>
      </c>
      <c r="FV19" s="367">
        <f t="shared" si="162"/>
        <v>723.53</v>
      </c>
      <c r="FW19" s="136">
        <f t="shared" si="163"/>
        <v>450068.01677630993</v>
      </c>
      <c r="FX19" s="367">
        <f t="shared" si="43"/>
        <v>723.53</v>
      </c>
      <c r="FY19" s="136">
        <f t="shared" si="164"/>
        <v>450068.01677630993</v>
      </c>
      <c r="FZ19" s="367">
        <f t="shared" si="165"/>
        <v>723.53</v>
      </c>
      <c r="GA19" s="136">
        <f t="shared" si="166"/>
        <v>450068.01677630993</v>
      </c>
      <c r="GB19" s="367">
        <f t="shared" si="44"/>
        <v>723.53</v>
      </c>
      <c r="GC19" s="136">
        <f t="shared" si="167"/>
        <v>450068.01677630993</v>
      </c>
      <c r="GD19" s="138">
        <f t="shared" si="168"/>
        <v>8682.3599999999988</v>
      </c>
      <c r="GE19" s="139">
        <f t="shared" si="45"/>
        <v>5400816.2013157187</v>
      </c>
      <c r="GG19" s="132">
        <f>303.81+536.68</f>
        <v>840.49</v>
      </c>
      <c r="GH19" s="133">
        <v>1</v>
      </c>
      <c r="GI19" s="141">
        <f t="shared" ref="GI19:GI48" si="297">+GG19*G19</f>
        <v>522822.3673107138</v>
      </c>
      <c r="GJ19" s="135">
        <f>$GG19*$GH19</f>
        <v>840.49</v>
      </c>
      <c r="GK19" s="136">
        <f t="shared" si="170"/>
        <v>522822.3673107138</v>
      </c>
      <c r="GL19" s="135">
        <f>$GG19*$GH19</f>
        <v>840.49</v>
      </c>
      <c r="GM19" s="136">
        <f t="shared" si="170"/>
        <v>522822.3673107138</v>
      </c>
      <c r="GN19" s="135">
        <f>$GG19*$GH19</f>
        <v>840.49</v>
      </c>
      <c r="GO19" s="136">
        <f t="shared" si="171"/>
        <v>522822.3673107138</v>
      </c>
      <c r="GP19" s="135">
        <f t="shared" si="169"/>
        <v>840.49</v>
      </c>
      <c r="GQ19" s="136">
        <f t="shared" si="172"/>
        <v>522822.3673107138</v>
      </c>
      <c r="GR19" s="135">
        <f t="shared" si="173"/>
        <v>840.49</v>
      </c>
      <c r="GS19" s="136">
        <f t="shared" si="174"/>
        <v>522822.3673107138</v>
      </c>
      <c r="GT19" s="135">
        <f t="shared" si="175"/>
        <v>840.49</v>
      </c>
      <c r="GU19" s="136">
        <f t="shared" si="176"/>
        <v>522822.3673107138</v>
      </c>
      <c r="GV19" s="135">
        <f t="shared" si="177"/>
        <v>840.49</v>
      </c>
      <c r="GW19" s="136">
        <f t="shared" si="178"/>
        <v>522822.3673107138</v>
      </c>
      <c r="GX19" s="135">
        <f t="shared" si="179"/>
        <v>840.49</v>
      </c>
      <c r="GY19" s="136">
        <f t="shared" si="180"/>
        <v>522822.3673107138</v>
      </c>
      <c r="GZ19" s="135">
        <f t="shared" si="181"/>
        <v>840.49</v>
      </c>
      <c r="HA19" s="136">
        <f t="shared" si="182"/>
        <v>522822.3673107138</v>
      </c>
      <c r="HB19" s="135">
        <f t="shared" si="183"/>
        <v>840.49</v>
      </c>
      <c r="HC19" s="136">
        <f t="shared" si="184"/>
        <v>522822.3673107138</v>
      </c>
      <c r="HD19" s="135">
        <f t="shared" si="185"/>
        <v>840.49</v>
      </c>
      <c r="HE19" s="136">
        <f t="shared" si="186"/>
        <v>522822.3673107138</v>
      </c>
      <c r="HF19" s="135">
        <f t="shared" si="187"/>
        <v>840.49</v>
      </c>
      <c r="HG19" s="136">
        <f t="shared" si="188"/>
        <v>522822.3673107138</v>
      </c>
      <c r="HH19" s="138">
        <f t="shared" si="189"/>
        <v>10085.879999999999</v>
      </c>
      <c r="HI19" s="139">
        <f t="shared" si="47"/>
        <v>6273868.4077285649</v>
      </c>
      <c r="HK19" s="132">
        <v>235.69</v>
      </c>
      <c r="HL19" s="133">
        <v>1</v>
      </c>
      <c r="HM19" s="141">
        <f t="shared" si="48"/>
        <v>146609.72022446684</v>
      </c>
      <c r="HN19" s="135">
        <v>0</v>
      </c>
      <c r="HO19" s="136">
        <f t="shared" si="191"/>
        <v>0</v>
      </c>
      <c r="HP19" s="135">
        <v>0</v>
      </c>
      <c r="HQ19" s="136">
        <f t="shared" si="193"/>
        <v>0</v>
      </c>
      <c r="HR19" s="135">
        <f t="shared" si="192"/>
        <v>235.69</v>
      </c>
      <c r="HS19" s="136">
        <f t="shared" si="193"/>
        <v>146609.72022446684</v>
      </c>
      <c r="HT19" s="135">
        <f t="shared" si="192"/>
        <v>235.69</v>
      </c>
      <c r="HU19" s="136">
        <f t="shared" si="194"/>
        <v>146609.72022446684</v>
      </c>
      <c r="HV19" s="135">
        <f t="shared" si="192"/>
        <v>235.69</v>
      </c>
      <c r="HW19" s="136">
        <f t="shared" si="195"/>
        <v>146609.72022446684</v>
      </c>
      <c r="HX19" s="135">
        <f t="shared" si="196"/>
        <v>235.69</v>
      </c>
      <c r="HY19" s="136">
        <f t="shared" si="197"/>
        <v>146609.72022446684</v>
      </c>
      <c r="HZ19" s="135">
        <f t="shared" si="198"/>
        <v>235.69</v>
      </c>
      <c r="IA19" s="136">
        <f t="shared" si="199"/>
        <v>146609.72022446684</v>
      </c>
      <c r="IB19" s="135">
        <f t="shared" si="200"/>
        <v>235.69</v>
      </c>
      <c r="IC19" s="136">
        <f t="shared" si="201"/>
        <v>146609.72022446684</v>
      </c>
      <c r="ID19" s="135">
        <f t="shared" si="202"/>
        <v>235.69</v>
      </c>
      <c r="IE19" s="136">
        <f t="shared" si="203"/>
        <v>146609.72022446684</v>
      </c>
      <c r="IF19" s="135">
        <f t="shared" si="204"/>
        <v>235.69</v>
      </c>
      <c r="IG19" s="136">
        <f t="shared" si="205"/>
        <v>146609.72022446684</v>
      </c>
      <c r="IH19" s="135">
        <f t="shared" si="206"/>
        <v>235.69</v>
      </c>
      <c r="II19" s="136">
        <f t="shared" si="207"/>
        <v>146609.72022446684</v>
      </c>
      <c r="IJ19" s="135">
        <f t="shared" si="208"/>
        <v>235.69</v>
      </c>
      <c r="IK19" s="136">
        <f t="shared" si="209"/>
        <v>146609.72022446684</v>
      </c>
      <c r="IL19" s="138">
        <f t="shared" si="210"/>
        <v>2356.9</v>
      </c>
      <c r="IM19" s="139">
        <f t="shared" si="211"/>
        <v>1466097.2022446685</v>
      </c>
      <c r="IO19" s="132">
        <v>1225</v>
      </c>
      <c r="IP19" s="133">
        <v>1</v>
      </c>
      <c r="IQ19" s="141">
        <f t="shared" ref="IQ19:IQ36" si="298">+IO19*G19*IP19</f>
        <v>762004.78287144925</v>
      </c>
      <c r="IR19" s="135">
        <f t="shared" si="212"/>
        <v>1225</v>
      </c>
      <c r="IS19" s="136">
        <f t="shared" si="213"/>
        <v>762004.78287144925</v>
      </c>
      <c r="IT19" s="135">
        <f t="shared" si="50"/>
        <v>1225</v>
      </c>
      <c r="IU19" s="320">
        <f t="shared" si="214"/>
        <v>762004.78287144925</v>
      </c>
      <c r="IV19" s="135">
        <f t="shared" si="51"/>
        <v>1225</v>
      </c>
      <c r="IW19" s="320">
        <f t="shared" si="214"/>
        <v>762004.78287144925</v>
      </c>
      <c r="IX19" s="135">
        <f t="shared" si="52"/>
        <v>1225</v>
      </c>
      <c r="IY19" s="320">
        <f t="shared" si="215"/>
        <v>762004.78287144925</v>
      </c>
      <c r="IZ19" s="135">
        <f t="shared" si="53"/>
        <v>1225</v>
      </c>
      <c r="JA19" s="320">
        <f t="shared" si="216"/>
        <v>762004.78287144925</v>
      </c>
      <c r="JB19" s="135">
        <f t="shared" si="54"/>
        <v>1225</v>
      </c>
      <c r="JC19" s="320">
        <f t="shared" si="217"/>
        <v>762004.78287144925</v>
      </c>
      <c r="JD19" s="135">
        <f t="shared" si="218"/>
        <v>1225</v>
      </c>
      <c r="JE19" s="320">
        <f t="shared" si="219"/>
        <v>762004.78287144925</v>
      </c>
      <c r="JF19" s="135">
        <f t="shared" si="55"/>
        <v>1225</v>
      </c>
      <c r="JG19" s="320">
        <f t="shared" si="220"/>
        <v>762004.78287144925</v>
      </c>
      <c r="JH19" s="135">
        <f t="shared" si="221"/>
        <v>1225</v>
      </c>
      <c r="JI19" s="320">
        <f t="shared" si="222"/>
        <v>762004.78287144925</v>
      </c>
      <c r="JJ19" s="135">
        <f t="shared" si="56"/>
        <v>1225</v>
      </c>
      <c r="JK19" s="320">
        <f t="shared" si="223"/>
        <v>762004.78287144925</v>
      </c>
      <c r="JL19" s="135">
        <f t="shared" si="224"/>
        <v>1225</v>
      </c>
      <c r="JM19" s="320">
        <f t="shared" si="225"/>
        <v>762004.78287144925</v>
      </c>
      <c r="JN19" s="135">
        <f t="shared" si="57"/>
        <v>1225</v>
      </c>
      <c r="JO19" s="320">
        <f t="shared" si="226"/>
        <v>762004.78287144925</v>
      </c>
      <c r="JP19" s="138">
        <f t="shared" si="227"/>
        <v>14700</v>
      </c>
      <c r="JQ19" s="139">
        <f t="shared" si="228"/>
        <v>9144057.3944573924</v>
      </c>
      <c r="JS19" s="132">
        <v>212</v>
      </c>
      <c r="JT19" s="133">
        <v>1</v>
      </c>
      <c r="JU19" s="141">
        <f t="shared" si="58"/>
        <v>131873.48079081409</v>
      </c>
      <c r="JV19" s="135">
        <f t="shared" si="229"/>
        <v>212</v>
      </c>
      <c r="JW19" s="136">
        <f t="shared" si="230"/>
        <v>131873.48079081409</v>
      </c>
      <c r="JX19" s="367"/>
      <c r="JY19" s="136">
        <f t="shared" si="231"/>
        <v>0</v>
      </c>
      <c r="JZ19" s="367"/>
      <c r="KA19" s="136">
        <f t="shared" si="231"/>
        <v>0</v>
      </c>
      <c r="KB19" s="367"/>
      <c r="KC19" s="136">
        <f t="shared" si="232"/>
        <v>0</v>
      </c>
      <c r="KD19" s="367"/>
      <c r="KE19" s="136">
        <f t="shared" si="233"/>
        <v>0</v>
      </c>
      <c r="KF19" s="367"/>
      <c r="KG19" s="136">
        <f t="shared" si="234"/>
        <v>0</v>
      </c>
      <c r="KH19" s="367"/>
      <c r="KI19" s="136">
        <f t="shared" si="236"/>
        <v>0</v>
      </c>
      <c r="KJ19" s="367"/>
      <c r="KK19" s="136">
        <f t="shared" si="237"/>
        <v>0</v>
      </c>
      <c r="KL19" s="367"/>
      <c r="KM19" s="136">
        <f t="shared" si="239"/>
        <v>0</v>
      </c>
      <c r="KN19" s="367"/>
      <c r="KO19" s="136">
        <f t="shared" si="240"/>
        <v>0</v>
      </c>
      <c r="KP19" s="367"/>
      <c r="KQ19" s="136">
        <f t="shared" si="242"/>
        <v>0</v>
      </c>
      <c r="KR19" s="367"/>
      <c r="KS19" s="137">
        <f t="shared" si="243"/>
        <v>0</v>
      </c>
      <c r="KT19" s="138">
        <f t="shared" si="244"/>
        <v>212</v>
      </c>
      <c r="KU19" s="139">
        <f t="shared" si="67"/>
        <v>131873.48079081409</v>
      </c>
      <c r="KW19" s="132"/>
      <c r="KX19" s="133"/>
      <c r="KY19" s="134"/>
      <c r="KZ19" s="135">
        <f t="shared" si="271"/>
        <v>0</v>
      </c>
      <c r="LA19" s="136"/>
      <c r="LB19" s="135">
        <f t="shared" si="272"/>
        <v>0</v>
      </c>
      <c r="LC19" s="136">
        <f t="shared" si="246"/>
        <v>0</v>
      </c>
      <c r="LD19" s="135">
        <f t="shared" si="272"/>
        <v>0</v>
      </c>
      <c r="LE19" s="136">
        <f t="shared" si="246"/>
        <v>0</v>
      </c>
      <c r="LF19" s="135">
        <f t="shared" si="272"/>
        <v>0</v>
      </c>
      <c r="LG19" s="136">
        <f t="shared" si="247"/>
        <v>0</v>
      </c>
      <c r="LH19" s="135">
        <f t="shared" si="272"/>
        <v>0</v>
      </c>
      <c r="LI19" s="136">
        <f t="shared" si="248"/>
        <v>0</v>
      </c>
      <c r="LJ19" s="135">
        <f t="shared" si="273"/>
        <v>0</v>
      </c>
      <c r="LK19" s="136">
        <f t="shared" si="249"/>
        <v>0</v>
      </c>
      <c r="LL19" s="135">
        <f t="shared" si="274"/>
        <v>0</v>
      </c>
      <c r="LM19" s="136">
        <f t="shared" si="250"/>
        <v>0</v>
      </c>
      <c r="LN19" s="135">
        <f t="shared" si="275"/>
        <v>0</v>
      </c>
      <c r="LO19" s="136">
        <f t="shared" si="251"/>
        <v>0</v>
      </c>
      <c r="LP19" s="135">
        <f t="shared" si="276"/>
        <v>0</v>
      </c>
      <c r="LQ19" s="136">
        <f t="shared" si="252"/>
        <v>0</v>
      </c>
      <c r="LR19" s="135">
        <f t="shared" si="277"/>
        <v>0</v>
      </c>
      <c r="LS19" s="136">
        <f t="shared" si="253"/>
        <v>0</v>
      </c>
      <c r="LT19" s="135">
        <f t="shared" si="278"/>
        <v>0</v>
      </c>
      <c r="LU19" s="136">
        <f t="shared" si="254"/>
        <v>0</v>
      </c>
      <c r="LV19" s="135">
        <f t="shared" si="279"/>
        <v>0</v>
      </c>
      <c r="LW19" s="136">
        <f t="shared" si="255"/>
        <v>0</v>
      </c>
      <c r="LX19" s="138">
        <f t="shared" si="256"/>
        <v>0</v>
      </c>
      <c r="LY19" s="139">
        <f t="shared" si="257"/>
        <v>0</v>
      </c>
      <c r="MA19" s="144">
        <f>+L19+AP19+BT19+CX19+EB19+FF19+GJ19+HN19+IR19+JV19+KZ19</f>
        <v>16064.84</v>
      </c>
      <c r="MB19" s="385">
        <f t="shared" si="258"/>
        <v>9993048.9110731222</v>
      </c>
      <c r="MC19" s="393">
        <f t="shared" si="70"/>
        <v>15852.84</v>
      </c>
      <c r="MD19" s="385">
        <f t="shared" si="259"/>
        <v>9861175.4302823078</v>
      </c>
      <c r="ME19" s="393">
        <f t="shared" si="71"/>
        <v>16088.53</v>
      </c>
      <c r="MF19" s="385">
        <f t="shared" si="259"/>
        <v>10007785.150506774</v>
      </c>
      <c r="MG19" s="393">
        <f t="shared" si="72"/>
        <v>16088.53</v>
      </c>
      <c r="MH19" s="385">
        <f t="shared" si="260"/>
        <v>10007785.150506774</v>
      </c>
      <c r="MI19" s="393">
        <f t="shared" si="73"/>
        <v>16088.53</v>
      </c>
      <c r="MJ19" s="385">
        <f t="shared" si="261"/>
        <v>10007785.150506774</v>
      </c>
      <c r="MK19" s="393">
        <f t="shared" si="74"/>
        <v>16088.53</v>
      </c>
      <c r="ML19" s="385">
        <f t="shared" si="262"/>
        <v>10007785.150506774</v>
      </c>
      <c r="MM19" s="393">
        <f t="shared" si="75"/>
        <v>16088.53</v>
      </c>
      <c r="MN19" s="385">
        <f t="shared" si="263"/>
        <v>10007785.150506774</v>
      </c>
      <c r="MO19" s="393">
        <f t="shared" si="76"/>
        <v>16088.53</v>
      </c>
      <c r="MP19" s="385">
        <f t="shared" si="264"/>
        <v>10007785.150506774</v>
      </c>
      <c r="MQ19" s="393">
        <f t="shared" si="77"/>
        <v>16088.53</v>
      </c>
      <c r="MR19" s="385">
        <f t="shared" si="265"/>
        <v>10007785.150506774</v>
      </c>
      <c r="MS19" s="393">
        <f t="shared" si="78"/>
        <v>16088.53</v>
      </c>
      <c r="MT19" s="385">
        <f t="shared" si="266"/>
        <v>10007785.150506774</v>
      </c>
      <c r="MU19" s="393">
        <f t="shared" si="79"/>
        <v>16088.53</v>
      </c>
      <c r="MV19" s="385">
        <f t="shared" si="267"/>
        <v>10007785.150506774</v>
      </c>
      <c r="MW19" s="393">
        <f t="shared" si="80"/>
        <v>16088.53</v>
      </c>
      <c r="MX19" s="385">
        <f t="shared" si="268"/>
        <v>10007785.150506774</v>
      </c>
      <c r="MY19" s="145">
        <f t="shared" si="269"/>
        <v>192802.98</v>
      </c>
      <c r="MZ19" s="146">
        <f t="shared" si="270"/>
        <v>119932075.84642318</v>
      </c>
    </row>
    <row r="20" spans="1:364" s="126" customFormat="1" ht="56.4" customHeight="1" x14ac:dyDescent="0.3">
      <c r="A20" s="528"/>
      <c r="B20" s="14" t="s">
        <v>61</v>
      </c>
      <c r="C20" s="147" t="s">
        <v>62</v>
      </c>
      <c r="D20" s="148" t="s">
        <v>25</v>
      </c>
      <c r="E20" s="14">
        <v>1</v>
      </c>
      <c r="F20" s="346">
        <v>691.206941206941</v>
      </c>
      <c r="G20" s="346">
        <f t="shared" si="81"/>
        <v>720.01381334714642</v>
      </c>
      <c r="I20" s="149">
        <f>443.9+44.67+56.11</f>
        <v>544.67999999999995</v>
      </c>
      <c r="J20" s="150">
        <v>1</v>
      </c>
      <c r="K20" s="151">
        <f t="shared" si="82"/>
        <v>392177.12385392369</v>
      </c>
      <c r="L20" s="152">
        <f t="shared" si="83"/>
        <v>544.67999999999995</v>
      </c>
      <c r="M20" s="285">
        <f t="shared" si="84"/>
        <v>392177.12385392369</v>
      </c>
      <c r="N20" s="152">
        <f t="shared" si="83"/>
        <v>544.67999999999995</v>
      </c>
      <c r="O20" s="285">
        <f t="shared" si="84"/>
        <v>392177.12385392369</v>
      </c>
      <c r="P20" s="152">
        <f t="shared" si="83"/>
        <v>544.67999999999995</v>
      </c>
      <c r="Q20" s="285">
        <f t="shared" si="84"/>
        <v>392177.12385392369</v>
      </c>
      <c r="R20" s="152">
        <f t="shared" si="83"/>
        <v>544.67999999999995</v>
      </c>
      <c r="S20" s="285">
        <f t="shared" si="86"/>
        <v>392177.12385392369</v>
      </c>
      <c r="T20" s="152">
        <f t="shared" si="83"/>
        <v>544.67999999999995</v>
      </c>
      <c r="U20" s="285">
        <f t="shared" si="87"/>
        <v>392177.12385392369</v>
      </c>
      <c r="V20" s="152">
        <f t="shared" si="83"/>
        <v>544.67999999999995</v>
      </c>
      <c r="W20" s="285">
        <f t="shared" si="88"/>
        <v>392177.12385392369</v>
      </c>
      <c r="X20" s="152">
        <f t="shared" si="83"/>
        <v>544.67999999999995</v>
      </c>
      <c r="Y20" s="285">
        <f t="shared" si="89"/>
        <v>392177.12385392369</v>
      </c>
      <c r="Z20" s="152">
        <f t="shared" si="83"/>
        <v>544.67999999999995</v>
      </c>
      <c r="AA20" s="285">
        <f t="shared" si="90"/>
        <v>392177.12385392369</v>
      </c>
      <c r="AB20" s="152">
        <f t="shared" si="83"/>
        <v>544.67999999999995</v>
      </c>
      <c r="AC20" s="285">
        <f t="shared" si="91"/>
        <v>392177.12385392369</v>
      </c>
      <c r="AD20" s="152">
        <f t="shared" si="83"/>
        <v>544.67999999999995</v>
      </c>
      <c r="AE20" s="285">
        <f t="shared" si="92"/>
        <v>392177.12385392369</v>
      </c>
      <c r="AF20" s="152">
        <f t="shared" si="83"/>
        <v>544.67999999999995</v>
      </c>
      <c r="AG20" s="285">
        <f t="shared" si="93"/>
        <v>392177.12385392369</v>
      </c>
      <c r="AH20" s="152">
        <f t="shared" si="83"/>
        <v>544.67999999999995</v>
      </c>
      <c r="AI20" s="294">
        <f t="shared" si="93"/>
        <v>392177.12385392369</v>
      </c>
      <c r="AJ20" s="156">
        <f t="shared" si="94"/>
        <v>6536.1600000000008</v>
      </c>
      <c r="AK20" s="306">
        <f t="shared" si="95"/>
        <v>4706125.486247085</v>
      </c>
      <c r="AM20" s="149">
        <v>0</v>
      </c>
      <c r="AN20" s="150">
        <v>1</v>
      </c>
      <c r="AO20" s="157">
        <f t="shared" si="285"/>
        <v>0</v>
      </c>
      <c r="AP20" s="152">
        <f t="shared" si="1"/>
        <v>0</v>
      </c>
      <c r="AQ20" s="285">
        <f t="shared" si="96"/>
        <v>0</v>
      </c>
      <c r="AR20" s="317">
        <f t="shared" si="2"/>
        <v>0</v>
      </c>
      <c r="AS20" s="285">
        <f t="shared" si="96"/>
        <v>0</v>
      </c>
      <c r="AT20" s="317">
        <f t="shared" si="3"/>
        <v>0</v>
      </c>
      <c r="AU20" s="285">
        <f t="shared" si="96"/>
        <v>0</v>
      </c>
      <c r="AV20" s="317">
        <f t="shared" si="4"/>
        <v>0</v>
      </c>
      <c r="AW20" s="285">
        <f t="shared" si="98"/>
        <v>0</v>
      </c>
      <c r="AX20" s="317">
        <f t="shared" si="5"/>
        <v>0</v>
      </c>
      <c r="AY20" s="285">
        <f t="shared" si="99"/>
        <v>0</v>
      </c>
      <c r="AZ20" s="317">
        <f t="shared" si="6"/>
        <v>0</v>
      </c>
      <c r="BA20" s="285">
        <f t="shared" si="100"/>
        <v>0</v>
      </c>
      <c r="BB20" s="317">
        <f t="shared" si="7"/>
        <v>0</v>
      </c>
      <c r="BC20" s="285">
        <f t="shared" si="101"/>
        <v>0</v>
      </c>
      <c r="BD20" s="317">
        <f t="shared" si="8"/>
        <v>0</v>
      </c>
      <c r="BE20" s="285">
        <f t="shared" si="102"/>
        <v>0</v>
      </c>
      <c r="BF20" s="317">
        <f t="shared" si="9"/>
        <v>0</v>
      </c>
      <c r="BG20" s="285">
        <f t="shared" si="103"/>
        <v>0</v>
      </c>
      <c r="BH20" s="317">
        <f t="shared" si="10"/>
        <v>0</v>
      </c>
      <c r="BI20" s="285">
        <f t="shared" si="104"/>
        <v>0</v>
      </c>
      <c r="BJ20" s="317">
        <f t="shared" si="11"/>
        <v>0</v>
      </c>
      <c r="BK20" s="285">
        <f t="shared" si="104"/>
        <v>0</v>
      </c>
      <c r="BL20" s="152">
        <f t="shared" si="12"/>
        <v>0</v>
      </c>
      <c r="BM20" s="296">
        <f t="shared" si="105"/>
        <v>0</v>
      </c>
      <c r="BN20" s="158">
        <f t="shared" si="106"/>
        <v>0</v>
      </c>
      <c r="BO20" s="307">
        <f t="shared" si="13"/>
        <v>0</v>
      </c>
      <c r="BQ20" s="149">
        <v>0</v>
      </c>
      <c r="BR20" s="150"/>
      <c r="BS20" s="160">
        <f t="shared" si="281"/>
        <v>0</v>
      </c>
      <c r="BT20" s="152">
        <f t="shared" si="280"/>
        <v>0</v>
      </c>
      <c r="BU20" s="332">
        <f t="shared" si="107"/>
        <v>0</v>
      </c>
      <c r="BV20" s="152">
        <f t="shared" si="15"/>
        <v>0</v>
      </c>
      <c r="BW20" s="153">
        <f t="shared" si="108"/>
        <v>0</v>
      </c>
      <c r="BX20" s="152">
        <f t="shared" si="16"/>
        <v>0</v>
      </c>
      <c r="BY20" s="153">
        <f t="shared" si="109"/>
        <v>0</v>
      </c>
      <c r="BZ20" s="152">
        <f t="shared" si="17"/>
        <v>0</v>
      </c>
      <c r="CA20" s="153">
        <f t="shared" si="110"/>
        <v>0</v>
      </c>
      <c r="CB20" s="152">
        <f t="shared" si="18"/>
        <v>0</v>
      </c>
      <c r="CC20" s="153">
        <f t="shared" si="111"/>
        <v>0</v>
      </c>
      <c r="CD20" s="152">
        <f t="shared" si="19"/>
        <v>0</v>
      </c>
      <c r="CE20" s="153">
        <f t="shared" si="112"/>
        <v>0</v>
      </c>
      <c r="CF20" s="152">
        <f t="shared" si="113"/>
        <v>0</v>
      </c>
      <c r="CG20" s="153">
        <f t="shared" si="114"/>
        <v>0</v>
      </c>
      <c r="CH20" s="152">
        <f t="shared" si="20"/>
        <v>0</v>
      </c>
      <c r="CI20" s="153">
        <f t="shared" si="115"/>
        <v>0</v>
      </c>
      <c r="CJ20" s="152">
        <f t="shared" si="116"/>
        <v>0</v>
      </c>
      <c r="CK20" s="153">
        <f t="shared" si="117"/>
        <v>0</v>
      </c>
      <c r="CL20" s="152">
        <f t="shared" si="21"/>
        <v>0</v>
      </c>
      <c r="CM20" s="153">
        <f t="shared" si="118"/>
        <v>0</v>
      </c>
      <c r="CN20" s="152">
        <f t="shared" si="119"/>
        <v>0</v>
      </c>
      <c r="CO20" s="153">
        <f t="shared" si="120"/>
        <v>0</v>
      </c>
      <c r="CP20" s="152">
        <f t="shared" si="22"/>
        <v>0</v>
      </c>
      <c r="CQ20" s="154">
        <f t="shared" si="23"/>
        <v>0</v>
      </c>
      <c r="CR20" s="158">
        <f t="shared" si="121"/>
        <v>0</v>
      </c>
      <c r="CS20" s="159">
        <f t="shared" si="24"/>
        <v>0</v>
      </c>
      <c r="CU20" s="149">
        <v>0</v>
      </c>
      <c r="CV20" s="150"/>
      <c r="CW20" s="161">
        <f t="shared" ref="CW20:CW93" si="299">+CV20*CU20*$G20</f>
        <v>0</v>
      </c>
      <c r="CX20" s="152">
        <f t="shared" si="122"/>
        <v>0</v>
      </c>
      <c r="CY20" s="153">
        <f t="shared" si="123"/>
        <v>0</v>
      </c>
      <c r="CZ20" s="152">
        <f t="shared" si="26"/>
        <v>0</v>
      </c>
      <c r="DA20" s="285">
        <f t="shared" si="123"/>
        <v>0</v>
      </c>
      <c r="DB20" s="152">
        <f t="shared" si="27"/>
        <v>0</v>
      </c>
      <c r="DC20" s="285">
        <f t="shared" si="124"/>
        <v>0</v>
      </c>
      <c r="DD20" s="152">
        <f t="shared" si="28"/>
        <v>0</v>
      </c>
      <c r="DE20" s="285">
        <f t="shared" si="125"/>
        <v>0</v>
      </c>
      <c r="DF20" s="152">
        <f t="shared" si="29"/>
        <v>0</v>
      </c>
      <c r="DG20" s="285">
        <f t="shared" si="126"/>
        <v>0</v>
      </c>
      <c r="DH20" s="152">
        <f t="shared" si="30"/>
        <v>0</v>
      </c>
      <c r="DI20" s="285">
        <f t="shared" si="127"/>
        <v>0</v>
      </c>
      <c r="DJ20" s="152">
        <f t="shared" si="128"/>
        <v>0</v>
      </c>
      <c r="DK20" s="285">
        <f t="shared" si="129"/>
        <v>0</v>
      </c>
      <c r="DL20" s="152">
        <f t="shared" si="31"/>
        <v>0</v>
      </c>
      <c r="DM20" s="285">
        <f t="shared" si="130"/>
        <v>0</v>
      </c>
      <c r="DN20" s="152">
        <f t="shared" si="131"/>
        <v>0</v>
      </c>
      <c r="DO20" s="285">
        <f t="shared" si="132"/>
        <v>0</v>
      </c>
      <c r="DP20" s="152">
        <f t="shared" si="32"/>
        <v>0</v>
      </c>
      <c r="DQ20" s="285">
        <f t="shared" si="133"/>
        <v>0</v>
      </c>
      <c r="DR20" s="152">
        <f t="shared" si="134"/>
        <v>0</v>
      </c>
      <c r="DS20" s="285">
        <f t="shared" si="135"/>
        <v>0</v>
      </c>
      <c r="DT20" s="152">
        <f t="shared" si="33"/>
        <v>0</v>
      </c>
      <c r="DU20" s="285">
        <f t="shared" si="136"/>
        <v>0</v>
      </c>
      <c r="DV20" s="158">
        <f t="shared" si="137"/>
        <v>0</v>
      </c>
      <c r="DW20" s="159">
        <f t="shared" si="34"/>
        <v>0</v>
      </c>
      <c r="DY20" s="162">
        <v>830.70999999999992</v>
      </c>
      <c r="DZ20" s="150">
        <v>1</v>
      </c>
      <c r="EA20" s="161">
        <f t="shared" si="35"/>
        <v>598122.67488560791</v>
      </c>
      <c r="EB20" s="152">
        <f t="shared" si="286"/>
        <v>830.70999999999992</v>
      </c>
      <c r="EC20" s="153">
        <f t="shared" si="139"/>
        <v>598122.67488560791</v>
      </c>
      <c r="ED20" s="317">
        <f>+$DY20*$DZ20</f>
        <v>830.70999999999992</v>
      </c>
      <c r="EE20" s="153">
        <f t="shared" si="139"/>
        <v>598122.67488560791</v>
      </c>
      <c r="EF20" s="152">
        <f t="shared" si="287"/>
        <v>830.70999999999992</v>
      </c>
      <c r="EG20" s="153">
        <f t="shared" si="141"/>
        <v>598122.67488560791</v>
      </c>
      <c r="EH20" s="152">
        <f t="shared" si="142"/>
        <v>830.70999999999992</v>
      </c>
      <c r="EI20" s="153">
        <f t="shared" si="141"/>
        <v>598122.67488560791</v>
      </c>
      <c r="EJ20" s="152">
        <f t="shared" si="288"/>
        <v>830.70999999999992</v>
      </c>
      <c r="EK20" s="153">
        <f t="shared" si="143"/>
        <v>598122.67488560791</v>
      </c>
      <c r="EL20" s="152">
        <f t="shared" si="289"/>
        <v>830.70999999999992</v>
      </c>
      <c r="EM20" s="153">
        <f t="shared" si="144"/>
        <v>598122.67488560791</v>
      </c>
      <c r="EN20" s="152">
        <f t="shared" si="290"/>
        <v>830.70999999999992</v>
      </c>
      <c r="EO20" s="153">
        <f t="shared" si="145"/>
        <v>598122.67488560791</v>
      </c>
      <c r="EP20" s="152">
        <f t="shared" si="291"/>
        <v>830.70999999999992</v>
      </c>
      <c r="EQ20" s="153">
        <f t="shared" si="146"/>
        <v>598122.67488560791</v>
      </c>
      <c r="ER20" s="152">
        <f t="shared" si="292"/>
        <v>830.70999999999992</v>
      </c>
      <c r="ES20" s="153">
        <f t="shared" si="147"/>
        <v>598122.67488560791</v>
      </c>
      <c r="ET20" s="152">
        <f t="shared" si="293"/>
        <v>830.70999999999992</v>
      </c>
      <c r="EU20" s="153">
        <f t="shared" si="148"/>
        <v>598122.67488560791</v>
      </c>
      <c r="EV20" s="152">
        <f t="shared" si="294"/>
        <v>830.70999999999992</v>
      </c>
      <c r="EW20" s="153">
        <f t="shared" si="149"/>
        <v>598122.67488560791</v>
      </c>
      <c r="EX20" s="152">
        <f t="shared" si="295"/>
        <v>830.70999999999992</v>
      </c>
      <c r="EY20" s="153">
        <f t="shared" si="150"/>
        <v>598122.67488560791</v>
      </c>
      <c r="EZ20" s="158">
        <f t="shared" si="151"/>
        <v>9968.5199999999968</v>
      </c>
      <c r="FA20" s="159">
        <f t="shared" si="36"/>
        <v>7177472.0986272935</v>
      </c>
      <c r="FC20" s="163">
        <v>65.989999999999995</v>
      </c>
      <c r="FD20" s="150">
        <v>1</v>
      </c>
      <c r="FE20" s="161">
        <f t="shared" si="296"/>
        <v>47513.71154277819</v>
      </c>
      <c r="FF20" s="152">
        <f t="shared" si="153"/>
        <v>65.989999999999995</v>
      </c>
      <c r="FG20" s="153">
        <f t="shared" si="154"/>
        <v>47513.71154277819</v>
      </c>
      <c r="FH20" s="368">
        <f t="shared" si="37"/>
        <v>65.989999999999995</v>
      </c>
      <c r="FI20" s="153">
        <f t="shared" si="155"/>
        <v>47513.71154277819</v>
      </c>
      <c r="FJ20" s="368">
        <f t="shared" si="38"/>
        <v>65.989999999999995</v>
      </c>
      <c r="FK20" s="153">
        <f t="shared" si="155"/>
        <v>47513.71154277819</v>
      </c>
      <c r="FL20" s="368">
        <f t="shared" si="39"/>
        <v>65.989999999999995</v>
      </c>
      <c r="FM20" s="153">
        <f t="shared" si="156"/>
        <v>47513.71154277819</v>
      </c>
      <c r="FN20" s="368">
        <f t="shared" si="40"/>
        <v>65.989999999999995</v>
      </c>
      <c r="FO20" s="153">
        <f t="shared" si="157"/>
        <v>47513.71154277819</v>
      </c>
      <c r="FP20" s="368">
        <f t="shared" si="41"/>
        <v>65.989999999999995</v>
      </c>
      <c r="FQ20" s="153">
        <f t="shared" si="158"/>
        <v>47513.71154277819</v>
      </c>
      <c r="FR20" s="368">
        <f t="shared" si="159"/>
        <v>65.989999999999995</v>
      </c>
      <c r="FS20" s="153">
        <f t="shared" si="160"/>
        <v>47513.71154277819</v>
      </c>
      <c r="FT20" s="368">
        <f t="shared" si="42"/>
        <v>65.989999999999995</v>
      </c>
      <c r="FU20" s="153">
        <f t="shared" si="161"/>
        <v>47513.71154277819</v>
      </c>
      <c r="FV20" s="368">
        <f t="shared" si="162"/>
        <v>65.989999999999995</v>
      </c>
      <c r="FW20" s="153">
        <f t="shared" si="163"/>
        <v>47513.71154277819</v>
      </c>
      <c r="FX20" s="368">
        <f t="shared" si="43"/>
        <v>65.989999999999995</v>
      </c>
      <c r="FY20" s="153">
        <f t="shared" si="164"/>
        <v>47513.71154277819</v>
      </c>
      <c r="FZ20" s="368">
        <f t="shared" si="165"/>
        <v>65.989999999999995</v>
      </c>
      <c r="GA20" s="153">
        <f t="shared" si="166"/>
        <v>47513.71154277819</v>
      </c>
      <c r="GB20" s="368">
        <f t="shared" si="44"/>
        <v>65.989999999999995</v>
      </c>
      <c r="GC20" s="153">
        <f t="shared" si="167"/>
        <v>47513.71154277819</v>
      </c>
      <c r="GD20" s="158">
        <f t="shared" si="168"/>
        <v>791.88</v>
      </c>
      <c r="GE20" s="159">
        <f t="shared" si="45"/>
        <v>570164.53851333831</v>
      </c>
      <c r="GG20" s="149">
        <v>55</v>
      </c>
      <c r="GH20" s="150">
        <v>1</v>
      </c>
      <c r="GI20" s="161">
        <f t="shared" si="297"/>
        <v>39600.759734093052</v>
      </c>
      <c r="GJ20" s="152">
        <f>+GG20</f>
        <v>55</v>
      </c>
      <c r="GK20" s="153">
        <f t="shared" si="170"/>
        <v>39600.759734093052</v>
      </c>
      <c r="GL20" s="152">
        <f>+GG20</f>
        <v>55</v>
      </c>
      <c r="GM20" s="153">
        <f t="shared" si="170"/>
        <v>39600.759734093052</v>
      </c>
      <c r="GN20" s="152">
        <f>($GG20*$GH20)</f>
        <v>55</v>
      </c>
      <c r="GO20" s="153">
        <f t="shared" si="171"/>
        <v>39600.759734093052</v>
      </c>
      <c r="GP20" s="152">
        <f t="shared" si="169"/>
        <v>55</v>
      </c>
      <c r="GQ20" s="153">
        <f t="shared" si="172"/>
        <v>39600.759734093052</v>
      </c>
      <c r="GR20" s="152">
        <f t="shared" si="173"/>
        <v>55</v>
      </c>
      <c r="GS20" s="153">
        <f t="shared" si="174"/>
        <v>39600.759734093052</v>
      </c>
      <c r="GT20" s="152">
        <f t="shared" si="175"/>
        <v>55</v>
      </c>
      <c r="GU20" s="153">
        <f t="shared" si="176"/>
        <v>39600.759734093052</v>
      </c>
      <c r="GV20" s="152">
        <f t="shared" si="177"/>
        <v>55</v>
      </c>
      <c r="GW20" s="153">
        <f t="shared" si="178"/>
        <v>39600.759734093052</v>
      </c>
      <c r="GX20" s="152">
        <f t="shared" si="179"/>
        <v>55</v>
      </c>
      <c r="GY20" s="153">
        <f t="shared" si="180"/>
        <v>39600.759734093052</v>
      </c>
      <c r="GZ20" s="152">
        <f t="shared" si="181"/>
        <v>55</v>
      </c>
      <c r="HA20" s="153">
        <f t="shared" si="182"/>
        <v>39600.759734093052</v>
      </c>
      <c r="HB20" s="152">
        <f t="shared" si="183"/>
        <v>55</v>
      </c>
      <c r="HC20" s="153">
        <f t="shared" si="184"/>
        <v>39600.759734093052</v>
      </c>
      <c r="HD20" s="152">
        <f t="shared" si="185"/>
        <v>55</v>
      </c>
      <c r="HE20" s="153">
        <f t="shared" si="186"/>
        <v>39600.759734093052</v>
      </c>
      <c r="HF20" s="152">
        <f t="shared" si="187"/>
        <v>55</v>
      </c>
      <c r="HG20" s="153">
        <f t="shared" si="188"/>
        <v>39600.759734093052</v>
      </c>
      <c r="HH20" s="158">
        <f t="shared" si="189"/>
        <v>660</v>
      </c>
      <c r="HI20" s="159">
        <f t="shared" si="47"/>
        <v>475209.11680911662</v>
      </c>
      <c r="HK20" s="149">
        <v>262.85000000000002</v>
      </c>
      <c r="HL20" s="150">
        <v>1</v>
      </c>
      <c r="HM20" s="161">
        <f t="shared" si="48"/>
        <v>189255.63083829745</v>
      </c>
      <c r="HN20" s="152">
        <v>0</v>
      </c>
      <c r="HO20" s="153">
        <f t="shared" si="191"/>
        <v>0</v>
      </c>
      <c r="HP20" s="152">
        <v>0</v>
      </c>
      <c r="HQ20" s="153">
        <f t="shared" si="193"/>
        <v>0</v>
      </c>
      <c r="HR20" s="152">
        <f t="shared" si="192"/>
        <v>262.85000000000002</v>
      </c>
      <c r="HS20" s="153">
        <f t="shared" si="193"/>
        <v>189255.63083829745</v>
      </c>
      <c r="HT20" s="152">
        <f t="shared" si="192"/>
        <v>262.85000000000002</v>
      </c>
      <c r="HU20" s="153">
        <f t="shared" si="194"/>
        <v>189255.63083829745</v>
      </c>
      <c r="HV20" s="152">
        <f t="shared" si="192"/>
        <v>262.85000000000002</v>
      </c>
      <c r="HW20" s="153">
        <f t="shared" si="195"/>
        <v>189255.63083829745</v>
      </c>
      <c r="HX20" s="152">
        <f t="shared" si="196"/>
        <v>262.85000000000002</v>
      </c>
      <c r="HY20" s="153">
        <f t="shared" si="197"/>
        <v>189255.63083829745</v>
      </c>
      <c r="HZ20" s="152">
        <f t="shared" si="198"/>
        <v>262.85000000000002</v>
      </c>
      <c r="IA20" s="153">
        <f t="shared" si="199"/>
        <v>189255.63083829745</v>
      </c>
      <c r="IB20" s="152">
        <f t="shared" si="200"/>
        <v>262.85000000000002</v>
      </c>
      <c r="IC20" s="153">
        <f t="shared" si="201"/>
        <v>189255.63083829745</v>
      </c>
      <c r="ID20" s="152">
        <f t="shared" si="202"/>
        <v>262.85000000000002</v>
      </c>
      <c r="IE20" s="153">
        <f t="shared" si="203"/>
        <v>189255.63083829745</v>
      </c>
      <c r="IF20" s="152">
        <f t="shared" si="204"/>
        <v>262.85000000000002</v>
      </c>
      <c r="IG20" s="153">
        <f t="shared" si="205"/>
        <v>189255.63083829745</v>
      </c>
      <c r="IH20" s="152">
        <f t="shared" si="206"/>
        <v>262.85000000000002</v>
      </c>
      <c r="II20" s="153">
        <f t="shared" si="207"/>
        <v>189255.63083829745</v>
      </c>
      <c r="IJ20" s="152">
        <f t="shared" si="208"/>
        <v>262.85000000000002</v>
      </c>
      <c r="IK20" s="153">
        <f t="shared" si="209"/>
        <v>189255.63083829745</v>
      </c>
      <c r="IL20" s="158">
        <f t="shared" si="210"/>
        <v>2628.4999999999995</v>
      </c>
      <c r="IM20" s="159">
        <f t="shared" si="211"/>
        <v>1892556.308382974</v>
      </c>
      <c r="IO20" s="149">
        <v>4663</v>
      </c>
      <c r="IP20" s="150">
        <v>1</v>
      </c>
      <c r="IQ20" s="161">
        <f t="shared" si="298"/>
        <v>3357424.4116377439</v>
      </c>
      <c r="IR20" s="152">
        <f t="shared" si="212"/>
        <v>4663</v>
      </c>
      <c r="IS20" s="153">
        <f t="shared" si="213"/>
        <v>3357424.4116377439</v>
      </c>
      <c r="IT20" s="152">
        <f t="shared" si="50"/>
        <v>4663</v>
      </c>
      <c r="IU20" s="285">
        <f t="shared" si="214"/>
        <v>3357424.4116377439</v>
      </c>
      <c r="IV20" s="152">
        <f t="shared" si="51"/>
        <v>4663</v>
      </c>
      <c r="IW20" s="285">
        <f t="shared" si="214"/>
        <v>3357424.4116377439</v>
      </c>
      <c r="IX20" s="152">
        <f t="shared" si="52"/>
        <v>4663</v>
      </c>
      <c r="IY20" s="285">
        <f t="shared" si="215"/>
        <v>3357424.4116377439</v>
      </c>
      <c r="IZ20" s="152">
        <f t="shared" si="53"/>
        <v>4663</v>
      </c>
      <c r="JA20" s="285">
        <f t="shared" si="216"/>
        <v>3357424.4116377439</v>
      </c>
      <c r="JB20" s="152">
        <f t="shared" si="54"/>
        <v>4663</v>
      </c>
      <c r="JC20" s="285">
        <f t="shared" si="217"/>
        <v>3357424.4116377439</v>
      </c>
      <c r="JD20" s="152">
        <f t="shared" si="218"/>
        <v>4663</v>
      </c>
      <c r="JE20" s="285">
        <f t="shared" si="219"/>
        <v>3357424.4116377439</v>
      </c>
      <c r="JF20" s="152">
        <f t="shared" si="55"/>
        <v>4663</v>
      </c>
      <c r="JG20" s="285">
        <f t="shared" si="220"/>
        <v>3357424.4116377439</v>
      </c>
      <c r="JH20" s="152">
        <f t="shared" si="221"/>
        <v>4663</v>
      </c>
      <c r="JI20" s="285">
        <f t="shared" si="222"/>
        <v>3357424.4116377439</v>
      </c>
      <c r="JJ20" s="152">
        <f t="shared" si="56"/>
        <v>4663</v>
      </c>
      <c r="JK20" s="285">
        <f t="shared" si="223"/>
        <v>3357424.4116377439</v>
      </c>
      <c r="JL20" s="152">
        <f t="shared" si="224"/>
        <v>4663</v>
      </c>
      <c r="JM20" s="285">
        <f t="shared" si="225"/>
        <v>3357424.4116377439</v>
      </c>
      <c r="JN20" s="152">
        <f t="shared" si="57"/>
        <v>4663</v>
      </c>
      <c r="JO20" s="285">
        <f t="shared" si="226"/>
        <v>3357424.4116377439</v>
      </c>
      <c r="JP20" s="158">
        <f t="shared" si="227"/>
        <v>55956</v>
      </c>
      <c r="JQ20" s="159">
        <f t="shared" si="228"/>
        <v>40289092.939652927</v>
      </c>
      <c r="JS20" s="149">
        <v>5220</v>
      </c>
      <c r="JT20" s="150">
        <v>1</v>
      </c>
      <c r="JU20" s="161">
        <f t="shared" si="58"/>
        <v>3758472.1056721043</v>
      </c>
      <c r="JV20" s="152">
        <f t="shared" si="229"/>
        <v>5220</v>
      </c>
      <c r="JW20" s="153">
        <f t="shared" si="230"/>
        <v>3758472.1056721043</v>
      </c>
      <c r="JX20" s="368"/>
      <c r="JY20" s="153">
        <f t="shared" si="231"/>
        <v>0</v>
      </c>
      <c r="JZ20" s="368"/>
      <c r="KA20" s="153">
        <f t="shared" si="231"/>
        <v>0</v>
      </c>
      <c r="KB20" s="368"/>
      <c r="KC20" s="153">
        <f t="shared" si="232"/>
        <v>0</v>
      </c>
      <c r="KD20" s="368"/>
      <c r="KE20" s="153">
        <f t="shared" si="233"/>
        <v>0</v>
      </c>
      <c r="KF20" s="368"/>
      <c r="KG20" s="153">
        <f t="shared" si="234"/>
        <v>0</v>
      </c>
      <c r="KH20" s="368"/>
      <c r="KI20" s="153">
        <f t="shared" si="236"/>
        <v>0</v>
      </c>
      <c r="KJ20" s="368"/>
      <c r="KK20" s="153">
        <f t="shared" si="237"/>
        <v>0</v>
      </c>
      <c r="KL20" s="368"/>
      <c r="KM20" s="153">
        <f t="shared" si="239"/>
        <v>0</v>
      </c>
      <c r="KN20" s="368"/>
      <c r="KO20" s="153">
        <f t="shared" si="240"/>
        <v>0</v>
      </c>
      <c r="KP20" s="368"/>
      <c r="KQ20" s="153">
        <f t="shared" si="242"/>
        <v>0</v>
      </c>
      <c r="KR20" s="368"/>
      <c r="KS20" s="154">
        <f t="shared" si="243"/>
        <v>0</v>
      </c>
      <c r="KT20" s="158">
        <f t="shared" si="244"/>
        <v>5220</v>
      </c>
      <c r="KU20" s="159">
        <f t="shared" si="67"/>
        <v>3758472.1056721043</v>
      </c>
      <c r="KW20" s="149"/>
      <c r="KX20" s="150"/>
      <c r="KY20" s="157"/>
      <c r="KZ20" s="152">
        <f t="shared" si="271"/>
        <v>0</v>
      </c>
      <c r="LA20" s="153"/>
      <c r="LB20" s="152">
        <f t="shared" si="272"/>
        <v>0</v>
      </c>
      <c r="LC20" s="153">
        <f t="shared" si="246"/>
        <v>0</v>
      </c>
      <c r="LD20" s="152">
        <f t="shared" si="272"/>
        <v>0</v>
      </c>
      <c r="LE20" s="153">
        <f t="shared" si="246"/>
        <v>0</v>
      </c>
      <c r="LF20" s="152">
        <f t="shared" si="272"/>
        <v>0</v>
      </c>
      <c r="LG20" s="153">
        <f t="shared" si="247"/>
        <v>0</v>
      </c>
      <c r="LH20" s="152">
        <f t="shared" si="272"/>
        <v>0</v>
      </c>
      <c r="LI20" s="153">
        <f t="shared" si="248"/>
        <v>0</v>
      </c>
      <c r="LJ20" s="152">
        <f t="shared" si="273"/>
        <v>0</v>
      </c>
      <c r="LK20" s="153">
        <f t="shared" si="249"/>
        <v>0</v>
      </c>
      <c r="LL20" s="152">
        <f t="shared" si="274"/>
        <v>0</v>
      </c>
      <c r="LM20" s="153">
        <f t="shared" si="250"/>
        <v>0</v>
      </c>
      <c r="LN20" s="152">
        <f t="shared" si="275"/>
        <v>0</v>
      </c>
      <c r="LO20" s="153">
        <f t="shared" si="251"/>
        <v>0</v>
      </c>
      <c r="LP20" s="152">
        <f t="shared" si="276"/>
        <v>0</v>
      </c>
      <c r="LQ20" s="153">
        <f t="shared" si="252"/>
        <v>0</v>
      </c>
      <c r="LR20" s="152">
        <f t="shared" si="277"/>
        <v>0</v>
      </c>
      <c r="LS20" s="153">
        <f t="shared" si="253"/>
        <v>0</v>
      </c>
      <c r="LT20" s="152">
        <f t="shared" si="278"/>
        <v>0</v>
      </c>
      <c r="LU20" s="153">
        <f t="shared" si="254"/>
        <v>0</v>
      </c>
      <c r="LV20" s="152">
        <f t="shared" si="279"/>
        <v>0</v>
      </c>
      <c r="LW20" s="153">
        <f t="shared" si="255"/>
        <v>0</v>
      </c>
      <c r="LX20" s="158">
        <f t="shared" si="256"/>
        <v>0</v>
      </c>
      <c r="LY20" s="159">
        <f t="shared" si="257"/>
        <v>0</v>
      </c>
      <c r="MA20" s="164">
        <f t="shared" si="69"/>
        <v>11379.380000000001</v>
      </c>
      <c r="MB20" s="386">
        <f t="shared" si="258"/>
        <v>8193310.7873262521</v>
      </c>
      <c r="MC20" s="394">
        <f t="shared" si="70"/>
        <v>6159.38</v>
      </c>
      <c r="MD20" s="386">
        <f t="shared" si="259"/>
        <v>4434838.6816541469</v>
      </c>
      <c r="ME20" s="394">
        <f t="shared" si="71"/>
        <v>6422.23</v>
      </c>
      <c r="MF20" s="386">
        <f t="shared" si="259"/>
        <v>4624094.3124924442</v>
      </c>
      <c r="MG20" s="394">
        <f t="shared" si="72"/>
        <v>6422.23</v>
      </c>
      <c r="MH20" s="386">
        <f t="shared" si="260"/>
        <v>4624094.3124924442</v>
      </c>
      <c r="MI20" s="394">
        <f t="shared" si="73"/>
        <v>6422.23</v>
      </c>
      <c r="MJ20" s="386">
        <f t="shared" si="261"/>
        <v>4624094.3124924442</v>
      </c>
      <c r="MK20" s="394">
        <f t="shared" si="74"/>
        <v>6422.23</v>
      </c>
      <c r="ML20" s="386">
        <f t="shared" si="262"/>
        <v>4624094.3124924442</v>
      </c>
      <c r="MM20" s="394">
        <f t="shared" si="75"/>
        <v>6422.23</v>
      </c>
      <c r="MN20" s="386">
        <f t="shared" si="263"/>
        <v>4624094.3124924442</v>
      </c>
      <c r="MO20" s="394">
        <f t="shared" si="76"/>
        <v>6422.23</v>
      </c>
      <c r="MP20" s="386">
        <f t="shared" si="264"/>
        <v>4624094.3124924442</v>
      </c>
      <c r="MQ20" s="394">
        <f t="shared" si="77"/>
        <v>6422.23</v>
      </c>
      <c r="MR20" s="386">
        <f t="shared" si="265"/>
        <v>4624094.3124924442</v>
      </c>
      <c r="MS20" s="394">
        <f t="shared" si="78"/>
        <v>6422.23</v>
      </c>
      <c r="MT20" s="386">
        <f t="shared" si="266"/>
        <v>4624094.3124924442</v>
      </c>
      <c r="MU20" s="394">
        <f t="shared" si="79"/>
        <v>6422.23</v>
      </c>
      <c r="MV20" s="386">
        <f t="shared" si="267"/>
        <v>4624094.3124924442</v>
      </c>
      <c r="MW20" s="394">
        <f t="shared" si="80"/>
        <v>6422.23</v>
      </c>
      <c r="MX20" s="386">
        <f t="shared" si="268"/>
        <v>4624094.3124924442</v>
      </c>
      <c r="MY20" s="165">
        <f t="shared" si="269"/>
        <v>81761.059999999969</v>
      </c>
      <c r="MZ20" s="166">
        <f t="shared" si="270"/>
        <v>58869092.593904816</v>
      </c>
    </row>
    <row r="21" spans="1:364" s="126" customFormat="1" ht="52.8" x14ac:dyDescent="0.3">
      <c r="A21" s="528"/>
      <c r="B21" s="14" t="s">
        <v>63</v>
      </c>
      <c r="C21" s="147" t="s">
        <v>64</v>
      </c>
      <c r="D21" s="148" t="s">
        <v>65</v>
      </c>
      <c r="E21" s="14">
        <v>1</v>
      </c>
      <c r="F21" s="346">
        <v>1730.2836052836051</v>
      </c>
      <c r="G21" s="346">
        <f t="shared" si="81"/>
        <v>1802.3952343952342</v>
      </c>
      <c r="I21" s="149">
        <v>225</v>
      </c>
      <c r="J21" s="150">
        <v>1</v>
      </c>
      <c r="K21" s="151">
        <f t="shared" si="82"/>
        <v>405538.92773892771</v>
      </c>
      <c r="L21" s="152">
        <f t="shared" ref="L21:L48" si="300">+$I21*$J21</f>
        <v>225</v>
      </c>
      <c r="M21" s="285">
        <f t="shared" ref="M21:O41" si="301">+L21*$G21</f>
        <v>405538.92773892771</v>
      </c>
      <c r="N21" s="152">
        <f>+$I21*$J21</f>
        <v>225</v>
      </c>
      <c r="O21" s="285">
        <f t="shared" ref="O21:Q36" si="302">+N21*$G21</f>
        <v>405538.92773892771</v>
      </c>
      <c r="P21" s="152">
        <f t="shared" ref="P21:P26" si="303">+$I21*$J21</f>
        <v>225</v>
      </c>
      <c r="Q21" s="285">
        <f t="shared" si="302"/>
        <v>405538.92773892771</v>
      </c>
      <c r="R21" s="152">
        <f>+$I21*$J21</f>
        <v>225</v>
      </c>
      <c r="S21" s="285">
        <f t="shared" si="86"/>
        <v>405538.92773892771</v>
      </c>
      <c r="T21" s="152">
        <f t="shared" ref="T21:T26" si="304">+$I21*$J21</f>
        <v>225</v>
      </c>
      <c r="U21" s="285">
        <f t="shared" si="87"/>
        <v>405538.92773892771</v>
      </c>
      <c r="V21" s="152">
        <f>+$I21*$J21</f>
        <v>225</v>
      </c>
      <c r="W21" s="285">
        <f t="shared" si="88"/>
        <v>405538.92773892771</v>
      </c>
      <c r="X21" s="152">
        <f t="shared" ref="X21:X84" si="305">+$I21*$J21</f>
        <v>225</v>
      </c>
      <c r="Y21" s="285">
        <f t="shared" si="89"/>
        <v>405538.92773892771</v>
      </c>
      <c r="Z21" s="152">
        <f>+$I21*$J21</f>
        <v>225</v>
      </c>
      <c r="AA21" s="285">
        <f t="shared" si="90"/>
        <v>405538.92773892771</v>
      </c>
      <c r="AB21" s="152">
        <f t="shared" ref="AB21:AB84" si="306">+$I21*$J21</f>
        <v>225</v>
      </c>
      <c r="AC21" s="285">
        <f t="shared" si="91"/>
        <v>405538.92773892771</v>
      </c>
      <c r="AD21" s="152">
        <f>+$I21*$J21</f>
        <v>225</v>
      </c>
      <c r="AE21" s="285">
        <f t="shared" si="92"/>
        <v>405538.92773892771</v>
      </c>
      <c r="AF21" s="152">
        <f t="shared" ref="AF21:AF84" si="307">+$I21*$J21</f>
        <v>225</v>
      </c>
      <c r="AG21" s="285">
        <f t="shared" ref="AG21:AG85" si="308">+AF21*$G21</f>
        <v>405538.92773892771</v>
      </c>
      <c r="AH21" s="152">
        <f>+$I21*$J21</f>
        <v>225</v>
      </c>
      <c r="AI21" s="294">
        <f t="shared" ref="AI21:AI85" si="309">+AH21*$G21</f>
        <v>405538.92773892771</v>
      </c>
      <c r="AJ21" s="156">
        <f t="shared" si="94"/>
        <v>2700</v>
      </c>
      <c r="AK21" s="306">
        <f t="shared" si="95"/>
        <v>4866467.1328671323</v>
      </c>
      <c r="AM21" s="149">
        <v>0</v>
      </c>
      <c r="AN21" s="150">
        <v>1</v>
      </c>
      <c r="AO21" s="157">
        <f t="shared" si="285"/>
        <v>0</v>
      </c>
      <c r="AP21" s="152">
        <f t="shared" si="1"/>
        <v>0</v>
      </c>
      <c r="AQ21" s="285">
        <f t="shared" si="96"/>
        <v>0</v>
      </c>
      <c r="AR21" s="317">
        <f t="shared" si="2"/>
        <v>0</v>
      </c>
      <c r="AS21" s="285">
        <f t="shared" si="96"/>
        <v>0</v>
      </c>
      <c r="AT21" s="317">
        <f t="shared" si="3"/>
        <v>0</v>
      </c>
      <c r="AU21" s="285">
        <f t="shared" si="96"/>
        <v>0</v>
      </c>
      <c r="AV21" s="317">
        <f t="shared" si="4"/>
        <v>0</v>
      </c>
      <c r="AW21" s="285">
        <f t="shared" si="98"/>
        <v>0</v>
      </c>
      <c r="AX21" s="317">
        <f t="shared" si="5"/>
        <v>0</v>
      </c>
      <c r="AY21" s="285">
        <f t="shared" si="99"/>
        <v>0</v>
      </c>
      <c r="AZ21" s="317">
        <f t="shared" si="6"/>
        <v>0</v>
      </c>
      <c r="BA21" s="285">
        <f t="shared" si="100"/>
        <v>0</v>
      </c>
      <c r="BB21" s="317">
        <f t="shared" si="7"/>
        <v>0</v>
      </c>
      <c r="BC21" s="285">
        <f t="shared" si="101"/>
        <v>0</v>
      </c>
      <c r="BD21" s="317">
        <f t="shared" si="8"/>
        <v>0</v>
      </c>
      <c r="BE21" s="285">
        <f t="shared" si="102"/>
        <v>0</v>
      </c>
      <c r="BF21" s="317">
        <f t="shared" si="9"/>
        <v>0</v>
      </c>
      <c r="BG21" s="285">
        <f t="shared" si="103"/>
        <v>0</v>
      </c>
      <c r="BH21" s="317">
        <f t="shared" si="10"/>
        <v>0</v>
      </c>
      <c r="BI21" s="285">
        <f t="shared" ref="BI21:BK36" si="310">+BH21*$G21</f>
        <v>0</v>
      </c>
      <c r="BJ21" s="317">
        <f t="shared" si="11"/>
        <v>0</v>
      </c>
      <c r="BK21" s="285">
        <f t="shared" si="310"/>
        <v>0</v>
      </c>
      <c r="BL21" s="152">
        <f t="shared" si="12"/>
        <v>0</v>
      </c>
      <c r="BM21" s="296">
        <f t="shared" si="105"/>
        <v>0</v>
      </c>
      <c r="BN21" s="158">
        <f t="shared" si="106"/>
        <v>0</v>
      </c>
      <c r="BO21" s="307">
        <f t="shared" si="13"/>
        <v>0</v>
      </c>
      <c r="BQ21" s="149">
        <v>111</v>
      </c>
      <c r="BR21" s="150">
        <v>1</v>
      </c>
      <c r="BS21" s="160">
        <f t="shared" si="281"/>
        <v>200065.87101787099</v>
      </c>
      <c r="BT21" s="152">
        <f t="shared" si="280"/>
        <v>111</v>
      </c>
      <c r="BU21" s="332">
        <f t="shared" si="107"/>
        <v>200065.87101787099</v>
      </c>
      <c r="BV21" s="152">
        <f t="shared" si="15"/>
        <v>111</v>
      </c>
      <c r="BW21" s="153">
        <f t="shared" si="108"/>
        <v>200065.87101787099</v>
      </c>
      <c r="BX21" s="152">
        <f t="shared" si="16"/>
        <v>111</v>
      </c>
      <c r="BY21" s="153">
        <f t="shared" si="109"/>
        <v>200065.87101787099</v>
      </c>
      <c r="BZ21" s="152">
        <f t="shared" si="17"/>
        <v>111</v>
      </c>
      <c r="CA21" s="153">
        <f t="shared" si="110"/>
        <v>200065.87101787099</v>
      </c>
      <c r="CB21" s="152">
        <f t="shared" si="18"/>
        <v>111</v>
      </c>
      <c r="CC21" s="153">
        <f t="shared" si="111"/>
        <v>200065.87101787099</v>
      </c>
      <c r="CD21" s="152">
        <f t="shared" si="19"/>
        <v>111</v>
      </c>
      <c r="CE21" s="153">
        <f t="shared" si="112"/>
        <v>200065.87101787099</v>
      </c>
      <c r="CF21" s="152">
        <f t="shared" si="113"/>
        <v>111</v>
      </c>
      <c r="CG21" s="153">
        <f t="shared" si="114"/>
        <v>200065.87101787099</v>
      </c>
      <c r="CH21" s="152">
        <f t="shared" si="20"/>
        <v>111</v>
      </c>
      <c r="CI21" s="153">
        <f t="shared" si="115"/>
        <v>200065.87101787099</v>
      </c>
      <c r="CJ21" s="152">
        <f t="shared" si="116"/>
        <v>111</v>
      </c>
      <c r="CK21" s="153">
        <f t="shared" si="117"/>
        <v>200065.87101787099</v>
      </c>
      <c r="CL21" s="152">
        <f t="shared" si="21"/>
        <v>111</v>
      </c>
      <c r="CM21" s="153">
        <f t="shared" si="118"/>
        <v>200065.87101787099</v>
      </c>
      <c r="CN21" s="152">
        <f t="shared" si="119"/>
        <v>111</v>
      </c>
      <c r="CO21" s="153">
        <f t="shared" si="120"/>
        <v>200065.87101787099</v>
      </c>
      <c r="CP21" s="152">
        <f t="shared" si="22"/>
        <v>111</v>
      </c>
      <c r="CQ21" s="154">
        <f t="shared" si="23"/>
        <v>200065.87101787099</v>
      </c>
      <c r="CR21" s="158">
        <f t="shared" si="121"/>
        <v>1332</v>
      </c>
      <c r="CS21" s="159">
        <f t="shared" si="24"/>
        <v>2400790.452214452</v>
      </c>
      <c r="CU21" s="149">
        <v>127</v>
      </c>
      <c r="CV21" s="150">
        <v>1</v>
      </c>
      <c r="CW21" s="161">
        <f t="shared" si="299"/>
        <v>228904.19476819475</v>
      </c>
      <c r="CX21" s="152">
        <f t="shared" si="122"/>
        <v>127</v>
      </c>
      <c r="CY21" s="153">
        <f t="shared" si="123"/>
        <v>228904.19476819475</v>
      </c>
      <c r="CZ21" s="152">
        <f t="shared" si="26"/>
        <v>127</v>
      </c>
      <c r="DA21" s="285">
        <f t="shared" si="123"/>
        <v>228904.19476819475</v>
      </c>
      <c r="DB21" s="152">
        <f t="shared" si="27"/>
        <v>127</v>
      </c>
      <c r="DC21" s="285">
        <f t="shared" si="124"/>
        <v>228904.19476819475</v>
      </c>
      <c r="DD21" s="152">
        <f t="shared" si="28"/>
        <v>127</v>
      </c>
      <c r="DE21" s="285">
        <f t="shared" si="125"/>
        <v>228904.19476819475</v>
      </c>
      <c r="DF21" s="152">
        <f t="shared" si="29"/>
        <v>127</v>
      </c>
      <c r="DG21" s="285">
        <f t="shared" si="126"/>
        <v>228904.19476819475</v>
      </c>
      <c r="DH21" s="152">
        <f t="shared" si="30"/>
        <v>127</v>
      </c>
      <c r="DI21" s="285">
        <f t="shared" si="127"/>
        <v>228904.19476819475</v>
      </c>
      <c r="DJ21" s="152">
        <f t="shared" si="128"/>
        <v>127</v>
      </c>
      <c r="DK21" s="285">
        <f t="shared" si="129"/>
        <v>228904.19476819475</v>
      </c>
      <c r="DL21" s="152">
        <f t="shared" si="31"/>
        <v>127</v>
      </c>
      <c r="DM21" s="285">
        <f t="shared" si="130"/>
        <v>228904.19476819475</v>
      </c>
      <c r="DN21" s="152">
        <f t="shared" si="131"/>
        <v>127</v>
      </c>
      <c r="DO21" s="285">
        <f t="shared" si="132"/>
        <v>228904.19476819475</v>
      </c>
      <c r="DP21" s="152">
        <f t="shared" si="32"/>
        <v>127</v>
      </c>
      <c r="DQ21" s="285">
        <f t="shared" si="133"/>
        <v>228904.19476819475</v>
      </c>
      <c r="DR21" s="152">
        <f t="shared" si="134"/>
        <v>127</v>
      </c>
      <c r="DS21" s="285">
        <f t="shared" si="135"/>
        <v>228904.19476819475</v>
      </c>
      <c r="DT21" s="152">
        <f t="shared" si="33"/>
        <v>127</v>
      </c>
      <c r="DU21" s="285">
        <f t="shared" si="136"/>
        <v>228904.19476819475</v>
      </c>
      <c r="DV21" s="158">
        <f t="shared" si="137"/>
        <v>1524</v>
      </c>
      <c r="DW21" s="159">
        <f t="shared" si="34"/>
        <v>2746850.3372183368</v>
      </c>
      <c r="DY21" s="164">
        <v>214</v>
      </c>
      <c r="DZ21" s="150">
        <v>1</v>
      </c>
      <c r="EA21" s="161">
        <f t="shared" si="35"/>
        <v>385712.58016058011</v>
      </c>
      <c r="EB21" s="152">
        <f t="shared" si="286"/>
        <v>214</v>
      </c>
      <c r="EC21" s="153">
        <f t="shared" si="139"/>
        <v>385712.58016058011</v>
      </c>
      <c r="ED21" s="317">
        <f>+$DY21*$DZ21</f>
        <v>214</v>
      </c>
      <c r="EE21" s="153">
        <f t="shared" si="139"/>
        <v>385712.58016058011</v>
      </c>
      <c r="EF21" s="152">
        <f t="shared" si="287"/>
        <v>214</v>
      </c>
      <c r="EG21" s="153">
        <f t="shared" ref="EG21:EI36" si="311">+EF21*$G21</f>
        <v>385712.58016058011</v>
      </c>
      <c r="EH21" s="152">
        <f t="shared" si="142"/>
        <v>214</v>
      </c>
      <c r="EI21" s="153">
        <f t="shared" si="311"/>
        <v>385712.58016058011</v>
      </c>
      <c r="EJ21" s="152">
        <f t="shared" si="288"/>
        <v>214</v>
      </c>
      <c r="EK21" s="153">
        <f t="shared" si="143"/>
        <v>385712.58016058011</v>
      </c>
      <c r="EL21" s="152">
        <f t="shared" si="289"/>
        <v>214</v>
      </c>
      <c r="EM21" s="153">
        <f t="shared" si="144"/>
        <v>385712.58016058011</v>
      </c>
      <c r="EN21" s="152">
        <f t="shared" si="290"/>
        <v>214</v>
      </c>
      <c r="EO21" s="153">
        <f t="shared" si="145"/>
        <v>385712.58016058011</v>
      </c>
      <c r="EP21" s="152">
        <f t="shared" si="291"/>
        <v>214</v>
      </c>
      <c r="EQ21" s="153">
        <f t="shared" si="146"/>
        <v>385712.58016058011</v>
      </c>
      <c r="ER21" s="152">
        <f t="shared" si="292"/>
        <v>214</v>
      </c>
      <c r="ES21" s="153">
        <f t="shared" si="147"/>
        <v>385712.58016058011</v>
      </c>
      <c r="ET21" s="152">
        <f t="shared" si="293"/>
        <v>214</v>
      </c>
      <c r="EU21" s="153">
        <f t="shared" si="148"/>
        <v>385712.58016058011</v>
      </c>
      <c r="EV21" s="152">
        <f t="shared" si="294"/>
        <v>214</v>
      </c>
      <c r="EW21" s="153">
        <f t="shared" si="149"/>
        <v>385712.58016058011</v>
      </c>
      <c r="EX21" s="152">
        <f t="shared" si="295"/>
        <v>214</v>
      </c>
      <c r="EY21" s="153">
        <f t="shared" si="150"/>
        <v>385712.58016058011</v>
      </c>
      <c r="EZ21" s="158">
        <f t="shared" si="151"/>
        <v>2568</v>
      </c>
      <c r="FA21" s="159">
        <f t="shared" si="36"/>
        <v>4628550.9619269613</v>
      </c>
      <c r="FC21" s="149">
        <v>111</v>
      </c>
      <c r="FD21" s="150">
        <v>1</v>
      </c>
      <c r="FE21" s="161">
        <f t="shared" si="296"/>
        <v>200065.87101787099</v>
      </c>
      <c r="FF21" s="152">
        <f t="shared" si="153"/>
        <v>111</v>
      </c>
      <c r="FG21" s="153">
        <f t="shared" si="154"/>
        <v>200065.87101787099</v>
      </c>
      <c r="FH21" s="368">
        <f t="shared" si="37"/>
        <v>111</v>
      </c>
      <c r="FI21" s="153">
        <f t="shared" si="155"/>
        <v>200065.87101787099</v>
      </c>
      <c r="FJ21" s="368">
        <f t="shared" si="38"/>
        <v>111</v>
      </c>
      <c r="FK21" s="153">
        <f t="shared" si="155"/>
        <v>200065.87101787099</v>
      </c>
      <c r="FL21" s="368">
        <f t="shared" si="39"/>
        <v>111</v>
      </c>
      <c r="FM21" s="153">
        <f t="shared" si="156"/>
        <v>200065.87101787099</v>
      </c>
      <c r="FN21" s="368">
        <f t="shared" si="40"/>
        <v>111</v>
      </c>
      <c r="FO21" s="153">
        <f t="shared" si="157"/>
        <v>200065.87101787099</v>
      </c>
      <c r="FP21" s="368">
        <f t="shared" si="41"/>
        <v>111</v>
      </c>
      <c r="FQ21" s="153">
        <f t="shared" si="158"/>
        <v>200065.87101787099</v>
      </c>
      <c r="FR21" s="368">
        <f t="shared" si="159"/>
        <v>111</v>
      </c>
      <c r="FS21" s="153">
        <f t="shared" si="160"/>
        <v>200065.87101787099</v>
      </c>
      <c r="FT21" s="368">
        <f t="shared" si="42"/>
        <v>111</v>
      </c>
      <c r="FU21" s="153">
        <f t="shared" si="161"/>
        <v>200065.87101787099</v>
      </c>
      <c r="FV21" s="368">
        <f t="shared" si="162"/>
        <v>111</v>
      </c>
      <c r="FW21" s="153">
        <f t="shared" si="163"/>
        <v>200065.87101787099</v>
      </c>
      <c r="FX21" s="368">
        <f t="shared" si="43"/>
        <v>111</v>
      </c>
      <c r="FY21" s="153">
        <f t="shared" si="164"/>
        <v>200065.87101787099</v>
      </c>
      <c r="FZ21" s="368">
        <f t="shared" si="165"/>
        <v>111</v>
      </c>
      <c r="GA21" s="153">
        <f t="shared" si="166"/>
        <v>200065.87101787099</v>
      </c>
      <c r="GB21" s="368">
        <f t="shared" si="44"/>
        <v>111</v>
      </c>
      <c r="GC21" s="153">
        <f t="shared" si="167"/>
        <v>200065.87101787099</v>
      </c>
      <c r="GD21" s="158">
        <f t="shared" si="168"/>
        <v>1332</v>
      </c>
      <c r="GE21" s="159">
        <f t="shared" si="45"/>
        <v>2400790.452214452</v>
      </c>
      <c r="GG21" s="149">
        <v>0</v>
      </c>
      <c r="GH21" s="150">
        <v>1</v>
      </c>
      <c r="GI21" s="161">
        <f t="shared" si="297"/>
        <v>0</v>
      </c>
      <c r="GJ21" s="152">
        <v>0</v>
      </c>
      <c r="GK21" s="153">
        <f t="shared" si="170"/>
        <v>0</v>
      </c>
      <c r="GL21" s="152">
        <v>0</v>
      </c>
      <c r="GM21" s="153">
        <f t="shared" si="170"/>
        <v>0</v>
      </c>
      <c r="GN21" s="152">
        <v>0</v>
      </c>
      <c r="GO21" s="153">
        <f t="shared" si="171"/>
        <v>0</v>
      </c>
      <c r="GP21" s="152">
        <f t="shared" si="169"/>
        <v>0</v>
      </c>
      <c r="GQ21" s="153">
        <f t="shared" si="172"/>
        <v>0</v>
      </c>
      <c r="GR21" s="152">
        <f t="shared" si="173"/>
        <v>0</v>
      </c>
      <c r="GS21" s="153">
        <f t="shared" si="174"/>
        <v>0</v>
      </c>
      <c r="GT21" s="152">
        <f t="shared" si="175"/>
        <v>0</v>
      </c>
      <c r="GU21" s="153">
        <f t="shared" si="176"/>
        <v>0</v>
      </c>
      <c r="GV21" s="152">
        <f t="shared" si="177"/>
        <v>0</v>
      </c>
      <c r="GW21" s="153">
        <f t="shared" si="178"/>
        <v>0</v>
      </c>
      <c r="GX21" s="152">
        <f t="shared" si="179"/>
        <v>0</v>
      </c>
      <c r="GY21" s="153">
        <f t="shared" si="180"/>
        <v>0</v>
      </c>
      <c r="GZ21" s="152">
        <f t="shared" si="181"/>
        <v>0</v>
      </c>
      <c r="HA21" s="153">
        <f t="shared" si="182"/>
        <v>0</v>
      </c>
      <c r="HB21" s="152">
        <f t="shared" si="183"/>
        <v>0</v>
      </c>
      <c r="HC21" s="153">
        <f t="shared" si="184"/>
        <v>0</v>
      </c>
      <c r="HD21" s="152">
        <f t="shared" si="185"/>
        <v>0</v>
      </c>
      <c r="HE21" s="153">
        <f t="shared" si="186"/>
        <v>0</v>
      </c>
      <c r="HF21" s="152">
        <f t="shared" si="187"/>
        <v>0</v>
      </c>
      <c r="HG21" s="153">
        <f t="shared" si="188"/>
        <v>0</v>
      </c>
      <c r="HH21" s="158">
        <f t="shared" si="189"/>
        <v>0</v>
      </c>
      <c r="HI21" s="159">
        <f t="shared" si="47"/>
        <v>0</v>
      </c>
      <c r="HK21" s="149">
        <v>21</v>
      </c>
      <c r="HL21" s="150">
        <v>1</v>
      </c>
      <c r="HM21" s="161">
        <f t="shared" si="48"/>
        <v>37850.299922299921</v>
      </c>
      <c r="HN21" s="152">
        <v>0</v>
      </c>
      <c r="HO21" s="153">
        <f t="shared" si="191"/>
        <v>0</v>
      </c>
      <c r="HP21" s="152">
        <v>0</v>
      </c>
      <c r="HQ21" s="153">
        <f t="shared" si="193"/>
        <v>0</v>
      </c>
      <c r="HR21" s="152">
        <f t="shared" si="192"/>
        <v>21</v>
      </c>
      <c r="HS21" s="153">
        <f t="shared" si="193"/>
        <v>37850.299922299921</v>
      </c>
      <c r="HT21" s="152">
        <f t="shared" si="192"/>
        <v>21</v>
      </c>
      <c r="HU21" s="153">
        <f t="shared" si="194"/>
        <v>37850.299922299921</v>
      </c>
      <c r="HV21" s="152">
        <f t="shared" si="192"/>
        <v>21</v>
      </c>
      <c r="HW21" s="153">
        <f t="shared" si="195"/>
        <v>37850.299922299921</v>
      </c>
      <c r="HX21" s="152">
        <f t="shared" si="196"/>
        <v>21</v>
      </c>
      <c r="HY21" s="153">
        <f t="shared" si="197"/>
        <v>37850.299922299921</v>
      </c>
      <c r="HZ21" s="152">
        <f t="shared" si="198"/>
        <v>21</v>
      </c>
      <c r="IA21" s="153">
        <f t="shared" si="199"/>
        <v>37850.299922299921</v>
      </c>
      <c r="IB21" s="152">
        <f t="shared" si="200"/>
        <v>21</v>
      </c>
      <c r="IC21" s="153">
        <f t="shared" si="201"/>
        <v>37850.299922299921</v>
      </c>
      <c r="ID21" s="152">
        <f t="shared" si="202"/>
        <v>21</v>
      </c>
      <c r="IE21" s="153">
        <f t="shared" si="203"/>
        <v>37850.299922299921</v>
      </c>
      <c r="IF21" s="152">
        <f t="shared" si="204"/>
        <v>21</v>
      </c>
      <c r="IG21" s="153">
        <f t="shared" si="205"/>
        <v>37850.299922299921</v>
      </c>
      <c r="IH21" s="152">
        <f t="shared" si="206"/>
        <v>21</v>
      </c>
      <c r="II21" s="153">
        <f t="shared" si="207"/>
        <v>37850.299922299921</v>
      </c>
      <c r="IJ21" s="152">
        <f t="shared" si="208"/>
        <v>21</v>
      </c>
      <c r="IK21" s="153">
        <f t="shared" si="209"/>
        <v>37850.299922299921</v>
      </c>
      <c r="IL21" s="158">
        <f t="shared" si="210"/>
        <v>210</v>
      </c>
      <c r="IM21" s="159">
        <f t="shared" si="211"/>
        <v>378502.99922299921</v>
      </c>
      <c r="IO21" s="149">
        <v>243</v>
      </c>
      <c r="IP21" s="150">
        <v>1</v>
      </c>
      <c r="IQ21" s="161">
        <f t="shared" si="298"/>
        <v>437982.0419580419</v>
      </c>
      <c r="IR21" s="152">
        <f t="shared" si="212"/>
        <v>243</v>
      </c>
      <c r="IS21" s="153">
        <f t="shared" si="213"/>
        <v>437982.0419580419</v>
      </c>
      <c r="IT21" s="152">
        <f t="shared" si="50"/>
        <v>243</v>
      </c>
      <c r="IU21" s="285">
        <f t="shared" si="214"/>
        <v>437982.0419580419</v>
      </c>
      <c r="IV21" s="152">
        <f t="shared" si="51"/>
        <v>243</v>
      </c>
      <c r="IW21" s="285">
        <f t="shared" si="214"/>
        <v>437982.0419580419</v>
      </c>
      <c r="IX21" s="152">
        <f t="shared" si="52"/>
        <v>243</v>
      </c>
      <c r="IY21" s="285">
        <f t="shared" si="215"/>
        <v>437982.0419580419</v>
      </c>
      <c r="IZ21" s="152">
        <f t="shared" si="53"/>
        <v>243</v>
      </c>
      <c r="JA21" s="285">
        <f t="shared" si="216"/>
        <v>437982.0419580419</v>
      </c>
      <c r="JB21" s="152">
        <f t="shared" si="54"/>
        <v>243</v>
      </c>
      <c r="JC21" s="285">
        <f t="shared" si="217"/>
        <v>437982.0419580419</v>
      </c>
      <c r="JD21" s="152">
        <f t="shared" si="218"/>
        <v>243</v>
      </c>
      <c r="JE21" s="285">
        <f t="shared" si="219"/>
        <v>437982.0419580419</v>
      </c>
      <c r="JF21" s="152">
        <f t="shared" si="55"/>
        <v>243</v>
      </c>
      <c r="JG21" s="285">
        <f t="shared" si="220"/>
        <v>437982.0419580419</v>
      </c>
      <c r="JH21" s="152">
        <f t="shared" si="221"/>
        <v>243</v>
      </c>
      <c r="JI21" s="285">
        <f t="shared" si="222"/>
        <v>437982.0419580419</v>
      </c>
      <c r="JJ21" s="152">
        <f t="shared" si="56"/>
        <v>243</v>
      </c>
      <c r="JK21" s="285">
        <f t="shared" si="223"/>
        <v>437982.0419580419</v>
      </c>
      <c r="JL21" s="152">
        <f t="shared" si="224"/>
        <v>243</v>
      </c>
      <c r="JM21" s="285">
        <f t="shared" si="225"/>
        <v>437982.0419580419</v>
      </c>
      <c r="JN21" s="152">
        <f t="shared" si="57"/>
        <v>243</v>
      </c>
      <c r="JO21" s="285">
        <f t="shared" si="226"/>
        <v>437982.0419580419</v>
      </c>
      <c r="JP21" s="158">
        <f t="shared" si="227"/>
        <v>2916</v>
      </c>
      <c r="JQ21" s="159">
        <f t="shared" si="228"/>
        <v>5255784.5034965025</v>
      </c>
      <c r="JS21" s="149">
        <v>0</v>
      </c>
      <c r="JT21" s="150">
        <v>1</v>
      </c>
      <c r="JU21" s="161">
        <f t="shared" si="58"/>
        <v>0</v>
      </c>
      <c r="JV21" s="152">
        <f t="shared" si="229"/>
        <v>0</v>
      </c>
      <c r="JW21" s="153">
        <f t="shared" si="230"/>
        <v>0</v>
      </c>
      <c r="JX21" s="368"/>
      <c r="JY21" s="153">
        <f t="shared" si="231"/>
        <v>0</v>
      </c>
      <c r="JZ21" s="368"/>
      <c r="KA21" s="153">
        <f t="shared" si="231"/>
        <v>0</v>
      </c>
      <c r="KB21" s="368"/>
      <c r="KC21" s="153">
        <f t="shared" si="232"/>
        <v>0</v>
      </c>
      <c r="KD21" s="368"/>
      <c r="KE21" s="153">
        <f t="shared" si="233"/>
        <v>0</v>
      </c>
      <c r="KF21" s="368"/>
      <c r="KG21" s="153">
        <f t="shared" si="234"/>
        <v>0</v>
      </c>
      <c r="KH21" s="368"/>
      <c r="KI21" s="153">
        <f t="shared" si="236"/>
        <v>0</v>
      </c>
      <c r="KJ21" s="368"/>
      <c r="KK21" s="153">
        <f t="shared" si="237"/>
        <v>0</v>
      </c>
      <c r="KL21" s="368"/>
      <c r="KM21" s="153">
        <f t="shared" si="239"/>
        <v>0</v>
      </c>
      <c r="KN21" s="368"/>
      <c r="KO21" s="153">
        <f t="shared" si="240"/>
        <v>0</v>
      </c>
      <c r="KP21" s="368"/>
      <c r="KQ21" s="153">
        <f t="shared" si="242"/>
        <v>0</v>
      </c>
      <c r="KR21" s="368"/>
      <c r="KS21" s="154">
        <f t="shared" si="243"/>
        <v>0</v>
      </c>
      <c r="KT21" s="158">
        <f t="shared" si="244"/>
        <v>0</v>
      </c>
      <c r="KU21" s="159">
        <f t="shared" si="67"/>
        <v>0</v>
      </c>
      <c r="KW21" s="149"/>
      <c r="KX21" s="150"/>
      <c r="KY21" s="157"/>
      <c r="KZ21" s="152">
        <f t="shared" si="271"/>
        <v>0</v>
      </c>
      <c r="LA21" s="153"/>
      <c r="LB21" s="152">
        <f t="shared" si="272"/>
        <v>0</v>
      </c>
      <c r="LC21" s="153">
        <f t="shared" si="246"/>
        <v>0</v>
      </c>
      <c r="LD21" s="152">
        <f t="shared" si="272"/>
        <v>0</v>
      </c>
      <c r="LE21" s="153">
        <f t="shared" si="246"/>
        <v>0</v>
      </c>
      <c r="LF21" s="152">
        <f t="shared" si="272"/>
        <v>0</v>
      </c>
      <c r="LG21" s="153">
        <f t="shared" si="247"/>
        <v>0</v>
      </c>
      <c r="LH21" s="152">
        <f t="shared" si="272"/>
        <v>0</v>
      </c>
      <c r="LI21" s="153">
        <f t="shared" si="248"/>
        <v>0</v>
      </c>
      <c r="LJ21" s="152">
        <f t="shared" si="273"/>
        <v>0</v>
      </c>
      <c r="LK21" s="153">
        <f t="shared" si="249"/>
        <v>0</v>
      </c>
      <c r="LL21" s="152">
        <f t="shared" si="274"/>
        <v>0</v>
      </c>
      <c r="LM21" s="153">
        <f t="shared" si="250"/>
        <v>0</v>
      </c>
      <c r="LN21" s="152">
        <f t="shared" si="275"/>
        <v>0</v>
      </c>
      <c r="LO21" s="153">
        <f t="shared" si="251"/>
        <v>0</v>
      </c>
      <c r="LP21" s="152">
        <f t="shared" si="276"/>
        <v>0</v>
      </c>
      <c r="LQ21" s="153">
        <f t="shared" si="252"/>
        <v>0</v>
      </c>
      <c r="LR21" s="152">
        <f t="shared" si="277"/>
        <v>0</v>
      </c>
      <c r="LS21" s="153">
        <f t="shared" si="253"/>
        <v>0</v>
      </c>
      <c r="LT21" s="152">
        <f t="shared" si="278"/>
        <v>0</v>
      </c>
      <c r="LU21" s="153">
        <f t="shared" si="254"/>
        <v>0</v>
      </c>
      <c r="LV21" s="152">
        <f t="shared" si="279"/>
        <v>0</v>
      </c>
      <c r="LW21" s="153">
        <f t="shared" si="255"/>
        <v>0</v>
      </c>
      <c r="LX21" s="158">
        <f t="shared" si="256"/>
        <v>0</v>
      </c>
      <c r="LY21" s="159">
        <f t="shared" si="257"/>
        <v>0</v>
      </c>
      <c r="MA21" s="164">
        <f t="shared" si="69"/>
        <v>1031</v>
      </c>
      <c r="MB21" s="386">
        <f t="shared" si="258"/>
        <v>1858269.4866614863</v>
      </c>
      <c r="MC21" s="394">
        <f t="shared" si="70"/>
        <v>1031</v>
      </c>
      <c r="MD21" s="386">
        <f t="shared" si="259"/>
        <v>1858269.4866614863</v>
      </c>
      <c r="ME21" s="394">
        <f t="shared" si="71"/>
        <v>1052</v>
      </c>
      <c r="MF21" s="386">
        <f t="shared" si="259"/>
        <v>1896119.7865837864</v>
      </c>
      <c r="MG21" s="394">
        <f t="shared" si="72"/>
        <v>1052</v>
      </c>
      <c r="MH21" s="386">
        <f t="shared" si="260"/>
        <v>1896119.7865837864</v>
      </c>
      <c r="MI21" s="394">
        <f t="shared" si="73"/>
        <v>1052</v>
      </c>
      <c r="MJ21" s="386">
        <f t="shared" si="261"/>
        <v>1896119.7865837864</v>
      </c>
      <c r="MK21" s="394">
        <f t="shared" si="74"/>
        <v>1052</v>
      </c>
      <c r="ML21" s="386">
        <f t="shared" si="262"/>
        <v>1896119.7865837864</v>
      </c>
      <c r="MM21" s="394">
        <f t="shared" si="75"/>
        <v>1052</v>
      </c>
      <c r="MN21" s="386">
        <f t="shared" si="263"/>
        <v>1896119.7865837864</v>
      </c>
      <c r="MO21" s="394">
        <f t="shared" si="76"/>
        <v>1052</v>
      </c>
      <c r="MP21" s="386">
        <f t="shared" si="264"/>
        <v>1896119.7865837864</v>
      </c>
      <c r="MQ21" s="394">
        <f t="shared" si="77"/>
        <v>1052</v>
      </c>
      <c r="MR21" s="386">
        <f t="shared" si="265"/>
        <v>1896119.7865837864</v>
      </c>
      <c r="MS21" s="394">
        <f t="shared" si="78"/>
        <v>1052</v>
      </c>
      <c r="MT21" s="386">
        <f t="shared" si="266"/>
        <v>1896119.7865837864</v>
      </c>
      <c r="MU21" s="394">
        <f t="shared" si="79"/>
        <v>1052</v>
      </c>
      <c r="MV21" s="386">
        <f t="shared" si="267"/>
        <v>1896119.7865837864</v>
      </c>
      <c r="MW21" s="394">
        <f t="shared" si="80"/>
        <v>1052</v>
      </c>
      <c r="MX21" s="386">
        <f t="shared" si="268"/>
        <v>1896119.7865837864</v>
      </c>
      <c r="MY21" s="165">
        <f t="shared" si="269"/>
        <v>12582</v>
      </c>
      <c r="MZ21" s="166">
        <f t="shared" si="270"/>
        <v>22677736.839160837</v>
      </c>
    </row>
    <row r="22" spans="1:364" s="126" customFormat="1" ht="52.8" x14ac:dyDescent="0.3">
      <c r="A22" s="528"/>
      <c r="B22" s="14" t="s">
        <v>66</v>
      </c>
      <c r="C22" s="147" t="s">
        <v>67</v>
      </c>
      <c r="D22" s="148" t="s">
        <v>25</v>
      </c>
      <c r="E22" s="14">
        <v>1</v>
      </c>
      <c r="F22" s="346">
        <v>538.23491323491317</v>
      </c>
      <c r="G22" s="346">
        <f t="shared" si="81"/>
        <v>560.66649399982725</v>
      </c>
      <c r="I22" s="149">
        <f>+I20</f>
        <v>544.67999999999995</v>
      </c>
      <c r="J22" s="150">
        <v>1</v>
      </c>
      <c r="K22" s="151">
        <f t="shared" si="82"/>
        <v>305383.82595182589</v>
      </c>
      <c r="L22" s="152">
        <f t="shared" si="300"/>
        <v>544.67999999999995</v>
      </c>
      <c r="M22" s="285">
        <f t="shared" si="301"/>
        <v>305383.82595182589</v>
      </c>
      <c r="N22" s="152"/>
      <c r="O22" s="285">
        <f t="shared" si="302"/>
        <v>0</v>
      </c>
      <c r="P22" s="152">
        <f t="shared" si="303"/>
        <v>544.67999999999995</v>
      </c>
      <c r="Q22" s="285">
        <f t="shared" si="302"/>
        <v>305383.82595182589</v>
      </c>
      <c r="R22" s="152"/>
      <c r="S22" s="285">
        <f t="shared" si="86"/>
        <v>0</v>
      </c>
      <c r="T22" s="152">
        <f t="shared" si="304"/>
        <v>544.67999999999995</v>
      </c>
      <c r="U22" s="285">
        <f t="shared" si="87"/>
        <v>305383.82595182589</v>
      </c>
      <c r="V22" s="152"/>
      <c r="W22" s="285">
        <f t="shared" si="88"/>
        <v>0</v>
      </c>
      <c r="X22" s="152">
        <f t="shared" si="305"/>
        <v>544.67999999999995</v>
      </c>
      <c r="Y22" s="285">
        <f t="shared" si="89"/>
        <v>305383.82595182589</v>
      </c>
      <c r="Z22" s="152"/>
      <c r="AA22" s="285">
        <f t="shared" si="90"/>
        <v>0</v>
      </c>
      <c r="AB22" s="152">
        <f t="shared" si="306"/>
        <v>544.67999999999995</v>
      </c>
      <c r="AC22" s="285">
        <f t="shared" si="91"/>
        <v>305383.82595182589</v>
      </c>
      <c r="AD22" s="152"/>
      <c r="AE22" s="285">
        <f t="shared" si="92"/>
        <v>0</v>
      </c>
      <c r="AF22" s="152">
        <f t="shared" si="307"/>
        <v>544.67999999999995</v>
      </c>
      <c r="AG22" s="285">
        <f t="shared" si="308"/>
        <v>305383.82595182589</v>
      </c>
      <c r="AH22" s="152"/>
      <c r="AI22" s="294">
        <f t="shared" si="309"/>
        <v>0</v>
      </c>
      <c r="AJ22" s="156">
        <f t="shared" si="94"/>
        <v>3268.0799999999995</v>
      </c>
      <c r="AK22" s="306">
        <f t="shared" si="95"/>
        <v>1832302.9557109552</v>
      </c>
      <c r="AM22" s="149">
        <v>0</v>
      </c>
      <c r="AN22" s="150">
        <v>1</v>
      </c>
      <c r="AO22" s="157">
        <f t="shared" si="285"/>
        <v>0</v>
      </c>
      <c r="AP22" s="152">
        <f t="shared" si="1"/>
        <v>0</v>
      </c>
      <c r="AQ22" s="285">
        <f t="shared" si="96"/>
        <v>0</v>
      </c>
      <c r="AR22" s="317">
        <f t="shared" si="2"/>
        <v>0</v>
      </c>
      <c r="AS22" s="285">
        <f t="shared" si="96"/>
        <v>0</v>
      </c>
      <c r="AT22" s="317">
        <f t="shared" si="3"/>
        <v>0</v>
      </c>
      <c r="AU22" s="285">
        <f t="shared" si="96"/>
        <v>0</v>
      </c>
      <c r="AV22" s="317">
        <f t="shared" si="4"/>
        <v>0</v>
      </c>
      <c r="AW22" s="285">
        <f t="shared" si="98"/>
        <v>0</v>
      </c>
      <c r="AX22" s="317">
        <f t="shared" si="5"/>
        <v>0</v>
      </c>
      <c r="AY22" s="285">
        <f t="shared" si="99"/>
        <v>0</v>
      </c>
      <c r="AZ22" s="317">
        <f t="shared" si="6"/>
        <v>0</v>
      </c>
      <c r="BA22" s="285">
        <f t="shared" si="100"/>
        <v>0</v>
      </c>
      <c r="BB22" s="317">
        <f t="shared" si="7"/>
        <v>0</v>
      </c>
      <c r="BC22" s="285">
        <f t="shared" si="101"/>
        <v>0</v>
      </c>
      <c r="BD22" s="317">
        <f t="shared" si="8"/>
        <v>0</v>
      </c>
      <c r="BE22" s="285">
        <f t="shared" si="102"/>
        <v>0</v>
      </c>
      <c r="BF22" s="317">
        <f t="shared" si="9"/>
        <v>0</v>
      </c>
      <c r="BG22" s="285">
        <f t="shared" si="103"/>
        <v>0</v>
      </c>
      <c r="BH22" s="317">
        <f t="shared" si="10"/>
        <v>0</v>
      </c>
      <c r="BI22" s="285">
        <f t="shared" si="310"/>
        <v>0</v>
      </c>
      <c r="BJ22" s="317">
        <f t="shared" si="11"/>
        <v>0</v>
      </c>
      <c r="BK22" s="285">
        <f t="shared" si="310"/>
        <v>0</v>
      </c>
      <c r="BL22" s="152">
        <f t="shared" si="12"/>
        <v>0</v>
      </c>
      <c r="BM22" s="296">
        <f t="shared" si="105"/>
        <v>0</v>
      </c>
      <c r="BN22" s="158">
        <f t="shared" si="106"/>
        <v>0</v>
      </c>
      <c r="BO22" s="307">
        <f t="shared" si="13"/>
        <v>0</v>
      </c>
      <c r="BQ22" s="149">
        <v>0</v>
      </c>
      <c r="BR22" s="150">
        <v>1</v>
      </c>
      <c r="BS22" s="160">
        <f t="shared" si="281"/>
        <v>0</v>
      </c>
      <c r="BT22" s="152">
        <f t="shared" si="280"/>
        <v>0</v>
      </c>
      <c r="BU22" s="332">
        <f t="shared" si="107"/>
        <v>0</v>
      </c>
      <c r="BV22" s="152"/>
      <c r="BW22" s="153">
        <f t="shared" si="108"/>
        <v>0</v>
      </c>
      <c r="BX22" s="152">
        <f t="shared" si="16"/>
        <v>0</v>
      </c>
      <c r="BY22" s="153">
        <f t="shared" si="109"/>
        <v>0</v>
      </c>
      <c r="BZ22" s="152"/>
      <c r="CA22" s="153">
        <f t="shared" si="110"/>
        <v>0</v>
      </c>
      <c r="CB22" s="152">
        <f t="shared" si="18"/>
        <v>0</v>
      </c>
      <c r="CC22" s="153">
        <f t="shared" si="111"/>
        <v>0</v>
      </c>
      <c r="CD22" s="152"/>
      <c r="CE22" s="153">
        <f t="shared" si="112"/>
        <v>0</v>
      </c>
      <c r="CF22" s="152">
        <f t="shared" si="113"/>
        <v>0</v>
      </c>
      <c r="CG22" s="153">
        <f t="shared" si="114"/>
        <v>0</v>
      </c>
      <c r="CH22" s="152"/>
      <c r="CI22" s="153">
        <f t="shared" si="115"/>
        <v>0</v>
      </c>
      <c r="CJ22" s="152">
        <f t="shared" si="116"/>
        <v>0</v>
      </c>
      <c r="CK22" s="153">
        <f t="shared" si="117"/>
        <v>0</v>
      </c>
      <c r="CL22" s="152"/>
      <c r="CM22" s="153">
        <f t="shared" si="118"/>
        <v>0</v>
      </c>
      <c r="CN22" s="152">
        <f t="shared" si="119"/>
        <v>0</v>
      </c>
      <c r="CO22" s="153">
        <f t="shared" si="120"/>
        <v>0</v>
      </c>
      <c r="CP22" s="152"/>
      <c r="CQ22" s="154">
        <f t="shared" si="23"/>
        <v>0</v>
      </c>
      <c r="CR22" s="158">
        <f t="shared" si="121"/>
        <v>0</v>
      </c>
      <c r="CS22" s="159">
        <f t="shared" si="24"/>
        <v>0</v>
      </c>
      <c r="CU22" s="149"/>
      <c r="CV22" s="150"/>
      <c r="CW22" s="161">
        <f t="shared" si="299"/>
        <v>0</v>
      </c>
      <c r="CX22" s="152">
        <f t="shared" si="122"/>
        <v>0</v>
      </c>
      <c r="CY22" s="153">
        <f t="shared" si="123"/>
        <v>0</v>
      </c>
      <c r="CZ22" s="152">
        <f t="shared" si="26"/>
        <v>0</v>
      </c>
      <c r="DA22" s="285">
        <f t="shared" si="123"/>
        <v>0</v>
      </c>
      <c r="DB22" s="152">
        <f t="shared" si="27"/>
        <v>0</v>
      </c>
      <c r="DC22" s="285">
        <f t="shared" si="124"/>
        <v>0</v>
      </c>
      <c r="DD22" s="152">
        <f t="shared" si="28"/>
        <v>0</v>
      </c>
      <c r="DE22" s="285">
        <f t="shared" si="125"/>
        <v>0</v>
      </c>
      <c r="DF22" s="152">
        <f t="shared" si="29"/>
        <v>0</v>
      </c>
      <c r="DG22" s="285">
        <f t="shared" si="126"/>
        <v>0</v>
      </c>
      <c r="DH22" s="152">
        <f t="shared" si="30"/>
        <v>0</v>
      </c>
      <c r="DI22" s="285">
        <f t="shared" si="127"/>
        <v>0</v>
      </c>
      <c r="DJ22" s="152">
        <f t="shared" si="128"/>
        <v>0</v>
      </c>
      <c r="DK22" s="285">
        <f t="shared" si="129"/>
        <v>0</v>
      </c>
      <c r="DL22" s="152">
        <f t="shared" si="31"/>
        <v>0</v>
      </c>
      <c r="DM22" s="285">
        <f t="shared" si="130"/>
        <v>0</v>
      </c>
      <c r="DN22" s="152">
        <f t="shared" si="131"/>
        <v>0</v>
      </c>
      <c r="DO22" s="285">
        <f t="shared" si="132"/>
        <v>0</v>
      </c>
      <c r="DP22" s="152">
        <f t="shared" si="32"/>
        <v>0</v>
      </c>
      <c r="DQ22" s="285">
        <f t="shared" si="133"/>
        <v>0</v>
      </c>
      <c r="DR22" s="152">
        <f t="shared" si="134"/>
        <v>0</v>
      </c>
      <c r="DS22" s="285">
        <f t="shared" si="135"/>
        <v>0</v>
      </c>
      <c r="DT22" s="152">
        <f t="shared" si="33"/>
        <v>0</v>
      </c>
      <c r="DU22" s="285">
        <f t="shared" si="136"/>
        <v>0</v>
      </c>
      <c r="DV22" s="158">
        <f t="shared" si="137"/>
        <v>0</v>
      </c>
      <c r="DW22" s="159">
        <f t="shared" si="34"/>
        <v>0</v>
      </c>
      <c r="DY22" s="164">
        <f>+DY20</f>
        <v>830.70999999999992</v>
      </c>
      <c r="DZ22" s="150">
        <v>1</v>
      </c>
      <c r="EA22" s="161">
        <f t="shared" si="35"/>
        <v>465751.26323059644</v>
      </c>
      <c r="EB22" s="152">
        <f t="shared" si="286"/>
        <v>830.70999999999992</v>
      </c>
      <c r="EC22" s="153">
        <f t="shared" si="139"/>
        <v>465751.26323059644</v>
      </c>
      <c r="ED22" s="317"/>
      <c r="EE22" s="153">
        <f t="shared" si="139"/>
        <v>0</v>
      </c>
      <c r="EF22" s="152">
        <f t="shared" si="287"/>
        <v>830.70999999999992</v>
      </c>
      <c r="EG22" s="153">
        <f t="shared" si="311"/>
        <v>465751.26323059644</v>
      </c>
      <c r="EH22" s="152"/>
      <c r="EI22" s="153">
        <f t="shared" si="311"/>
        <v>0</v>
      </c>
      <c r="EJ22" s="152">
        <f t="shared" si="288"/>
        <v>830.70999999999992</v>
      </c>
      <c r="EK22" s="153">
        <f t="shared" si="143"/>
        <v>465751.26323059644</v>
      </c>
      <c r="EL22" s="152"/>
      <c r="EM22" s="153">
        <f t="shared" si="144"/>
        <v>0</v>
      </c>
      <c r="EN22" s="152">
        <f t="shared" si="290"/>
        <v>830.70999999999992</v>
      </c>
      <c r="EO22" s="153">
        <f t="shared" si="145"/>
        <v>465751.26323059644</v>
      </c>
      <c r="EP22" s="152"/>
      <c r="EQ22" s="153">
        <f t="shared" si="146"/>
        <v>0</v>
      </c>
      <c r="ER22" s="152">
        <f t="shared" si="292"/>
        <v>830.70999999999992</v>
      </c>
      <c r="ES22" s="153">
        <f t="shared" si="147"/>
        <v>465751.26323059644</v>
      </c>
      <c r="ET22" s="152"/>
      <c r="EU22" s="153">
        <f t="shared" si="148"/>
        <v>0</v>
      </c>
      <c r="EV22" s="152">
        <f t="shared" si="294"/>
        <v>830.70999999999992</v>
      </c>
      <c r="EW22" s="153">
        <f t="shared" si="149"/>
        <v>465751.26323059644</v>
      </c>
      <c r="EX22" s="152"/>
      <c r="EY22" s="153">
        <f t="shared" si="150"/>
        <v>0</v>
      </c>
      <c r="EZ22" s="158">
        <f t="shared" si="151"/>
        <v>4984.2599999999993</v>
      </c>
      <c r="FA22" s="159">
        <f t="shared" si="36"/>
        <v>2794507.5793835786</v>
      </c>
      <c r="FC22" s="163">
        <f>+FC20</f>
        <v>65.989999999999995</v>
      </c>
      <c r="FD22" s="150">
        <v>1</v>
      </c>
      <c r="FE22" s="161">
        <f t="shared" si="296"/>
        <v>36998.381939048595</v>
      </c>
      <c r="FF22" s="152">
        <f t="shared" si="153"/>
        <v>65.989999999999995</v>
      </c>
      <c r="FG22" s="153">
        <f t="shared" si="154"/>
        <v>36998.381939048595</v>
      </c>
      <c r="FH22" s="368"/>
      <c r="FI22" s="153">
        <f t="shared" si="155"/>
        <v>0</v>
      </c>
      <c r="FJ22" s="368">
        <f t="shared" si="38"/>
        <v>65.989999999999995</v>
      </c>
      <c r="FK22" s="153">
        <f t="shared" si="155"/>
        <v>36998.381939048595</v>
      </c>
      <c r="FL22" s="368"/>
      <c r="FM22" s="153">
        <f t="shared" si="156"/>
        <v>0</v>
      </c>
      <c r="FN22" s="368">
        <f t="shared" si="40"/>
        <v>65.989999999999995</v>
      </c>
      <c r="FO22" s="153">
        <f t="shared" si="157"/>
        <v>36998.381939048595</v>
      </c>
      <c r="FP22" s="368"/>
      <c r="FQ22" s="153">
        <f t="shared" si="158"/>
        <v>0</v>
      </c>
      <c r="FR22" s="368">
        <f t="shared" si="159"/>
        <v>65.989999999999995</v>
      </c>
      <c r="FS22" s="153">
        <f t="shared" si="160"/>
        <v>36998.381939048595</v>
      </c>
      <c r="FT22" s="368"/>
      <c r="FU22" s="153">
        <f t="shared" si="161"/>
        <v>0</v>
      </c>
      <c r="FV22" s="368">
        <f t="shared" si="162"/>
        <v>65.989999999999995</v>
      </c>
      <c r="FW22" s="153">
        <f t="shared" si="163"/>
        <v>36998.381939048595</v>
      </c>
      <c r="FX22" s="368"/>
      <c r="FY22" s="153">
        <f t="shared" si="164"/>
        <v>0</v>
      </c>
      <c r="FZ22" s="368">
        <f t="shared" si="165"/>
        <v>65.989999999999995</v>
      </c>
      <c r="GA22" s="153">
        <f t="shared" si="166"/>
        <v>36998.381939048595</v>
      </c>
      <c r="GB22" s="368"/>
      <c r="GC22" s="153">
        <f t="shared" si="167"/>
        <v>0</v>
      </c>
      <c r="GD22" s="158">
        <f t="shared" si="168"/>
        <v>395.94</v>
      </c>
      <c r="GE22" s="159">
        <f t="shared" si="45"/>
        <v>221990.29163429161</v>
      </c>
      <c r="GG22" s="149">
        <f>+GG20</f>
        <v>55</v>
      </c>
      <c r="GH22" s="150">
        <v>0.5</v>
      </c>
      <c r="GI22" s="161">
        <f t="shared" si="297"/>
        <v>30836.6571699905</v>
      </c>
      <c r="GJ22" s="152">
        <f>+$GG22</f>
        <v>55</v>
      </c>
      <c r="GK22" s="153">
        <f t="shared" si="170"/>
        <v>30836.6571699905</v>
      </c>
      <c r="GL22" s="152">
        <v>0</v>
      </c>
      <c r="GM22" s="153">
        <f t="shared" si="170"/>
        <v>0</v>
      </c>
      <c r="GN22" s="152">
        <f>+$GG22</f>
        <v>55</v>
      </c>
      <c r="GO22" s="153">
        <f t="shared" si="171"/>
        <v>30836.6571699905</v>
      </c>
      <c r="GP22" s="152"/>
      <c r="GQ22" s="153">
        <f t="shared" si="172"/>
        <v>0</v>
      </c>
      <c r="GR22" s="152">
        <f>+$GG22</f>
        <v>55</v>
      </c>
      <c r="GS22" s="153">
        <f t="shared" si="174"/>
        <v>30836.6571699905</v>
      </c>
      <c r="GT22" s="152"/>
      <c r="GU22" s="153">
        <f t="shared" si="176"/>
        <v>0</v>
      </c>
      <c r="GV22" s="152">
        <f>+$GG22</f>
        <v>55</v>
      </c>
      <c r="GW22" s="153">
        <f t="shared" si="178"/>
        <v>30836.6571699905</v>
      </c>
      <c r="GX22" s="152"/>
      <c r="GY22" s="153">
        <f t="shared" si="180"/>
        <v>0</v>
      </c>
      <c r="GZ22" s="152">
        <f>+$GG22</f>
        <v>55</v>
      </c>
      <c r="HA22" s="153">
        <f t="shared" si="182"/>
        <v>30836.6571699905</v>
      </c>
      <c r="HB22" s="152"/>
      <c r="HC22" s="153">
        <f t="shared" si="184"/>
        <v>0</v>
      </c>
      <c r="HD22" s="152">
        <f>+$GG22</f>
        <v>55</v>
      </c>
      <c r="HE22" s="153">
        <f t="shared" si="186"/>
        <v>30836.6571699905</v>
      </c>
      <c r="HF22" s="152"/>
      <c r="HG22" s="153">
        <f t="shared" si="188"/>
        <v>0</v>
      </c>
      <c r="HH22" s="158">
        <f t="shared" si="189"/>
        <v>330</v>
      </c>
      <c r="HI22" s="159">
        <f t="shared" si="47"/>
        <v>185019.94301994299</v>
      </c>
      <c r="HK22" s="149">
        <f>+HK20</f>
        <v>262.85000000000002</v>
      </c>
      <c r="HL22" s="150">
        <v>0.5</v>
      </c>
      <c r="HM22" s="161">
        <f t="shared" si="48"/>
        <v>73685.593973927302</v>
      </c>
      <c r="HN22" s="152">
        <v>0</v>
      </c>
      <c r="HO22" s="153">
        <f t="shared" si="191"/>
        <v>0</v>
      </c>
      <c r="HP22" s="152">
        <v>0</v>
      </c>
      <c r="HQ22" s="153">
        <f t="shared" si="193"/>
        <v>0</v>
      </c>
      <c r="HR22" s="152">
        <f>+$HK22</f>
        <v>262.85000000000002</v>
      </c>
      <c r="HS22" s="153">
        <f t="shared" si="193"/>
        <v>147371.1879478546</v>
      </c>
      <c r="HT22" s="152">
        <v>0</v>
      </c>
      <c r="HU22" s="153">
        <f t="shared" si="194"/>
        <v>0</v>
      </c>
      <c r="HV22" s="152">
        <f>+$HK22</f>
        <v>262.85000000000002</v>
      </c>
      <c r="HW22" s="153">
        <f t="shared" si="195"/>
        <v>147371.1879478546</v>
      </c>
      <c r="HX22" s="152">
        <v>0</v>
      </c>
      <c r="HY22" s="153">
        <f t="shared" si="197"/>
        <v>0</v>
      </c>
      <c r="HZ22" s="152">
        <f>+$HK22</f>
        <v>262.85000000000002</v>
      </c>
      <c r="IA22" s="153">
        <f t="shared" si="199"/>
        <v>147371.1879478546</v>
      </c>
      <c r="IB22" s="152">
        <v>0</v>
      </c>
      <c r="IC22" s="153">
        <f t="shared" si="201"/>
        <v>0</v>
      </c>
      <c r="ID22" s="152">
        <f>+$HK22</f>
        <v>262.85000000000002</v>
      </c>
      <c r="IE22" s="153">
        <f t="shared" si="203"/>
        <v>147371.1879478546</v>
      </c>
      <c r="IF22" s="152">
        <v>0</v>
      </c>
      <c r="IG22" s="153">
        <f t="shared" si="205"/>
        <v>0</v>
      </c>
      <c r="IH22" s="152">
        <f>+$HK22</f>
        <v>262.85000000000002</v>
      </c>
      <c r="II22" s="153">
        <f t="shared" si="207"/>
        <v>147371.1879478546</v>
      </c>
      <c r="IJ22" s="152">
        <v>0</v>
      </c>
      <c r="IK22" s="153">
        <f t="shared" si="209"/>
        <v>0</v>
      </c>
      <c r="IL22" s="158">
        <f t="shared" si="210"/>
        <v>1314.25</v>
      </c>
      <c r="IM22" s="159">
        <f t="shared" si="211"/>
        <v>736855.93973927293</v>
      </c>
      <c r="IO22" s="149">
        <v>4663</v>
      </c>
      <c r="IP22" s="150">
        <v>1</v>
      </c>
      <c r="IQ22" s="161">
        <f t="shared" si="298"/>
        <v>2614387.8615211947</v>
      </c>
      <c r="IR22" s="152">
        <f t="shared" si="212"/>
        <v>4663</v>
      </c>
      <c r="IS22" s="153">
        <f t="shared" si="213"/>
        <v>2614387.8615211947</v>
      </c>
      <c r="IT22" s="152"/>
      <c r="IU22" s="285">
        <f t="shared" si="214"/>
        <v>0</v>
      </c>
      <c r="IV22" s="152">
        <f t="shared" si="51"/>
        <v>4663</v>
      </c>
      <c r="IW22" s="285">
        <f t="shared" si="214"/>
        <v>2614387.8615211947</v>
      </c>
      <c r="IX22" s="152"/>
      <c r="IY22" s="285">
        <f t="shared" si="215"/>
        <v>0</v>
      </c>
      <c r="IZ22" s="152">
        <f t="shared" si="53"/>
        <v>4663</v>
      </c>
      <c r="JA22" s="285">
        <f t="shared" si="216"/>
        <v>2614387.8615211947</v>
      </c>
      <c r="JB22" s="152"/>
      <c r="JC22" s="285">
        <f t="shared" si="217"/>
        <v>0</v>
      </c>
      <c r="JD22" s="152">
        <f t="shared" si="218"/>
        <v>4663</v>
      </c>
      <c r="JE22" s="285">
        <f t="shared" si="219"/>
        <v>2614387.8615211947</v>
      </c>
      <c r="JF22" s="152"/>
      <c r="JG22" s="285">
        <f t="shared" si="220"/>
        <v>0</v>
      </c>
      <c r="JH22" s="152">
        <f t="shared" si="221"/>
        <v>4663</v>
      </c>
      <c r="JI22" s="285">
        <f t="shared" si="222"/>
        <v>2614387.8615211947</v>
      </c>
      <c r="JJ22" s="152"/>
      <c r="JK22" s="285">
        <f t="shared" si="223"/>
        <v>0</v>
      </c>
      <c r="JL22" s="152">
        <f t="shared" si="224"/>
        <v>4663</v>
      </c>
      <c r="JM22" s="285">
        <f t="shared" si="225"/>
        <v>2614387.8615211947</v>
      </c>
      <c r="JN22" s="152"/>
      <c r="JO22" s="285">
        <f t="shared" si="226"/>
        <v>0</v>
      </c>
      <c r="JP22" s="158">
        <f t="shared" si="227"/>
        <v>27978</v>
      </c>
      <c r="JQ22" s="159">
        <f t="shared" si="228"/>
        <v>15686327.169127166</v>
      </c>
      <c r="JS22" s="149">
        <v>5220</v>
      </c>
      <c r="JT22" s="150">
        <v>1</v>
      </c>
      <c r="JU22" s="161">
        <f t="shared" si="58"/>
        <v>2926679.0986790983</v>
      </c>
      <c r="JV22" s="152">
        <f t="shared" si="229"/>
        <v>5220</v>
      </c>
      <c r="JW22" s="153">
        <f t="shared" si="230"/>
        <v>2926679.0986790983</v>
      </c>
      <c r="JX22" s="368"/>
      <c r="JY22" s="153">
        <f t="shared" si="231"/>
        <v>0</v>
      </c>
      <c r="JZ22" s="368"/>
      <c r="KA22" s="153">
        <f t="shared" si="231"/>
        <v>0</v>
      </c>
      <c r="KB22" s="368"/>
      <c r="KC22" s="153">
        <f t="shared" si="232"/>
        <v>0</v>
      </c>
      <c r="KD22" s="368"/>
      <c r="KE22" s="153">
        <f t="shared" si="233"/>
        <v>0</v>
      </c>
      <c r="KF22" s="368"/>
      <c r="KG22" s="153">
        <f t="shared" si="234"/>
        <v>0</v>
      </c>
      <c r="KH22" s="368"/>
      <c r="KI22" s="153">
        <f t="shared" si="236"/>
        <v>0</v>
      </c>
      <c r="KJ22" s="368"/>
      <c r="KK22" s="153">
        <f t="shared" si="237"/>
        <v>0</v>
      </c>
      <c r="KL22" s="368"/>
      <c r="KM22" s="153">
        <f t="shared" si="239"/>
        <v>0</v>
      </c>
      <c r="KN22" s="368"/>
      <c r="KO22" s="153">
        <f t="shared" si="240"/>
        <v>0</v>
      </c>
      <c r="KP22" s="368"/>
      <c r="KQ22" s="153">
        <f t="shared" si="242"/>
        <v>0</v>
      </c>
      <c r="KR22" s="368"/>
      <c r="KS22" s="154">
        <f t="shared" si="243"/>
        <v>0</v>
      </c>
      <c r="KT22" s="158">
        <f t="shared" si="244"/>
        <v>5220</v>
      </c>
      <c r="KU22" s="159">
        <f t="shared" si="67"/>
        <v>2926679.0986790983</v>
      </c>
      <c r="KW22" s="149"/>
      <c r="KX22" s="150"/>
      <c r="KY22" s="157"/>
      <c r="KZ22" s="152">
        <f t="shared" si="271"/>
        <v>0</v>
      </c>
      <c r="LA22" s="153"/>
      <c r="LB22" s="152">
        <f t="shared" si="272"/>
        <v>0</v>
      </c>
      <c r="LC22" s="153">
        <f t="shared" si="246"/>
        <v>0</v>
      </c>
      <c r="LD22" s="152">
        <f t="shared" si="272"/>
        <v>0</v>
      </c>
      <c r="LE22" s="153">
        <f t="shared" si="246"/>
        <v>0</v>
      </c>
      <c r="LF22" s="152">
        <f t="shared" si="272"/>
        <v>0</v>
      </c>
      <c r="LG22" s="153">
        <f t="shared" si="247"/>
        <v>0</v>
      </c>
      <c r="LH22" s="152">
        <f t="shared" si="272"/>
        <v>0</v>
      </c>
      <c r="LI22" s="153">
        <f t="shared" si="248"/>
        <v>0</v>
      </c>
      <c r="LJ22" s="152">
        <f t="shared" si="273"/>
        <v>0</v>
      </c>
      <c r="LK22" s="153">
        <f t="shared" si="249"/>
        <v>0</v>
      </c>
      <c r="LL22" s="152">
        <f t="shared" si="274"/>
        <v>0</v>
      </c>
      <c r="LM22" s="153">
        <f t="shared" si="250"/>
        <v>0</v>
      </c>
      <c r="LN22" s="152">
        <f t="shared" si="275"/>
        <v>0</v>
      </c>
      <c r="LO22" s="153">
        <f t="shared" si="251"/>
        <v>0</v>
      </c>
      <c r="LP22" s="152">
        <f t="shared" si="276"/>
        <v>0</v>
      </c>
      <c r="LQ22" s="153">
        <f t="shared" si="252"/>
        <v>0</v>
      </c>
      <c r="LR22" s="152">
        <f t="shared" si="277"/>
        <v>0</v>
      </c>
      <c r="LS22" s="153">
        <f t="shared" si="253"/>
        <v>0</v>
      </c>
      <c r="LT22" s="152">
        <f t="shared" si="278"/>
        <v>0</v>
      </c>
      <c r="LU22" s="153">
        <f t="shared" si="254"/>
        <v>0</v>
      </c>
      <c r="LV22" s="152">
        <f t="shared" si="279"/>
        <v>0</v>
      </c>
      <c r="LW22" s="153">
        <f t="shared" si="255"/>
        <v>0</v>
      </c>
      <c r="LX22" s="158">
        <f t="shared" si="256"/>
        <v>0</v>
      </c>
      <c r="LY22" s="159">
        <f t="shared" si="257"/>
        <v>0</v>
      </c>
      <c r="MA22" s="164">
        <f t="shared" si="69"/>
        <v>11379.380000000001</v>
      </c>
      <c r="MB22" s="386">
        <f t="shared" si="258"/>
        <v>6380037.0884917546</v>
      </c>
      <c r="MC22" s="394">
        <f t="shared" si="70"/>
        <v>0</v>
      </c>
      <c r="MD22" s="386">
        <f t="shared" si="259"/>
        <v>0</v>
      </c>
      <c r="ME22" s="394">
        <f t="shared" si="71"/>
        <v>6422.23</v>
      </c>
      <c r="MF22" s="386">
        <f t="shared" si="259"/>
        <v>3600729.1777605102</v>
      </c>
      <c r="MG22" s="394">
        <f t="shared" si="72"/>
        <v>0</v>
      </c>
      <c r="MH22" s="386">
        <f t="shared" si="260"/>
        <v>0</v>
      </c>
      <c r="MI22" s="394">
        <f t="shared" si="73"/>
        <v>6422.23</v>
      </c>
      <c r="MJ22" s="386">
        <f t="shared" si="261"/>
        <v>3600729.1777605102</v>
      </c>
      <c r="MK22" s="394">
        <f t="shared" si="74"/>
        <v>0</v>
      </c>
      <c r="ML22" s="386">
        <f t="shared" si="262"/>
        <v>0</v>
      </c>
      <c r="MM22" s="394">
        <f t="shared" si="75"/>
        <v>6422.23</v>
      </c>
      <c r="MN22" s="386">
        <f t="shared" si="263"/>
        <v>3600729.1777605102</v>
      </c>
      <c r="MO22" s="394">
        <f t="shared" si="76"/>
        <v>0</v>
      </c>
      <c r="MP22" s="386">
        <f t="shared" si="264"/>
        <v>0</v>
      </c>
      <c r="MQ22" s="394">
        <f t="shared" si="77"/>
        <v>6422.23</v>
      </c>
      <c r="MR22" s="386">
        <f t="shared" si="265"/>
        <v>3600729.1777605102</v>
      </c>
      <c r="MS22" s="394">
        <f t="shared" si="78"/>
        <v>0</v>
      </c>
      <c r="MT22" s="386">
        <f t="shared" si="266"/>
        <v>0</v>
      </c>
      <c r="MU22" s="394">
        <f t="shared" si="79"/>
        <v>6422.23</v>
      </c>
      <c r="MV22" s="386">
        <f t="shared" si="267"/>
        <v>3600729.1777605102</v>
      </c>
      <c r="MW22" s="394">
        <f t="shared" si="80"/>
        <v>0</v>
      </c>
      <c r="MX22" s="386">
        <f t="shared" si="268"/>
        <v>0</v>
      </c>
      <c r="MY22" s="165">
        <f t="shared" si="269"/>
        <v>43490.53</v>
      </c>
      <c r="MZ22" s="166">
        <f t="shared" si="270"/>
        <v>24383682.977294307</v>
      </c>
    </row>
    <row r="23" spans="1:364" s="126" customFormat="1" ht="52.8" x14ac:dyDescent="0.3">
      <c r="A23" s="528"/>
      <c r="B23" s="14" t="s">
        <v>68</v>
      </c>
      <c r="C23" s="147" t="s">
        <v>69</v>
      </c>
      <c r="D23" s="148" t="s">
        <v>65</v>
      </c>
      <c r="E23" s="14">
        <v>1</v>
      </c>
      <c r="F23" s="346">
        <v>2906.4685314685312</v>
      </c>
      <c r="G23" s="346">
        <f t="shared" si="81"/>
        <v>3027.599067599067</v>
      </c>
      <c r="I23" s="149">
        <f>+I21</f>
        <v>225</v>
      </c>
      <c r="J23" s="150">
        <v>1</v>
      </c>
      <c r="K23" s="151">
        <f t="shared" si="82"/>
        <v>681209.79020979011</v>
      </c>
      <c r="L23" s="152">
        <f t="shared" si="300"/>
        <v>225</v>
      </c>
      <c r="M23" s="285">
        <f t="shared" si="301"/>
        <v>681209.79020979011</v>
      </c>
      <c r="N23" s="152"/>
      <c r="O23" s="285">
        <f t="shared" si="302"/>
        <v>0</v>
      </c>
      <c r="P23" s="152">
        <f t="shared" si="303"/>
        <v>225</v>
      </c>
      <c r="Q23" s="285">
        <f t="shared" si="302"/>
        <v>681209.79020979011</v>
      </c>
      <c r="R23" s="152"/>
      <c r="S23" s="285">
        <f t="shared" si="86"/>
        <v>0</v>
      </c>
      <c r="T23" s="152">
        <f t="shared" si="304"/>
        <v>225</v>
      </c>
      <c r="U23" s="285">
        <f t="shared" si="87"/>
        <v>681209.79020979011</v>
      </c>
      <c r="V23" s="152"/>
      <c r="W23" s="285">
        <f t="shared" si="88"/>
        <v>0</v>
      </c>
      <c r="X23" s="152">
        <f t="shared" si="305"/>
        <v>225</v>
      </c>
      <c r="Y23" s="285">
        <f t="shared" si="89"/>
        <v>681209.79020979011</v>
      </c>
      <c r="Z23" s="152"/>
      <c r="AA23" s="285">
        <f t="shared" si="90"/>
        <v>0</v>
      </c>
      <c r="AB23" s="152">
        <f t="shared" si="306"/>
        <v>225</v>
      </c>
      <c r="AC23" s="285">
        <f t="shared" si="91"/>
        <v>681209.79020979011</v>
      </c>
      <c r="AD23" s="152"/>
      <c r="AE23" s="285">
        <f t="shared" si="92"/>
        <v>0</v>
      </c>
      <c r="AF23" s="152">
        <f t="shared" si="307"/>
        <v>225</v>
      </c>
      <c r="AG23" s="285">
        <f t="shared" si="308"/>
        <v>681209.79020979011</v>
      </c>
      <c r="AH23" s="152"/>
      <c r="AI23" s="294">
        <f t="shared" si="309"/>
        <v>0</v>
      </c>
      <c r="AJ23" s="156">
        <f t="shared" si="94"/>
        <v>1350</v>
      </c>
      <c r="AK23" s="306">
        <f t="shared" si="95"/>
        <v>4087258.7412587404</v>
      </c>
      <c r="AM23" s="149">
        <v>0</v>
      </c>
      <c r="AN23" s="150">
        <v>1</v>
      </c>
      <c r="AO23" s="157">
        <f t="shared" si="285"/>
        <v>0</v>
      </c>
      <c r="AP23" s="152">
        <f t="shared" si="1"/>
        <v>0</v>
      </c>
      <c r="AQ23" s="285">
        <f t="shared" si="96"/>
        <v>0</v>
      </c>
      <c r="AR23" s="317">
        <f t="shared" si="2"/>
        <v>0</v>
      </c>
      <c r="AS23" s="285">
        <f t="shared" si="96"/>
        <v>0</v>
      </c>
      <c r="AT23" s="317">
        <f t="shared" si="3"/>
        <v>0</v>
      </c>
      <c r="AU23" s="285">
        <f t="shared" si="96"/>
        <v>0</v>
      </c>
      <c r="AV23" s="317">
        <f t="shared" si="4"/>
        <v>0</v>
      </c>
      <c r="AW23" s="285">
        <f t="shared" si="98"/>
        <v>0</v>
      </c>
      <c r="AX23" s="317">
        <f t="shared" si="5"/>
        <v>0</v>
      </c>
      <c r="AY23" s="285">
        <f t="shared" si="99"/>
        <v>0</v>
      </c>
      <c r="AZ23" s="317">
        <f t="shared" si="6"/>
        <v>0</v>
      </c>
      <c r="BA23" s="285">
        <f t="shared" si="100"/>
        <v>0</v>
      </c>
      <c r="BB23" s="317">
        <f t="shared" si="7"/>
        <v>0</v>
      </c>
      <c r="BC23" s="285">
        <f t="shared" si="101"/>
        <v>0</v>
      </c>
      <c r="BD23" s="317">
        <f t="shared" si="8"/>
        <v>0</v>
      </c>
      <c r="BE23" s="285">
        <f t="shared" si="102"/>
        <v>0</v>
      </c>
      <c r="BF23" s="317">
        <f t="shared" si="9"/>
        <v>0</v>
      </c>
      <c r="BG23" s="285">
        <f t="shared" si="103"/>
        <v>0</v>
      </c>
      <c r="BH23" s="317">
        <f t="shared" si="10"/>
        <v>0</v>
      </c>
      <c r="BI23" s="285">
        <f t="shared" si="310"/>
        <v>0</v>
      </c>
      <c r="BJ23" s="317">
        <f t="shared" si="11"/>
        <v>0</v>
      </c>
      <c r="BK23" s="285">
        <f t="shared" si="310"/>
        <v>0</v>
      </c>
      <c r="BL23" s="152">
        <f t="shared" si="12"/>
        <v>0</v>
      </c>
      <c r="BM23" s="296">
        <f t="shared" si="105"/>
        <v>0</v>
      </c>
      <c r="BN23" s="158">
        <f t="shared" si="106"/>
        <v>0</v>
      </c>
      <c r="BO23" s="307">
        <f t="shared" si="13"/>
        <v>0</v>
      </c>
      <c r="BQ23" s="149">
        <v>111</v>
      </c>
      <c r="BR23" s="150">
        <v>1</v>
      </c>
      <c r="BS23" s="160">
        <f t="shared" si="281"/>
        <v>336063.49650349643</v>
      </c>
      <c r="BT23" s="152">
        <f t="shared" si="280"/>
        <v>111</v>
      </c>
      <c r="BU23" s="332">
        <f t="shared" si="107"/>
        <v>336063.49650349643</v>
      </c>
      <c r="BV23" s="152"/>
      <c r="BW23" s="153">
        <f t="shared" si="108"/>
        <v>0</v>
      </c>
      <c r="BX23" s="152">
        <f t="shared" si="16"/>
        <v>111</v>
      </c>
      <c r="BY23" s="153">
        <f t="shared" si="109"/>
        <v>336063.49650349643</v>
      </c>
      <c r="BZ23" s="152"/>
      <c r="CA23" s="153">
        <f t="shared" si="110"/>
        <v>0</v>
      </c>
      <c r="CB23" s="152">
        <f t="shared" si="18"/>
        <v>111</v>
      </c>
      <c r="CC23" s="153">
        <f t="shared" si="111"/>
        <v>336063.49650349643</v>
      </c>
      <c r="CD23" s="152"/>
      <c r="CE23" s="153">
        <f t="shared" si="112"/>
        <v>0</v>
      </c>
      <c r="CF23" s="152">
        <f t="shared" si="113"/>
        <v>111</v>
      </c>
      <c r="CG23" s="153">
        <f t="shared" si="114"/>
        <v>336063.49650349643</v>
      </c>
      <c r="CH23" s="152"/>
      <c r="CI23" s="153">
        <f t="shared" si="115"/>
        <v>0</v>
      </c>
      <c r="CJ23" s="152">
        <f t="shared" si="116"/>
        <v>111</v>
      </c>
      <c r="CK23" s="153">
        <f t="shared" si="117"/>
        <v>336063.49650349643</v>
      </c>
      <c r="CL23" s="152"/>
      <c r="CM23" s="153">
        <f t="shared" si="118"/>
        <v>0</v>
      </c>
      <c r="CN23" s="152">
        <f t="shared" si="119"/>
        <v>111</v>
      </c>
      <c r="CO23" s="153">
        <f t="shared" si="120"/>
        <v>336063.49650349643</v>
      </c>
      <c r="CP23" s="152"/>
      <c r="CQ23" s="154">
        <f t="shared" si="23"/>
        <v>0</v>
      </c>
      <c r="CR23" s="158">
        <f t="shared" si="121"/>
        <v>666</v>
      </c>
      <c r="CS23" s="159">
        <f t="shared" si="24"/>
        <v>2016380.9790209786</v>
      </c>
      <c r="CU23" s="149">
        <v>127</v>
      </c>
      <c r="CV23" s="150">
        <v>1</v>
      </c>
      <c r="CW23" s="161">
        <f t="shared" si="299"/>
        <v>384505.08158508153</v>
      </c>
      <c r="CX23" s="152">
        <f t="shared" si="122"/>
        <v>127</v>
      </c>
      <c r="CY23" s="153">
        <f t="shared" si="123"/>
        <v>384505.08158508153</v>
      </c>
      <c r="CZ23" s="152"/>
      <c r="DA23" s="285">
        <f t="shared" si="123"/>
        <v>0</v>
      </c>
      <c r="DB23" s="152">
        <f t="shared" si="27"/>
        <v>127</v>
      </c>
      <c r="DC23" s="285">
        <f t="shared" si="124"/>
        <v>384505.08158508153</v>
      </c>
      <c r="DD23" s="152"/>
      <c r="DE23" s="285">
        <f t="shared" si="125"/>
        <v>0</v>
      </c>
      <c r="DF23" s="152">
        <f t="shared" si="29"/>
        <v>127</v>
      </c>
      <c r="DG23" s="285">
        <f t="shared" si="126"/>
        <v>384505.08158508153</v>
      </c>
      <c r="DH23" s="152"/>
      <c r="DI23" s="285">
        <f t="shared" si="127"/>
        <v>0</v>
      </c>
      <c r="DJ23" s="152">
        <f t="shared" si="128"/>
        <v>127</v>
      </c>
      <c r="DK23" s="285">
        <f t="shared" si="129"/>
        <v>384505.08158508153</v>
      </c>
      <c r="DL23" s="152"/>
      <c r="DM23" s="285">
        <f t="shared" si="130"/>
        <v>0</v>
      </c>
      <c r="DN23" s="152">
        <f t="shared" si="131"/>
        <v>127</v>
      </c>
      <c r="DO23" s="285">
        <f t="shared" si="132"/>
        <v>384505.08158508153</v>
      </c>
      <c r="DP23" s="152"/>
      <c r="DQ23" s="285">
        <f t="shared" si="133"/>
        <v>0</v>
      </c>
      <c r="DR23" s="152">
        <f t="shared" si="134"/>
        <v>127</v>
      </c>
      <c r="DS23" s="285">
        <f t="shared" si="135"/>
        <v>384505.08158508153</v>
      </c>
      <c r="DT23" s="152"/>
      <c r="DU23" s="285">
        <f t="shared" si="136"/>
        <v>0</v>
      </c>
      <c r="DV23" s="158">
        <f t="shared" si="137"/>
        <v>762</v>
      </c>
      <c r="DW23" s="159">
        <f t="shared" si="34"/>
        <v>2307030.4895104892</v>
      </c>
      <c r="DY23" s="164">
        <f>+DY21</f>
        <v>214</v>
      </c>
      <c r="DZ23" s="150">
        <v>1</v>
      </c>
      <c r="EA23" s="161">
        <f t="shared" si="35"/>
        <v>647906.20046620036</v>
      </c>
      <c r="EB23" s="152">
        <f t="shared" si="286"/>
        <v>214</v>
      </c>
      <c r="EC23" s="153">
        <f t="shared" si="139"/>
        <v>647906.20046620036</v>
      </c>
      <c r="ED23" s="317"/>
      <c r="EE23" s="153">
        <f t="shared" si="139"/>
        <v>0</v>
      </c>
      <c r="EF23" s="152">
        <f t="shared" si="287"/>
        <v>214</v>
      </c>
      <c r="EG23" s="153">
        <f t="shared" si="311"/>
        <v>647906.20046620036</v>
      </c>
      <c r="EH23" s="152"/>
      <c r="EI23" s="153">
        <f t="shared" si="311"/>
        <v>0</v>
      </c>
      <c r="EJ23" s="152">
        <f t="shared" si="288"/>
        <v>214</v>
      </c>
      <c r="EK23" s="153">
        <f t="shared" si="143"/>
        <v>647906.20046620036</v>
      </c>
      <c r="EL23" s="152"/>
      <c r="EM23" s="153">
        <f t="shared" si="144"/>
        <v>0</v>
      </c>
      <c r="EN23" s="152">
        <f t="shared" si="290"/>
        <v>214</v>
      </c>
      <c r="EO23" s="153">
        <f t="shared" si="145"/>
        <v>647906.20046620036</v>
      </c>
      <c r="EP23" s="152"/>
      <c r="EQ23" s="153">
        <f t="shared" si="146"/>
        <v>0</v>
      </c>
      <c r="ER23" s="152">
        <f t="shared" si="292"/>
        <v>214</v>
      </c>
      <c r="ES23" s="153">
        <f t="shared" si="147"/>
        <v>647906.20046620036</v>
      </c>
      <c r="ET23" s="152"/>
      <c r="EU23" s="153">
        <f t="shared" si="148"/>
        <v>0</v>
      </c>
      <c r="EV23" s="152">
        <f t="shared" si="294"/>
        <v>214</v>
      </c>
      <c r="EW23" s="153">
        <f t="shared" si="149"/>
        <v>647906.20046620036</v>
      </c>
      <c r="EX23" s="152"/>
      <c r="EY23" s="153">
        <f t="shared" si="150"/>
        <v>0</v>
      </c>
      <c r="EZ23" s="158">
        <f t="shared" si="151"/>
        <v>1284</v>
      </c>
      <c r="FA23" s="159">
        <f t="shared" si="36"/>
        <v>3887437.2027972019</v>
      </c>
      <c r="FC23" s="149">
        <f>+FC21</f>
        <v>111</v>
      </c>
      <c r="FD23" s="150">
        <v>1</v>
      </c>
      <c r="FE23" s="161">
        <f t="shared" si="296"/>
        <v>336063.49650349643</v>
      </c>
      <c r="FF23" s="152">
        <f t="shared" si="153"/>
        <v>111</v>
      </c>
      <c r="FG23" s="153">
        <f t="shared" si="154"/>
        <v>336063.49650349643</v>
      </c>
      <c r="FH23" s="368"/>
      <c r="FI23" s="153">
        <f t="shared" si="155"/>
        <v>0</v>
      </c>
      <c r="FJ23" s="368">
        <f t="shared" si="38"/>
        <v>111</v>
      </c>
      <c r="FK23" s="153">
        <f t="shared" si="155"/>
        <v>336063.49650349643</v>
      </c>
      <c r="FL23" s="368"/>
      <c r="FM23" s="153">
        <f t="shared" si="156"/>
        <v>0</v>
      </c>
      <c r="FN23" s="368">
        <f t="shared" si="40"/>
        <v>111</v>
      </c>
      <c r="FO23" s="153">
        <f t="shared" si="157"/>
        <v>336063.49650349643</v>
      </c>
      <c r="FP23" s="368"/>
      <c r="FQ23" s="153">
        <f t="shared" si="158"/>
        <v>0</v>
      </c>
      <c r="FR23" s="368">
        <f t="shared" si="159"/>
        <v>111</v>
      </c>
      <c r="FS23" s="153">
        <f t="shared" si="160"/>
        <v>336063.49650349643</v>
      </c>
      <c r="FT23" s="368"/>
      <c r="FU23" s="153">
        <f t="shared" si="161"/>
        <v>0</v>
      </c>
      <c r="FV23" s="368">
        <f t="shared" si="162"/>
        <v>111</v>
      </c>
      <c r="FW23" s="153">
        <f t="shared" si="163"/>
        <v>336063.49650349643</v>
      </c>
      <c r="FX23" s="368"/>
      <c r="FY23" s="153">
        <f t="shared" si="164"/>
        <v>0</v>
      </c>
      <c r="FZ23" s="368">
        <f t="shared" si="165"/>
        <v>111</v>
      </c>
      <c r="GA23" s="153">
        <f t="shared" si="166"/>
        <v>336063.49650349643</v>
      </c>
      <c r="GB23" s="368"/>
      <c r="GC23" s="153">
        <f t="shared" si="167"/>
        <v>0</v>
      </c>
      <c r="GD23" s="158">
        <f t="shared" si="168"/>
        <v>666</v>
      </c>
      <c r="GE23" s="159">
        <f t="shared" si="45"/>
        <v>2016380.9790209786</v>
      </c>
      <c r="GG23" s="149">
        <f>+GG21</f>
        <v>0</v>
      </c>
      <c r="GH23" s="150">
        <v>0.5</v>
      </c>
      <c r="GI23" s="161">
        <f t="shared" si="297"/>
        <v>0</v>
      </c>
      <c r="GJ23" s="152">
        <v>0</v>
      </c>
      <c r="GK23" s="153">
        <f t="shared" si="170"/>
        <v>0</v>
      </c>
      <c r="GL23" s="152">
        <v>0</v>
      </c>
      <c r="GM23" s="153">
        <f t="shared" si="170"/>
        <v>0</v>
      </c>
      <c r="GN23" s="152">
        <f t="shared" ref="GN23:GN24" si="312">+$GG23</f>
        <v>0</v>
      </c>
      <c r="GO23" s="153">
        <f t="shared" si="171"/>
        <v>0</v>
      </c>
      <c r="GP23" s="152"/>
      <c r="GQ23" s="153">
        <f t="shared" si="172"/>
        <v>0</v>
      </c>
      <c r="GR23" s="152">
        <f t="shared" ref="GR23:GR24" si="313">+$GG23</f>
        <v>0</v>
      </c>
      <c r="GS23" s="153">
        <f t="shared" si="174"/>
        <v>0</v>
      </c>
      <c r="GT23" s="152"/>
      <c r="GU23" s="153">
        <f t="shared" si="176"/>
        <v>0</v>
      </c>
      <c r="GV23" s="152">
        <f t="shared" ref="GV23:GV24" si="314">+$GG23</f>
        <v>0</v>
      </c>
      <c r="GW23" s="153">
        <f t="shared" si="178"/>
        <v>0</v>
      </c>
      <c r="GX23" s="152"/>
      <c r="GY23" s="153">
        <f t="shared" si="180"/>
        <v>0</v>
      </c>
      <c r="GZ23" s="152">
        <f t="shared" ref="GZ23:GZ24" si="315">+$GG23</f>
        <v>0</v>
      </c>
      <c r="HA23" s="153">
        <f t="shared" si="182"/>
        <v>0</v>
      </c>
      <c r="HB23" s="152"/>
      <c r="HC23" s="153">
        <f t="shared" si="184"/>
        <v>0</v>
      </c>
      <c r="HD23" s="152">
        <f t="shared" ref="HD23:HD24" si="316">+$GG23</f>
        <v>0</v>
      </c>
      <c r="HE23" s="153">
        <f t="shared" si="186"/>
        <v>0</v>
      </c>
      <c r="HF23" s="152"/>
      <c r="HG23" s="153">
        <f t="shared" si="188"/>
        <v>0</v>
      </c>
      <c r="HH23" s="158">
        <f t="shared" si="189"/>
        <v>0</v>
      </c>
      <c r="HI23" s="159">
        <f t="shared" si="47"/>
        <v>0</v>
      </c>
      <c r="HK23" s="149">
        <f>+HK21</f>
        <v>21</v>
      </c>
      <c r="HL23" s="150">
        <v>0.5</v>
      </c>
      <c r="HM23" s="161">
        <f t="shared" si="48"/>
        <v>31789.790209790204</v>
      </c>
      <c r="HN23" s="152">
        <v>0</v>
      </c>
      <c r="HO23" s="153">
        <f t="shared" si="191"/>
        <v>0</v>
      </c>
      <c r="HP23" s="152">
        <v>0</v>
      </c>
      <c r="HQ23" s="153">
        <f t="shared" si="193"/>
        <v>0</v>
      </c>
      <c r="HR23" s="152">
        <f>+$HK23</f>
        <v>21</v>
      </c>
      <c r="HS23" s="153">
        <f t="shared" si="193"/>
        <v>63579.580419580408</v>
      </c>
      <c r="HT23" s="152">
        <v>0</v>
      </c>
      <c r="HU23" s="153">
        <f t="shared" si="194"/>
        <v>0</v>
      </c>
      <c r="HV23" s="152">
        <f t="shared" ref="HV23:HV26" si="317">+$HK23</f>
        <v>21</v>
      </c>
      <c r="HW23" s="153">
        <f t="shared" si="195"/>
        <v>63579.580419580408</v>
      </c>
      <c r="HX23" s="152">
        <v>0</v>
      </c>
      <c r="HY23" s="153">
        <f t="shared" si="197"/>
        <v>0</v>
      </c>
      <c r="HZ23" s="152">
        <f t="shared" ref="HZ23:HZ26" si="318">+$HK23</f>
        <v>21</v>
      </c>
      <c r="IA23" s="153">
        <f t="shared" si="199"/>
        <v>63579.580419580408</v>
      </c>
      <c r="IB23" s="152">
        <v>0</v>
      </c>
      <c r="IC23" s="153">
        <f t="shared" si="201"/>
        <v>0</v>
      </c>
      <c r="ID23" s="152">
        <f t="shared" ref="ID23:ID29" si="319">+$HK23</f>
        <v>21</v>
      </c>
      <c r="IE23" s="153">
        <f t="shared" si="203"/>
        <v>63579.580419580408</v>
      </c>
      <c r="IF23" s="152">
        <v>0</v>
      </c>
      <c r="IG23" s="153">
        <f t="shared" si="205"/>
        <v>0</v>
      </c>
      <c r="IH23" s="152">
        <f t="shared" ref="IH23:IH26" si="320">+$HK23</f>
        <v>21</v>
      </c>
      <c r="II23" s="153">
        <f t="shared" si="207"/>
        <v>63579.580419580408</v>
      </c>
      <c r="IJ23" s="152">
        <v>0</v>
      </c>
      <c r="IK23" s="153">
        <f t="shared" si="209"/>
        <v>0</v>
      </c>
      <c r="IL23" s="158">
        <f t="shared" si="210"/>
        <v>105</v>
      </c>
      <c r="IM23" s="159">
        <f t="shared" si="211"/>
        <v>317897.90209790203</v>
      </c>
      <c r="IO23" s="149">
        <v>243</v>
      </c>
      <c r="IP23" s="150">
        <v>1</v>
      </c>
      <c r="IQ23" s="161">
        <f t="shared" si="298"/>
        <v>735706.5734265733</v>
      </c>
      <c r="IR23" s="152">
        <f t="shared" si="212"/>
        <v>243</v>
      </c>
      <c r="IS23" s="153">
        <f t="shared" si="213"/>
        <v>735706.5734265733</v>
      </c>
      <c r="IT23" s="152"/>
      <c r="IU23" s="285">
        <f t="shared" si="214"/>
        <v>0</v>
      </c>
      <c r="IV23" s="152">
        <f t="shared" si="51"/>
        <v>243</v>
      </c>
      <c r="IW23" s="285">
        <f t="shared" si="214"/>
        <v>735706.5734265733</v>
      </c>
      <c r="IX23" s="152"/>
      <c r="IY23" s="285">
        <f t="shared" si="215"/>
        <v>0</v>
      </c>
      <c r="IZ23" s="152">
        <f t="shared" si="53"/>
        <v>243</v>
      </c>
      <c r="JA23" s="285">
        <f t="shared" si="216"/>
        <v>735706.5734265733</v>
      </c>
      <c r="JB23" s="152"/>
      <c r="JC23" s="285">
        <f t="shared" si="217"/>
        <v>0</v>
      </c>
      <c r="JD23" s="152">
        <f t="shared" si="218"/>
        <v>243</v>
      </c>
      <c r="JE23" s="285">
        <f t="shared" si="219"/>
        <v>735706.5734265733</v>
      </c>
      <c r="JF23" s="152"/>
      <c r="JG23" s="285">
        <f t="shared" si="220"/>
        <v>0</v>
      </c>
      <c r="JH23" s="152">
        <f t="shared" si="221"/>
        <v>243</v>
      </c>
      <c r="JI23" s="285">
        <f t="shared" si="222"/>
        <v>735706.5734265733</v>
      </c>
      <c r="JJ23" s="152"/>
      <c r="JK23" s="285">
        <f t="shared" si="223"/>
        <v>0</v>
      </c>
      <c r="JL23" s="152">
        <f t="shared" si="224"/>
        <v>243</v>
      </c>
      <c r="JM23" s="285">
        <f t="shared" si="225"/>
        <v>735706.5734265733</v>
      </c>
      <c r="JN23" s="152"/>
      <c r="JO23" s="285">
        <f t="shared" si="226"/>
        <v>0</v>
      </c>
      <c r="JP23" s="158">
        <f t="shared" si="227"/>
        <v>1458</v>
      </c>
      <c r="JQ23" s="159">
        <f t="shared" si="228"/>
        <v>4414239.4405594394</v>
      </c>
      <c r="JS23" s="149">
        <v>0</v>
      </c>
      <c r="JT23" s="150">
        <v>1</v>
      </c>
      <c r="JU23" s="161">
        <f t="shared" si="58"/>
        <v>0</v>
      </c>
      <c r="JV23" s="152">
        <f t="shared" si="229"/>
        <v>0</v>
      </c>
      <c r="JW23" s="153">
        <f t="shared" si="230"/>
        <v>0</v>
      </c>
      <c r="JX23" s="368"/>
      <c r="JY23" s="153">
        <f t="shared" si="231"/>
        <v>0</v>
      </c>
      <c r="JZ23" s="368"/>
      <c r="KA23" s="153">
        <f t="shared" si="231"/>
        <v>0</v>
      </c>
      <c r="KB23" s="368"/>
      <c r="KC23" s="153">
        <f t="shared" si="232"/>
        <v>0</v>
      </c>
      <c r="KD23" s="368"/>
      <c r="KE23" s="153">
        <f t="shared" si="233"/>
        <v>0</v>
      </c>
      <c r="KF23" s="368"/>
      <c r="KG23" s="153">
        <f t="shared" si="234"/>
        <v>0</v>
      </c>
      <c r="KH23" s="368"/>
      <c r="KI23" s="153">
        <f t="shared" si="236"/>
        <v>0</v>
      </c>
      <c r="KJ23" s="368"/>
      <c r="KK23" s="153">
        <f t="shared" si="237"/>
        <v>0</v>
      </c>
      <c r="KL23" s="368"/>
      <c r="KM23" s="153">
        <f t="shared" si="239"/>
        <v>0</v>
      </c>
      <c r="KN23" s="368"/>
      <c r="KO23" s="153">
        <f t="shared" si="240"/>
        <v>0</v>
      </c>
      <c r="KP23" s="368"/>
      <c r="KQ23" s="153">
        <f t="shared" si="242"/>
        <v>0</v>
      </c>
      <c r="KR23" s="368"/>
      <c r="KS23" s="154">
        <f t="shared" si="243"/>
        <v>0</v>
      </c>
      <c r="KT23" s="158">
        <f t="shared" si="244"/>
        <v>0</v>
      </c>
      <c r="KU23" s="159">
        <f t="shared" si="67"/>
        <v>0</v>
      </c>
      <c r="KW23" s="149"/>
      <c r="KX23" s="150"/>
      <c r="KY23" s="157"/>
      <c r="KZ23" s="152">
        <f t="shared" si="271"/>
        <v>0</v>
      </c>
      <c r="LA23" s="153"/>
      <c r="LB23" s="152">
        <f t="shared" si="272"/>
        <v>0</v>
      </c>
      <c r="LC23" s="153">
        <f t="shared" si="246"/>
        <v>0</v>
      </c>
      <c r="LD23" s="152">
        <f t="shared" si="272"/>
        <v>0</v>
      </c>
      <c r="LE23" s="153">
        <f t="shared" si="246"/>
        <v>0</v>
      </c>
      <c r="LF23" s="152">
        <f t="shared" si="272"/>
        <v>0</v>
      </c>
      <c r="LG23" s="153">
        <f t="shared" si="247"/>
        <v>0</v>
      </c>
      <c r="LH23" s="152">
        <f t="shared" si="272"/>
        <v>0</v>
      </c>
      <c r="LI23" s="153">
        <f t="shared" si="248"/>
        <v>0</v>
      </c>
      <c r="LJ23" s="152">
        <f t="shared" si="273"/>
        <v>0</v>
      </c>
      <c r="LK23" s="153">
        <f t="shared" si="249"/>
        <v>0</v>
      </c>
      <c r="LL23" s="152">
        <f t="shared" si="274"/>
        <v>0</v>
      </c>
      <c r="LM23" s="153">
        <f t="shared" si="250"/>
        <v>0</v>
      </c>
      <c r="LN23" s="152">
        <f t="shared" si="275"/>
        <v>0</v>
      </c>
      <c r="LO23" s="153">
        <f t="shared" si="251"/>
        <v>0</v>
      </c>
      <c r="LP23" s="152">
        <f t="shared" si="276"/>
        <v>0</v>
      </c>
      <c r="LQ23" s="153">
        <f t="shared" si="252"/>
        <v>0</v>
      </c>
      <c r="LR23" s="152">
        <f t="shared" si="277"/>
        <v>0</v>
      </c>
      <c r="LS23" s="153">
        <f t="shared" si="253"/>
        <v>0</v>
      </c>
      <c r="LT23" s="152">
        <f t="shared" si="278"/>
        <v>0</v>
      </c>
      <c r="LU23" s="153">
        <f t="shared" si="254"/>
        <v>0</v>
      </c>
      <c r="LV23" s="152">
        <f t="shared" si="279"/>
        <v>0</v>
      </c>
      <c r="LW23" s="153">
        <f t="shared" si="255"/>
        <v>0</v>
      </c>
      <c r="LX23" s="158">
        <f t="shared" si="256"/>
        <v>0</v>
      </c>
      <c r="LY23" s="159">
        <f t="shared" si="257"/>
        <v>0</v>
      </c>
      <c r="MA23" s="164">
        <f t="shared" si="69"/>
        <v>1031</v>
      </c>
      <c r="MB23" s="386">
        <f t="shared" si="258"/>
        <v>3121454.6386946379</v>
      </c>
      <c r="MC23" s="394">
        <f t="shared" si="70"/>
        <v>0</v>
      </c>
      <c r="MD23" s="386">
        <f t="shared" si="259"/>
        <v>0</v>
      </c>
      <c r="ME23" s="394">
        <f t="shared" si="71"/>
        <v>1052</v>
      </c>
      <c r="MF23" s="386">
        <f t="shared" si="259"/>
        <v>3185034.2191142184</v>
      </c>
      <c r="MG23" s="394">
        <f t="shared" si="72"/>
        <v>0</v>
      </c>
      <c r="MH23" s="386">
        <f t="shared" si="260"/>
        <v>0</v>
      </c>
      <c r="MI23" s="394">
        <f t="shared" si="73"/>
        <v>1052</v>
      </c>
      <c r="MJ23" s="386">
        <f t="shared" si="261"/>
        <v>3185034.2191142184</v>
      </c>
      <c r="MK23" s="394">
        <f t="shared" si="74"/>
        <v>0</v>
      </c>
      <c r="ML23" s="386">
        <f t="shared" si="262"/>
        <v>0</v>
      </c>
      <c r="MM23" s="394">
        <f t="shared" si="75"/>
        <v>1052</v>
      </c>
      <c r="MN23" s="386">
        <f t="shared" si="263"/>
        <v>3185034.2191142184</v>
      </c>
      <c r="MO23" s="394">
        <f t="shared" si="76"/>
        <v>0</v>
      </c>
      <c r="MP23" s="386">
        <f t="shared" si="264"/>
        <v>0</v>
      </c>
      <c r="MQ23" s="394">
        <f t="shared" si="77"/>
        <v>1052</v>
      </c>
      <c r="MR23" s="386">
        <f t="shared" si="265"/>
        <v>3185034.2191142184</v>
      </c>
      <c r="MS23" s="394">
        <f t="shared" si="78"/>
        <v>0</v>
      </c>
      <c r="MT23" s="386">
        <f t="shared" si="266"/>
        <v>0</v>
      </c>
      <c r="MU23" s="394">
        <f t="shared" si="79"/>
        <v>1052</v>
      </c>
      <c r="MV23" s="386">
        <f t="shared" si="267"/>
        <v>3185034.2191142184</v>
      </c>
      <c r="MW23" s="394">
        <f t="shared" si="80"/>
        <v>0</v>
      </c>
      <c r="MX23" s="386">
        <f t="shared" si="268"/>
        <v>0</v>
      </c>
      <c r="MY23" s="165">
        <f t="shared" si="269"/>
        <v>6291</v>
      </c>
      <c r="MZ23" s="166">
        <f t="shared" si="270"/>
        <v>19046625.73426573</v>
      </c>
    </row>
    <row r="24" spans="1:364" s="126" customFormat="1" ht="66" x14ac:dyDescent="0.3">
      <c r="A24" s="528"/>
      <c r="B24" s="14" t="s">
        <v>70</v>
      </c>
      <c r="C24" s="147" t="s">
        <v>71</v>
      </c>
      <c r="D24" s="148" t="s">
        <v>25</v>
      </c>
      <c r="E24" s="14">
        <v>1</v>
      </c>
      <c r="F24" s="346">
        <v>295.74592074592073</v>
      </c>
      <c r="G24" s="346">
        <f t="shared" si="81"/>
        <v>308.07148407148406</v>
      </c>
      <c r="I24" s="149">
        <f>+I19</f>
        <v>1850.33</v>
      </c>
      <c r="J24" s="150">
        <v>1</v>
      </c>
      <c r="K24" s="151">
        <f t="shared" si="82"/>
        <v>570033.90912198904</v>
      </c>
      <c r="L24" s="152">
        <f t="shared" si="300"/>
        <v>1850.33</v>
      </c>
      <c r="M24" s="285">
        <f t="shared" si="301"/>
        <v>570033.90912198904</v>
      </c>
      <c r="N24" s="152"/>
      <c r="O24" s="285">
        <f t="shared" si="302"/>
        <v>0</v>
      </c>
      <c r="P24" s="152">
        <f t="shared" si="303"/>
        <v>1850.33</v>
      </c>
      <c r="Q24" s="285">
        <f t="shared" si="302"/>
        <v>570033.90912198904</v>
      </c>
      <c r="R24" s="152"/>
      <c r="S24" s="285">
        <f t="shared" si="86"/>
        <v>0</v>
      </c>
      <c r="T24" s="152">
        <f t="shared" si="304"/>
        <v>1850.33</v>
      </c>
      <c r="U24" s="285">
        <f t="shared" si="87"/>
        <v>570033.90912198904</v>
      </c>
      <c r="V24" s="152"/>
      <c r="W24" s="285">
        <f t="shared" si="88"/>
        <v>0</v>
      </c>
      <c r="X24" s="152">
        <f t="shared" si="305"/>
        <v>1850.33</v>
      </c>
      <c r="Y24" s="285">
        <f t="shared" si="89"/>
        <v>570033.90912198904</v>
      </c>
      <c r="Z24" s="152"/>
      <c r="AA24" s="285">
        <f t="shared" si="90"/>
        <v>0</v>
      </c>
      <c r="AB24" s="152">
        <f t="shared" si="306"/>
        <v>1850.33</v>
      </c>
      <c r="AC24" s="285">
        <f t="shared" si="91"/>
        <v>570033.90912198904</v>
      </c>
      <c r="AD24" s="152"/>
      <c r="AE24" s="285">
        <f t="shared" si="92"/>
        <v>0</v>
      </c>
      <c r="AF24" s="152">
        <f t="shared" si="307"/>
        <v>1850.33</v>
      </c>
      <c r="AG24" s="285">
        <f t="shared" si="308"/>
        <v>570033.90912198904</v>
      </c>
      <c r="AH24" s="152"/>
      <c r="AI24" s="294">
        <f t="shared" si="309"/>
        <v>0</v>
      </c>
      <c r="AJ24" s="156">
        <f t="shared" si="94"/>
        <v>11101.98</v>
      </c>
      <c r="AK24" s="306">
        <f t="shared" si="95"/>
        <v>3420203.4547319347</v>
      </c>
      <c r="AM24" s="149">
        <f>+AM19</f>
        <v>350</v>
      </c>
      <c r="AN24" s="150">
        <v>1</v>
      </c>
      <c r="AO24" s="157">
        <f t="shared" si="285"/>
        <v>107825.01942501942</v>
      </c>
      <c r="AP24" s="152">
        <f t="shared" si="1"/>
        <v>350</v>
      </c>
      <c r="AQ24" s="285">
        <f t="shared" si="96"/>
        <v>107825.01942501942</v>
      </c>
      <c r="AR24" s="317"/>
      <c r="AS24" s="285">
        <f t="shared" si="96"/>
        <v>0</v>
      </c>
      <c r="AT24" s="317">
        <f t="shared" si="3"/>
        <v>350</v>
      </c>
      <c r="AU24" s="285">
        <f t="shared" si="96"/>
        <v>107825.01942501942</v>
      </c>
      <c r="AV24" s="317"/>
      <c r="AW24" s="285">
        <f t="shared" si="98"/>
        <v>0</v>
      </c>
      <c r="AX24" s="317">
        <f t="shared" si="5"/>
        <v>350</v>
      </c>
      <c r="AY24" s="285">
        <f t="shared" si="99"/>
        <v>107825.01942501942</v>
      </c>
      <c r="AZ24" s="317"/>
      <c r="BA24" s="285">
        <f t="shared" si="100"/>
        <v>0</v>
      </c>
      <c r="BB24" s="317">
        <f t="shared" si="7"/>
        <v>350</v>
      </c>
      <c r="BC24" s="285">
        <f t="shared" si="101"/>
        <v>107825.01942501942</v>
      </c>
      <c r="BD24" s="317"/>
      <c r="BE24" s="285">
        <f t="shared" si="102"/>
        <v>0</v>
      </c>
      <c r="BF24" s="317">
        <f t="shared" si="9"/>
        <v>350</v>
      </c>
      <c r="BG24" s="285">
        <f t="shared" si="103"/>
        <v>107825.01942501942</v>
      </c>
      <c r="BH24" s="317"/>
      <c r="BI24" s="285">
        <f t="shared" si="310"/>
        <v>0</v>
      </c>
      <c r="BJ24" s="317">
        <f t="shared" si="11"/>
        <v>350</v>
      </c>
      <c r="BK24" s="285">
        <f t="shared" si="310"/>
        <v>107825.01942501942</v>
      </c>
      <c r="BL24" s="152"/>
      <c r="BM24" s="296">
        <f t="shared" si="105"/>
        <v>0</v>
      </c>
      <c r="BN24" s="158">
        <f t="shared" si="106"/>
        <v>2100</v>
      </c>
      <c r="BO24" s="307">
        <f t="shared" si="13"/>
        <v>646950.11655011657</v>
      </c>
      <c r="BQ24" s="149">
        <v>2295</v>
      </c>
      <c r="BR24" s="150">
        <v>1</v>
      </c>
      <c r="BS24" s="160">
        <f t="shared" si="281"/>
        <v>707024.0559440559</v>
      </c>
      <c r="BT24" s="152">
        <f t="shared" si="280"/>
        <v>2295</v>
      </c>
      <c r="BU24" s="332">
        <f t="shared" si="107"/>
        <v>707024.0559440559</v>
      </c>
      <c r="BV24" s="152"/>
      <c r="BW24" s="153">
        <f t="shared" si="108"/>
        <v>0</v>
      </c>
      <c r="BX24" s="152">
        <f t="shared" si="16"/>
        <v>2295</v>
      </c>
      <c r="BY24" s="153">
        <f t="shared" si="109"/>
        <v>707024.0559440559</v>
      </c>
      <c r="BZ24" s="152"/>
      <c r="CA24" s="153">
        <f t="shared" si="110"/>
        <v>0</v>
      </c>
      <c r="CB24" s="152">
        <f t="shared" si="18"/>
        <v>2295</v>
      </c>
      <c r="CC24" s="153">
        <f t="shared" si="111"/>
        <v>707024.0559440559</v>
      </c>
      <c r="CD24" s="152"/>
      <c r="CE24" s="153">
        <f t="shared" si="112"/>
        <v>0</v>
      </c>
      <c r="CF24" s="152">
        <f t="shared" si="113"/>
        <v>2295</v>
      </c>
      <c r="CG24" s="153">
        <f t="shared" si="114"/>
        <v>707024.0559440559</v>
      </c>
      <c r="CH24" s="152"/>
      <c r="CI24" s="153">
        <f t="shared" si="115"/>
        <v>0</v>
      </c>
      <c r="CJ24" s="152">
        <f t="shared" si="116"/>
        <v>2295</v>
      </c>
      <c r="CK24" s="153">
        <f t="shared" si="117"/>
        <v>707024.0559440559</v>
      </c>
      <c r="CL24" s="152"/>
      <c r="CM24" s="153">
        <f t="shared" si="118"/>
        <v>0</v>
      </c>
      <c r="CN24" s="152">
        <f t="shared" si="119"/>
        <v>2295</v>
      </c>
      <c r="CO24" s="153">
        <f t="shared" si="120"/>
        <v>707024.0559440559</v>
      </c>
      <c r="CP24" s="152"/>
      <c r="CQ24" s="154">
        <f t="shared" si="23"/>
        <v>0</v>
      </c>
      <c r="CR24" s="158">
        <f t="shared" si="121"/>
        <v>13770</v>
      </c>
      <c r="CS24" s="159">
        <f t="shared" si="24"/>
        <v>4242144.3356643356</v>
      </c>
      <c r="CU24" s="149">
        <v>3636.5</v>
      </c>
      <c r="CV24" s="150">
        <v>1</v>
      </c>
      <c r="CW24" s="161">
        <f t="shared" si="299"/>
        <v>1120301.9518259517</v>
      </c>
      <c r="CX24" s="152">
        <f t="shared" si="122"/>
        <v>3636.5</v>
      </c>
      <c r="CY24" s="153">
        <f t="shared" si="123"/>
        <v>1120301.9518259517</v>
      </c>
      <c r="CZ24" s="152"/>
      <c r="DA24" s="285">
        <f t="shared" si="123"/>
        <v>0</v>
      </c>
      <c r="DB24" s="152">
        <f t="shared" si="27"/>
        <v>3636.5</v>
      </c>
      <c r="DC24" s="285">
        <f t="shared" si="124"/>
        <v>1120301.9518259517</v>
      </c>
      <c r="DD24" s="152"/>
      <c r="DE24" s="285">
        <f t="shared" si="125"/>
        <v>0</v>
      </c>
      <c r="DF24" s="152">
        <f t="shared" si="29"/>
        <v>3636.5</v>
      </c>
      <c r="DG24" s="285">
        <f t="shared" si="126"/>
        <v>1120301.9518259517</v>
      </c>
      <c r="DH24" s="152"/>
      <c r="DI24" s="285">
        <f t="shared" si="127"/>
        <v>0</v>
      </c>
      <c r="DJ24" s="152">
        <f t="shared" si="128"/>
        <v>3636.5</v>
      </c>
      <c r="DK24" s="285">
        <f t="shared" si="129"/>
        <v>1120301.9518259517</v>
      </c>
      <c r="DL24" s="152"/>
      <c r="DM24" s="285">
        <f t="shared" si="130"/>
        <v>0</v>
      </c>
      <c r="DN24" s="152">
        <f t="shared" si="131"/>
        <v>3636.5</v>
      </c>
      <c r="DO24" s="285">
        <f t="shared" si="132"/>
        <v>1120301.9518259517</v>
      </c>
      <c r="DP24" s="152"/>
      <c r="DQ24" s="285">
        <f t="shared" si="133"/>
        <v>0</v>
      </c>
      <c r="DR24" s="152">
        <f t="shared" si="134"/>
        <v>3636.5</v>
      </c>
      <c r="DS24" s="285">
        <f t="shared" si="135"/>
        <v>1120301.9518259517</v>
      </c>
      <c r="DT24" s="152"/>
      <c r="DU24" s="285">
        <f t="shared" si="136"/>
        <v>0</v>
      </c>
      <c r="DV24" s="158">
        <f t="shared" si="137"/>
        <v>21819</v>
      </c>
      <c r="DW24" s="159">
        <f t="shared" si="34"/>
        <v>6721811.7109557111</v>
      </c>
      <c r="DY24" s="142">
        <f>+DY19</f>
        <v>4931.99</v>
      </c>
      <c r="DZ24" s="150">
        <v>1</v>
      </c>
      <c r="EA24" s="161">
        <f t="shared" si="35"/>
        <v>1519405.4787257186</v>
      </c>
      <c r="EB24" s="152">
        <f t="shared" si="286"/>
        <v>4931.99</v>
      </c>
      <c r="EC24" s="153">
        <f t="shared" si="139"/>
        <v>1519405.4787257186</v>
      </c>
      <c r="ED24" s="317"/>
      <c r="EE24" s="153">
        <f t="shared" si="139"/>
        <v>0</v>
      </c>
      <c r="EF24" s="152">
        <f t="shared" si="287"/>
        <v>4931.99</v>
      </c>
      <c r="EG24" s="153">
        <f t="shared" si="311"/>
        <v>1519405.4787257186</v>
      </c>
      <c r="EH24" s="152"/>
      <c r="EI24" s="153">
        <f t="shared" si="311"/>
        <v>0</v>
      </c>
      <c r="EJ24" s="152">
        <f t="shared" si="288"/>
        <v>4931.99</v>
      </c>
      <c r="EK24" s="153">
        <f t="shared" si="143"/>
        <v>1519405.4787257186</v>
      </c>
      <c r="EL24" s="152"/>
      <c r="EM24" s="153">
        <f t="shared" si="144"/>
        <v>0</v>
      </c>
      <c r="EN24" s="152">
        <f t="shared" si="290"/>
        <v>4931.99</v>
      </c>
      <c r="EO24" s="153">
        <f t="shared" si="145"/>
        <v>1519405.4787257186</v>
      </c>
      <c r="EP24" s="152"/>
      <c r="EQ24" s="153">
        <f t="shared" si="146"/>
        <v>0</v>
      </c>
      <c r="ER24" s="152">
        <f t="shared" si="292"/>
        <v>4931.99</v>
      </c>
      <c r="ES24" s="153">
        <f t="shared" si="147"/>
        <v>1519405.4787257186</v>
      </c>
      <c r="ET24" s="152"/>
      <c r="EU24" s="153">
        <f t="shared" si="148"/>
        <v>0</v>
      </c>
      <c r="EV24" s="152">
        <f t="shared" si="294"/>
        <v>4931.99</v>
      </c>
      <c r="EW24" s="153">
        <f t="shared" si="149"/>
        <v>1519405.4787257186</v>
      </c>
      <c r="EX24" s="152"/>
      <c r="EY24" s="153">
        <f t="shared" si="150"/>
        <v>0</v>
      </c>
      <c r="EZ24" s="158">
        <f t="shared" si="151"/>
        <v>29591.939999999995</v>
      </c>
      <c r="FA24" s="159">
        <f t="shared" si="36"/>
        <v>9116432.87235431</v>
      </c>
      <c r="FC24" s="163">
        <f>+FC19</f>
        <v>723.53</v>
      </c>
      <c r="FD24" s="150">
        <v>1</v>
      </c>
      <c r="FE24" s="161">
        <f t="shared" si="296"/>
        <v>222898.96087024084</v>
      </c>
      <c r="FF24" s="152">
        <f t="shared" si="153"/>
        <v>723.53</v>
      </c>
      <c r="FG24" s="153">
        <f t="shared" si="154"/>
        <v>222898.96087024084</v>
      </c>
      <c r="FH24" s="368"/>
      <c r="FI24" s="153">
        <f t="shared" si="155"/>
        <v>0</v>
      </c>
      <c r="FJ24" s="368">
        <f t="shared" si="38"/>
        <v>723.53</v>
      </c>
      <c r="FK24" s="153">
        <f t="shared" si="155"/>
        <v>222898.96087024084</v>
      </c>
      <c r="FL24" s="368"/>
      <c r="FM24" s="153">
        <f t="shared" si="156"/>
        <v>0</v>
      </c>
      <c r="FN24" s="368">
        <f t="shared" si="40"/>
        <v>723.53</v>
      </c>
      <c r="FO24" s="153">
        <f t="shared" si="157"/>
        <v>222898.96087024084</v>
      </c>
      <c r="FP24" s="368"/>
      <c r="FQ24" s="153">
        <f t="shared" si="158"/>
        <v>0</v>
      </c>
      <c r="FR24" s="368">
        <f t="shared" si="159"/>
        <v>723.53</v>
      </c>
      <c r="FS24" s="153">
        <f t="shared" si="160"/>
        <v>222898.96087024084</v>
      </c>
      <c r="FT24" s="368"/>
      <c r="FU24" s="153">
        <f t="shared" si="161"/>
        <v>0</v>
      </c>
      <c r="FV24" s="368">
        <f t="shared" si="162"/>
        <v>723.53</v>
      </c>
      <c r="FW24" s="153">
        <f t="shared" si="163"/>
        <v>222898.96087024084</v>
      </c>
      <c r="FX24" s="368"/>
      <c r="FY24" s="153">
        <f t="shared" si="164"/>
        <v>0</v>
      </c>
      <c r="FZ24" s="368">
        <f t="shared" si="165"/>
        <v>723.53</v>
      </c>
      <c r="GA24" s="153">
        <f t="shared" si="166"/>
        <v>222898.96087024084</v>
      </c>
      <c r="GB24" s="368"/>
      <c r="GC24" s="153">
        <f t="shared" si="167"/>
        <v>0</v>
      </c>
      <c r="GD24" s="158">
        <f t="shared" si="168"/>
        <v>4341.1799999999994</v>
      </c>
      <c r="GE24" s="159">
        <f t="shared" si="45"/>
        <v>1337393.7652214449</v>
      </c>
      <c r="GG24" s="149">
        <f>+GG19</f>
        <v>840.49</v>
      </c>
      <c r="GH24" s="150">
        <v>0.5</v>
      </c>
      <c r="GI24" s="161">
        <f t="shared" si="297"/>
        <v>258931.00164724165</v>
      </c>
      <c r="GJ24" s="152">
        <f>+GJ19</f>
        <v>840.49</v>
      </c>
      <c r="GK24" s="153">
        <f t="shared" si="170"/>
        <v>258931.00164724165</v>
      </c>
      <c r="GL24" s="152">
        <v>0</v>
      </c>
      <c r="GM24" s="153">
        <f t="shared" si="170"/>
        <v>0</v>
      </c>
      <c r="GN24" s="152">
        <f t="shared" si="312"/>
        <v>840.49</v>
      </c>
      <c r="GO24" s="153">
        <f t="shared" si="171"/>
        <v>258931.00164724165</v>
      </c>
      <c r="GP24" s="152"/>
      <c r="GQ24" s="153">
        <f t="shared" si="172"/>
        <v>0</v>
      </c>
      <c r="GR24" s="152">
        <f t="shared" si="313"/>
        <v>840.49</v>
      </c>
      <c r="GS24" s="153">
        <f t="shared" si="174"/>
        <v>258931.00164724165</v>
      </c>
      <c r="GT24" s="152"/>
      <c r="GU24" s="153">
        <f t="shared" si="176"/>
        <v>0</v>
      </c>
      <c r="GV24" s="152">
        <f t="shared" si="314"/>
        <v>840.49</v>
      </c>
      <c r="GW24" s="153">
        <f t="shared" si="178"/>
        <v>258931.00164724165</v>
      </c>
      <c r="GX24" s="152"/>
      <c r="GY24" s="153">
        <f t="shared" si="180"/>
        <v>0</v>
      </c>
      <c r="GZ24" s="152">
        <f t="shared" si="315"/>
        <v>840.49</v>
      </c>
      <c r="HA24" s="153">
        <f t="shared" si="182"/>
        <v>258931.00164724165</v>
      </c>
      <c r="HB24" s="152"/>
      <c r="HC24" s="153">
        <f t="shared" si="184"/>
        <v>0</v>
      </c>
      <c r="HD24" s="152">
        <f t="shared" si="316"/>
        <v>840.49</v>
      </c>
      <c r="HE24" s="153">
        <f t="shared" si="186"/>
        <v>258931.00164724165</v>
      </c>
      <c r="HF24" s="152"/>
      <c r="HG24" s="153">
        <f t="shared" si="188"/>
        <v>0</v>
      </c>
      <c r="HH24" s="158">
        <f t="shared" si="189"/>
        <v>5042.9399999999996</v>
      </c>
      <c r="HI24" s="159">
        <f t="shared" si="47"/>
        <v>1553586.0098834496</v>
      </c>
      <c r="HK24" s="149">
        <f>+HK19</f>
        <v>235.69</v>
      </c>
      <c r="HL24" s="150">
        <v>0.5</v>
      </c>
      <c r="HM24" s="161">
        <f t="shared" si="48"/>
        <v>36304.684040404041</v>
      </c>
      <c r="HN24" s="152">
        <v>0</v>
      </c>
      <c r="HO24" s="153">
        <f t="shared" si="191"/>
        <v>0</v>
      </c>
      <c r="HP24" s="152">
        <v>0</v>
      </c>
      <c r="HQ24" s="153">
        <f t="shared" si="193"/>
        <v>0</v>
      </c>
      <c r="HR24" s="152">
        <f t="shared" ref="HR24:HR29" si="321">+$HK24</f>
        <v>235.69</v>
      </c>
      <c r="HS24" s="153">
        <f t="shared" si="193"/>
        <v>72609.368080808083</v>
      </c>
      <c r="HT24" s="152">
        <v>0</v>
      </c>
      <c r="HU24" s="153">
        <f t="shared" si="194"/>
        <v>0</v>
      </c>
      <c r="HV24" s="152">
        <f t="shared" si="317"/>
        <v>235.69</v>
      </c>
      <c r="HW24" s="153">
        <f t="shared" si="195"/>
        <v>72609.368080808083</v>
      </c>
      <c r="HX24" s="152">
        <v>0</v>
      </c>
      <c r="HY24" s="153">
        <f t="shared" si="197"/>
        <v>0</v>
      </c>
      <c r="HZ24" s="152">
        <f t="shared" si="318"/>
        <v>235.69</v>
      </c>
      <c r="IA24" s="153">
        <f t="shared" si="199"/>
        <v>72609.368080808083</v>
      </c>
      <c r="IB24" s="152">
        <v>0</v>
      </c>
      <c r="IC24" s="153">
        <f t="shared" si="201"/>
        <v>0</v>
      </c>
      <c r="ID24" s="152">
        <f t="shared" si="319"/>
        <v>235.69</v>
      </c>
      <c r="IE24" s="153">
        <f t="shared" si="203"/>
        <v>72609.368080808083</v>
      </c>
      <c r="IF24" s="152">
        <v>0</v>
      </c>
      <c r="IG24" s="153">
        <f t="shared" si="205"/>
        <v>0</v>
      </c>
      <c r="IH24" s="152">
        <f t="shared" si="320"/>
        <v>235.69</v>
      </c>
      <c r="II24" s="153">
        <f t="shared" si="207"/>
        <v>72609.368080808083</v>
      </c>
      <c r="IJ24" s="152">
        <v>0</v>
      </c>
      <c r="IK24" s="153">
        <f t="shared" si="209"/>
        <v>0</v>
      </c>
      <c r="IL24" s="158">
        <f t="shared" si="210"/>
        <v>1178.45</v>
      </c>
      <c r="IM24" s="159">
        <f t="shared" si="211"/>
        <v>363046.84040404041</v>
      </c>
      <c r="IO24" s="149">
        <v>1225</v>
      </c>
      <c r="IP24" s="150">
        <v>1</v>
      </c>
      <c r="IQ24" s="161">
        <f t="shared" si="298"/>
        <v>377387.56798756798</v>
      </c>
      <c r="IR24" s="152">
        <f t="shared" si="212"/>
        <v>1225</v>
      </c>
      <c r="IS24" s="153">
        <f t="shared" si="213"/>
        <v>377387.56798756798</v>
      </c>
      <c r="IT24" s="152"/>
      <c r="IU24" s="285">
        <f t="shared" si="214"/>
        <v>0</v>
      </c>
      <c r="IV24" s="152">
        <f t="shared" si="51"/>
        <v>1225</v>
      </c>
      <c r="IW24" s="285">
        <f t="shared" si="214"/>
        <v>377387.56798756798</v>
      </c>
      <c r="IX24" s="152"/>
      <c r="IY24" s="285">
        <f t="shared" si="215"/>
        <v>0</v>
      </c>
      <c r="IZ24" s="152">
        <f t="shared" si="53"/>
        <v>1225</v>
      </c>
      <c r="JA24" s="285">
        <f t="shared" si="216"/>
        <v>377387.56798756798</v>
      </c>
      <c r="JB24" s="152"/>
      <c r="JC24" s="285">
        <f t="shared" si="217"/>
        <v>0</v>
      </c>
      <c r="JD24" s="152">
        <f t="shared" si="218"/>
        <v>1225</v>
      </c>
      <c r="JE24" s="285">
        <f t="shared" si="219"/>
        <v>377387.56798756798</v>
      </c>
      <c r="JF24" s="152"/>
      <c r="JG24" s="285">
        <f t="shared" si="220"/>
        <v>0</v>
      </c>
      <c r="JH24" s="152">
        <f t="shared" si="221"/>
        <v>1225</v>
      </c>
      <c r="JI24" s="285">
        <f t="shared" si="222"/>
        <v>377387.56798756798</v>
      </c>
      <c r="JJ24" s="152"/>
      <c r="JK24" s="285">
        <f t="shared" si="223"/>
        <v>0</v>
      </c>
      <c r="JL24" s="152">
        <f t="shared" si="224"/>
        <v>1225</v>
      </c>
      <c r="JM24" s="285">
        <f t="shared" si="225"/>
        <v>377387.56798756798</v>
      </c>
      <c r="JN24" s="152"/>
      <c r="JO24" s="285">
        <f t="shared" si="226"/>
        <v>0</v>
      </c>
      <c r="JP24" s="158">
        <f t="shared" si="227"/>
        <v>7350</v>
      </c>
      <c r="JQ24" s="159">
        <f t="shared" si="228"/>
        <v>2264325.4079254079</v>
      </c>
      <c r="JS24" s="149">
        <v>212</v>
      </c>
      <c r="JT24" s="150">
        <v>1</v>
      </c>
      <c r="JU24" s="161">
        <f t="shared" si="58"/>
        <v>65311.154623154624</v>
      </c>
      <c r="JV24" s="152">
        <f t="shared" si="229"/>
        <v>212</v>
      </c>
      <c r="JW24" s="153">
        <f t="shared" si="230"/>
        <v>65311.154623154624</v>
      </c>
      <c r="JX24" s="368"/>
      <c r="JY24" s="153">
        <f t="shared" si="231"/>
        <v>0</v>
      </c>
      <c r="JZ24" s="368"/>
      <c r="KA24" s="153">
        <f t="shared" si="231"/>
        <v>0</v>
      </c>
      <c r="KB24" s="368"/>
      <c r="KC24" s="153">
        <f t="shared" si="232"/>
        <v>0</v>
      </c>
      <c r="KD24" s="368"/>
      <c r="KE24" s="153">
        <f t="shared" si="233"/>
        <v>0</v>
      </c>
      <c r="KF24" s="368"/>
      <c r="KG24" s="153">
        <f t="shared" si="234"/>
        <v>0</v>
      </c>
      <c r="KH24" s="368"/>
      <c r="KI24" s="153">
        <f t="shared" si="236"/>
        <v>0</v>
      </c>
      <c r="KJ24" s="368"/>
      <c r="KK24" s="153">
        <f t="shared" si="237"/>
        <v>0</v>
      </c>
      <c r="KL24" s="368"/>
      <c r="KM24" s="153">
        <f t="shared" si="239"/>
        <v>0</v>
      </c>
      <c r="KN24" s="368"/>
      <c r="KO24" s="153">
        <f t="shared" si="240"/>
        <v>0</v>
      </c>
      <c r="KP24" s="368"/>
      <c r="KQ24" s="153">
        <f t="shared" si="242"/>
        <v>0</v>
      </c>
      <c r="KR24" s="368"/>
      <c r="KS24" s="154">
        <f t="shared" si="243"/>
        <v>0</v>
      </c>
      <c r="KT24" s="158">
        <f t="shared" si="244"/>
        <v>212</v>
      </c>
      <c r="KU24" s="159">
        <f t="shared" si="67"/>
        <v>65311.154623154624</v>
      </c>
      <c r="KW24" s="149"/>
      <c r="KX24" s="150"/>
      <c r="KY24" s="157"/>
      <c r="KZ24" s="152">
        <f t="shared" si="271"/>
        <v>0</v>
      </c>
      <c r="LA24" s="153"/>
      <c r="LB24" s="152">
        <f t="shared" si="272"/>
        <v>0</v>
      </c>
      <c r="LC24" s="153">
        <f t="shared" si="246"/>
        <v>0</v>
      </c>
      <c r="LD24" s="152">
        <f t="shared" si="272"/>
        <v>0</v>
      </c>
      <c r="LE24" s="153">
        <f t="shared" si="246"/>
        <v>0</v>
      </c>
      <c r="LF24" s="152">
        <f t="shared" si="272"/>
        <v>0</v>
      </c>
      <c r="LG24" s="153">
        <f t="shared" si="247"/>
        <v>0</v>
      </c>
      <c r="LH24" s="152">
        <f t="shared" si="272"/>
        <v>0</v>
      </c>
      <c r="LI24" s="153">
        <f t="shared" si="248"/>
        <v>0</v>
      </c>
      <c r="LJ24" s="152">
        <f t="shared" si="273"/>
        <v>0</v>
      </c>
      <c r="LK24" s="153">
        <f t="shared" si="249"/>
        <v>0</v>
      </c>
      <c r="LL24" s="152">
        <f t="shared" si="274"/>
        <v>0</v>
      </c>
      <c r="LM24" s="153">
        <f t="shared" si="250"/>
        <v>0</v>
      </c>
      <c r="LN24" s="152">
        <f t="shared" si="275"/>
        <v>0</v>
      </c>
      <c r="LO24" s="153">
        <f t="shared" si="251"/>
        <v>0</v>
      </c>
      <c r="LP24" s="152">
        <f t="shared" si="276"/>
        <v>0</v>
      </c>
      <c r="LQ24" s="153">
        <f t="shared" si="252"/>
        <v>0</v>
      </c>
      <c r="LR24" s="152">
        <f t="shared" si="277"/>
        <v>0</v>
      </c>
      <c r="LS24" s="153">
        <f t="shared" si="253"/>
        <v>0</v>
      </c>
      <c r="LT24" s="152">
        <f t="shared" si="278"/>
        <v>0</v>
      </c>
      <c r="LU24" s="153">
        <f t="shared" si="254"/>
        <v>0</v>
      </c>
      <c r="LV24" s="152">
        <f t="shared" si="279"/>
        <v>0</v>
      </c>
      <c r="LW24" s="153">
        <f t="shared" si="255"/>
        <v>0</v>
      </c>
      <c r="LX24" s="158">
        <f t="shared" si="256"/>
        <v>0</v>
      </c>
      <c r="LY24" s="159">
        <f t="shared" si="257"/>
        <v>0</v>
      </c>
      <c r="MA24" s="164">
        <f t="shared" si="69"/>
        <v>16064.84</v>
      </c>
      <c r="MB24" s="386">
        <f t="shared" si="258"/>
        <v>4949119.1001709402</v>
      </c>
      <c r="MC24" s="394">
        <f t="shared" si="70"/>
        <v>0</v>
      </c>
      <c r="MD24" s="386">
        <f t="shared" si="259"/>
        <v>0</v>
      </c>
      <c r="ME24" s="394">
        <f t="shared" si="71"/>
        <v>16088.53</v>
      </c>
      <c r="MF24" s="386">
        <f t="shared" si="259"/>
        <v>4956417.3136285935</v>
      </c>
      <c r="MG24" s="394">
        <f t="shared" si="72"/>
        <v>0</v>
      </c>
      <c r="MH24" s="386">
        <f t="shared" si="260"/>
        <v>0</v>
      </c>
      <c r="MI24" s="394">
        <f t="shared" si="73"/>
        <v>16088.53</v>
      </c>
      <c r="MJ24" s="386">
        <f t="shared" si="261"/>
        <v>4956417.3136285935</v>
      </c>
      <c r="MK24" s="394">
        <f t="shared" si="74"/>
        <v>0</v>
      </c>
      <c r="ML24" s="386">
        <f t="shared" si="262"/>
        <v>0</v>
      </c>
      <c r="MM24" s="394">
        <f t="shared" si="75"/>
        <v>16088.53</v>
      </c>
      <c r="MN24" s="386">
        <f t="shared" si="263"/>
        <v>4956417.3136285935</v>
      </c>
      <c r="MO24" s="394">
        <f t="shared" si="76"/>
        <v>0</v>
      </c>
      <c r="MP24" s="386">
        <f t="shared" si="264"/>
        <v>0</v>
      </c>
      <c r="MQ24" s="394">
        <f t="shared" si="77"/>
        <v>16088.53</v>
      </c>
      <c r="MR24" s="386">
        <f t="shared" si="265"/>
        <v>4956417.3136285935</v>
      </c>
      <c r="MS24" s="394">
        <f t="shared" si="78"/>
        <v>0</v>
      </c>
      <c r="MT24" s="386">
        <f t="shared" si="266"/>
        <v>0</v>
      </c>
      <c r="MU24" s="394">
        <f t="shared" si="79"/>
        <v>16088.53</v>
      </c>
      <c r="MV24" s="386">
        <f t="shared" si="267"/>
        <v>4956417.3136285935</v>
      </c>
      <c r="MW24" s="394">
        <f t="shared" si="80"/>
        <v>0</v>
      </c>
      <c r="MX24" s="386">
        <f t="shared" si="268"/>
        <v>0</v>
      </c>
      <c r="MY24" s="165">
        <f t="shared" si="269"/>
        <v>96507.49</v>
      </c>
      <c r="MZ24" s="166">
        <f t="shared" si="270"/>
        <v>29731205.668313909</v>
      </c>
    </row>
    <row r="25" spans="1:364" s="126" customFormat="1" ht="66" x14ac:dyDescent="0.3">
      <c r="A25" s="528"/>
      <c r="B25" s="14" t="s">
        <v>72</v>
      </c>
      <c r="C25" s="147" t="s">
        <v>73</v>
      </c>
      <c r="D25" s="148" t="s">
        <v>25</v>
      </c>
      <c r="E25" s="14">
        <v>1</v>
      </c>
      <c r="F25" s="346">
        <v>188.09893809893808</v>
      </c>
      <c r="G25" s="346">
        <f t="shared" si="81"/>
        <v>195.93818527151856</v>
      </c>
      <c r="I25" s="149">
        <f>+I20</f>
        <v>544.67999999999995</v>
      </c>
      <c r="J25" s="150">
        <v>1</v>
      </c>
      <c r="K25" s="151">
        <f t="shared" si="82"/>
        <v>106723.61075369072</v>
      </c>
      <c r="L25" s="152">
        <f t="shared" si="300"/>
        <v>544.67999999999995</v>
      </c>
      <c r="M25" s="285">
        <f t="shared" si="301"/>
        <v>106723.61075369072</v>
      </c>
      <c r="N25" s="152"/>
      <c r="O25" s="285">
        <f t="shared" si="302"/>
        <v>0</v>
      </c>
      <c r="P25" s="152">
        <f t="shared" si="303"/>
        <v>544.67999999999995</v>
      </c>
      <c r="Q25" s="285">
        <f t="shared" si="302"/>
        <v>106723.61075369072</v>
      </c>
      <c r="R25" s="152"/>
      <c r="S25" s="285">
        <f t="shared" si="86"/>
        <v>0</v>
      </c>
      <c r="T25" s="152">
        <f t="shared" si="304"/>
        <v>544.67999999999995</v>
      </c>
      <c r="U25" s="285">
        <f t="shared" si="87"/>
        <v>106723.61075369072</v>
      </c>
      <c r="V25" s="152"/>
      <c r="W25" s="285">
        <f t="shared" si="88"/>
        <v>0</v>
      </c>
      <c r="X25" s="152">
        <f t="shared" si="305"/>
        <v>544.67999999999995</v>
      </c>
      <c r="Y25" s="285">
        <f t="shared" si="89"/>
        <v>106723.61075369072</v>
      </c>
      <c r="Z25" s="152"/>
      <c r="AA25" s="285">
        <f t="shared" si="90"/>
        <v>0</v>
      </c>
      <c r="AB25" s="152">
        <f t="shared" si="306"/>
        <v>544.67999999999995</v>
      </c>
      <c r="AC25" s="285">
        <f t="shared" si="91"/>
        <v>106723.61075369072</v>
      </c>
      <c r="AD25" s="152"/>
      <c r="AE25" s="285">
        <f t="shared" si="92"/>
        <v>0</v>
      </c>
      <c r="AF25" s="152">
        <f t="shared" si="307"/>
        <v>544.67999999999995</v>
      </c>
      <c r="AG25" s="285">
        <f t="shared" si="308"/>
        <v>106723.61075369072</v>
      </c>
      <c r="AH25" s="152"/>
      <c r="AI25" s="294">
        <f t="shared" si="309"/>
        <v>0</v>
      </c>
      <c r="AJ25" s="156">
        <f t="shared" si="94"/>
        <v>3268.0799999999995</v>
      </c>
      <c r="AK25" s="306">
        <f t="shared" si="95"/>
        <v>640341.66452214424</v>
      </c>
      <c r="AM25" s="149">
        <v>0</v>
      </c>
      <c r="AN25" s="150">
        <v>1</v>
      </c>
      <c r="AO25" s="157">
        <f t="shared" si="285"/>
        <v>0</v>
      </c>
      <c r="AP25" s="152">
        <f t="shared" si="1"/>
        <v>0</v>
      </c>
      <c r="AQ25" s="285">
        <f t="shared" si="96"/>
        <v>0</v>
      </c>
      <c r="AR25" s="317">
        <f>+$AM25*$AN25</f>
        <v>0</v>
      </c>
      <c r="AS25" s="285">
        <f t="shared" si="96"/>
        <v>0</v>
      </c>
      <c r="AT25" s="317">
        <f t="shared" si="3"/>
        <v>0</v>
      </c>
      <c r="AU25" s="285">
        <f t="shared" si="96"/>
        <v>0</v>
      </c>
      <c r="AV25" s="317">
        <f>+$AM25*$AN25</f>
        <v>0</v>
      </c>
      <c r="AW25" s="285">
        <f t="shared" si="98"/>
        <v>0</v>
      </c>
      <c r="AX25" s="317">
        <f t="shared" si="5"/>
        <v>0</v>
      </c>
      <c r="AY25" s="285">
        <f t="shared" si="99"/>
        <v>0</v>
      </c>
      <c r="AZ25" s="317">
        <f>+$AM25*$AN25</f>
        <v>0</v>
      </c>
      <c r="BA25" s="285">
        <f t="shared" si="100"/>
        <v>0</v>
      </c>
      <c r="BB25" s="317">
        <f t="shared" si="7"/>
        <v>0</v>
      </c>
      <c r="BC25" s="285">
        <f t="shared" si="101"/>
        <v>0</v>
      </c>
      <c r="BD25" s="317">
        <f>+$AM25*$AN25</f>
        <v>0</v>
      </c>
      <c r="BE25" s="285">
        <f t="shared" si="102"/>
        <v>0</v>
      </c>
      <c r="BF25" s="317">
        <f t="shared" si="9"/>
        <v>0</v>
      </c>
      <c r="BG25" s="285">
        <f t="shared" si="103"/>
        <v>0</v>
      </c>
      <c r="BH25" s="317">
        <f>+$AM25*$AN25</f>
        <v>0</v>
      </c>
      <c r="BI25" s="285">
        <f t="shared" si="310"/>
        <v>0</v>
      </c>
      <c r="BJ25" s="317">
        <f t="shared" si="11"/>
        <v>0</v>
      </c>
      <c r="BK25" s="285">
        <f t="shared" si="310"/>
        <v>0</v>
      </c>
      <c r="BL25" s="152">
        <f>+$AM25*$AN25</f>
        <v>0</v>
      </c>
      <c r="BM25" s="296">
        <f t="shared" si="105"/>
        <v>0</v>
      </c>
      <c r="BN25" s="158">
        <f t="shared" si="106"/>
        <v>0</v>
      </c>
      <c r="BO25" s="307">
        <f t="shared" si="13"/>
        <v>0</v>
      </c>
      <c r="BQ25" s="149">
        <v>0</v>
      </c>
      <c r="BR25" s="150"/>
      <c r="BS25" s="160">
        <f t="shared" si="281"/>
        <v>0</v>
      </c>
      <c r="BT25" s="152">
        <f t="shared" si="280"/>
        <v>0</v>
      </c>
      <c r="BU25" s="332">
        <f t="shared" si="107"/>
        <v>0</v>
      </c>
      <c r="BV25" s="152"/>
      <c r="BW25" s="153">
        <f t="shared" si="108"/>
        <v>0</v>
      </c>
      <c r="BX25" s="152">
        <f t="shared" si="16"/>
        <v>0</v>
      </c>
      <c r="BY25" s="153">
        <f t="shared" si="109"/>
        <v>0</v>
      </c>
      <c r="BZ25" s="152"/>
      <c r="CA25" s="153">
        <f t="shared" si="110"/>
        <v>0</v>
      </c>
      <c r="CB25" s="152">
        <f t="shared" si="18"/>
        <v>0</v>
      </c>
      <c r="CC25" s="153">
        <f t="shared" si="111"/>
        <v>0</v>
      </c>
      <c r="CD25" s="152"/>
      <c r="CE25" s="153">
        <f t="shared" si="112"/>
        <v>0</v>
      </c>
      <c r="CF25" s="152">
        <f t="shared" si="113"/>
        <v>0</v>
      </c>
      <c r="CG25" s="153">
        <f t="shared" si="114"/>
        <v>0</v>
      </c>
      <c r="CH25" s="152"/>
      <c r="CI25" s="153">
        <f t="shared" si="115"/>
        <v>0</v>
      </c>
      <c r="CJ25" s="152">
        <f t="shared" si="116"/>
        <v>0</v>
      </c>
      <c r="CK25" s="153">
        <f t="shared" si="117"/>
        <v>0</v>
      </c>
      <c r="CL25" s="152"/>
      <c r="CM25" s="153">
        <f t="shared" si="118"/>
        <v>0</v>
      </c>
      <c r="CN25" s="152">
        <f t="shared" si="119"/>
        <v>0</v>
      </c>
      <c r="CO25" s="153">
        <f t="shared" si="120"/>
        <v>0</v>
      </c>
      <c r="CP25" s="152"/>
      <c r="CQ25" s="154">
        <f t="shared" si="23"/>
        <v>0</v>
      </c>
      <c r="CR25" s="158">
        <f t="shared" si="121"/>
        <v>0</v>
      </c>
      <c r="CS25" s="159">
        <f t="shared" si="24"/>
        <v>0</v>
      </c>
      <c r="CU25" s="149">
        <v>0</v>
      </c>
      <c r="CV25" s="150"/>
      <c r="CW25" s="161">
        <f t="shared" si="299"/>
        <v>0</v>
      </c>
      <c r="CX25" s="152">
        <f t="shared" si="122"/>
        <v>0</v>
      </c>
      <c r="CY25" s="153">
        <f t="shared" si="123"/>
        <v>0</v>
      </c>
      <c r="CZ25" s="152"/>
      <c r="DA25" s="285">
        <f t="shared" si="123"/>
        <v>0</v>
      </c>
      <c r="DB25" s="152">
        <f t="shared" si="27"/>
        <v>0</v>
      </c>
      <c r="DC25" s="285">
        <f t="shared" si="124"/>
        <v>0</v>
      </c>
      <c r="DD25" s="152"/>
      <c r="DE25" s="285">
        <f t="shared" si="125"/>
        <v>0</v>
      </c>
      <c r="DF25" s="152">
        <f t="shared" si="29"/>
        <v>0</v>
      </c>
      <c r="DG25" s="285">
        <f t="shared" si="126"/>
        <v>0</v>
      </c>
      <c r="DH25" s="152"/>
      <c r="DI25" s="285">
        <f t="shared" si="127"/>
        <v>0</v>
      </c>
      <c r="DJ25" s="152">
        <f t="shared" si="128"/>
        <v>0</v>
      </c>
      <c r="DK25" s="285">
        <f t="shared" si="129"/>
        <v>0</v>
      </c>
      <c r="DL25" s="152"/>
      <c r="DM25" s="285">
        <f t="shared" si="130"/>
        <v>0</v>
      </c>
      <c r="DN25" s="152">
        <f t="shared" si="131"/>
        <v>0</v>
      </c>
      <c r="DO25" s="285">
        <f t="shared" si="132"/>
        <v>0</v>
      </c>
      <c r="DP25" s="152"/>
      <c r="DQ25" s="285">
        <f t="shared" si="133"/>
        <v>0</v>
      </c>
      <c r="DR25" s="152">
        <f t="shared" si="134"/>
        <v>0</v>
      </c>
      <c r="DS25" s="285">
        <f t="shared" si="135"/>
        <v>0</v>
      </c>
      <c r="DT25" s="152"/>
      <c r="DU25" s="285">
        <f t="shared" si="136"/>
        <v>0</v>
      </c>
      <c r="DV25" s="158">
        <f t="shared" si="137"/>
        <v>0</v>
      </c>
      <c r="DW25" s="159">
        <f t="shared" si="34"/>
        <v>0</v>
      </c>
      <c r="DY25" s="164">
        <f>+DY20</f>
        <v>830.70999999999992</v>
      </c>
      <c r="DZ25" s="150">
        <v>1</v>
      </c>
      <c r="EA25" s="161">
        <f t="shared" si="35"/>
        <v>162767.80988690318</v>
      </c>
      <c r="EB25" s="152">
        <f t="shared" si="286"/>
        <v>830.70999999999992</v>
      </c>
      <c r="EC25" s="153">
        <f t="shared" si="139"/>
        <v>162767.80988690318</v>
      </c>
      <c r="ED25" s="317"/>
      <c r="EE25" s="153">
        <f t="shared" si="139"/>
        <v>0</v>
      </c>
      <c r="EF25" s="152">
        <f t="shared" si="287"/>
        <v>830.70999999999992</v>
      </c>
      <c r="EG25" s="153">
        <f t="shared" si="311"/>
        <v>162767.80988690318</v>
      </c>
      <c r="EH25" s="152"/>
      <c r="EI25" s="153">
        <f t="shared" si="311"/>
        <v>0</v>
      </c>
      <c r="EJ25" s="152">
        <f t="shared" si="288"/>
        <v>830.70999999999992</v>
      </c>
      <c r="EK25" s="153">
        <f t="shared" si="143"/>
        <v>162767.80988690318</v>
      </c>
      <c r="EL25" s="152"/>
      <c r="EM25" s="153">
        <f t="shared" si="144"/>
        <v>0</v>
      </c>
      <c r="EN25" s="152">
        <f t="shared" si="290"/>
        <v>830.70999999999992</v>
      </c>
      <c r="EO25" s="153">
        <f t="shared" si="145"/>
        <v>162767.80988690318</v>
      </c>
      <c r="EP25" s="152"/>
      <c r="EQ25" s="153">
        <f t="shared" si="146"/>
        <v>0</v>
      </c>
      <c r="ER25" s="152">
        <f t="shared" si="292"/>
        <v>830.70999999999992</v>
      </c>
      <c r="ES25" s="153">
        <f t="shared" si="147"/>
        <v>162767.80988690318</v>
      </c>
      <c r="ET25" s="152"/>
      <c r="EU25" s="153">
        <f t="shared" si="148"/>
        <v>0</v>
      </c>
      <c r="EV25" s="152">
        <f t="shared" si="294"/>
        <v>830.70999999999992</v>
      </c>
      <c r="EW25" s="153">
        <f t="shared" si="149"/>
        <v>162767.80988690318</v>
      </c>
      <c r="EX25" s="152"/>
      <c r="EY25" s="153">
        <f t="shared" si="150"/>
        <v>0</v>
      </c>
      <c r="EZ25" s="158">
        <f t="shared" si="151"/>
        <v>4984.2599999999993</v>
      </c>
      <c r="FA25" s="159">
        <f t="shared" si="36"/>
        <v>976606.85932141903</v>
      </c>
      <c r="FC25" s="163">
        <f>+FC20</f>
        <v>65.989999999999995</v>
      </c>
      <c r="FD25" s="150">
        <v>1</v>
      </c>
      <c r="FE25" s="161">
        <f t="shared" si="296"/>
        <v>12929.960846067508</v>
      </c>
      <c r="FF25" s="152">
        <f t="shared" si="153"/>
        <v>65.989999999999995</v>
      </c>
      <c r="FG25" s="153">
        <f t="shared" si="154"/>
        <v>12929.960846067508</v>
      </c>
      <c r="FH25" s="368"/>
      <c r="FI25" s="153">
        <f t="shared" si="155"/>
        <v>0</v>
      </c>
      <c r="FJ25" s="368">
        <f t="shared" si="38"/>
        <v>65.989999999999995</v>
      </c>
      <c r="FK25" s="153">
        <f t="shared" si="155"/>
        <v>12929.960846067508</v>
      </c>
      <c r="FL25" s="368"/>
      <c r="FM25" s="153">
        <f t="shared" si="156"/>
        <v>0</v>
      </c>
      <c r="FN25" s="368">
        <f t="shared" si="40"/>
        <v>65.989999999999995</v>
      </c>
      <c r="FO25" s="153">
        <f t="shared" si="157"/>
        <v>12929.960846067508</v>
      </c>
      <c r="FP25" s="368"/>
      <c r="FQ25" s="153">
        <f t="shared" si="158"/>
        <v>0</v>
      </c>
      <c r="FR25" s="368">
        <f t="shared" si="159"/>
        <v>65.989999999999995</v>
      </c>
      <c r="FS25" s="153">
        <f t="shared" si="160"/>
        <v>12929.960846067508</v>
      </c>
      <c r="FT25" s="368"/>
      <c r="FU25" s="153">
        <f t="shared" si="161"/>
        <v>0</v>
      </c>
      <c r="FV25" s="368">
        <f t="shared" si="162"/>
        <v>65.989999999999995</v>
      </c>
      <c r="FW25" s="153">
        <f t="shared" si="163"/>
        <v>12929.960846067508</v>
      </c>
      <c r="FX25" s="368"/>
      <c r="FY25" s="153">
        <f t="shared" si="164"/>
        <v>0</v>
      </c>
      <c r="FZ25" s="368">
        <f t="shared" si="165"/>
        <v>65.989999999999995</v>
      </c>
      <c r="GA25" s="153">
        <f t="shared" si="166"/>
        <v>12929.960846067508</v>
      </c>
      <c r="GB25" s="368"/>
      <c r="GC25" s="153">
        <f t="shared" si="167"/>
        <v>0</v>
      </c>
      <c r="GD25" s="158">
        <f t="shared" si="168"/>
        <v>395.94</v>
      </c>
      <c r="GE25" s="159">
        <f t="shared" si="45"/>
        <v>77579.765076405063</v>
      </c>
      <c r="GG25" s="149">
        <f>+GG20</f>
        <v>55</v>
      </c>
      <c r="GH25" s="150">
        <v>0.5</v>
      </c>
      <c r="GI25" s="161">
        <f t="shared" si="297"/>
        <v>10776.600189933521</v>
      </c>
      <c r="GJ25" s="152">
        <f>+$GG25</f>
        <v>55</v>
      </c>
      <c r="GK25" s="153">
        <f t="shared" si="170"/>
        <v>10776.600189933521</v>
      </c>
      <c r="GL25" s="152"/>
      <c r="GM25" s="153">
        <f t="shared" si="170"/>
        <v>0</v>
      </c>
      <c r="GN25" s="152">
        <f>+$GG25</f>
        <v>55</v>
      </c>
      <c r="GO25" s="153">
        <f t="shared" si="171"/>
        <v>10776.600189933521</v>
      </c>
      <c r="GP25" s="152"/>
      <c r="GQ25" s="153">
        <f t="shared" si="172"/>
        <v>0</v>
      </c>
      <c r="GR25" s="152">
        <f>+$GG25</f>
        <v>55</v>
      </c>
      <c r="GS25" s="153">
        <f t="shared" si="174"/>
        <v>10776.600189933521</v>
      </c>
      <c r="GT25" s="152"/>
      <c r="GU25" s="153">
        <f t="shared" si="176"/>
        <v>0</v>
      </c>
      <c r="GV25" s="152">
        <f>+$GG25</f>
        <v>55</v>
      </c>
      <c r="GW25" s="153">
        <f t="shared" si="178"/>
        <v>10776.600189933521</v>
      </c>
      <c r="GX25" s="152"/>
      <c r="GY25" s="153">
        <f t="shared" si="180"/>
        <v>0</v>
      </c>
      <c r="GZ25" s="152">
        <f>+$GG25</f>
        <v>55</v>
      </c>
      <c r="HA25" s="153">
        <f t="shared" si="182"/>
        <v>10776.600189933521</v>
      </c>
      <c r="HB25" s="152"/>
      <c r="HC25" s="153">
        <f t="shared" si="184"/>
        <v>0</v>
      </c>
      <c r="HD25" s="152">
        <f>+$GG25</f>
        <v>55</v>
      </c>
      <c r="HE25" s="153">
        <f t="shared" si="186"/>
        <v>10776.600189933521</v>
      </c>
      <c r="HF25" s="152"/>
      <c r="HG25" s="153">
        <f t="shared" si="188"/>
        <v>0</v>
      </c>
      <c r="HH25" s="158">
        <f t="shared" si="189"/>
        <v>330</v>
      </c>
      <c r="HI25" s="159">
        <f t="shared" si="47"/>
        <v>64659.601139601124</v>
      </c>
      <c r="HK25" s="149">
        <f>+HK20</f>
        <v>262.85000000000002</v>
      </c>
      <c r="HL25" s="150">
        <v>0.5</v>
      </c>
      <c r="HM25" s="161">
        <f t="shared" si="48"/>
        <v>25751.175999309329</v>
      </c>
      <c r="HN25" s="152">
        <v>0</v>
      </c>
      <c r="HO25" s="153">
        <f t="shared" si="191"/>
        <v>0</v>
      </c>
      <c r="HP25" s="152">
        <v>0</v>
      </c>
      <c r="HQ25" s="153">
        <f t="shared" si="193"/>
        <v>0</v>
      </c>
      <c r="HR25" s="152">
        <f t="shared" si="321"/>
        <v>262.85000000000002</v>
      </c>
      <c r="HS25" s="153">
        <f t="shared" si="193"/>
        <v>51502.351998618658</v>
      </c>
      <c r="HT25" s="152">
        <v>0</v>
      </c>
      <c r="HU25" s="153">
        <f t="shared" si="194"/>
        <v>0</v>
      </c>
      <c r="HV25" s="152">
        <f t="shared" si="317"/>
        <v>262.85000000000002</v>
      </c>
      <c r="HW25" s="153">
        <f t="shared" si="195"/>
        <v>51502.351998618658</v>
      </c>
      <c r="HX25" s="152">
        <v>0</v>
      </c>
      <c r="HY25" s="153">
        <f t="shared" si="197"/>
        <v>0</v>
      </c>
      <c r="HZ25" s="152">
        <f t="shared" si="318"/>
        <v>262.85000000000002</v>
      </c>
      <c r="IA25" s="153">
        <f t="shared" si="199"/>
        <v>51502.351998618658</v>
      </c>
      <c r="IB25" s="152">
        <v>0</v>
      </c>
      <c r="IC25" s="153">
        <f t="shared" si="201"/>
        <v>0</v>
      </c>
      <c r="ID25" s="152">
        <f t="shared" si="319"/>
        <v>262.85000000000002</v>
      </c>
      <c r="IE25" s="153">
        <f t="shared" si="203"/>
        <v>51502.351998618658</v>
      </c>
      <c r="IF25" s="152">
        <v>0</v>
      </c>
      <c r="IG25" s="153">
        <f t="shared" si="205"/>
        <v>0</v>
      </c>
      <c r="IH25" s="152">
        <f t="shared" si="320"/>
        <v>262.85000000000002</v>
      </c>
      <c r="II25" s="153">
        <f t="shared" si="207"/>
        <v>51502.351998618658</v>
      </c>
      <c r="IJ25" s="152">
        <v>0</v>
      </c>
      <c r="IK25" s="153">
        <f t="shared" si="209"/>
        <v>0</v>
      </c>
      <c r="IL25" s="158">
        <f t="shared" si="210"/>
        <v>1314.25</v>
      </c>
      <c r="IM25" s="159">
        <f t="shared" si="211"/>
        <v>257511.75999309326</v>
      </c>
      <c r="IO25" s="149">
        <v>4663</v>
      </c>
      <c r="IP25" s="150">
        <v>1</v>
      </c>
      <c r="IQ25" s="161">
        <f t="shared" si="298"/>
        <v>913659.75792109105</v>
      </c>
      <c r="IR25" s="152">
        <f t="shared" si="212"/>
        <v>4663</v>
      </c>
      <c r="IS25" s="153">
        <f t="shared" si="213"/>
        <v>913659.75792109105</v>
      </c>
      <c r="IT25" s="152"/>
      <c r="IU25" s="285">
        <f t="shared" si="214"/>
        <v>0</v>
      </c>
      <c r="IV25" s="152">
        <f t="shared" si="51"/>
        <v>4663</v>
      </c>
      <c r="IW25" s="285">
        <f t="shared" si="214"/>
        <v>913659.75792109105</v>
      </c>
      <c r="IX25" s="152"/>
      <c r="IY25" s="285">
        <f t="shared" si="215"/>
        <v>0</v>
      </c>
      <c r="IZ25" s="152">
        <f t="shared" si="53"/>
        <v>4663</v>
      </c>
      <c r="JA25" s="285">
        <f t="shared" si="216"/>
        <v>913659.75792109105</v>
      </c>
      <c r="JB25" s="152"/>
      <c r="JC25" s="285">
        <f t="shared" si="217"/>
        <v>0</v>
      </c>
      <c r="JD25" s="152">
        <f t="shared" si="218"/>
        <v>4663</v>
      </c>
      <c r="JE25" s="285">
        <f t="shared" si="219"/>
        <v>913659.75792109105</v>
      </c>
      <c r="JF25" s="152"/>
      <c r="JG25" s="285">
        <f t="shared" si="220"/>
        <v>0</v>
      </c>
      <c r="JH25" s="152">
        <f t="shared" si="221"/>
        <v>4663</v>
      </c>
      <c r="JI25" s="285">
        <f t="shared" si="222"/>
        <v>913659.75792109105</v>
      </c>
      <c r="JJ25" s="152"/>
      <c r="JK25" s="285">
        <f t="shared" si="223"/>
        <v>0</v>
      </c>
      <c r="JL25" s="152">
        <f t="shared" si="224"/>
        <v>4663</v>
      </c>
      <c r="JM25" s="285">
        <f t="shared" si="225"/>
        <v>913659.75792109105</v>
      </c>
      <c r="JN25" s="152"/>
      <c r="JO25" s="285">
        <f t="shared" si="226"/>
        <v>0</v>
      </c>
      <c r="JP25" s="158">
        <f t="shared" si="227"/>
        <v>27978</v>
      </c>
      <c r="JQ25" s="159">
        <f t="shared" si="228"/>
        <v>5481958.5475265468</v>
      </c>
      <c r="JS25" s="149">
        <v>5220</v>
      </c>
      <c r="JT25" s="150">
        <v>1</v>
      </c>
      <c r="JU25" s="161">
        <f t="shared" si="58"/>
        <v>1022797.3271173269</v>
      </c>
      <c r="JV25" s="152">
        <f t="shared" si="229"/>
        <v>5220</v>
      </c>
      <c r="JW25" s="153">
        <f t="shared" si="230"/>
        <v>1022797.3271173269</v>
      </c>
      <c r="JX25" s="368"/>
      <c r="JY25" s="153">
        <f t="shared" si="231"/>
        <v>0</v>
      </c>
      <c r="JZ25" s="368"/>
      <c r="KA25" s="153">
        <f t="shared" si="231"/>
        <v>0</v>
      </c>
      <c r="KB25" s="368"/>
      <c r="KC25" s="153">
        <f t="shared" si="232"/>
        <v>0</v>
      </c>
      <c r="KD25" s="368"/>
      <c r="KE25" s="153">
        <f t="shared" si="233"/>
        <v>0</v>
      </c>
      <c r="KF25" s="368"/>
      <c r="KG25" s="153">
        <f t="shared" si="234"/>
        <v>0</v>
      </c>
      <c r="KH25" s="368"/>
      <c r="KI25" s="153">
        <f t="shared" si="236"/>
        <v>0</v>
      </c>
      <c r="KJ25" s="368"/>
      <c r="KK25" s="153">
        <f t="shared" si="237"/>
        <v>0</v>
      </c>
      <c r="KL25" s="368"/>
      <c r="KM25" s="153">
        <f t="shared" si="239"/>
        <v>0</v>
      </c>
      <c r="KN25" s="368"/>
      <c r="KO25" s="153">
        <f t="shared" si="240"/>
        <v>0</v>
      </c>
      <c r="KP25" s="368"/>
      <c r="KQ25" s="153">
        <f t="shared" si="242"/>
        <v>0</v>
      </c>
      <c r="KR25" s="368"/>
      <c r="KS25" s="154">
        <f t="shared" si="243"/>
        <v>0</v>
      </c>
      <c r="KT25" s="158">
        <f t="shared" si="244"/>
        <v>5220</v>
      </c>
      <c r="KU25" s="159">
        <f t="shared" si="67"/>
        <v>1022797.3271173269</v>
      </c>
      <c r="KW25" s="149"/>
      <c r="KX25" s="150"/>
      <c r="KY25" s="157"/>
      <c r="KZ25" s="152">
        <f t="shared" si="271"/>
        <v>0</v>
      </c>
      <c r="LA25" s="153"/>
      <c r="LB25" s="152">
        <f t="shared" si="272"/>
        <v>0</v>
      </c>
      <c r="LC25" s="153">
        <f t="shared" si="246"/>
        <v>0</v>
      </c>
      <c r="LD25" s="152">
        <f t="shared" si="272"/>
        <v>0</v>
      </c>
      <c r="LE25" s="153">
        <f t="shared" si="246"/>
        <v>0</v>
      </c>
      <c r="LF25" s="152">
        <f t="shared" si="272"/>
        <v>0</v>
      </c>
      <c r="LG25" s="153">
        <f t="shared" si="247"/>
        <v>0</v>
      </c>
      <c r="LH25" s="152">
        <f t="shared" si="272"/>
        <v>0</v>
      </c>
      <c r="LI25" s="153">
        <f t="shared" si="248"/>
        <v>0</v>
      </c>
      <c r="LJ25" s="152">
        <f t="shared" si="273"/>
        <v>0</v>
      </c>
      <c r="LK25" s="153">
        <f t="shared" si="249"/>
        <v>0</v>
      </c>
      <c r="LL25" s="152">
        <f t="shared" si="274"/>
        <v>0</v>
      </c>
      <c r="LM25" s="153">
        <f t="shared" si="250"/>
        <v>0</v>
      </c>
      <c r="LN25" s="152">
        <f t="shared" si="275"/>
        <v>0</v>
      </c>
      <c r="LO25" s="153">
        <f t="shared" si="251"/>
        <v>0</v>
      </c>
      <c r="LP25" s="152">
        <f t="shared" si="276"/>
        <v>0</v>
      </c>
      <c r="LQ25" s="153">
        <f t="shared" si="252"/>
        <v>0</v>
      </c>
      <c r="LR25" s="152">
        <f t="shared" si="277"/>
        <v>0</v>
      </c>
      <c r="LS25" s="153">
        <f t="shared" si="253"/>
        <v>0</v>
      </c>
      <c r="LT25" s="152">
        <f t="shared" si="278"/>
        <v>0</v>
      </c>
      <c r="LU25" s="153">
        <f t="shared" si="254"/>
        <v>0</v>
      </c>
      <c r="LV25" s="152">
        <f t="shared" si="279"/>
        <v>0</v>
      </c>
      <c r="LW25" s="153">
        <f t="shared" si="255"/>
        <v>0</v>
      </c>
      <c r="LX25" s="158">
        <f t="shared" si="256"/>
        <v>0</v>
      </c>
      <c r="LY25" s="159">
        <f t="shared" si="257"/>
        <v>0</v>
      </c>
      <c r="MA25" s="164">
        <f t="shared" si="69"/>
        <v>11379.380000000001</v>
      </c>
      <c r="MB25" s="386">
        <f t="shared" si="258"/>
        <v>2229655.0667150132</v>
      </c>
      <c r="MC25" s="394">
        <f t="shared" si="70"/>
        <v>0</v>
      </c>
      <c r="MD25" s="386">
        <f t="shared" si="259"/>
        <v>0</v>
      </c>
      <c r="ME25" s="394">
        <f t="shared" si="71"/>
        <v>6422.23</v>
      </c>
      <c r="MF25" s="386">
        <f t="shared" si="259"/>
        <v>1258360.0915963047</v>
      </c>
      <c r="MG25" s="394">
        <f t="shared" si="72"/>
        <v>0</v>
      </c>
      <c r="MH25" s="386">
        <f t="shared" si="260"/>
        <v>0</v>
      </c>
      <c r="MI25" s="394">
        <f t="shared" si="73"/>
        <v>6422.23</v>
      </c>
      <c r="MJ25" s="386">
        <f t="shared" si="261"/>
        <v>1258360.0915963047</v>
      </c>
      <c r="MK25" s="394">
        <f t="shared" si="74"/>
        <v>0</v>
      </c>
      <c r="ML25" s="386">
        <f t="shared" si="262"/>
        <v>0</v>
      </c>
      <c r="MM25" s="394">
        <f t="shared" si="75"/>
        <v>6422.23</v>
      </c>
      <c r="MN25" s="386">
        <f t="shared" si="263"/>
        <v>1258360.0915963047</v>
      </c>
      <c r="MO25" s="394">
        <f t="shared" si="76"/>
        <v>0</v>
      </c>
      <c r="MP25" s="386">
        <f t="shared" si="264"/>
        <v>0</v>
      </c>
      <c r="MQ25" s="394">
        <f t="shared" si="77"/>
        <v>6422.23</v>
      </c>
      <c r="MR25" s="386">
        <f t="shared" si="265"/>
        <v>1258360.0915963047</v>
      </c>
      <c r="MS25" s="394">
        <f t="shared" si="78"/>
        <v>0</v>
      </c>
      <c r="MT25" s="386">
        <f t="shared" si="266"/>
        <v>0</v>
      </c>
      <c r="MU25" s="394">
        <f t="shared" si="79"/>
        <v>6422.23</v>
      </c>
      <c r="MV25" s="386">
        <f t="shared" si="267"/>
        <v>1258360.0915963047</v>
      </c>
      <c r="MW25" s="394">
        <f t="shared" si="80"/>
        <v>0</v>
      </c>
      <c r="MX25" s="386">
        <f t="shared" si="268"/>
        <v>0</v>
      </c>
      <c r="MY25" s="165">
        <f t="shared" si="269"/>
        <v>43490.53</v>
      </c>
      <c r="MZ25" s="166">
        <f t="shared" si="270"/>
        <v>8521455.5246965364</v>
      </c>
    </row>
    <row r="26" spans="1:364" s="126" customFormat="1" ht="66" x14ac:dyDescent="0.3">
      <c r="A26" s="528"/>
      <c r="B26" s="14" t="s">
        <v>74</v>
      </c>
      <c r="C26" s="147" t="s">
        <v>75</v>
      </c>
      <c r="D26" s="148" t="s">
        <v>65</v>
      </c>
      <c r="E26" s="14">
        <v>1</v>
      </c>
      <c r="F26" s="346">
        <v>1746.1473711473709</v>
      </c>
      <c r="G26" s="346">
        <f t="shared" si="81"/>
        <v>1818.9201415868079</v>
      </c>
      <c r="I26" s="149">
        <f>+I21</f>
        <v>225</v>
      </c>
      <c r="J26" s="150">
        <v>1</v>
      </c>
      <c r="K26" s="151">
        <f t="shared" si="82"/>
        <v>409257.03185703175</v>
      </c>
      <c r="L26" s="152">
        <f t="shared" si="300"/>
        <v>225</v>
      </c>
      <c r="M26" s="285">
        <f t="shared" si="301"/>
        <v>409257.03185703175</v>
      </c>
      <c r="N26" s="152"/>
      <c r="O26" s="285">
        <f t="shared" si="302"/>
        <v>0</v>
      </c>
      <c r="P26" s="152">
        <f t="shared" si="303"/>
        <v>225</v>
      </c>
      <c r="Q26" s="285">
        <f t="shared" si="302"/>
        <v>409257.03185703175</v>
      </c>
      <c r="R26" s="152"/>
      <c r="S26" s="285">
        <f t="shared" si="86"/>
        <v>0</v>
      </c>
      <c r="T26" s="152">
        <f t="shared" si="304"/>
        <v>225</v>
      </c>
      <c r="U26" s="285">
        <f t="shared" si="87"/>
        <v>409257.03185703175</v>
      </c>
      <c r="V26" s="152"/>
      <c r="W26" s="285">
        <f t="shared" si="88"/>
        <v>0</v>
      </c>
      <c r="X26" s="152">
        <f t="shared" si="305"/>
        <v>225</v>
      </c>
      <c r="Y26" s="285">
        <f t="shared" si="89"/>
        <v>409257.03185703175</v>
      </c>
      <c r="Z26" s="152"/>
      <c r="AA26" s="285">
        <f t="shared" si="90"/>
        <v>0</v>
      </c>
      <c r="AB26" s="152">
        <f t="shared" si="306"/>
        <v>225</v>
      </c>
      <c r="AC26" s="285">
        <f t="shared" si="91"/>
        <v>409257.03185703175</v>
      </c>
      <c r="AD26" s="152"/>
      <c r="AE26" s="285">
        <f t="shared" si="92"/>
        <v>0</v>
      </c>
      <c r="AF26" s="152">
        <f t="shared" si="307"/>
        <v>225</v>
      </c>
      <c r="AG26" s="285">
        <f t="shared" si="308"/>
        <v>409257.03185703175</v>
      </c>
      <c r="AH26" s="152"/>
      <c r="AI26" s="294">
        <f t="shared" si="309"/>
        <v>0</v>
      </c>
      <c r="AJ26" s="156">
        <f t="shared" si="94"/>
        <v>1350</v>
      </c>
      <c r="AK26" s="306">
        <f t="shared" si="95"/>
        <v>2455542.1911421907</v>
      </c>
      <c r="AM26" s="149">
        <v>0</v>
      </c>
      <c r="AN26" s="150">
        <v>1</v>
      </c>
      <c r="AO26" s="157">
        <f t="shared" si="285"/>
        <v>0</v>
      </c>
      <c r="AP26" s="152">
        <f t="shared" si="1"/>
        <v>0</v>
      </c>
      <c r="AQ26" s="285">
        <f t="shared" si="96"/>
        <v>0</v>
      </c>
      <c r="AR26" s="317">
        <f>+$AM26*$AN26</f>
        <v>0</v>
      </c>
      <c r="AS26" s="285">
        <f t="shared" si="96"/>
        <v>0</v>
      </c>
      <c r="AT26" s="317">
        <f t="shared" si="3"/>
        <v>0</v>
      </c>
      <c r="AU26" s="285">
        <f t="shared" si="96"/>
        <v>0</v>
      </c>
      <c r="AV26" s="317">
        <f>+$AM26*$AN26</f>
        <v>0</v>
      </c>
      <c r="AW26" s="285">
        <f t="shared" si="98"/>
        <v>0</v>
      </c>
      <c r="AX26" s="317">
        <f t="shared" si="5"/>
        <v>0</v>
      </c>
      <c r="AY26" s="285">
        <f t="shared" si="99"/>
        <v>0</v>
      </c>
      <c r="AZ26" s="317">
        <f>+$AM26*$AN26</f>
        <v>0</v>
      </c>
      <c r="BA26" s="285">
        <f t="shared" si="100"/>
        <v>0</v>
      </c>
      <c r="BB26" s="317">
        <f t="shared" si="7"/>
        <v>0</v>
      </c>
      <c r="BC26" s="285">
        <f t="shared" si="101"/>
        <v>0</v>
      </c>
      <c r="BD26" s="317">
        <f>+$AM26*$AN26</f>
        <v>0</v>
      </c>
      <c r="BE26" s="285">
        <f t="shared" si="102"/>
        <v>0</v>
      </c>
      <c r="BF26" s="317">
        <f t="shared" si="9"/>
        <v>0</v>
      </c>
      <c r="BG26" s="285">
        <f t="shared" si="103"/>
        <v>0</v>
      </c>
      <c r="BH26" s="317">
        <f>+$AM26*$AN26</f>
        <v>0</v>
      </c>
      <c r="BI26" s="285">
        <f t="shared" si="310"/>
        <v>0</v>
      </c>
      <c r="BJ26" s="317">
        <f t="shared" si="11"/>
        <v>0</v>
      </c>
      <c r="BK26" s="285">
        <f t="shared" si="310"/>
        <v>0</v>
      </c>
      <c r="BL26" s="152">
        <f>+$AM26*$AN26</f>
        <v>0</v>
      </c>
      <c r="BM26" s="296">
        <f t="shared" si="105"/>
        <v>0</v>
      </c>
      <c r="BN26" s="158">
        <f t="shared" si="106"/>
        <v>0</v>
      </c>
      <c r="BO26" s="307">
        <f t="shared" si="13"/>
        <v>0</v>
      </c>
      <c r="BQ26" s="149">
        <v>111</v>
      </c>
      <c r="BR26" s="150">
        <v>1</v>
      </c>
      <c r="BS26" s="160">
        <f t="shared" si="281"/>
        <v>201900.13571613567</v>
      </c>
      <c r="BT26" s="152">
        <f t="shared" si="280"/>
        <v>111</v>
      </c>
      <c r="BU26" s="332">
        <f t="shared" si="107"/>
        <v>201900.13571613567</v>
      </c>
      <c r="BV26" s="152"/>
      <c r="BW26" s="153">
        <f t="shared" si="108"/>
        <v>0</v>
      </c>
      <c r="BX26" s="152">
        <f t="shared" si="16"/>
        <v>111</v>
      </c>
      <c r="BY26" s="153">
        <f t="shared" si="109"/>
        <v>201900.13571613567</v>
      </c>
      <c r="BZ26" s="152"/>
      <c r="CA26" s="153">
        <f t="shared" si="110"/>
        <v>0</v>
      </c>
      <c r="CB26" s="152">
        <f t="shared" si="18"/>
        <v>111</v>
      </c>
      <c r="CC26" s="153">
        <f t="shared" si="111"/>
        <v>201900.13571613567</v>
      </c>
      <c r="CD26" s="152"/>
      <c r="CE26" s="153">
        <f t="shared" si="112"/>
        <v>0</v>
      </c>
      <c r="CF26" s="152">
        <f t="shared" si="113"/>
        <v>111</v>
      </c>
      <c r="CG26" s="153">
        <f t="shared" si="114"/>
        <v>201900.13571613567</v>
      </c>
      <c r="CH26" s="152"/>
      <c r="CI26" s="153">
        <f t="shared" si="115"/>
        <v>0</v>
      </c>
      <c r="CJ26" s="152">
        <f t="shared" si="116"/>
        <v>111</v>
      </c>
      <c r="CK26" s="153">
        <f t="shared" si="117"/>
        <v>201900.13571613567</v>
      </c>
      <c r="CL26" s="152"/>
      <c r="CM26" s="153">
        <f t="shared" si="118"/>
        <v>0</v>
      </c>
      <c r="CN26" s="152">
        <f t="shared" si="119"/>
        <v>111</v>
      </c>
      <c r="CO26" s="153">
        <f t="shared" si="120"/>
        <v>201900.13571613567</v>
      </c>
      <c r="CP26" s="152"/>
      <c r="CQ26" s="154">
        <f t="shared" si="23"/>
        <v>0</v>
      </c>
      <c r="CR26" s="158">
        <f t="shared" si="121"/>
        <v>666</v>
      </c>
      <c r="CS26" s="159">
        <f t="shared" si="24"/>
        <v>1211400.8142968141</v>
      </c>
      <c r="CU26" s="149">
        <v>127</v>
      </c>
      <c r="CV26" s="150">
        <v>1</v>
      </c>
      <c r="CW26" s="161">
        <f t="shared" si="299"/>
        <v>231002.8579815246</v>
      </c>
      <c r="CX26" s="152">
        <f t="shared" si="122"/>
        <v>127</v>
      </c>
      <c r="CY26" s="153">
        <f t="shared" si="123"/>
        <v>231002.8579815246</v>
      </c>
      <c r="CZ26" s="152"/>
      <c r="DA26" s="285">
        <f t="shared" si="123"/>
        <v>0</v>
      </c>
      <c r="DB26" s="152">
        <f t="shared" si="27"/>
        <v>127</v>
      </c>
      <c r="DC26" s="285">
        <f t="shared" si="124"/>
        <v>231002.8579815246</v>
      </c>
      <c r="DD26" s="152"/>
      <c r="DE26" s="285">
        <f t="shared" si="125"/>
        <v>0</v>
      </c>
      <c r="DF26" s="152">
        <f t="shared" si="29"/>
        <v>127</v>
      </c>
      <c r="DG26" s="285">
        <f t="shared" si="126"/>
        <v>231002.8579815246</v>
      </c>
      <c r="DH26" s="152"/>
      <c r="DI26" s="285">
        <f t="shared" si="127"/>
        <v>0</v>
      </c>
      <c r="DJ26" s="152">
        <f t="shared" si="128"/>
        <v>127</v>
      </c>
      <c r="DK26" s="285">
        <f t="shared" si="129"/>
        <v>231002.8579815246</v>
      </c>
      <c r="DL26" s="152"/>
      <c r="DM26" s="285">
        <f t="shared" si="130"/>
        <v>0</v>
      </c>
      <c r="DN26" s="152">
        <f t="shared" si="131"/>
        <v>127</v>
      </c>
      <c r="DO26" s="285">
        <f t="shared" si="132"/>
        <v>231002.8579815246</v>
      </c>
      <c r="DP26" s="152"/>
      <c r="DQ26" s="285">
        <f t="shared" si="133"/>
        <v>0</v>
      </c>
      <c r="DR26" s="152">
        <f t="shared" si="134"/>
        <v>127</v>
      </c>
      <c r="DS26" s="285">
        <f t="shared" si="135"/>
        <v>231002.8579815246</v>
      </c>
      <c r="DT26" s="152"/>
      <c r="DU26" s="285">
        <f t="shared" si="136"/>
        <v>0</v>
      </c>
      <c r="DV26" s="158">
        <f t="shared" si="137"/>
        <v>762</v>
      </c>
      <c r="DW26" s="159">
        <f t="shared" si="34"/>
        <v>1386017.1478891475</v>
      </c>
      <c r="DY26" s="164">
        <f>+DY21</f>
        <v>214</v>
      </c>
      <c r="DZ26" s="150">
        <v>1</v>
      </c>
      <c r="EA26" s="161">
        <f t="shared" si="35"/>
        <v>389248.91029957688</v>
      </c>
      <c r="EB26" s="152">
        <f t="shared" si="286"/>
        <v>214</v>
      </c>
      <c r="EC26" s="153">
        <f t="shared" si="139"/>
        <v>389248.91029957688</v>
      </c>
      <c r="ED26" s="317"/>
      <c r="EE26" s="153">
        <f t="shared" si="139"/>
        <v>0</v>
      </c>
      <c r="EF26" s="152">
        <f t="shared" si="287"/>
        <v>214</v>
      </c>
      <c r="EG26" s="153">
        <f t="shared" si="311"/>
        <v>389248.91029957688</v>
      </c>
      <c r="EH26" s="152"/>
      <c r="EI26" s="153">
        <f t="shared" si="311"/>
        <v>0</v>
      </c>
      <c r="EJ26" s="152">
        <f t="shared" si="288"/>
        <v>214</v>
      </c>
      <c r="EK26" s="153">
        <f t="shared" si="143"/>
        <v>389248.91029957688</v>
      </c>
      <c r="EL26" s="152"/>
      <c r="EM26" s="153">
        <f t="shared" si="144"/>
        <v>0</v>
      </c>
      <c r="EN26" s="152">
        <f t="shared" si="290"/>
        <v>214</v>
      </c>
      <c r="EO26" s="153">
        <f t="shared" si="145"/>
        <v>389248.91029957688</v>
      </c>
      <c r="EP26" s="152"/>
      <c r="EQ26" s="153">
        <f t="shared" si="146"/>
        <v>0</v>
      </c>
      <c r="ER26" s="152">
        <f t="shared" si="292"/>
        <v>214</v>
      </c>
      <c r="ES26" s="153">
        <f t="shared" si="147"/>
        <v>389248.91029957688</v>
      </c>
      <c r="ET26" s="152"/>
      <c r="EU26" s="153">
        <f t="shared" si="148"/>
        <v>0</v>
      </c>
      <c r="EV26" s="152">
        <f t="shared" si="294"/>
        <v>214</v>
      </c>
      <c r="EW26" s="153">
        <f t="shared" si="149"/>
        <v>389248.91029957688</v>
      </c>
      <c r="EX26" s="152"/>
      <c r="EY26" s="153">
        <f t="shared" si="150"/>
        <v>0</v>
      </c>
      <c r="EZ26" s="158">
        <f t="shared" si="151"/>
        <v>1284</v>
      </c>
      <c r="FA26" s="159">
        <f t="shared" si="36"/>
        <v>2335493.4617974614</v>
      </c>
      <c r="FC26" s="149">
        <f>+FC21</f>
        <v>111</v>
      </c>
      <c r="FD26" s="150">
        <v>1</v>
      </c>
      <c r="FE26" s="161">
        <f t="shared" si="296"/>
        <v>201900.13571613567</v>
      </c>
      <c r="FF26" s="152">
        <f t="shared" si="153"/>
        <v>111</v>
      </c>
      <c r="FG26" s="153">
        <f t="shared" si="154"/>
        <v>201900.13571613567</v>
      </c>
      <c r="FH26" s="368"/>
      <c r="FI26" s="153">
        <f t="shared" si="155"/>
        <v>0</v>
      </c>
      <c r="FJ26" s="368">
        <f t="shared" si="38"/>
        <v>111</v>
      </c>
      <c r="FK26" s="153">
        <f t="shared" si="155"/>
        <v>201900.13571613567</v>
      </c>
      <c r="FL26" s="368"/>
      <c r="FM26" s="153">
        <f t="shared" si="156"/>
        <v>0</v>
      </c>
      <c r="FN26" s="368">
        <f t="shared" si="40"/>
        <v>111</v>
      </c>
      <c r="FO26" s="153">
        <f t="shared" si="157"/>
        <v>201900.13571613567</v>
      </c>
      <c r="FP26" s="368"/>
      <c r="FQ26" s="153">
        <f t="shared" si="158"/>
        <v>0</v>
      </c>
      <c r="FR26" s="368">
        <f t="shared" si="159"/>
        <v>111</v>
      </c>
      <c r="FS26" s="153">
        <f t="shared" si="160"/>
        <v>201900.13571613567</v>
      </c>
      <c r="FT26" s="368"/>
      <c r="FU26" s="153">
        <f t="shared" si="161"/>
        <v>0</v>
      </c>
      <c r="FV26" s="368">
        <f t="shared" si="162"/>
        <v>111</v>
      </c>
      <c r="FW26" s="153">
        <f t="shared" si="163"/>
        <v>201900.13571613567</v>
      </c>
      <c r="FX26" s="368"/>
      <c r="FY26" s="153">
        <f t="shared" si="164"/>
        <v>0</v>
      </c>
      <c r="FZ26" s="368">
        <f t="shared" si="165"/>
        <v>111</v>
      </c>
      <c r="GA26" s="153">
        <f t="shared" si="166"/>
        <v>201900.13571613567</v>
      </c>
      <c r="GB26" s="368"/>
      <c r="GC26" s="153">
        <f t="shared" si="167"/>
        <v>0</v>
      </c>
      <c r="GD26" s="158">
        <f t="shared" si="168"/>
        <v>666</v>
      </c>
      <c r="GE26" s="159">
        <f t="shared" si="45"/>
        <v>1211400.8142968141</v>
      </c>
      <c r="GG26" s="149">
        <f>+GG21</f>
        <v>0</v>
      </c>
      <c r="GH26" s="150">
        <v>0.5</v>
      </c>
      <c r="GI26" s="161">
        <f t="shared" si="297"/>
        <v>0</v>
      </c>
      <c r="GJ26" s="152">
        <v>0</v>
      </c>
      <c r="GK26" s="153">
        <f t="shared" si="170"/>
        <v>0</v>
      </c>
      <c r="GL26" s="152"/>
      <c r="GM26" s="153">
        <f t="shared" si="170"/>
        <v>0</v>
      </c>
      <c r="GN26" s="152">
        <f>+$GG26</f>
        <v>0</v>
      </c>
      <c r="GO26" s="153">
        <f t="shared" si="171"/>
        <v>0</v>
      </c>
      <c r="GP26" s="152"/>
      <c r="GQ26" s="153">
        <f t="shared" si="172"/>
        <v>0</v>
      </c>
      <c r="GR26" s="152">
        <f>+$GG26</f>
        <v>0</v>
      </c>
      <c r="GS26" s="153">
        <f t="shared" si="174"/>
        <v>0</v>
      </c>
      <c r="GT26" s="152"/>
      <c r="GU26" s="153">
        <f t="shared" si="176"/>
        <v>0</v>
      </c>
      <c r="GV26" s="152">
        <f>+$GG26</f>
        <v>0</v>
      </c>
      <c r="GW26" s="153">
        <f t="shared" si="178"/>
        <v>0</v>
      </c>
      <c r="GX26" s="152"/>
      <c r="GY26" s="153">
        <f t="shared" si="180"/>
        <v>0</v>
      </c>
      <c r="GZ26" s="152">
        <f>+$GG26</f>
        <v>0</v>
      </c>
      <c r="HA26" s="153">
        <f t="shared" si="182"/>
        <v>0</v>
      </c>
      <c r="HB26" s="152"/>
      <c r="HC26" s="153">
        <f t="shared" si="184"/>
        <v>0</v>
      </c>
      <c r="HD26" s="152">
        <f>+$GG26</f>
        <v>0</v>
      </c>
      <c r="HE26" s="153">
        <f t="shared" si="186"/>
        <v>0</v>
      </c>
      <c r="HF26" s="152"/>
      <c r="HG26" s="153">
        <f t="shared" si="188"/>
        <v>0</v>
      </c>
      <c r="HH26" s="158">
        <f t="shared" si="189"/>
        <v>0</v>
      </c>
      <c r="HI26" s="159">
        <f t="shared" si="47"/>
        <v>0</v>
      </c>
      <c r="HK26" s="149">
        <f>+HK21</f>
        <v>21</v>
      </c>
      <c r="HL26" s="150">
        <v>0.5</v>
      </c>
      <c r="HM26" s="161">
        <f t="shared" si="48"/>
        <v>19098.661486661484</v>
      </c>
      <c r="HN26" s="152">
        <v>0</v>
      </c>
      <c r="HO26" s="153">
        <f t="shared" si="191"/>
        <v>0</v>
      </c>
      <c r="HP26" s="152">
        <v>0</v>
      </c>
      <c r="HQ26" s="153">
        <f t="shared" si="193"/>
        <v>0</v>
      </c>
      <c r="HR26" s="152">
        <f t="shared" si="321"/>
        <v>21</v>
      </c>
      <c r="HS26" s="153">
        <f t="shared" si="193"/>
        <v>38197.322973322967</v>
      </c>
      <c r="HT26" s="152">
        <v>0</v>
      </c>
      <c r="HU26" s="153">
        <f t="shared" si="194"/>
        <v>0</v>
      </c>
      <c r="HV26" s="152">
        <f t="shared" si="317"/>
        <v>21</v>
      </c>
      <c r="HW26" s="153">
        <f t="shared" si="195"/>
        <v>38197.322973322967</v>
      </c>
      <c r="HX26" s="152">
        <v>0</v>
      </c>
      <c r="HY26" s="153">
        <f t="shared" si="197"/>
        <v>0</v>
      </c>
      <c r="HZ26" s="152">
        <f t="shared" si="318"/>
        <v>21</v>
      </c>
      <c r="IA26" s="153">
        <f t="shared" si="199"/>
        <v>38197.322973322967</v>
      </c>
      <c r="IB26" s="152">
        <v>0</v>
      </c>
      <c r="IC26" s="153">
        <f t="shared" si="201"/>
        <v>0</v>
      </c>
      <c r="ID26" s="152">
        <f t="shared" si="319"/>
        <v>21</v>
      </c>
      <c r="IE26" s="153">
        <f t="shared" si="203"/>
        <v>38197.322973322967</v>
      </c>
      <c r="IF26" s="152">
        <v>0</v>
      </c>
      <c r="IG26" s="153">
        <f t="shared" si="205"/>
        <v>0</v>
      </c>
      <c r="IH26" s="152">
        <f t="shared" si="320"/>
        <v>21</v>
      </c>
      <c r="II26" s="153">
        <f t="shared" si="207"/>
        <v>38197.322973322967</v>
      </c>
      <c r="IJ26" s="152">
        <v>0</v>
      </c>
      <c r="IK26" s="153">
        <f t="shared" si="209"/>
        <v>0</v>
      </c>
      <c r="IL26" s="158">
        <f t="shared" si="210"/>
        <v>105</v>
      </c>
      <c r="IM26" s="159">
        <f t="shared" si="211"/>
        <v>190986.61486661484</v>
      </c>
      <c r="IO26" s="149">
        <v>243</v>
      </c>
      <c r="IP26" s="150">
        <v>1</v>
      </c>
      <c r="IQ26" s="161">
        <f t="shared" si="298"/>
        <v>441997.59440559428</v>
      </c>
      <c r="IR26" s="152">
        <f t="shared" si="212"/>
        <v>243</v>
      </c>
      <c r="IS26" s="153">
        <f t="shared" si="213"/>
        <v>441997.59440559428</v>
      </c>
      <c r="IT26" s="152"/>
      <c r="IU26" s="285">
        <f t="shared" si="214"/>
        <v>0</v>
      </c>
      <c r="IV26" s="152">
        <f t="shared" si="51"/>
        <v>243</v>
      </c>
      <c r="IW26" s="285">
        <f t="shared" si="214"/>
        <v>441997.59440559428</v>
      </c>
      <c r="IX26" s="152"/>
      <c r="IY26" s="285">
        <f t="shared" si="215"/>
        <v>0</v>
      </c>
      <c r="IZ26" s="152">
        <f t="shared" si="53"/>
        <v>243</v>
      </c>
      <c r="JA26" s="285">
        <f t="shared" si="216"/>
        <v>441997.59440559428</v>
      </c>
      <c r="JB26" s="152"/>
      <c r="JC26" s="285">
        <f t="shared" si="217"/>
        <v>0</v>
      </c>
      <c r="JD26" s="152">
        <f t="shared" si="218"/>
        <v>243</v>
      </c>
      <c r="JE26" s="285">
        <f t="shared" si="219"/>
        <v>441997.59440559428</v>
      </c>
      <c r="JF26" s="152"/>
      <c r="JG26" s="285">
        <f t="shared" si="220"/>
        <v>0</v>
      </c>
      <c r="JH26" s="152">
        <f t="shared" si="221"/>
        <v>243</v>
      </c>
      <c r="JI26" s="285">
        <f t="shared" si="222"/>
        <v>441997.59440559428</v>
      </c>
      <c r="JJ26" s="152"/>
      <c r="JK26" s="285">
        <f t="shared" si="223"/>
        <v>0</v>
      </c>
      <c r="JL26" s="152">
        <f t="shared" si="224"/>
        <v>243</v>
      </c>
      <c r="JM26" s="285">
        <f t="shared" si="225"/>
        <v>441997.59440559428</v>
      </c>
      <c r="JN26" s="152"/>
      <c r="JO26" s="285">
        <f t="shared" si="226"/>
        <v>0</v>
      </c>
      <c r="JP26" s="158">
        <f t="shared" si="227"/>
        <v>1458</v>
      </c>
      <c r="JQ26" s="159">
        <f t="shared" si="228"/>
        <v>2651985.5664335657</v>
      </c>
      <c r="JS26" s="149">
        <v>0</v>
      </c>
      <c r="JT26" s="150">
        <v>1</v>
      </c>
      <c r="JU26" s="161">
        <f t="shared" si="58"/>
        <v>0</v>
      </c>
      <c r="JV26" s="152">
        <f t="shared" si="229"/>
        <v>0</v>
      </c>
      <c r="JW26" s="153">
        <f t="shared" si="230"/>
        <v>0</v>
      </c>
      <c r="JX26" s="368"/>
      <c r="JY26" s="153">
        <f t="shared" si="231"/>
        <v>0</v>
      </c>
      <c r="JZ26" s="368"/>
      <c r="KA26" s="153">
        <f t="shared" si="231"/>
        <v>0</v>
      </c>
      <c r="KB26" s="368"/>
      <c r="KC26" s="153">
        <f t="shared" si="232"/>
        <v>0</v>
      </c>
      <c r="KD26" s="368"/>
      <c r="KE26" s="153">
        <f t="shared" si="233"/>
        <v>0</v>
      </c>
      <c r="KF26" s="368"/>
      <c r="KG26" s="153">
        <f t="shared" si="234"/>
        <v>0</v>
      </c>
      <c r="KH26" s="368"/>
      <c r="KI26" s="153">
        <f t="shared" si="236"/>
        <v>0</v>
      </c>
      <c r="KJ26" s="368"/>
      <c r="KK26" s="153">
        <f t="shared" si="237"/>
        <v>0</v>
      </c>
      <c r="KL26" s="368"/>
      <c r="KM26" s="153">
        <f t="shared" si="239"/>
        <v>0</v>
      </c>
      <c r="KN26" s="368"/>
      <c r="KO26" s="153">
        <f t="shared" si="240"/>
        <v>0</v>
      </c>
      <c r="KP26" s="368"/>
      <c r="KQ26" s="153">
        <f t="shared" si="242"/>
        <v>0</v>
      </c>
      <c r="KR26" s="368"/>
      <c r="KS26" s="154">
        <f t="shared" si="243"/>
        <v>0</v>
      </c>
      <c r="KT26" s="158">
        <f t="shared" si="244"/>
        <v>0</v>
      </c>
      <c r="KU26" s="159">
        <f t="shared" si="67"/>
        <v>0</v>
      </c>
      <c r="KW26" s="149"/>
      <c r="KX26" s="150"/>
      <c r="KY26" s="157"/>
      <c r="KZ26" s="152">
        <f t="shared" si="271"/>
        <v>0</v>
      </c>
      <c r="LA26" s="153"/>
      <c r="LB26" s="152">
        <f t="shared" si="272"/>
        <v>0</v>
      </c>
      <c r="LC26" s="153">
        <f t="shared" si="246"/>
        <v>0</v>
      </c>
      <c r="LD26" s="152">
        <f t="shared" si="272"/>
        <v>0</v>
      </c>
      <c r="LE26" s="153">
        <f t="shared" si="246"/>
        <v>0</v>
      </c>
      <c r="LF26" s="152">
        <f t="shared" si="272"/>
        <v>0</v>
      </c>
      <c r="LG26" s="153">
        <f t="shared" si="247"/>
        <v>0</v>
      </c>
      <c r="LH26" s="152">
        <f t="shared" si="272"/>
        <v>0</v>
      </c>
      <c r="LI26" s="153">
        <f t="shared" si="248"/>
        <v>0</v>
      </c>
      <c r="LJ26" s="152">
        <f t="shared" si="273"/>
        <v>0</v>
      </c>
      <c r="LK26" s="153">
        <f t="shared" si="249"/>
        <v>0</v>
      </c>
      <c r="LL26" s="152">
        <f t="shared" si="274"/>
        <v>0</v>
      </c>
      <c r="LM26" s="153">
        <f t="shared" si="250"/>
        <v>0</v>
      </c>
      <c r="LN26" s="152">
        <f t="shared" si="275"/>
        <v>0</v>
      </c>
      <c r="LO26" s="153">
        <f t="shared" si="251"/>
        <v>0</v>
      </c>
      <c r="LP26" s="152">
        <f t="shared" si="276"/>
        <v>0</v>
      </c>
      <c r="LQ26" s="153">
        <f t="shared" si="252"/>
        <v>0</v>
      </c>
      <c r="LR26" s="152">
        <f t="shared" si="277"/>
        <v>0</v>
      </c>
      <c r="LS26" s="153">
        <f t="shared" si="253"/>
        <v>0</v>
      </c>
      <c r="LT26" s="152">
        <f t="shared" si="278"/>
        <v>0</v>
      </c>
      <c r="LU26" s="153">
        <f t="shared" si="254"/>
        <v>0</v>
      </c>
      <c r="LV26" s="152">
        <f t="shared" si="279"/>
        <v>0</v>
      </c>
      <c r="LW26" s="153">
        <f t="shared" si="255"/>
        <v>0</v>
      </c>
      <c r="LX26" s="158">
        <f t="shared" si="256"/>
        <v>0</v>
      </c>
      <c r="LY26" s="159">
        <f t="shared" si="257"/>
        <v>0</v>
      </c>
      <c r="MA26" s="164">
        <f t="shared" si="69"/>
        <v>1031</v>
      </c>
      <c r="MB26" s="386">
        <f t="shared" si="258"/>
        <v>1875306.6659759989</v>
      </c>
      <c r="MC26" s="394">
        <f t="shared" si="70"/>
        <v>0</v>
      </c>
      <c r="MD26" s="386">
        <f t="shared" si="259"/>
        <v>0</v>
      </c>
      <c r="ME26" s="394">
        <f t="shared" si="71"/>
        <v>1052</v>
      </c>
      <c r="MF26" s="386">
        <f t="shared" si="259"/>
        <v>1913503.9889493219</v>
      </c>
      <c r="MG26" s="394">
        <f t="shared" si="72"/>
        <v>0</v>
      </c>
      <c r="MH26" s="386">
        <f t="shared" si="260"/>
        <v>0</v>
      </c>
      <c r="MI26" s="394">
        <f t="shared" si="73"/>
        <v>1052</v>
      </c>
      <c r="MJ26" s="386">
        <f t="shared" si="261"/>
        <v>1913503.9889493219</v>
      </c>
      <c r="MK26" s="394">
        <f t="shared" si="74"/>
        <v>0</v>
      </c>
      <c r="ML26" s="386">
        <f t="shared" si="262"/>
        <v>0</v>
      </c>
      <c r="MM26" s="394">
        <f t="shared" si="75"/>
        <v>1052</v>
      </c>
      <c r="MN26" s="386">
        <f t="shared" si="263"/>
        <v>1913503.9889493219</v>
      </c>
      <c r="MO26" s="394">
        <f t="shared" si="76"/>
        <v>0</v>
      </c>
      <c r="MP26" s="386">
        <f t="shared" si="264"/>
        <v>0</v>
      </c>
      <c r="MQ26" s="394">
        <f t="shared" si="77"/>
        <v>1052</v>
      </c>
      <c r="MR26" s="386">
        <f t="shared" si="265"/>
        <v>1913503.9889493219</v>
      </c>
      <c r="MS26" s="394">
        <f t="shared" si="78"/>
        <v>0</v>
      </c>
      <c r="MT26" s="386">
        <f t="shared" si="266"/>
        <v>0</v>
      </c>
      <c r="MU26" s="394">
        <f t="shared" si="79"/>
        <v>1052</v>
      </c>
      <c r="MV26" s="386">
        <f t="shared" si="267"/>
        <v>1913503.9889493219</v>
      </c>
      <c r="MW26" s="394">
        <f t="shared" si="80"/>
        <v>0</v>
      </c>
      <c r="MX26" s="386">
        <f t="shared" si="268"/>
        <v>0</v>
      </c>
      <c r="MY26" s="165">
        <f t="shared" si="269"/>
        <v>6291</v>
      </c>
      <c r="MZ26" s="166">
        <f t="shared" si="270"/>
        <v>11442826.610722609</v>
      </c>
    </row>
    <row r="27" spans="1:364" s="126" customFormat="1" ht="66" x14ac:dyDescent="0.3">
      <c r="A27" s="528"/>
      <c r="B27" s="14" t="s">
        <v>76</v>
      </c>
      <c r="C27" s="147" t="s">
        <v>77</v>
      </c>
      <c r="D27" s="148" t="s">
        <v>25</v>
      </c>
      <c r="E27" s="14">
        <v>1</v>
      </c>
      <c r="F27" s="346">
        <v>1711.0204610204607</v>
      </c>
      <c r="G27" s="346">
        <f t="shared" si="81"/>
        <v>1782.3292756626086</v>
      </c>
      <c r="I27" s="149">
        <f>+I19</f>
        <v>1850.33</v>
      </c>
      <c r="J27" s="167">
        <v>0.33333333333333331</v>
      </c>
      <c r="K27" s="151">
        <f t="shared" si="82"/>
        <v>1099299.109545598</v>
      </c>
      <c r="L27" s="152"/>
      <c r="M27" s="285">
        <f t="shared" si="301"/>
        <v>0</v>
      </c>
      <c r="N27" s="152">
        <f>+$I27</f>
        <v>1850.33</v>
      </c>
      <c r="O27" s="285">
        <f t="shared" si="302"/>
        <v>3297897.3286367944</v>
      </c>
      <c r="P27" s="152"/>
      <c r="Q27" s="285">
        <f t="shared" si="302"/>
        <v>0</v>
      </c>
      <c r="R27" s="152"/>
      <c r="S27" s="285">
        <f t="shared" si="86"/>
        <v>0</v>
      </c>
      <c r="T27" s="152">
        <f>+$I27</f>
        <v>1850.33</v>
      </c>
      <c r="U27" s="285">
        <f t="shared" si="87"/>
        <v>3297897.3286367944</v>
      </c>
      <c r="V27" s="152"/>
      <c r="W27" s="285">
        <f t="shared" si="88"/>
        <v>0</v>
      </c>
      <c r="X27" s="152"/>
      <c r="Y27" s="285">
        <f t="shared" si="89"/>
        <v>0</v>
      </c>
      <c r="Z27" s="152">
        <f>+$I27</f>
        <v>1850.33</v>
      </c>
      <c r="AA27" s="285">
        <f t="shared" si="90"/>
        <v>3297897.3286367944</v>
      </c>
      <c r="AB27" s="152"/>
      <c r="AC27" s="285">
        <f t="shared" si="91"/>
        <v>0</v>
      </c>
      <c r="AD27" s="152"/>
      <c r="AE27" s="285">
        <f t="shared" si="92"/>
        <v>0</v>
      </c>
      <c r="AF27" s="152">
        <f>+$I27</f>
        <v>1850.33</v>
      </c>
      <c r="AG27" s="285">
        <f t="shared" si="308"/>
        <v>3297897.3286367944</v>
      </c>
      <c r="AH27" s="152"/>
      <c r="AI27" s="294">
        <f t="shared" si="309"/>
        <v>0</v>
      </c>
      <c r="AJ27" s="156">
        <f t="shared" si="94"/>
        <v>7401.32</v>
      </c>
      <c r="AK27" s="306">
        <f t="shared" si="95"/>
        <v>13191589.314547177</v>
      </c>
      <c r="AM27" s="149">
        <f>+AM19</f>
        <v>350</v>
      </c>
      <c r="AN27" s="150">
        <v>0.33300000000000002</v>
      </c>
      <c r="AO27" s="157">
        <f t="shared" si="285"/>
        <v>623815.24648191303</v>
      </c>
      <c r="AP27" s="152">
        <v>0</v>
      </c>
      <c r="AQ27" s="285">
        <f t="shared" si="96"/>
        <v>0</v>
      </c>
      <c r="AR27" s="317">
        <f>+$AM27</f>
        <v>350</v>
      </c>
      <c r="AS27" s="285">
        <f t="shared" si="96"/>
        <v>623815.24648191303</v>
      </c>
      <c r="AT27" s="317"/>
      <c r="AU27" s="285">
        <f t="shared" si="96"/>
        <v>0</v>
      </c>
      <c r="AV27" s="317">
        <v>0</v>
      </c>
      <c r="AW27" s="285">
        <f t="shared" si="98"/>
        <v>0</v>
      </c>
      <c r="AX27" s="317">
        <f>+$AM27</f>
        <v>350</v>
      </c>
      <c r="AY27" s="285">
        <f t="shared" si="99"/>
        <v>623815.24648191303</v>
      </c>
      <c r="AZ27" s="317"/>
      <c r="BA27" s="285">
        <f t="shared" si="100"/>
        <v>0</v>
      </c>
      <c r="BB27" s="317">
        <v>0</v>
      </c>
      <c r="BC27" s="285">
        <f t="shared" si="101"/>
        <v>0</v>
      </c>
      <c r="BD27" s="317">
        <f>+$AM27</f>
        <v>350</v>
      </c>
      <c r="BE27" s="285">
        <f t="shared" si="102"/>
        <v>623815.24648191303</v>
      </c>
      <c r="BF27" s="317"/>
      <c r="BG27" s="285">
        <f t="shared" si="103"/>
        <v>0</v>
      </c>
      <c r="BH27" s="317">
        <v>0</v>
      </c>
      <c r="BI27" s="285">
        <f t="shared" si="310"/>
        <v>0</v>
      </c>
      <c r="BJ27" s="317">
        <f>+$AM27</f>
        <v>350</v>
      </c>
      <c r="BK27" s="285">
        <f t="shared" si="310"/>
        <v>623815.24648191303</v>
      </c>
      <c r="BL27" s="317"/>
      <c r="BM27" s="296">
        <f t="shared" si="105"/>
        <v>0</v>
      </c>
      <c r="BN27" s="158">
        <f t="shared" si="106"/>
        <v>1400</v>
      </c>
      <c r="BO27" s="307">
        <f t="shared" si="13"/>
        <v>2495260.9859276521</v>
      </c>
      <c r="BQ27" s="149">
        <v>2295</v>
      </c>
      <c r="BR27" s="167">
        <v>0.33333333333333331</v>
      </c>
      <c r="BS27" s="160">
        <f>1*BQ27*$G27</f>
        <v>4090445.6876456868</v>
      </c>
      <c r="BT27" s="152"/>
      <c r="BU27" s="332">
        <f t="shared" si="107"/>
        <v>0</v>
      </c>
      <c r="BV27" s="152">
        <f>+$BQ27</f>
        <v>2295</v>
      </c>
      <c r="BW27" s="153">
        <f t="shared" si="108"/>
        <v>4090445.6876456868</v>
      </c>
      <c r="BX27" s="152"/>
      <c r="BY27" s="153">
        <f t="shared" si="109"/>
        <v>0</v>
      </c>
      <c r="BZ27" s="152"/>
      <c r="CA27" s="153">
        <f t="shared" si="110"/>
        <v>0</v>
      </c>
      <c r="CB27" s="152">
        <f>+$BQ27</f>
        <v>2295</v>
      </c>
      <c r="CC27" s="153">
        <f t="shared" si="111"/>
        <v>4090445.6876456868</v>
      </c>
      <c r="CD27" s="152"/>
      <c r="CE27" s="153">
        <f t="shared" si="112"/>
        <v>0</v>
      </c>
      <c r="CF27" s="152"/>
      <c r="CG27" s="153">
        <f t="shared" si="114"/>
        <v>0</v>
      </c>
      <c r="CH27" s="152">
        <f>+$BQ27</f>
        <v>2295</v>
      </c>
      <c r="CI27" s="153">
        <f t="shared" si="115"/>
        <v>4090445.6876456868</v>
      </c>
      <c r="CJ27" s="152"/>
      <c r="CK27" s="153">
        <f t="shared" si="117"/>
        <v>0</v>
      </c>
      <c r="CL27" s="152"/>
      <c r="CM27" s="153">
        <f t="shared" si="118"/>
        <v>0</v>
      </c>
      <c r="CN27" s="152">
        <f>+$BQ27</f>
        <v>2295</v>
      </c>
      <c r="CO27" s="153">
        <f t="shared" si="120"/>
        <v>4090445.6876456868</v>
      </c>
      <c r="CP27" s="152"/>
      <c r="CQ27" s="154">
        <f t="shared" si="23"/>
        <v>0</v>
      </c>
      <c r="CR27" s="158">
        <f t="shared" si="121"/>
        <v>9180</v>
      </c>
      <c r="CS27" s="159">
        <f t="shared" si="24"/>
        <v>16361782.750582747</v>
      </c>
      <c r="CU27" s="149">
        <v>3636.5</v>
      </c>
      <c r="CV27" s="150">
        <v>0.33333333333333331</v>
      </c>
      <c r="CW27" s="161">
        <f t="shared" si="299"/>
        <v>2160480.1369823585</v>
      </c>
      <c r="CX27" s="152"/>
      <c r="CY27" s="153">
        <f t="shared" si="123"/>
        <v>0</v>
      </c>
      <c r="CZ27" s="152">
        <f>+$CU27</f>
        <v>3636.5</v>
      </c>
      <c r="DA27" s="285">
        <f t="shared" si="123"/>
        <v>6481440.410947076</v>
      </c>
      <c r="DB27" s="152"/>
      <c r="DC27" s="285">
        <f t="shared" si="124"/>
        <v>0</v>
      </c>
      <c r="DD27" s="152"/>
      <c r="DE27" s="285">
        <f t="shared" si="125"/>
        <v>0</v>
      </c>
      <c r="DF27" s="152">
        <f>+$CU27</f>
        <v>3636.5</v>
      </c>
      <c r="DG27" s="285">
        <f t="shared" si="126"/>
        <v>6481440.410947076</v>
      </c>
      <c r="DH27" s="152"/>
      <c r="DI27" s="285">
        <f t="shared" si="127"/>
        <v>0</v>
      </c>
      <c r="DJ27" s="152"/>
      <c r="DK27" s="285">
        <f t="shared" si="129"/>
        <v>0</v>
      </c>
      <c r="DL27" s="152">
        <f>+$CU27</f>
        <v>3636.5</v>
      </c>
      <c r="DM27" s="285">
        <f t="shared" si="130"/>
        <v>6481440.410947076</v>
      </c>
      <c r="DN27" s="152"/>
      <c r="DO27" s="285">
        <f t="shared" si="132"/>
        <v>0</v>
      </c>
      <c r="DP27" s="152"/>
      <c r="DQ27" s="285">
        <f t="shared" si="133"/>
        <v>0</v>
      </c>
      <c r="DR27" s="152">
        <f>+$CU27</f>
        <v>3636.5</v>
      </c>
      <c r="DS27" s="285">
        <f t="shared" si="135"/>
        <v>6481440.410947076</v>
      </c>
      <c r="DT27" s="152"/>
      <c r="DU27" s="285">
        <f t="shared" si="136"/>
        <v>0</v>
      </c>
      <c r="DV27" s="158">
        <f t="shared" si="137"/>
        <v>14546</v>
      </c>
      <c r="DW27" s="159">
        <f t="shared" si="34"/>
        <v>25925761.643788304</v>
      </c>
      <c r="DY27" s="142">
        <f>+DY19</f>
        <v>4931.99</v>
      </c>
      <c r="DZ27" s="150">
        <v>0.33333333333333331</v>
      </c>
      <c r="EA27" s="161">
        <f t="shared" si="35"/>
        <v>8790430.164275229</v>
      </c>
      <c r="EB27" s="152"/>
      <c r="EC27" s="153">
        <f t="shared" si="139"/>
        <v>0</v>
      </c>
      <c r="ED27" s="152">
        <f>+$DY27</f>
        <v>4931.99</v>
      </c>
      <c r="EE27" s="153">
        <f t="shared" si="139"/>
        <v>8790430.164275229</v>
      </c>
      <c r="EF27" s="152"/>
      <c r="EG27" s="153">
        <f t="shared" si="311"/>
        <v>0</v>
      </c>
      <c r="EH27" s="152"/>
      <c r="EI27" s="153">
        <f t="shared" si="311"/>
        <v>0</v>
      </c>
      <c r="EJ27" s="152">
        <f>+$DY27</f>
        <v>4931.99</v>
      </c>
      <c r="EK27" s="153">
        <f t="shared" si="143"/>
        <v>8790430.164275229</v>
      </c>
      <c r="EL27" s="152"/>
      <c r="EM27" s="153">
        <f t="shared" si="144"/>
        <v>0</v>
      </c>
      <c r="EN27" s="152"/>
      <c r="EO27" s="153">
        <f t="shared" si="145"/>
        <v>0</v>
      </c>
      <c r="EP27" s="152">
        <f>+$DY27</f>
        <v>4931.99</v>
      </c>
      <c r="EQ27" s="153">
        <f t="shared" si="146"/>
        <v>8790430.164275229</v>
      </c>
      <c r="ER27" s="152"/>
      <c r="ES27" s="153">
        <f t="shared" si="147"/>
        <v>0</v>
      </c>
      <c r="ET27" s="152"/>
      <c r="EU27" s="153">
        <f t="shared" si="148"/>
        <v>0</v>
      </c>
      <c r="EV27" s="152">
        <f>+$DY27</f>
        <v>4931.99</v>
      </c>
      <c r="EW27" s="153">
        <f t="shared" si="149"/>
        <v>8790430.164275229</v>
      </c>
      <c r="EX27" s="152"/>
      <c r="EY27" s="153">
        <f t="shared" si="150"/>
        <v>0</v>
      </c>
      <c r="EZ27" s="158">
        <f t="shared" si="151"/>
        <v>19727.96</v>
      </c>
      <c r="FA27" s="159">
        <f t="shared" si="36"/>
        <v>35161720.657100916</v>
      </c>
      <c r="FC27" s="163">
        <f>+FC19</f>
        <v>723.53</v>
      </c>
      <c r="FD27" s="168">
        <v>0.33333333333333331</v>
      </c>
      <c r="FE27" s="161">
        <f t="shared" si="296"/>
        <v>429856.23360672238</v>
      </c>
      <c r="FF27" s="169"/>
      <c r="FG27" s="153">
        <f t="shared" si="154"/>
        <v>0</v>
      </c>
      <c r="FH27" s="368">
        <f>+$FC27</f>
        <v>723.53</v>
      </c>
      <c r="FI27" s="153">
        <f t="shared" si="155"/>
        <v>1289568.7008201671</v>
      </c>
      <c r="FJ27" s="368"/>
      <c r="FK27" s="153">
        <f t="shared" si="155"/>
        <v>0</v>
      </c>
      <c r="FL27" s="368"/>
      <c r="FM27" s="153">
        <f t="shared" si="156"/>
        <v>0</v>
      </c>
      <c r="FN27" s="368">
        <f>+$FC27</f>
        <v>723.53</v>
      </c>
      <c r="FO27" s="153">
        <f t="shared" si="157"/>
        <v>1289568.7008201671</v>
      </c>
      <c r="FP27" s="368"/>
      <c r="FQ27" s="153">
        <f t="shared" si="158"/>
        <v>0</v>
      </c>
      <c r="FR27" s="368"/>
      <c r="FS27" s="153">
        <f t="shared" si="160"/>
        <v>0</v>
      </c>
      <c r="FT27" s="368">
        <f>+$FC27</f>
        <v>723.53</v>
      </c>
      <c r="FU27" s="153">
        <f t="shared" si="161"/>
        <v>1289568.7008201671</v>
      </c>
      <c r="FV27" s="368"/>
      <c r="FW27" s="153">
        <f t="shared" si="163"/>
        <v>0</v>
      </c>
      <c r="FX27" s="368"/>
      <c r="FY27" s="153">
        <f t="shared" si="164"/>
        <v>0</v>
      </c>
      <c r="FZ27" s="368">
        <f>+$FC27</f>
        <v>723.53</v>
      </c>
      <c r="GA27" s="153">
        <f t="shared" si="166"/>
        <v>1289568.7008201671</v>
      </c>
      <c r="GB27" s="368"/>
      <c r="GC27" s="153">
        <f t="shared" si="167"/>
        <v>0</v>
      </c>
      <c r="GD27" s="158">
        <f t="shared" si="168"/>
        <v>2894.12</v>
      </c>
      <c r="GE27" s="159">
        <f t="shared" si="45"/>
        <v>5158274.8032806683</v>
      </c>
      <c r="GG27" s="149">
        <f>+GG19</f>
        <v>840.49</v>
      </c>
      <c r="GH27" s="168">
        <v>0.33333333333333331</v>
      </c>
      <c r="GI27" s="161">
        <f t="shared" si="297"/>
        <v>1498029.9329016658</v>
      </c>
      <c r="GJ27" s="152">
        <v>0</v>
      </c>
      <c r="GK27" s="153">
        <f t="shared" si="170"/>
        <v>0</v>
      </c>
      <c r="GL27" s="152">
        <f>+$GG27</f>
        <v>840.49</v>
      </c>
      <c r="GM27" s="153">
        <f t="shared" si="170"/>
        <v>1498029.9329016658</v>
      </c>
      <c r="GN27" s="152">
        <v>0</v>
      </c>
      <c r="GO27" s="153">
        <f t="shared" si="171"/>
        <v>0</v>
      </c>
      <c r="GP27" s="152">
        <v>0</v>
      </c>
      <c r="GQ27" s="153">
        <f t="shared" si="172"/>
        <v>0</v>
      </c>
      <c r="GR27" s="152">
        <f>+$GG27</f>
        <v>840.49</v>
      </c>
      <c r="GS27" s="153">
        <f t="shared" si="174"/>
        <v>1498029.9329016658</v>
      </c>
      <c r="GT27" s="152">
        <v>0</v>
      </c>
      <c r="GU27" s="153">
        <f t="shared" si="176"/>
        <v>0</v>
      </c>
      <c r="GV27" s="152">
        <v>0</v>
      </c>
      <c r="GW27" s="153">
        <f t="shared" si="178"/>
        <v>0</v>
      </c>
      <c r="GX27" s="152">
        <f>+$GG27</f>
        <v>840.49</v>
      </c>
      <c r="GY27" s="153">
        <f t="shared" si="180"/>
        <v>1498029.9329016658</v>
      </c>
      <c r="GZ27" s="152">
        <v>0</v>
      </c>
      <c r="HA27" s="153">
        <f t="shared" si="182"/>
        <v>0</v>
      </c>
      <c r="HB27" s="152">
        <v>0</v>
      </c>
      <c r="HC27" s="153">
        <f t="shared" si="184"/>
        <v>0</v>
      </c>
      <c r="HD27" s="152">
        <f>+$GG27</f>
        <v>840.49</v>
      </c>
      <c r="HE27" s="153">
        <f t="shared" si="186"/>
        <v>1498029.9329016658</v>
      </c>
      <c r="HF27" s="152">
        <v>0</v>
      </c>
      <c r="HG27" s="153">
        <f t="shared" si="188"/>
        <v>0</v>
      </c>
      <c r="HH27" s="158">
        <f t="shared" si="189"/>
        <v>3361.96</v>
      </c>
      <c r="HI27" s="159">
        <f t="shared" si="47"/>
        <v>5992119.7316066632</v>
      </c>
      <c r="HK27" s="149">
        <f>+HK20</f>
        <v>262.85000000000002</v>
      </c>
      <c r="HL27" s="168">
        <v>0.33</v>
      </c>
      <c r="HM27" s="161">
        <f t="shared" si="48"/>
        <v>154600.13253561253</v>
      </c>
      <c r="HN27" s="152">
        <v>0</v>
      </c>
      <c r="HO27" s="153">
        <f t="shared" si="191"/>
        <v>0</v>
      </c>
      <c r="HP27" s="152">
        <v>0</v>
      </c>
      <c r="HQ27" s="153">
        <f t="shared" si="193"/>
        <v>0</v>
      </c>
      <c r="HR27" s="152">
        <f t="shared" si="321"/>
        <v>262.85000000000002</v>
      </c>
      <c r="HS27" s="153">
        <f t="shared" si="193"/>
        <v>468485.25010791671</v>
      </c>
      <c r="HT27" s="152">
        <v>0</v>
      </c>
      <c r="HU27" s="153">
        <f t="shared" si="194"/>
        <v>0</v>
      </c>
      <c r="HV27" s="152">
        <v>0</v>
      </c>
      <c r="HW27" s="153">
        <f t="shared" si="195"/>
        <v>0</v>
      </c>
      <c r="HX27" s="152">
        <f t="shared" ref="HX27:HX29" si="322">+$HK27</f>
        <v>262.85000000000002</v>
      </c>
      <c r="HY27" s="153">
        <f t="shared" si="197"/>
        <v>468485.25010791671</v>
      </c>
      <c r="HZ27" s="152">
        <v>0</v>
      </c>
      <c r="IA27" s="153">
        <f t="shared" si="199"/>
        <v>0</v>
      </c>
      <c r="IB27" s="152">
        <v>0</v>
      </c>
      <c r="IC27" s="153">
        <f t="shared" si="201"/>
        <v>0</v>
      </c>
      <c r="ID27" s="152">
        <f t="shared" si="319"/>
        <v>262.85000000000002</v>
      </c>
      <c r="IE27" s="153">
        <f t="shared" si="203"/>
        <v>468485.25010791671</v>
      </c>
      <c r="IF27" s="152">
        <v>0</v>
      </c>
      <c r="IG27" s="153">
        <f t="shared" si="205"/>
        <v>0</v>
      </c>
      <c r="IH27" s="152">
        <v>0</v>
      </c>
      <c r="II27" s="153">
        <f t="shared" si="207"/>
        <v>0</v>
      </c>
      <c r="IJ27" s="152">
        <f t="shared" ref="IJ27:IJ29" si="323">+$HK27</f>
        <v>262.85000000000002</v>
      </c>
      <c r="IK27" s="153">
        <f t="shared" si="209"/>
        <v>468485.25010791671</v>
      </c>
      <c r="IL27" s="158">
        <f t="shared" si="210"/>
        <v>1051.4000000000001</v>
      </c>
      <c r="IM27" s="159">
        <f t="shared" si="211"/>
        <v>1873941.0004316668</v>
      </c>
      <c r="IO27" s="149">
        <v>1225</v>
      </c>
      <c r="IP27" s="150">
        <f>1/3</f>
        <v>0.33333333333333331</v>
      </c>
      <c r="IQ27" s="161">
        <f t="shared" si="298"/>
        <v>727784.45422889851</v>
      </c>
      <c r="IR27" s="152"/>
      <c r="IS27" s="153">
        <f t="shared" si="213"/>
        <v>0</v>
      </c>
      <c r="IT27" s="152">
        <f>+$IO27</f>
        <v>1225</v>
      </c>
      <c r="IU27" s="285">
        <f t="shared" si="214"/>
        <v>2183353.3626866955</v>
      </c>
      <c r="IV27" s="152"/>
      <c r="IW27" s="285">
        <f t="shared" si="214"/>
        <v>0</v>
      </c>
      <c r="IX27" s="152"/>
      <c r="IY27" s="285">
        <f t="shared" si="215"/>
        <v>0</v>
      </c>
      <c r="IZ27" s="152">
        <f>+$IO27</f>
        <v>1225</v>
      </c>
      <c r="JA27" s="285">
        <f t="shared" si="216"/>
        <v>2183353.3626866955</v>
      </c>
      <c r="JB27" s="152"/>
      <c r="JC27" s="285">
        <f t="shared" si="217"/>
        <v>0</v>
      </c>
      <c r="JD27" s="152"/>
      <c r="JE27" s="285">
        <f t="shared" si="219"/>
        <v>0</v>
      </c>
      <c r="JF27" s="152">
        <f>+$IO27</f>
        <v>1225</v>
      </c>
      <c r="JG27" s="285">
        <f t="shared" si="220"/>
        <v>2183353.3626866955</v>
      </c>
      <c r="JH27" s="152"/>
      <c r="JI27" s="285">
        <f t="shared" si="222"/>
        <v>0</v>
      </c>
      <c r="JJ27" s="152"/>
      <c r="JK27" s="285">
        <f t="shared" si="223"/>
        <v>0</v>
      </c>
      <c r="JL27" s="152">
        <f>+$IO27</f>
        <v>1225</v>
      </c>
      <c r="JM27" s="285">
        <f t="shared" si="225"/>
        <v>2183353.3626866955</v>
      </c>
      <c r="JN27" s="152"/>
      <c r="JO27" s="285">
        <f t="shared" si="226"/>
        <v>0</v>
      </c>
      <c r="JP27" s="158">
        <f t="shared" si="227"/>
        <v>4900</v>
      </c>
      <c r="JQ27" s="159">
        <f t="shared" si="228"/>
        <v>8733413.4507467821</v>
      </c>
      <c r="JS27" s="149">
        <v>212</v>
      </c>
      <c r="JT27" s="150">
        <v>0.33333333333333331</v>
      </c>
      <c r="JU27" s="161">
        <f t="shared" si="58"/>
        <v>125951.26881349098</v>
      </c>
      <c r="JV27" s="152"/>
      <c r="JW27" s="153">
        <f t="shared" si="230"/>
        <v>0</v>
      </c>
      <c r="JX27" s="368"/>
      <c r="JY27" s="153">
        <f t="shared" si="231"/>
        <v>0</v>
      </c>
      <c r="JZ27" s="368"/>
      <c r="KA27" s="153">
        <f t="shared" si="231"/>
        <v>0</v>
      </c>
      <c r="KB27" s="368"/>
      <c r="KC27" s="153">
        <f t="shared" si="232"/>
        <v>0</v>
      </c>
      <c r="KD27" s="368"/>
      <c r="KE27" s="153">
        <f t="shared" si="233"/>
        <v>0</v>
      </c>
      <c r="KF27" s="368"/>
      <c r="KG27" s="153">
        <f t="shared" si="234"/>
        <v>0</v>
      </c>
      <c r="KH27" s="368"/>
      <c r="KI27" s="153">
        <f t="shared" si="236"/>
        <v>0</v>
      </c>
      <c r="KJ27" s="368"/>
      <c r="KK27" s="153">
        <f t="shared" si="237"/>
        <v>0</v>
      </c>
      <c r="KL27" s="368"/>
      <c r="KM27" s="153">
        <f t="shared" si="239"/>
        <v>0</v>
      </c>
      <c r="KN27" s="368"/>
      <c r="KO27" s="153">
        <f t="shared" si="240"/>
        <v>0</v>
      </c>
      <c r="KP27" s="368"/>
      <c r="KQ27" s="153">
        <f t="shared" si="242"/>
        <v>0</v>
      </c>
      <c r="KR27" s="368"/>
      <c r="KS27" s="154">
        <f t="shared" si="243"/>
        <v>0</v>
      </c>
      <c r="KT27" s="158">
        <f t="shared" si="244"/>
        <v>0</v>
      </c>
      <c r="KU27" s="159">
        <f t="shared" si="67"/>
        <v>0</v>
      </c>
      <c r="KW27" s="149"/>
      <c r="KX27" s="150"/>
      <c r="KY27" s="157"/>
      <c r="KZ27" s="152">
        <f t="shared" si="271"/>
        <v>0</v>
      </c>
      <c r="LA27" s="153"/>
      <c r="LB27" s="152">
        <f t="shared" si="272"/>
        <v>0</v>
      </c>
      <c r="LC27" s="153">
        <f t="shared" si="246"/>
        <v>0</v>
      </c>
      <c r="LD27" s="152">
        <f t="shared" si="272"/>
        <v>0</v>
      </c>
      <c r="LE27" s="153">
        <f t="shared" si="246"/>
        <v>0</v>
      </c>
      <c r="LF27" s="152">
        <f t="shared" si="272"/>
        <v>0</v>
      </c>
      <c r="LG27" s="153">
        <f t="shared" si="247"/>
        <v>0</v>
      </c>
      <c r="LH27" s="152">
        <f t="shared" si="272"/>
        <v>0</v>
      </c>
      <c r="LI27" s="153">
        <f t="shared" si="248"/>
        <v>0</v>
      </c>
      <c r="LJ27" s="152">
        <f t="shared" si="273"/>
        <v>0</v>
      </c>
      <c r="LK27" s="153">
        <f t="shared" si="249"/>
        <v>0</v>
      </c>
      <c r="LL27" s="152">
        <f t="shared" si="274"/>
        <v>0</v>
      </c>
      <c r="LM27" s="153">
        <f t="shared" si="250"/>
        <v>0</v>
      </c>
      <c r="LN27" s="152">
        <f t="shared" si="275"/>
        <v>0</v>
      </c>
      <c r="LO27" s="153">
        <f t="shared" si="251"/>
        <v>0</v>
      </c>
      <c r="LP27" s="152">
        <f t="shared" si="276"/>
        <v>0</v>
      </c>
      <c r="LQ27" s="153">
        <f t="shared" si="252"/>
        <v>0</v>
      </c>
      <c r="LR27" s="152">
        <f t="shared" si="277"/>
        <v>0</v>
      </c>
      <c r="LS27" s="153">
        <f t="shared" si="253"/>
        <v>0</v>
      </c>
      <c r="LT27" s="152">
        <f t="shared" si="278"/>
        <v>0</v>
      </c>
      <c r="LU27" s="153">
        <f t="shared" si="254"/>
        <v>0</v>
      </c>
      <c r="LV27" s="152">
        <f t="shared" si="279"/>
        <v>0</v>
      </c>
      <c r="LW27" s="153">
        <f t="shared" si="255"/>
        <v>0</v>
      </c>
      <c r="LX27" s="158">
        <f t="shared" si="256"/>
        <v>0</v>
      </c>
      <c r="LY27" s="159">
        <f t="shared" si="257"/>
        <v>0</v>
      </c>
      <c r="MA27" s="164">
        <f t="shared" si="69"/>
        <v>0</v>
      </c>
      <c r="MB27" s="386">
        <f t="shared" si="258"/>
        <v>0</v>
      </c>
      <c r="MC27" s="394">
        <f t="shared" si="70"/>
        <v>15852.84</v>
      </c>
      <c r="MD27" s="386">
        <f t="shared" si="259"/>
        <v>28254980.834395226</v>
      </c>
      <c r="ME27" s="394">
        <f t="shared" si="71"/>
        <v>262.85000000000002</v>
      </c>
      <c r="MF27" s="386">
        <f t="shared" si="259"/>
        <v>468485.25010791671</v>
      </c>
      <c r="MG27" s="394">
        <f t="shared" si="72"/>
        <v>0</v>
      </c>
      <c r="MH27" s="386">
        <f t="shared" si="260"/>
        <v>0</v>
      </c>
      <c r="MI27" s="394">
        <f t="shared" si="73"/>
        <v>15852.84</v>
      </c>
      <c r="MJ27" s="386">
        <f t="shared" si="261"/>
        <v>28254980.834395226</v>
      </c>
      <c r="MK27" s="394">
        <f t="shared" si="74"/>
        <v>262.85000000000002</v>
      </c>
      <c r="ML27" s="386">
        <f t="shared" si="262"/>
        <v>468485.25010791671</v>
      </c>
      <c r="MM27" s="394">
        <f t="shared" si="75"/>
        <v>0</v>
      </c>
      <c r="MN27" s="386">
        <f t="shared" si="263"/>
        <v>0</v>
      </c>
      <c r="MO27" s="394">
        <f t="shared" si="76"/>
        <v>15852.84</v>
      </c>
      <c r="MP27" s="386">
        <f t="shared" si="264"/>
        <v>28254980.834395226</v>
      </c>
      <c r="MQ27" s="394">
        <f t="shared" si="77"/>
        <v>262.85000000000002</v>
      </c>
      <c r="MR27" s="386">
        <f t="shared" si="265"/>
        <v>468485.25010791671</v>
      </c>
      <c r="MS27" s="394">
        <f t="shared" si="78"/>
        <v>0</v>
      </c>
      <c r="MT27" s="386">
        <f t="shared" si="266"/>
        <v>0</v>
      </c>
      <c r="MU27" s="394">
        <f t="shared" si="79"/>
        <v>15852.84</v>
      </c>
      <c r="MV27" s="386">
        <f t="shared" si="267"/>
        <v>28254980.834395226</v>
      </c>
      <c r="MW27" s="394">
        <f t="shared" si="80"/>
        <v>262.85000000000002</v>
      </c>
      <c r="MX27" s="386">
        <f t="shared" si="268"/>
        <v>468485.25010791671</v>
      </c>
      <c r="MY27" s="165">
        <f t="shared" si="269"/>
        <v>64462.76</v>
      </c>
      <c r="MZ27" s="166">
        <f t="shared" si="270"/>
        <v>114893864.33801258</v>
      </c>
    </row>
    <row r="28" spans="1:364" s="126" customFormat="1" ht="52.8" x14ac:dyDescent="0.3">
      <c r="A28" s="528"/>
      <c r="B28" s="14" t="s">
        <v>78</v>
      </c>
      <c r="C28" s="147" t="s">
        <v>79</v>
      </c>
      <c r="D28" s="148" t="s">
        <v>25</v>
      </c>
      <c r="E28" s="14">
        <v>1</v>
      </c>
      <c r="F28" s="346">
        <v>1711.0204610204607</v>
      </c>
      <c r="G28" s="346">
        <f t="shared" si="81"/>
        <v>1782.3292756626086</v>
      </c>
      <c r="I28" s="149">
        <f>+I20</f>
        <v>544.67999999999995</v>
      </c>
      <c r="J28" s="167">
        <v>0.33333333333333331</v>
      </c>
      <c r="K28" s="151">
        <f t="shared" si="82"/>
        <v>323599.70328930317</v>
      </c>
      <c r="L28" s="152"/>
      <c r="M28" s="285">
        <f t="shared" si="301"/>
        <v>0</v>
      </c>
      <c r="N28" s="152">
        <f t="shared" ref="N28:N29" si="324">+$I28</f>
        <v>544.67999999999995</v>
      </c>
      <c r="O28" s="285">
        <f t="shared" si="302"/>
        <v>970799.10986790957</v>
      </c>
      <c r="P28" s="152"/>
      <c r="Q28" s="285">
        <f t="shared" si="302"/>
        <v>0</v>
      </c>
      <c r="R28" s="152"/>
      <c r="S28" s="285">
        <f t="shared" si="86"/>
        <v>0</v>
      </c>
      <c r="T28" s="152">
        <f t="shared" ref="T28:T29" si="325">+$I28</f>
        <v>544.67999999999995</v>
      </c>
      <c r="U28" s="285">
        <f t="shared" si="87"/>
        <v>970799.10986790957</v>
      </c>
      <c r="V28" s="152"/>
      <c r="W28" s="285">
        <f t="shared" si="88"/>
        <v>0</v>
      </c>
      <c r="X28" s="152"/>
      <c r="Y28" s="285">
        <f t="shared" si="89"/>
        <v>0</v>
      </c>
      <c r="Z28" s="152">
        <f t="shared" ref="Z28:Z29" si="326">+$I28</f>
        <v>544.67999999999995</v>
      </c>
      <c r="AA28" s="285">
        <f t="shared" si="90"/>
        <v>970799.10986790957</v>
      </c>
      <c r="AB28" s="152"/>
      <c r="AC28" s="285">
        <f t="shared" si="91"/>
        <v>0</v>
      </c>
      <c r="AD28" s="152"/>
      <c r="AE28" s="285">
        <f t="shared" si="92"/>
        <v>0</v>
      </c>
      <c r="AF28" s="152">
        <f t="shared" ref="AF28:AF29" si="327">+$I28</f>
        <v>544.67999999999995</v>
      </c>
      <c r="AG28" s="285">
        <f t="shared" si="308"/>
        <v>970799.10986790957</v>
      </c>
      <c r="AH28" s="152"/>
      <c r="AI28" s="294">
        <f t="shared" si="309"/>
        <v>0</v>
      </c>
      <c r="AJ28" s="156">
        <f t="shared" si="94"/>
        <v>2178.7199999999998</v>
      </c>
      <c r="AK28" s="306">
        <f t="shared" si="95"/>
        <v>3883196.4394716383</v>
      </c>
      <c r="AM28" s="149">
        <v>0</v>
      </c>
      <c r="AN28" s="150">
        <v>0.33333333333333331</v>
      </c>
      <c r="AO28" s="157">
        <f t="shared" si="285"/>
        <v>0</v>
      </c>
      <c r="AP28" s="152">
        <f t="shared" ref="AP28:AP92" si="328">+$AM28*$AN28</f>
        <v>0</v>
      </c>
      <c r="AQ28" s="285">
        <f t="shared" si="96"/>
        <v>0</v>
      </c>
      <c r="AR28" s="317">
        <f t="shared" ref="AR28:BD74" si="329">+$AM28*$AN28</f>
        <v>0</v>
      </c>
      <c r="AS28" s="285">
        <f t="shared" si="96"/>
        <v>0</v>
      </c>
      <c r="AT28" s="317">
        <f t="shared" ref="AT28:AT73" si="330">+$AM28*$AN28</f>
        <v>0</v>
      </c>
      <c r="AU28" s="285">
        <f t="shared" si="96"/>
        <v>0</v>
      </c>
      <c r="AV28" s="317">
        <f t="shared" ref="AV28:AV73" si="331">+$AM28*$AN28</f>
        <v>0</v>
      </c>
      <c r="AW28" s="285">
        <f t="shared" si="98"/>
        <v>0</v>
      </c>
      <c r="AX28" s="317">
        <f t="shared" si="5"/>
        <v>0</v>
      </c>
      <c r="AY28" s="285">
        <f t="shared" si="99"/>
        <v>0</v>
      </c>
      <c r="AZ28" s="317">
        <f t="shared" ref="AZ28:AZ73" si="332">+$AM28*$AN28</f>
        <v>0</v>
      </c>
      <c r="BA28" s="285">
        <f t="shared" si="100"/>
        <v>0</v>
      </c>
      <c r="BB28" s="317">
        <f t="shared" si="7"/>
        <v>0</v>
      </c>
      <c r="BC28" s="285">
        <f t="shared" si="101"/>
        <v>0</v>
      </c>
      <c r="BD28" s="317">
        <f t="shared" ref="BD28:BD73" si="333">+$AM28*$AN28</f>
        <v>0</v>
      </c>
      <c r="BE28" s="285">
        <f t="shared" si="102"/>
        <v>0</v>
      </c>
      <c r="BF28" s="317">
        <f t="shared" si="9"/>
        <v>0</v>
      </c>
      <c r="BG28" s="285">
        <f t="shared" si="103"/>
        <v>0</v>
      </c>
      <c r="BH28" s="317">
        <f t="shared" ref="BH28:BJ74" si="334">+$AM28*$AN28</f>
        <v>0</v>
      </c>
      <c r="BI28" s="285">
        <f t="shared" si="310"/>
        <v>0</v>
      </c>
      <c r="BJ28" s="317">
        <f t="shared" ref="BJ28:BJ73" si="335">+$AM28*$AN28</f>
        <v>0</v>
      </c>
      <c r="BK28" s="285">
        <f t="shared" si="310"/>
        <v>0</v>
      </c>
      <c r="BL28" s="152">
        <f t="shared" ref="BL28:BL36" si="336">+$AM28*$AN28</f>
        <v>0</v>
      </c>
      <c r="BM28" s="296">
        <f t="shared" si="105"/>
        <v>0</v>
      </c>
      <c r="BN28" s="158">
        <f t="shared" si="106"/>
        <v>0</v>
      </c>
      <c r="BO28" s="307">
        <f t="shared" si="13"/>
        <v>0</v>
      </c>
      <c r="BQ28" s="149">
        <v>0</v>
      </c>
      <c r="BR28" s="167">
        <v>0.33333333333333331</v>
      </c>
      <c r="BS28" s="160">
        <f t="shared" si="281"/>
        <v>0</v>
      </c>
      <c r="BT28" s="152"/>
      <c r="BU28" s="332">
        <f t="shared" si="107"/>
        <v>0</v>
      </c>
      <c r="BV28" s="152">
        <f t="shared" ref="BV28:BV29" si="337">+$BQ28</f>
        <v>0</v>
      </c>
      <c r="BW28" s="153">
        <f t="shared" si="108"/>
        <v>0</v>
      </c>
      <c r="BX28" s="152"/>
      <c r="BY28" s="153">
        <f t="shared" si="109"/>
        <v>0</v>
      </c>
      <c r="BZ28" s="152"/>
      <c r="CA28" s="153">
        <f t="shared" si="110"/>
        <v>0</v>
      </c>
      <c r="CB28" s="152">
        <f t="shared" ref="CB28:CB29" si="338">+$BQ28</f>
        <v>0</v>
      </c>
      <c r="CC28" s="153">
        <f t="shared" si="111"/>
        <v>0</v>
      </c>
      <c r="CD28" s="152"/>
      <c r="CE28" s="153">
        <f t="shared" si="112"/>
        <v>0</v>
      </c>
      <c r="CF28" s="152"/>
      <c r="CG28" s="153">
        <f t="shared" si="114"/>
        <v>0</v>
      </c>
      <c r="CH28" s="152">
        <f t="shared" ref="CH28:CH29" si="339">+$BQ28</f>
        <v>0</v>
      </c>
      <c r="CI28" s="153">
        <f t="shared" si="115"/>
        <v>0</v>
      </c>
      <c r="CJ28" s="152"/>
      <c r="CK28" s="153">
        <f t="shared" si="117"/>
        <v>0</v>
      </c>
      <c r="CL28" s="152"/>
      <c r="CM28" s="153">
        <f t="shared" si="118"/>
        <v>0</v>
      </c>
      <c r="CN28" s="152">
        <f t="shared" ref="CN28:CN29" si="340">+$BQ28</f>
        <v>0</v>
      </c>
      <c r="CO28" s="153">
        <f t="shared" si="120"/>
        <v>0</v>
      </c>
      <c r="CP28" s="152"/>
      <c r="CQ28" s="154">
        <f t="shared" si="23"/>
        <v>0</v>
      </c>
      <c r="CR28" s="158">
        <f t="shared" si="121"/>
        <v>0</v>
      </c>
      <c r="CS28" s="159">
        <f t="shared" si="24"/>
        <v>0</v>
      </c>
      <c r="CU28" s="149"/>
      <c r="CV28" s="150"/>
      <c r="CW28" s="161">
        <f t="shared" si="299"/>
        <v>0</v>
      </c>
      <c r="CX28" s="152">
        <f t="shared" si="122"/>
        <v>0</v>
      </c>
      <c r="CY28" s="153">
        <f t="shared" si="123"/>
        <v>0</v>
      </c>
      <c r="CZ28" s="152">
        <f t="shared" ref="CZ28:CZ29" si="341">+$CU28</f>
        <v>0</v>
      </c>
      <c r="DA28" s="285">
        <f t="shared" si="123"/>
        <v>0</v>
      </c>
      <c r="DB28" s="152"/>
      <c r="DC28" s="285">
        <f t="shared" si="124"/>
        <v>0</v>
      </c>
      <c r="DD28" s="152"/>
      <c r="DE28" s="285">
        <f t="shared" si="125"/>
        <v>0</v>
      </c>
      <c r="DF28" s="152">
        <f t="shared" ref="DF28:DF29" si="342">+$CU28</f>
        <v>0</v>
      </c>
      <c r="DG28" s="285">
        <f t="shared" si="126"/>
        <v>0</v>
      </c>
      <c r="DH28" s="152"/>
      <c r="DI28" s="285">
        <f t="shared" si="127"/>
        <v>0</v>
      </c>
      <c r="DJ28" s="152"/>
      <c r="DK28" s="285">
        <f t="shared" si="129"/>
        <v>0</v>
      </c>
      <c r="DL28" s="152">
        <f t="shared" ref="DL28:DL29" si="343">+$CU28</f>
        <v>0</v>
      </c>
      <c r="DM28" s="285">
        <f t="shared" si="130"/>
        <v>0</v>
      </c>
      <c r="DN28" s="152"/>
      <c r="DO28" s="285">
        <f t="shared" si="132"/>
        <v>0</v>
      </c>
      <c r="DP28" s="152"/>
      <c r="DQ28" s="285">
        <f t="shared" si="133"/>
        <v>0</v>
      </c>
      <c r="DR28" s="152">
        <f t="shared" ref="DR28:DR29" si="344">+$CU28</f>
        <v>0</v>
      </c>
      <c r="DS28" s="285">
        <f t="shared" si="135"/>
        <v>0</v>
      </c>
      <c r="DT28" s="152"/>
      <c r="DU28" s="285">
        <f t="shared" si="136"/>
        <v>0</v>
      </c>
      <c r="DV28" s="158">
        <f t="shared" si="137"/>
        <v>0</v>
      </c>
      <c r="DW28" s="159">
        <f t="shared" si="34"/>
        <v>0</v>
      </c>
      <c r="DY28" s="164">
        <f>+DY20</f>
        <v>830.70999999999992</v>
      </c>
      <c r="DZ28" s="150">
        <v>0.33333333333333331</v>
      </c>
      <c r="EA28" s="161">
        <f t="shared" si="35"/>
        <v>1480598.7525856853</v>
      </c>
      <c r="EB28" s="152"/>
      <c r="EC28" s="153">
        <f t="shared" si="139"/>
        <v>0</v>
      </c>
      <c r="ED28" s="152">
        <f t="shared" ref="ED28:ED29" si="345">+$DY28</f>
        <v>830.70999999999992</v>
      </c>
      <c r="EE28" s="153">
        <f t="shared" si="139"/>
        <v>1480598.7525856853</v>
      </c>
      <c r="EF28" s="152"/>
      <c r="EG28" s="153">
        <f t="shared" si="311"/>
        <v>0</v>
      </c>
      <c r="EH28" s="152"/>
      <c r="EI28" s="153">
        <f t="shared" si="311"/>
        <v>0</v>
      </c>
      <c r="EJ28" s="152">
        <f t="shared" ref="EJ28:EJ29" si="346">+$DY28</f>
        <v>830.70999999999992</v>
      </c>
      <c r="EK28" s="153">
        <f t="shared" si="143"/>
        <v>1480598.7525856853</v>
      </c>
      <c r="EL28" s="152"/>
      <c r="EM28" s="153">
        <f t="shared" si="144"/>
        <v>0</v>
      </c>
      <c r="EN28" s="152"/>
      <c r="EO28" s="153">
        <f t="shared" si="145"/>
        <v>0</v>
      </c>
      <c r="EP28" s="152">
        <f t="shared" ref="EP28:EP29" si="347">+$DY28</f>
        <v>830.70999999999992</v>
      </c>
      <c r="EQ28" s="153">
        <f t="shared" si="146"/>
        <v>1480598.7525856853</v>
      </c>
      <c r="ER28" s="152"/>
      <c r="ES28" s="153">
        <f t="shared" si="147"/>
        <v>0</v>
      </c>
      <c r="ET28" s="152"/>
      <c r="EU28" s="153">
        <f t="shared" si="148"/>
        <v>0</v>
      </c>
      <c r="EV28" s="152">
        <f t="shared" ref="EV28:EV29" si="348">+$DY28</f>
        <v>830.70999999999992</v>
      </c>
      <c r="EW28" s="153">
        <f t="shared" si="149"/>
        <v>1480598.7525856853</v>
      </c>
      <c r="EX28" s="152"/>
      <c r="EY28" s="153">
        <f t="shared" si="150"/>
        <v>0</v>
      </c>
      <c r="EZ28" s="158">
        <f t="shared" si="151"/>
        <v>3322.8399999999997</v>
      </c>
      <c r="FA28" s="159">
        <f t="shared" si="36"/>
        <v>5922395.0103427414</v>
      </c>
      <c r="FC28" s="163">
        <f>+FC20</f>
        <v>65.989999999999995</v>
      </c>
      <c r="FD28" s="168">
        <v>0.33333333333333331</v>
      </c>
      <c r="FE28" s="161">
        <f t="shared" si="296"/>
        <v>39205.30296699184</v>
      </c>
      <c r="FF28" s="169"/>
      <c r="FG28" s="153">
        <f t="shared" si="154"/>
        <v>0</v>
      </c>
      <c r="FH28" s="368">
        <f t="shared" ref="FH28:FH29" si="349">+$FC28</f>
        <v>65.989999999999995</v>
      </c>
      <c r="FI28" s="153">
        <f t="shared" si="155"/>
        <v>117615.90890097553</v>
      </c>
      <c r="FJ28" s="368"/>
      <c r="FK28" s="153">
        <f t="shared" si="155"/>
        <v>0</v>
      </c>
      <c r="FL28" s="368"/>
      <c r="FM28" s="153">
        <f t="shared" si="156"/>
        <v>0</v>
      </c>
      <c r="FN28" s="368">
        <f t="shared" ref="FN28:FN29" si="350">+$FC28</f>
        <v>65.989999999999995</v>
      </c>
      <c r="FO28" s="153">
        <f t="shared" si="157"/>
        <v>117615.90890097553</v>
      </c>
      <c r="FP28" s="368"/>
      <c r="FQ28" s="153">
        <f t="shared" si="158"/>
        <v>0</v>
      </c>
      <c r="FR28" s="368"/>
      <c r="FS28" s="153">
        <f t="shared" si="160"/>
        <v>0</v>
      </c>
      <c r="FT28" s="368">
        <f t="shared" ref="FT28:FT29" si="351">+$FC28</f>
        <v>65.989999999999995</v>
      </c>
      <c r="FU28" s="153">
        <f t="shared" si="161"/>
        <v>117615.90890097553</v>
      </c>
      <c r="FV28" s="368"/>
      <c r="FW28" s="153">
        <f t="shared" si="163"/>
        <v>0</v>
      </c>
      <c r="FX28" s="368"/>
      <c r="FY28" s="153">
        <f t="shared" si="164"/>
        <v>0</v>
      </c>
      <c r="FZ28" s="368">
        <f t="shared" ref="FZ28:FZ29" si="352">+$FC28</f>
        <v>65.989999999999995</v>
      </c>
      <c r="GA28" s="153">
        <f t="shared" si="166"/>
        <v>117615.90890097553</v>
      </c>
      <c r="GB28" s="368"/>
      <c r="GC28" s="153">
        <f t="shared" si="167"/>
        <v>0</v>
      </c>
      <c r="GD28" s="158">
        <f t="shared" si="168"/>
        <v>263.95999999999998</v>
      </c>
      <c r="GE28" s="159">
        <f t="shared" si="45"/>
        <v>470463.6356039021</v>
      </c>
      <c r="GG28" s="149">
        <f>+GG20</f>
        <v>55</v>
      </c>
      <c r="GH28" s="168">
        <v>0.33333333333333331</v>
      </c>
      <c r="GI28" s="161">
        <f t="shared" si="297"/>
        <v>98028.110161443474</v>
      </c>
      <c r="GJ28" s="152">
        <v>0</v>
      </c>
      <c r="GK28" s="153">
        <f t="shared" si="170"/>
        <v>0</v>
      </c>
      <c r="GL28" s="152">
        <f t="shared" ref="GL28:GL29" si="353">+$GG28</f>
        <v>55</v>
      </c>
      <c r="GM28" s="153">
        <f t="shared" si="170"/>
        <v>98028.110161443474</v>
      </c>
      <c r="GN28" s="152">
        <v>0</v>
      </c>
      <c r="GO28" s="153">
        <f t="shared" si="171"/>
        <v>0</v>
      </c>
      <c r="GP28" s="152">
        <v>0</v>
      </c>
      <c r="GQ28" s="153">
        <f t="shared" si="172"/>
        <v>0</v>
      </c>
      <c r="GR28" s="152">
        <f t="shared" ref="GR28:GR29" si="354">+$GG28</f>
        <v>55</v>
      </c>
      <c r="GS28" s="153">
        <f t="shared" si="174"/>
        <v>98028.110161443474</v>
      </c>
      <c r="GT28" s="152">
        <v>0</v>
      </c>
      <c r="GU28" s="153">
        <f t="shared" si="176"/>
        <v>0</v>
      </c>
      <c r="GV28" s="152">
        <v>0</v>
      </c>
      <c r="GW28" s="153">
        <f t="shared" si="178"/>
        <v>0</v>
      </c>
      <c r="GX28" s="152">
        <f t="shared" ref="GX28:GX29" si="355">+$GG28</f>
        <v>55</v>
      </c>
      <c r="GY28" s="153">
        <f t="shared" si="180"/>
        <v>98028.110161443474</v>
      </c>
      <c r="GZ28" s="152">
        <v>0</v>
      </c>
      <c r="HA28" s="153">
        <f t="shared" si="182"/>
        <v>0</v>
      </c>
      <c r="HB28" s="152">
        <v>0</v>
      </c>
      <c r="HC28" s="153">
        <f t="shared" si="184"/>
        <v>0</v>
      </c>
      <c r="HD28" s="152">
        <f t="shared" ref="HD28:HD29" si="356">+$GG28</f>
        <v>55</v>
      </c>
      <c r="HE28" s="153">
        <f t="shared" si="186"/>
        <v>98028.110161443474</v>
      </c>
      <c r="HF28" s="152">
        <v>0</v>
      </c>
      <c r="HG28" s="153">
        <f t="shared" si="188"/>
        <v>0</v>
      </c>
      <c r="HH28" s="158">
        <f t="shared" si="189"/>
        <v>220</v>
      </c>
      <c r="HI28" s="159">
        <f t="shared" si="47"/>
        <v>392112.4406457739</v>
      </c>
      <c r="HK28" s="149">
        <f>+HK20</f>
        <v>262.85000000000002</v>
      </c>
      <c r="HL28" s="168">
        <v>0.33</v>
      </c>
      <c r="HM28" s="161">
        <f t="shared" si="48"/>
        <v>154600.13253561253</v>
      </c>
      <c r="HN28" s="152">
        <v>0</v>
      </c>
      <c r="HO28" s="153">
        <f t="shared" si="191"/>
        <v>0</v>
      </c>
      <c r="HP28" s="152">
        <v>0</v>
      </c>
      <c r="HQ28" s="153">
        <f t="shared" si="193"/>
        <v>0</v>
      </c>
      <c r="HR28" s="152">
        <f t="shared" si="321"/>
        <v>262.85000000000002</v>
      </c>
      <c r="HS28" s="153">
        <f t="shared" si="193"/>
        <v>468485.25010791671</v>
      </c>
      <c r="HT28" s="152">
        <v>0</v>
      </c>
      <c r="HU28" s="153">
        <f t="shared" si="194"/>
        <v>0</v>
      </c>
      <c r="HV28" s="152">
        <v>0</v>
      </c>
      <c r="HW28" s="153">
        <f t="shared" si="195"/>
        <v>0</v>
      </c>
      <c r="HX28" s="152">
        <f t="shared" si="322"/>
        <v>262.85000000000002</v>
      </c>
      <c r="HY28" s="153">
        <f t="shared" si="197"/>
        <v>468485.25010791671</v>
      </c>
      <c r="HZ28" s="152">
        <v>0</v>
      </c>
      <c r="IA28" s="153">
        <f t="shared" si="199"/>
        <v>0</v>
      </c>
      <c r="IB28" s="152">
        <v>0</v>
      </c>
      <c r="IC28" s="153">
        <f t="shared" si="201"/>
        <v>0</v>
      </c>
      <c r="ID28" s="152">
        <f t="shared" si="319"/>
        <v>262.85000000000002</v>
      </c>
      <c r="IE28" s="153">
        <f t="shared" si="203"/>
        <v>468485.25010791671</v>
      </c>
      <c r="IF28" s="152">
        <v>0</v>
      </c>
      <c r="IG28" s="153">
        <f t="shared" si="205"/>
        <v>0</v>
      </c>
      <c r="IH28" s="152">
        <v>0</v>
      </c>
      <c r="II28" s="153">
        <f t="shared" si="207"/>
        <v>0</v>
      </c>
      <c r="IJ28" s="152">
        <f t="shared" si="323"/>
        <v>262.85000000000002</v>
      </c>
      <c r="IK28" s="153">
        <f t="shared" si="209"/>
        <v>468485.25010791671</v>
      </c>
      <c r="IL28" s="158">
        <f t="shared" si="210"/>
        <v>1051.4000000000001</v>
      </c>
      <c r="IM28" s="159">
        <f t="shared" si="211"/>
        <v>1873941.0004316668</v>
      </c>
      <c r="IO28" s="149">
        <v>4663</v>
      </c>
      <c r="IP28" s="150">
        <f>1/3</f>
        <v>0.33333333333333331</v>
      </c>
      <c r="IQ28" s="161">
        <f t="shared" si="298"/>
        <v>2770333.8041382479</v>
      </c>
      <c r="IR28" s="152"/>
      <c r="IS28" s="153">
        <f t="shared" si="213"/>
        <v>0</v>
      </c>
      <c r="IT28" s="152">
        <f t="shared" ref="IT28:IT29" si="357">+$IO28</f>
        <v>4663</v>
      </c>
      <c r="IU28" s="285">
        <f t="shared" si="214"/>
        <v>8311001.4124147436</v>
      </c>
      <c r="IV28" s="152"/>
      <c r="IW28" s="285">
        <f t="shared" si="214"/>
        <v>0</v>
      </c>
      <c r="IX28" s="152"/>
      <c r="IY28" s="285">
        <f t="shared" si="215"/>
        <v>0</v>
      </c>
      <c r="IZ28" s="152">
        <f t="shared" ref="IZ28:IZ29" si="358">+$IO28</f>
        <v>4663</v>
      </c>
      <c r="JA28" s="285">
        <f t="shared" si="216"/>
        <v>8311001.4124147436</v>
      </c>
      <c r="JB28" s="152"/>
      <c r="JC28" s="285">
        <f t="shared" si="217"/>
        <v>0</v>
      </c>
      <c r="JD28" s="152"/>
      <c r="JE28" s="285">
        <f t="shared" si="219"/>
        <v>0</v>
      </c>
      <c r="JF28" s="152">
        <f t="shared" ref="JF28:JF29" si="359">+$IO28</f>
        <v>4663</v>
      </c>
      <c r="JG28" s="285">
        <f t="shared" si="220"/>
        <v>8311001.4124147436</v>
      </c>
      <c r="JH28" s="152"/>
      <c r="JI28" s="285">
        <f t="shared" si="222"/>
        <v>0</v>
      </c>
      <c r="JJ28" s="152"/>
      <c r="JK28" s="285">
        <f t="shared" si="223"/>
        <v>0</v>
      </c>
      <c r="JL28" s="152">
        <f t="shared" ref="JL28:JL29" si="360">+$IO28</f>
        <v>4663</v>
      </c>
      <c r="JM28" s="285">
        <f t="shared" si="225"/>
        <v>8311001.4124147436</v>
      </c>
      <c r="JN28" s="152"/>
      <c r="JO28" s="285">
        <f t="shared" si="226"/>
        <v>0</v>
      </c>
      <c r="JP28" s="158">
        <f t="shared" si="227"/>
        <v>18652</v>
      </c>
      <c r="JQ28" s="159">
        <f t="shared" si="228"/>
        <v>33244005.649658974</v>
      </c>
      <c r="JS28" s="149">
        <v>5220</v>
      </c>
      <c r="JT28" s="150">
        <v>0.33333333333333331</v>
      </c>
      <c r="JU28" s="161">
        <f t="shared" si="58"/>
        <v>3101252.9396529389</v>
      </c>
      <c r="JV28" s="152"/>
      <c r="JW28" s="153">
        <f t="shared" si="230"/>
        <v>0</v>
      </c>
      <c r="JX28" s="368"/>
      <c r="JY28" s="153">
        <f t="shared" si="231"/>
        <v>0</v>
      </c>
      <c r="JZ28" s="368"/>
      <c r="KA28" s="153">
        <f t="shared" si="231"/>
        <v>0</v>
      </c>
      <c r="KB28" s="368"/>
      <c r="KC28" s="153">
        <f t="shared" si="232"/>
        <v>0</v>
      </c>
      <c r="KD28" s="368"/>
      <c r="KE28" s="153">
        <f t="shared" si="233"/>
        <v>0</v>
      </c>
      <c r="KF28" s="368"/>
      <c r="KG28" s="153">
        <f t="shared" si="234"/>
        <v>0</v>
      </c>
      <c r="KH28" s="368"/>
      <c r="KI28" s="153">
        <f t="shared" si="236"/>
        <v>0</v>
      </c>
      <c r="KJ28" s="368"/>
      <c r="KK28" s="153">
        <f t="shared" si="237"/>
        <v>0</v>
      </c>
      <c r="KL28" s="368"/>
      <c r="KM28" s="153">
        <f t="shared" si="239"/>
        <v>0</v>
      </c>
      <c r="KN28" s="368"/>
      <c r="KO28" s="153">
        <f t="shared" si="240"/>
        <v>0</v>
      </c>
      <c r="KP28" s="368"/>
      <c r="KQ28" s="153">
        <f t="shared" si="242"/>
        <v>0</v>
      </c>
      <c r="KR28" s="368"/>
      <c r="KS28" s="154">
        <f t="shared" si="243"/>
        <v>0</v>
      </c>
      <c r="KT28" s="158">
        <f t="shared" si="244"/>
        <v>0</v>
      </c>
      <c r="KU28" s="159">
        <f t="shared" si="67"/>
        <v>0</v>
      </c>
      <c r="KW28" s="149"/>
      <c r="KX28" s="150"/>
      <c r="KY28" s="157"/>
      <c r="KZ28" s="152">
        <f t="shared" si="271"/>
        <v>0</v>
      </c>
      <c r="LA28" s="153"/>
      <c r="LB28" s="152">
        <f t="shared" si="272"/>
        <v>0</v>
      </c>
      <c r="LC28" s="153">
        <f t="shared" si="246"/>
        <v>0</v>
      </c>
      <c r="LD28" s="152">
        <f t="shared" si="272"/>
        <v>0</v>
      </c>
      <c r="LE28" s="153">
        <f t="shared" si="246"/>
        <v>0</v>
      </c>
      <c r="LF28" s="152">
        <f t="shared" si="272"/>
        <v>0</v>
      </c>
      <c r="LG28" s="153">
        <f t="shared" si="247"/>
        <v>0</v>
      </c>
      <c r="LH28" s="152">
        <f t="shared" si="272"/>
        <v>0</v>
      </c>
      <c r="LI28" s="153">
        <f t="shared" si="248"/>
        <v>0</v>
      </c>
      <c r="LJ28" s="152">
        <f t="shared" si="273"/>
        <v>0</v>
      </c>
      <c r="LK28" s="153">
        <f t="shared" si="249"/>
        <v>0</v>
      </c>
      <c r="LL28" s="152">
        <f t="shared" si="274"/>
        <v>0</v>
      </c>
      <c r="LM28" s="153">
        <f t="shared" si="250"/>
        <v>0</v>
      </c>
      <c r="LN28" s="152">
        <f t="shared" si="275"/>
        <v>0</v>
      </c>
      <c r="LO28" s="153">
        <f t="shared" si="251"/>
        <v>0</v>
      </c>
      <c r="LP28" s="152">
        <f t="shared" si="276"/>
        <v>0</v>
      </c>
      <c r="LQ28" s="153">
        <f t="shared" si="252"/>
        <v>0</v>
      </c>
      <c r="LR28" s="152">
        <f t="shared" si="277"/>
        <v>0</v>
      </c>
      <c r="LS28" s="153">
        <f t="shared" si="253"/>
        <v>0</v>
      </c>
      <c r="LT28" s="152">
        <f t="shared" si="278"/>
        <v>0</v>
      </c>
      <c r="LU28" s="153">
        <f t="shared" si="254"/>
        <v>0</v>
      </c>
      <c r="LV28" s="152">
        <f t="shared" si="279"/>
        <v>0</v>
      </c>
      <c r="LW28" s="153">
        <f t="shared" si="255"/>
        <v>0</v>
      </c>
      <c r="LX28" s="158">
        <f t="shared" si="256"/>
        <v>0</v>
      </c>
      <c r="LY28" s="159">
        <f t="shared" si="257"/>
        <v>0</v>
      </c>
      <c r="MA28" s="164">
        <f t="shared" si="69"/>
        <v>0</v>
      </c>
      <c r="MB28" s="386">
        <f t="shared" si="258"/>
        <v>0</v>
      </c>
      <c r="MC28" s="394">
        <f t="shared" si="70"/>
        <v>6159.38</v>
      </c>
      <c r="MD28" s="386">
        <f t="shared" si="259"/>
        <v>10978043.293930758</v>
      </c>
      <c r="ME28" s="394">
        <f t="shared" si="71"/>
        <v>262.85000000000002</v>
      </c>
      <c r="MF28" s="386">
        <f t="shared" si="259"/>
        <v>468485.25010791671</v>
      </c>
      <c r="MG28" s="394">
        <f t="shared" si="72"/>
        <v>0</v>
      </c>
      <c r="MH28" s="386">
        <f t="shared" si="260"/>
        <v>0</v>
      </c>
      <c r="MI28" s="394">
        <f t="shared" si="73"/>
        <v>6159.38</v>
      </c>
      <c r="MJ28" s="386">
        <f t="shared" si="261"/>
        <v>10978043.293930758</v>
      </c>
      <c r="MK28" s="394">
        <f t="shared" si="74"/>
        <v>262.85000000000002</v>
      </c>
      <c r="ML28" s="386">
        <f t="shared" si="262"/>
        <v>468485.25010791671</v>
      </c>
      <c r="MM28" s="394">
        <f t="shared" si="75"/>
        <v>0</v>
      </c>
      <c r="MN28" s="386">
        <f t="shared" si="263"/>
        <v>0</v>
      </c>
      <c r="MO28" s="394">
        <f t="shared" si="76"/>
        <v>6159.38</v>
      </c>
      <c r="MP28" s="386">
        <f t="shared" si="264"/>
        <v>10978043.293930758</v>
      </c>
      <c r="MQ28" s="394">
        <f t="shared" si="77"/>
        <v>262.85000000000002</v>
      </c>
      <c r="MR28" s="386">
        <f t="shared" si="265"/>
        <v>468485.25010791671</v>
      </c>
      <c r="MS28" s="394">
        <f t="shared" si="78"/>
        <v>0</v>
      </c>
      <c r="MT28" s="386">
        <f t="shared" si="266"/>
        <v>0</v>
      </c>
      <c r="MU28" s="394">
        <f t="shared" si="79"/>
        <v>6159.38</v>
      </c>
      <c r="MV28" s="386">
        <f t="shared" si="267"/>
        <v>10978043.293930758</v>
      </c>
      <c r="MW28" s="394">
        <f t="shared" si="80"/>
        <v>262.85000000000002</v>
      </c>
      <c r="MX28" s="386">
        <f t="shared" si="268"/>
        <v>468485.25010791671</v>
      </c>
      <c r="MY28" s="165">
        <f t="shared" si="269"/>
        <v>25688.92</v>
      </c>
      <c r="MZ28" s="166">
        <f t="shared" si="270"/>
        <v>45786114.176154695</v>
      </c>
    </row>
    <row r="29" spans="1:364" s="126" customFormat="1" ht="66" x14ac:dyDescent="0.3">
      <c r="A29" s="528"/>
      <c r="B29" s="14" t="s">
        <v>80</v>
      </c>
      <c r="C29" s="147" t="s">
        <v>81</v>
      </c>
      <c r="D29" s="148" t="s">
        <v>65</v>
      </c>
      <c r="E29" s="14">
        <v>1</v>
      </c>
      <c r="F29" s="346">
        <v>10812.289562289561</v>
      </c>
      <c r="G29" s="346">
        <f t="shared" si="81"/>
        <v>11262.904601571267</v>
      </c>
      <c r="I29" s="149">
        <f>+I21</f>
        <v>225</v>
      </c>
      <c r="J29" s="167">
        <v>0.33333333333333331</v>
      </c>
      <c r="K29" s="151">
        <f t="shared" si="82"/>
        <v>844717.84511784499</v>
      </c>
      <c r="L29" s="152"/>
      <c r="M29" s="285">
        <f t="shared" si="301"/>
        <v>0</v>
      </c>
      <c r="N29" s="152">
        <f t="shared" si="324"/>
        <v>225</v>
      </c>
      <c r="O29" s="285">
        <f t="shared" si="302"/>
        <v>2534153.5353535349</v>
      </c>
      <c r="P29" s="152"/>
      <c r="Q29" s="285">
        <f t="shared" si="302"/>
        <v>0</v>
      </c>
      <c r="R29" s="152"/>
      <c r="S29" s="285">
        <f t="shared" si="86"/>
        <v>0</v>
      </c>
      <c r="T29" s="152">
        <f t="shared" si="325"/>
        <v>225</v>
      </c>
      <c r="U29" s="285">
        <f t="shared" si="87"/>
        <v>2534153.5353535349</v>
      </c>
      <c r="V29" s="152"/>
      <c r="W29" s="285">
        <f t="shared" si="88"/>
        <v>0</v>
      </c>
      <c r="X29" s="152"/>
      <c r="Y29" s="285">
        <f t="shared" si="89"/>
        <v>0</v>
      </c>
      <c r="Z29" s="152">
        <f t="shared" si="326"/>
        <v>225</v>
      </c>
      <c r="AA29" s="285">
        <f t="shared" si="90"/>
        <v>2534153.5353535349</v>
      </c>
      <c r="AB29" s="152"/>
      <c r="AC29" s="285">
        <f t="shared" si="91"/>
        <v>0</v>
      </c>
      <c r="AD29" s="152"/>
      <c r="AE29" s="285">
        <f t="shared" si="92"/>
        <v>0</v>
      </c>
      <c r="AF29" s="152">
        <f t="shared" si="327"/>
        <v>225</v>
      </c>
      <c r="AG29" s="285">
        <f t="shared" si="308"/>
        <v>2534153.5353535349</v>
      </c>
      <c r="AH29" s="152"/>
      <c r="AI29" s="294">
        <f t="shared" si="309"/>
        <v>0</v>
      </c>
      <c r="AJ29" s="156">
        <f t="shared" si="94"/>
        <v>900</v>
      </c>
      <c r="AK29" s="306">
        <f t="shared" si="95"/>
        <v>10136614.141414139</v>
      </c>
      <c r="AM29" s="149">
        <v>0</v>
      </c>
      <c r="AN29" s="150">
        <v>0.33333333333333331</v>
      </c>
      <c r="AO29" s="157">
        <f t="shared" si="285"/>
        <v>0</v>
      </c>
      <c r="AP29" s="152">
        <f t="shared" si="328"/>
        <v>0</v>
      </c>
      <c r="AQ29" s="285">
        <f t="shared" si="96"/>
        <v>0</v>
      </c>
      <c r="AR29" s="317">
        <f t="shared" si="329"/>
        <v>0</v>
      </c>
      <c r="AS29" s="285">
        <f t="shared" si="96"/>
        <v>0</v>
      </c>
      <c r="AT29" s="317">
        <f t="shared" si="330"/>
        <v>0</v>
      </c>
      <c r="AU29" s="285">
        <f t="shared" si="96"/>
        <v>0</v>
      </c>
      <c r="AV29" s="317">
        <f t="shared" si="331"/>
        <v>0</v>
      </c>
      <c r="AW29" s="285">
        <f t="shared" si="98"/>
        <v>0</v>
      </c>
      <c r="AX29" s="317">
        <f t="shared" si="5"/>
        <v>0</v>
      </c>
      <c r="AY29" s="285">
        <f t="shared" si="99"/>
        <v>0</v>
      </c>
      <c r="AZ29" s="317">
        <f t="shared" si="332"/>
        <v>0</v>
      </c>
      <c r="BA29" s="285">
        <f t="shared" si="100"/>
        <v>0</v>
      </c>
      <c r="BB29" s="317">
        <f t="shared" si="7"/>
        <v>0</v>
      </c>
      <c r="BC29" s="285">
        <f t="shared" si="101"/>
        <v>0</v>
      </c>
      <c r="BD29" s="317">
        <f t="shared" si="333"/>
        <v>0</v>
      </c>
      <c r="BE29" s="285">
        <f t="shared" si="102"/>
        <v>0</v>
      </c>
      <c r="BF29" s="317">
        <f t="shared" si="9"/>
        <v>0</v>
      </c>
      <c r="BG29" s="285">
        <f t="shared" si="103"/>
        <v>0</v>
      </c>
      <c r="BH29" s="317">
        <f t="shared" si="334"/>
        <v>0</v>
      </c>
      <c r="BI29" s="285">
        <f t="shared" si="310"/>
        <v>0</v>
      </c>
      <c r="BJ29" s="317">
        <f t="shared" si="335"/>
        <v>0</v>
      </c>
      <c r="BK29" s="285">
        <f t="shared" si="310"/>
        <v>0</v>
      </c>
      <c r="BL29" s="152">
        <f t="shared" si="336"/>
        <v>0</v>
      </c>
      <c r="BM29" s="296">
        <f t="shared" si="105"/>
        <v>0</v>
      </c>
      <c r="BN29" s="158">
        <f t="shared" si="106"/>
        <v>0</v>
      </c>
      <c r="BO29" s="307">
        <f t="shared" si="13"/>
        <v>0</v>
      </c>
      <c r="BQ29" s="149">
        <v>111</v>
      </c>
      <c r="BR29" s="150">
        <v>1</v>
      </c>
      <c r="BS29" s="160">
        <f t="shared" si="281"/>
        <v>1250182.4107744107</v>
      </c>
      <c r="BT29" s="152"/>
      <c r="BU29" s="332">
        <f t="shared" si="107"/>
        <v>0</v>
      </c>
      <c r="BV29" s="152">
        <f t="shared" si="337"/>
        <v>111</v>
      </c>
      <c r="BW29" s="153">
        <f t="shared" si="108"/>
        <v>1250182.4107744107</v>
      </c>
      <c r="BX29" s="152"/>
      <c r="BY29" s="153">
        <f t="shared" si="109"/>
        <v>0</v>
      </c>
      <c r="BZ29" s="152"/>
      <c r="CA29" s="153">
        <f t="shared" si="110"/>
        <v>0</v>
      </c>
      <c r="CB29" s="152">
        <f t="shared" si="338"/>
        <v>111</v>
      </c>
      <c r="CC29" s="153">
        <f t="shared" si="111"/>
        <v>1250182.4107744107</v>
      </c>
      <c r="CD29" s="152"/>
      <c r="CE29" s="153">
        <f t="shared" si="112"/>
        <v>0</v>
      </c>
      <c r="CF29" s="152"/>
      <c r="CG29" s="153">
        <f t="shared" si="114"/>
        <v>0</v>
      </c>
      <c r="CH29" s="152">
        <f t="shared" si="339"/>
        <v>111</v>
      </c>
      <c r="CI29" s="153">
        <f t="shared" si="115"/>
        <v>1250182.4107744107</v>
      </c>
      <c r="CJ29" s="152"/>
      <c r="CK29" s="153">
        <f t="shared" si="117"/>
        <v>0</v>
      </c>
      <c r="CL29" s="152"/>
      <c r="CM29" s="153">
        <f t="shared" si="118"/>
        <v>0</v>
      </c>
      <c r="CN29" s="152">
        <f t="shared" si="340"/>
        <v>111</v>
      </c>
      <c r="CO29" s="153">
        <f t="shared" si="120"/>
        <v>1250182.4107744107</v>
      </c>
      <c r="CP29" s="152"/>
      <c r="CQ29" s="154">
        <f t="shared" si="23"/>
        <v>0</v>
      </c>
      <c r="CR29" s="158">
        <f t="shared" si="121"/>
        <v>444</v>
      </c>
      <c r="CS29" s="159">
        <f t="shared" si="24"/>
        <v>5000729.6430976428</v>
      </c>
      <c r="CU29" s="149">
        <v>127</v>
      </c>
      <c r="CV29" s="150">
        <v>0.33300000000000002</v>
      </c>
      <c r="CW29" s="161">
        <f t="shared" si="299"/>
        <v>476319.49850505049</v>
      </c>
      <c r="CX29" s="152"/>
      <c r="CY29" s="153">
        <f t="shared" si="123"/>
        <v>0</v>
      </c>
      <c r="CZ29" s="152">
        <f t="shared" si="341"/>
        <v>127</v>
      </c>
      <c r="DA29" s="285">
        <f t="shared" si="123"/>
        <v>1430388.884399551</v>
      </c>
      <c r="DB29" s="152"/>
      <c r="DC29" s="285">
        <f t="shared" si="124"/>
        <v>0</v>
      </c>
      <c r="DD29" s="152"/>
      <c r="DE29" s="285">
        <f t="shared" si="125"/>
        <v>0</v>
      </c>
      <c r="DF29" s="152">
        <f t="shared" si="342"/>
        <v>127</v>
      </c>
      <c r="DG29" s="285">
        <f t="shared" si="126"/>
        <v>1430388.884399551</v>
      </c>
      <c r="DH29" s="152"/>
      <c r="DI29" s="285">
        <f t="shared" si="127"/>
        <v>0</v>
      </c>
      <c r="DJ29" s="152"/>
      <c r="DK29" s="285">
        <f t="shared" si="129"/>
        <v>0</v>
      </c>
      <c r="DL29" s="152">
        <f t="shared" si="343"/>
        <v>127</v>
      </c>
      <c r="DM29" s="285">
        <f t="shared" si="130"/>
        <v>1430388.884399551</v>
      </c>
      <c r="DN29" s="152"/>
      <c r="DO29" s="285">
        <f t="shared" si="132"/>
        <v>0</v>
      </c>
      <c r="DP29" s="152"/>
      <c r="DQ29" s="285">
        <f t="shared" si="133"/>
        <v>0</v>
      </c>
      <c r="DR29" s="152">
        <f t="shared" si="344"/>
        <v>127</v>
      </c>
      <c r="DS29" s="285">
        <f t="shared" si="135"/>
        <v>1430388.884399551</v>
      </c>
      <c r="DT29" s="152"/>
      <c r="DU29" s="285">
        <f t="shared" si="136"/>
        <v>0</v>
      </c>
      <c r="DV29" s="158">
        <f t="shared" si="137"/>
        <v>508</v>
      </c>
      <c r="DW29" s="159">
        <f t="shared" si="34"/>
        <v>5721555.5375982039</v>
      </c>
      <c r="DY29" s="164">
        <f>+DY21</f>
        <v>214</v>
      </c>
      <c r="DZ29" s="150">
        <v>0.33333333333333331</v>
      </c>
      <c r="EA29" s="161">
        <f t="shared" si="35"/>
        <v>2410261.5847362513</v>
      </c>
      <c r="EB29" s="152"/>
      <c r="EC29" s="153">
        <f t="shared" si="139"/>
        <v>0</v>
      </c>
      <c r="ED29" s="152">
        <f t="shared" si="345"/>
        <v>214</v>
      </c>
      <c r="EE29" s="153">
        <f t="shared" si="139"/>
        <v>2410261.5847362513</v>
      </c>
      <c r="EF29" s="152"/>
      <c r="EG29" s="153">
        <f t="shared" si="311"/>
        <v>0</v>
      </c>
      <c r="EH29" s="152"/>
      <c r="EI29" s="153">
        <f t="shared" si="311"/>
        <v>0</v>
      </c>
      <c r="EJ29" s="152">
        <f t="shared" si="346"/>
        <v>214</v>
      </c>
      <c r="EK29" s="153">
        <f t="shared" si="143"/>
        <v>2410261.5847362513</v>
      </c>
      <c r="EL29" s="152"/>
      <c r="EM29" s="153">
        <f t="shared" si="144"/>
        <v>0</v>
      </c>
      <c r="EN29" s="152"/>
      <c r="EO29" s="153">
        <f t="shared" si="145"/>
        <v>0</v>
      </c>
      <c r="EP29" s="152">
        <f t="shared" si="347"/>
        <v>214</v>
      </c>
      <c r="EQ29" s="153">
        <f t="shared" si="146"/>
        <v>2410261.5847362513</v>
      </c>
      <c r="ER29" s="152"/>
      <c r="ES29" s="153">
        <f t="shared" si="147"/>
        <v>0</v>
      </c>
      <c r="ET29" s="152"/>
      <c r="EU29" s="153">
        <f t="shared" si="148"/>
        <v>0</v>
      </c>
      <c r="EV29" s="152">
        <f t="shared" si="348"/>
        <v>214</v>
      </c>
      <c r="EW29" s="153">
        <f t="shared" si="149"/>
        <v>2410261.5847362513</v>
      </c>
      <c r="EX29" s="152"/>
      <c r="EY29" s="153">
        <f t="shared" si="150"/>
        <v>0</v>
      </c>
      <c r="EZ29" s="158">
        <f t="shared" si="151"/>
        <v>856</v>
      </c>
      <c r="FA29" s="159">
        <f t="shared" si="36"/>
        <v>9641046.3389450051</v>
      </c>
      <c r="FC29" s="149">
        <f>+FC21</f>
        <v>111</v>
      </c>
      <c r="FD29" s="168">
        <v>0.33333333333333331</v>
      </c>
      <c r="FE29" s="161">
        <f t="shared" si="296"/>
        <v>416727.47025813686</v>
      </c>
      <c r="FF29" s="169"/>
      <c r="FG29" s="153">
        <f t="shared" si="154"/>
        <v>0</v>
      </c>
      <c r="FH29" s="368">
        <f t="shared" si="349"/>
        <v>111</v>
      </c>
      <c r="FI29" s="153">
        <f t="shared" si="155"/>
        <v>1250182.4107744107</v>
      </c>
      <c r="FJ29" s="368"/>
      <c r="FK29" s="153">
        <f t="shared" si="155"/>
        <v>0</v>
      </c>
      <c r="FL29" s="368"/>
      <c r="FM29" s="153">
        <f t="shared" si="156"/>
        <v>0</v>
      </c>
      <c r="FN29" s="368">
        <f t="shared" si="350"/>
        <v>111</v>
      </c>
      <c r="FO29" s="153">
        <f t="shared" si="157"/>
        <v>1250182.4107744107</v>
      </c>
      <c r="FP29" s="368"/>
      <c r="FQ29" s="153">
        <f t="shared" si="158"/>
        <v>0</v>
      </c>
      <c r="FR29" s="368"/>
      <c r="FS29" s="153">
        <f t="shared" si="160"/>
        <v>0</v>
      </c>
      <c r="FT29" s="368">
        <f t="shared" si="351"/>
        <v>111</v>
      </c>
      <c r="FU29" s="153">
        <f t="shared" si="161"/>
        <v>1250182.4107744107</v>
      </c>
      <c r="FV29" s="368"/>
      <c r="FW29" s="153">
        <f t="shared" si="163"/>
        <v>0</v>
      </c>
      <c r="FX29" s="368"/>
      <c r="FY29" s="153">
        <f t="shared" si="164"/>
        <v>0</v>
      </c>
      <c r="FZ29" s="368">
        <f t="shared" si="352"/>
        <v>111</v>
      </c>
      <c r="GA29" s="153">
        <f t="shared" si="166"/>
        <v>1250182.4107744107</v>
      </c>
      <c r="GB29" s="368"/>
      <c r="GC29" s="153">
        <f t="shared" si="167"/>
        <v>0</v>
      </c>
      <c r="GD29" s="158">
        <f t="shared" si="168"/>
        <v>444</v>
      </c>
      <c r="GE29" s="159">
        <f t="shared" si="45"/>
        <v>5000729.6430976428</v>
      </c>
      <c r="GG29" s="149">
        <f>+GG23</f>
        <v>0</v>
      </c>
      <c r="GH29" s="168">
        <v>0.33333333333333331</v>
      </c>
      <c r="GI29" s="161">
        <f t="shared" si="297"/>
        <v>0</v>
      </c>
      <c r="GJ29" s="152">
        <v>0</v>
      </c>
      <c r="GK29" s="153">
        <f t="shared" si="170"/>
        <v>0</v>
      </c>
      <c r="GL29" s="152">
        <f t="shared" si="353"/>
        <v>0</v>
      </c>
      <c r="GM29" s="153">
        <f t="shared" si="170"/>
        <v>0</v>
      </c>
      <c r="GN29" s="152">
        <v>0</v>
      </c>
      <c r="GO29" s="153">
        <f t="shared" si="171"/>
        <v>0</v>
      </c>
      <c r="GP29" s="152">
        <v>0</v>
      </c>
      <c r="GQ29" s="153">
        <f t="shared" si="172"/>
        <v>0</v>
      </c>
      <c r="GR29" s="152">
        <f t="shared" si="354"/>
        <v>0</v>
      </c>
      <c r="GS29" s="153">
        <f t="shared" si="174"/>
        <v>0</v>
      </c>
      <c r="GT29" s="152">
        <v>0</v>
      </c>
      <c r="GU29" s="153">
        <f t="shared" si="176"/>
        <v>0</v>
      </c>
      <c r="GV29" s="152">
        <v>0</v>
      </c>
      <c r="GW29" s="153">
        <f t="shared" si="178"/>
        <v>0</v>
      </c>
      <c r="GX29" s="152">
        <f t="shared" si="355"/>
        <v>0</v>
      </c>
      <c r="GY29" s="153">
        <f t="shared" si="180"/>
        <v>0</v>
      </c>
      <c r="GZ29" s="152">
        <v>0</v>
      </c>
      <c r="HA29" s="153">
        <f t="shared" si="182"/>
        <v>0</v>
      </c>
      <c r="HB29" s="152">
        <v>0</v>
      </c>
      <c r="HC29" s="153">
        <f t="shared" si="184"/>
        <v>0</v>
      </c>
      <c r="HD29" s="152">
        <f t="shared" si="356"/>
        <v>0</v>
      </c>
      <c r="HE29" s="153">
        <f t="shared" si="186"/>
        <v>0</v>
      </c>
      <c r="HF29" s="152">
        <v>0</v>
      </c>
      <c r="HG29" s="153">
        <f t="shared" si="188"/>
        <v>0</v>
      </c>
      <c r="HH29" s="158">
        <f t="shared" si="189"/>
        <v>0</v>
      </c>
      <c r="HI29" s="159">
        <f t="shared" si="47"/>
        <v>0</v>
      </c>
      <c r="HK29" s="149">
        <f>+HK21</f>
        <v>21</v>
      </c>
      <c r="HL29" s="168">
        <v>0.33</v>
      </c>
      <c r="HM29" s="161">
        <f t="shared" si="48"/>
        <v>78051.928888888884</v>
      </c>
      <c r="HN29" s="152">
        <v>0</v>
      </c>
      <c r="HO29" s="153">
        <f t="shared" si="191"/>
        <v>0</v>
      </c>
      <c r="HP29" s="152">
        <v>0</v>
      </c>
      <c r="HQ29" s="153">
        <f t="shared" si="193"/>
        <v>0</v>
      </c>
      <c r="HR29" s="152">
        <f t="shared" si="321"/>
        <v>21</v>
      </c>
      <c r="HS29" s="153">
        <f t="shared" si="193"/>
        <v>236520.9966329966</v>
      </c>
      <c r="HT29" s="152">
        <v>0</v>
      </c>
      <c r="HU29" s="153">
        <f t="shared" si="194"/>
        <v>0</v>
      </c>
      <c r="HV29" s="152">
        <v>0</v>
      </c>
      <c r="HW29" s="153">
        <f t="shared" si="195"/>
        <v>0</v>
      </c>
      <c r="HX29" s="152">
        <f t="shared" si="322"/>
        <v>21</v>
      </c>
      <c r="HY29" s="153">
        <f t="shared" si="197"/>
        <v>236520.9966329966</v>
      </c>
      <c r="HZ29" s="152">
        <v>0</v>
      </c>
      <c r="IA29" s="153">
        <f t="shared" si="199"/>
        <v>0</v>
      </c>
      <c r="IB29" s="152">
        <v>0</v>
      </c>
      <c r="IC29" s="153">
        <f t="shared" si="201"/>
        <v>0</v>
      </c>
      <c r="ID29" s="152">
        <f t="shared" si="319"/>
        <v>21</v>
      </c>
      <c r="IE29" s="153">
        <f t="shared" si="203"/>
        <v>236520.9966329966</v>
      </c>
      <c r="IF29" s="152">
        <v>0</v>
      </c>
      <c r="IG29" s="153">
        <f t="shared" si="205"/>
        <v>0</v>
      </c>
      <c r="IH29" s="152">
        <v>0</v>
      </c>
      <c r="II29" s="153">
        <f t="shared" si="207"/>
        <v>0</v>
      </c>
      <c r="IJ29" s="152">
        <f t="shared" si="323"/>
        <v>21</v>
      </c>
      <c r="IK29" s="153">
        <f t="shared" si="209"/>
        <v>236520.9966329966</v>
      </c>
      <c r="IL29" s="158">
        <f t="shared" si="210"/>
        <v>84</v>
      </c>
      <c r="IM29" s="159">
        <f t="shared" si="211"/>
        <v>946083.98653198639</v>
      </c>
      <c r="IO29" s="149">
        <v>243</v>
      </c>
      <c r="IP29" s="150">
        <f>1/3</f>
        <v>0.33333333333333331</v>
      </c>
      <c r="IQ29" s="161">
        <f t="shared" si="298"/>
        <v>912295.27272727259</v>
      </c>
      <c r="IR29" s="152"/>
      <c r="IS29" s="153">
        <f t="shared" si="213"/>
        <v>0</v>
      </c>
      <c r="IT29" s="152">
        <f t="shared" si="357"/>
        <v>243</v>
      </c>
      <c r="IU29" s="285">
        <f t="shared" si="214"/>
        <v>2736885.8181818179</v>
      </c>
      <c r="IV29" s="152"/>
      <c r="IW29" s="285">
        <f t="shared" si="214"/>
        <v>0</v>
      </c>
      <c r="IX29" s="152"/>
      <c r="IY29" s="285">
        <f t="shared" si="215"/>
        <v>0</v>
      </c>
      <c r="IZ29" s="152">
        <f t="shared" si="358"/>
        <v>243</v>
      </c>
      <c r="JA29" s="285">
        <f t="shared" si="216"/>
        <v>2736885.8181818179</v>
      </c>
      <c r="JB29" s="152"/>
      <c r="JC29" s="285">
        <f t="shared" si="217"/>
        <v>0</v>
      </c>
      <c r="JD29" s="152"/>
      <c r="JE29" s="285">
        <f t="shared" si="219"/>
        <v>0</v>
      </c>
      <c r="JF29" s="152">
        <f t="shared" si="359"/>
        <v>243</v>
      </c>
      <c r="JG29" s="285">
        <f t="shared" si="220"/>
        <v>2736885.8181818179</v>
      </c>
      <c r="JH29" s="152"/>
      <c r="JI29" s="285">
        <f t="shared" si="222"/>
        <v>0</v>
      </c>
      <c r="JJ29" s="152"/>
      <c r="JK29" s="285">
        <f t="shared" si="223"/>
        <v>0</v>
      </c>
      <c r="JL29" s="152">
        <f t="shared" si="360"/>
        <v>243</v>
      </c>
      <c r="JM29" s="285">
        <f t="shared" si="225"/>
        <v>2736885.8181818179</v>
      </c>
      <c r="JN29" s="152"/>
      <c r="JO29" s="285">
        <f t="shared" si="226"/>
        <v>0</v>
      </c>
      <c r="JP29" s="158">
        <f t="shared" si="227"/>
        <v>972</v>
      </c>
      <c r="JQ29" s="159">
        <f t="shared" si="228"/>
        <v>10947543.272727272</v>
      </c>
      <c r="JS29" s="149">
        <v>0</v>
      </c>
      <c r="JT29" s="150"/>
      <c r="JU29" s="161">
        <f t="shared" si="58"/>
        <v>0</v>
      </c>
      <c r="JV29" s="152">
        <f t="shared" si="229"/>
        <v>0</v>
      </c>
      <c r="JW29" s="153">
        <f t="shared" si="230"/>
        <v>0</v>
      </c>
      <c r="JX29" s="368"/>
      <c r="JY29" s="153">
        <f t="shared" si="231"/>
        <v>0</v>
      </c>
      <c r="JZ29" s="368"/>
      <c r="KA29" s="153">
        <f t="shared" si="231"/>
        <v>0</v>
      </c>
      <c r="KB29" s="368"/>
      <c r="KC29" s="153">
        <f t="shared" si="232"/>
        <v>0</v>
      </c>
      <c r="KD29" s="368"/>
      <c r="KE29" s="153">
        <f t="shared" si="233"/>
        <v>0</v>
      </c>
      <c r="KF29" s="368"/>
      <c r="KG29" s="153">
        <f t="shared" si="234"/>
        <v>0</v>
      </c>
      <c r="KH29" s="368"/>
      <c r="KI29" s="153">
        <f t="shared" si="236"/>
        <v>0</v>
      </c>
      <c r="KJ29" s="368"/>
      <c r="KK29" s="153">
        <f t="shared" si="237"/>
        <v>0</v>
      </c>
      <c r="KL29" s="368"/>
      <c r="KM29" s="153">
        <f t="shared" si="239"/>
        <v>0</v>
      </c>
      <c r="KN29" s="368"/>
      <c r="KO29" s="153">
        <f t="shared" si="240"/>
        <v>0</v>
      </c>
      <c r="KP29" s="368"/>
      <c r="KQ29" s="153">
        <f t="shared" si="242"/>
        <v>0</v>
      </c>
      <c r="KR29" s="368"/>
      <c r="KS29" s="154">
        <f t="shared" si="243"/>
        <v>0</v>
      </c>
      <c r="KT29" s="158">
        <f t="shared" si="244"/>
        <v>0</v>
      </c>
      <c r="KU29" s="159">
        <f t="shared" si="67"/>
        <v>0</v>
      </c>
      <c r="KW29" s="149"/>
      <c r="KX29" s="150"/>
      <c r="KY29" s="157"/>
      <c r="KZ29" s="152">
        <f t="shared" si="271"/>
        <v>0</v>
      </c>
      <c r="LA29" s="153"/>
      <c r="LB29" s="152">
        <f t="shared" si="272"/>
        <v>0</v>
      </c>
      <c r="LC29" s="153">
        <f t="shared" si="246"/>
        <v>0</v>
      </c>
      <c r="LD29" s="152">
        <f t="shared" si="272"/>
        <v>0</v>
      </c>
      <c r="LE29" s="153">
        <f t="shared" si="246"/>
        <v>0</v>
      </c>
      <c r="LF29" s="152">
        <f t="shared" si="272"/>
        <v>0</v>
      </c>
      <c r="LG29" s="153">
        <f t="shared" si="247"/>
        <v>0</v>
      </c>
      <c r="LH29" s="152">
        <f t="shared" si="272"/>
        <v>0</v>
      </c>
      <c r="LI29" s="153">
        <f t="shared" si="248"/>
        <v>0</v>
      </c>
      <c r="LJ29" s="152">
        <f t="shared" si="273"/>
        <v>0</v>
      </c>
      <c r="LK29" s="153">
        <f t="shared" si="249"/>
        <v>0</v>
      </c>
      <c r="LL29" s="152">
        <f t="shared" si="274"/>
        <v>0</v>
      </c>
      <c r="LM29" s="153">
        <f t="shared" si="250"/>
        <v>0</v>
      </c>
      <c r="LN29" s="152">
        <f t="shared" si="275"/>
        <v>0</v>
      </c>
      <c r="LO29" s="153">
        <f t="shared" si="251"/>
        <v>0</v>
      </c>
      <c r="LP29" s="152">
        <f t="shared" si="276"/>
        <v>0</v>
      </c>
      <c r="LQ29" s="153">
        <f t="shared" si="252"/>
        <v>0</v>
      </c>
      <c r="LR29" s="152">
        <f t="shared" si="277"/>
        <v>0</v>
      </c>
      <c r="LS29" s="153">
        <f t="shared" si="253"/>
        <v>0</v>
      </c>
      <c r="LT29" s="152">
        <f t="shared" si="278"/>
        <v>0</v>
      </c>
      <c r="LU29" s="153">
        <f t="shared" si="254"/>
        <v>0</v>
      </c>
      <c r="LV29" s="152">
        <f t="shared" si="279"/>
        <v>0</v>
      </c>
      <c r="LW29" s="153">
        <f t="shared" si="255"/>
        <v>0</v>
      </c>
      <c r="LX29" s="158">
        <f t="shared" si="256"/>
        <v>0</v>
      </c>
      <c r="LY29" s="159">
        <f t="shared" si="257"/>
        <v>0</v>
      </c>
      <c r="MA29" s="164">
        <f t="shared" si="69"/>
        <v>0</v>
      </c>
      <c r="MB29" s="386">
        <f t="shared" si="258"/>
        <v>0</v>
      </c>
      <c r="MC29" s="394">
        <f t="shared" si="70"/>
        <v>1031</v>
      </c>
      <c r="MD29" s="386">
        <f t="shared" si="259"/>
        <v>11612054.644219976</v>
      </c>
      <c r="ME29" s="394">
        <f t="shared" si="71"/>
        <v>21</v>
      </c>
      <c r="MF29" s="386">
        <f t="shared" si="259"/>
        <v>236520.9966329966</v>
      </c>
      <c r="MG29" s="394">
        <f t="shared" si="72"/>
        <v>0</v>
      </c>
      <c r="MH29" s="386">
        <f t="shared" si="260"/>
        <v>0</v>
      </c>
      <c r="MI29" s="394">
        <f t="shared" si="73"/>
        <v>1031</v>
      </c>
      <c r="MJ29" s="386">
        <f t="shared" si="261"/>
        <v>11612054.644219976</v>
      </c>
      <c r="MK29" s="394">
        <f t="shared" si="74"/>
        <v>21</v>
      </c>
      <c r="ML29" s="386">
        <f t="shared" si="262"/>
        <v>236520.9966329966</v>
      </c>
      <c r="MM29" s="394">
        <f t="shared" si="75"/>
        <v>0</v>
      </c>
      <c r="MN29" s="386">
        <f t="shared" si="263"/>
        <v>0</v>
      </c>
      <c r="MO29" s="394">
        <f t="shared" si="76"/>
        <v>1031</v>
      </c>
      <c r="MP29" s="386">
        <f t="shared" si="264"/>
        <v>11612054.644219976</v>
      </c>
      <c r="MQ29" s="394">
        <f t="shared" si="77"/>
        <v>21</v>
      </c>
      <c r="MR29" s="386">
        <f t="shared" si="265"/>
        <v>236520.9966329966</v>
      </c>
      <c r="MS29" s="394">
        <f t="shared" si="78"/>
        <v>0</v>
      </c>
      <c r="MT29" s="386">
        <f t="shared" si="266"/>
        <v>0</v>
      </c>
      <c r="MU29" s="394">
        <f t="shared" si="79"/>
        <v>1031</v>
      </c>
      <c r="MV29" s="386">
        <f t="shared" si="267"/>
        <v>11612054.644219976</v>
      </c>
      <c r="MW29" s="394">
        <f t="shared" si="80"/>
        <v>21</v>
      </c>
      <c r="MX29" s="386">
        <f t="shared" si="268"/>
        <v>236520.9966329966</v>
      </c>
      <c r="MY29" s="165">
        <f t="shared" si="269"/>
        <v>4208</v>
      </c>
      <c r="MZ29" s="166">
        <f t="shared" si="270"/>
        <v>47394302.563411891</v>
      </c>
    </row>
    <row r="30" spans="1:364" s="126" customFormat="1" ht="66" x14ac:dyDescent="0.3">
      <c r="A30" s="528"/>
      <c r="B30" s="14" t="s">
        <v>82</v>
      </c>
      <c r="C30" s="147" t="s">
        <v>83</v>
      </c>
      <c r="D30" s="148" t="s">
        <v>25</v>
      </c>
      <c r="E30" s="14">
        <v>1</v>
      </c>
      <c r="F30" s="346">
        <v>904.23465423465416</v>
      </c>
      <c r="G30" s="346">
        <f t="shared" si="81"/>
        <v>941.91970991970982</v>
      </c>
      <c r="I30" s="149">
        <f>+I19</f>
        <v>1850.33</v>
      </c>
      <c r="J30" s="167">
        <v>1</v>
      </c>
      <c r="K30" s="151">
        <f t="shared" si="82"/>
        <v>1742862.2968557365</v>
      </c>
      <c r="L30" s="152">
        <f t="shared" si="300"/>
        <v>1850.33</v>
      </c>
      <c r="M30" s="285">
        <f t="shared" si="301"/>
        <v>1742862.2968557365</v>
      </c>
      <c r="N30" s="152">
        <f t="shared" ref="N30:N49" si="361">+$I30*$J30</f>
        <v>1850.33</v>
      </c>
      <c r="O30" s="285">
        <f t="shared" si="302"/>
        <v>1742862.2968557365</v>
      </c>
      <c r="P30" s="152">
        <f t="shared" ref="P30:P49" si="362">+$I30*$J30</f>
        <v>1850.33</v>
      </c>
      <c r="Q30" s="285">
        <f t="shared" si="302"/>
        <v>1742862.2968557365</v>
      </c>
      <c r="R30" s="152">
        <f t="shared" ref="R30:R49" si="363">+$I30*$J30</f>
        <v>1850.33</v>
      </c>
      <c r="S30" s="285">
        <f t="shared" si="86"/>
        <v>1742862.2968557365</v>
      </c>
      <c r="T30" s="152">
        <f t="shared" ref="T30:T49" si="364">+$I30*$J30</f>
        <v>1850.33</v>
      </c>
      <c r="U30" s="285">
        <f t="shared" si="87"/>
        <v>1742862.2968557365</v>
      </c>
      <c r="V30" s="152">
        <f>+$I30*$J30</f>
        <v>1850.33</v>
      </c>
      <c r="W30" s="285">
        <f t="shared" si="88"/>
        <v>1742862.2968557365</v>
      </c>
      <c r="X30" s="152">
        <f t="shared" si="305"/>
        <v>1850.33</v>
      </c>
      <c r="Y30" s="285">
        <f t="shared" si="89"/>
        <v>1742862.2968557365</v>
      </c>
      <c r="Z30" s="152">
        <f t="shared" ref="Z30:Z49" si="365">+$I30*$J30</f>
        <v>1850.33</v>
      </c>
      <c r="AA30" s="285">
        <f t="shared" si="90"/>
        <v>1742862.2968557365</v>
      </c>
      <c r="AB30" s="152">
        <f t="shared" si="306"/>
        <v>1850.33</v>
      </c>
      <c r="AC30" s="285">
        <f t="shared" si="91"/>
        <v>1742862.2968557365</v>
      </c>
      <c r="AD30" s="152">
        <f t="shared" ref="AD30:AD49" si="366">+$I30*$J30</f>
        <v>1850.33</v>
      </c>
      <c r="AE30" s="285">
        <f t="shared" si="92"/>
        <v>1742862.2968557365</v>
      </c>
      <c r="AF30" s="152">
        <f t="shared" si="307"/>
        <v>1850.33</v>
      </c>
      <c r="AG30" s="285">
        <f t="shared" si="308"/>
        <v>1742862.2968557365</v>
      </c>
      <c r="AH30" s="152">
        <f t="shared" ref="AH30:AH49" si="367">+$I30*$J30</f>
        <v>1850.33</v>
      </c>
      <c r="AI30" s="294">
        <f t="shared" si="309"/>
        <v>1742862.2968557365</v>
      </c>
      <c r="AJ30" s="156">
        <f t="shared" si="94"/>
        <v>22203.960000000006</v>
      </c>
      <c r="AK30" s="306">
        <f t="shared" si="95"/>
        <v>20914347.562268846</v>
      </c>
      <c r="AM30" s="149">
        <f>+AM19</f>
        <v>350</v>
      </c>
      <c r="AN30" s="167">
        <v>1</v>
      </c>
      <c r="AO30" s="157">
        <f t="shared" si="285"/>
        <v>329671.89847189846</v>
      </c>
      <c r="AP30" s="152">
        <f t="shared" si="328"/>
        <v>350</v>
      </c>
      <c r="AQ30" s="285">
        <f t="shared" si="96"/>
        <v>329671.89847189846</v>
      </c>
      <c r="AR30" s="317">
        <f t="shared" si="329"/>
        <v>350</v>
      </c>
      <c r="AS30" s="285">
        <f t="shared" si="96"/>
        <v>329671.89847189846</v>
      </c>
      <c r="AT30" s="317">
        <f t="shared" si="330"/>
        <v>350</v>
      </c>
      <c r="AU30" s="285">
        <f t="shared" si="96"/>
        <v>329671.89847189846</v>
      </c>
      <c r="AV30" s="317">
        <f t="shared" si="331"/>
        <v>350</v>
      </c>
      <c r="AW30" s="285">
        <f t="shared" si="98"/>
        <v>329671.89847189846</v>
      </c>
      <c r="AX30" s="317">
        <f t="shared" si="5"/>
        <v>350</v>
      </c>
      <c r="AY30" s="285">
        <f t="shared" si="99"/>
        <v>329671.89847189846</v>
      </c>
      <c r="AZ30" s="317">
        <f t="shared" si="332"/>
        <v>350</v>
      </c>
      <c r="BA30" s="285">
        <f t="shared" si="100"/>
        <v>329671.89847189846</v>
      </c>
      <c r="BB30" s="317">
        <f t="shared" si="7"/>
        <v>350</v>
      </c>
      <c r="BC30" s="285">
        <f t="shared" si="101"/>
        <v>329671.89847189846</v>
      </c>
      <c r="BD30" s="317">
        <f t="shared" si="333"/>
        <v>350</v>
      </c>
      <c r="BE30" s="285">
        <f t="shared" si="102"/>
        <v>329671.89847189846</v>
      </c>
      <c r="BF30" s="317">
        <f t="shared" si="9"/>
        <v>350</v>
      </c>
      <c r="BG30" s="285">
        <f t="shared" si="103"/>
        <v>329671.89847189846</v>
      </c>
      <c r="BH30" s="317">
        <f t="shared" si="334"/>
        <v>350</v>
      </c>
      <c r="BI30" s="285">
        <f t="shared" si="310"/>
        <v>329671.89847189846</v>
      </c>
      <c r="BJ30" s="317">
        <f t="shared" si="335"/>
        <v>350</v>
      </c>
      <c r="BK30" s="285">
        <f t="shared" si="310"/>
        <v>329671.89847189846</v>
      </c>
      <c r="BL30" s="152">
        <f t="shared" si="336"/>
        <v>350</v>
      </c>
      <c r="BM30" s="296">
        <f t="shared" si="105"/>
        <v>329671.89847189846</v>
      </c>
      <c r="BN30" s="158">
        <f t="shared" si="106"/>
        <v>4200</v>
      </c>
      <c r="BO30" s="307">
        <f t="shared" si="13"/>
        <v>3956062.7816627813</v>
      </c>
      <c r="BQ30" s="149">
        <f>2295+81.04</f>
        <v>2376.04</v>
      </c>
      <c r="BR30" s="167">
        <v>1</v>
      </c>
      <c r="BS30" s="160">
        <f t="shared" si="281"/>
        <v>2238038.9075576272</v>
      </c>
      <c r="BT30" s="152">
        <f t="shared" si="280"/>
        <v>2376.04</v>
      </c>
      <c r="BU30" s="332">
        <f t="shared" si="107"/>
        <v>2238038.9075576272</v>
      </c>
      <c r="BV30" s="152">
        <f t="shared" ref="BV30:BV49" si="368">+$BQ30*$BR30</f>
        <v>2376.04</v>
      </c>
      <c r="BW30" s="153">
        <f t="shared" si="108"/>
        <v>2238038.9075576272</v>
      </c>
      <c r="BX30" s="152">
        <f t="shared" ref="BX30:BX49" si="369">+$BQ30*$BR30</f>
        <v>2376.04</v>
      </c>
      <c r="BY30" s="153">
        <f t="shared" si="109"/>
        <v>2238038.9075576272</v>
      </c>
      <c r="BZ30" s="152">
        <f t="shared" ref="BZ30:BZ49" si="370">+$BQ30*$BR30</f>
        <v>2376.04</v>
      </c>
      <c r="CA30" s="153">
        <f t="shared" si="110"/>
        <v>2238038.9075576272</v>
      </c>
      <c r="CB30" s="152">
        <f t="shared" ref="CB30:CB49" si="371">+$BQ30*$BR30</f>
        <v>2376.04</v>
      </c>
      <c r="CC30" s="153">
        <f t="shared" si="111"/>
        <v>2238038.9075576272</v>
      </c>
      <c r="CD30" s="152">
        <f t="shared" ref="CD30:CD49" si="372">+$BQ30*$BR30</f>
        <v>2376.04</v>
      </c>
      <c r="CE30" s="153">
        <f t="shared" si="112"/>
        <v>2238038.9075576272</v>
      </c>
      <c r="CF30" s="152">
        <f t="shared" si="113"/>
        <v>2376.04</v>
      </c>
      <c r="CG30" s="153">
        <f t="shared" si="114"/>
        <v>2238038.9075576272</v>
      </c>
      <c r="CH30" s="152">
        <f t="shared" ref="CH30:CH49" si="373">+$BQ30*$BR30</f>
        <v>2376.04</v>
      </c>
      <c r="CI30" s="153">
        <f t="shared" si="115"/>
        <v>2238038.9075576272</v>
      </c>
      <c r="CJ30" s="152">
        <f t="shared" si="116"/>
        <v>2376.04</v>
      </c>
      <c r="CK30" s="153">
        <f t="shared" si="117"/>
        <v>2238038.9075576272</v>
      </c>
      <c r="CL30" s="152">
        <f t="shared" ref="CL30:CL49" si="374">+$BQ30*$BR30</f>
        <v>2376.04</v>
      </c>
      <c r="CM30" s="153">
        <f t="shared" si="118"/>
        <v>2238038.9075576272</v>
      </c>
      <c r="CN30" s="152">
        <f t="shared" si="119"/>
        <v>2376.04</v>
      </c>
      <c r="CO30" s="153">
        <f t="shared" si="120"/>
        <v>2238038.9075576272</v>
      </c>
      <c r="CP30" s="152">
        <f t="shared" ref="CP30:CP49" si="375">+$BQ30*$BR30</f>
        <v>2376.04</v>
      </c>
      <c r="CQ30" s="154">
        <f t="shared" si="23"/>
        <v>2238038.9075576272</v>
      </c>
      <c r="CR30" s="158">
        <f t="shared" si="121"/>
        <v>28512.480000000007</v>
      </c>
      <c r="CS30" s="159">
        <f t="shared" si="24"/>
        <v>26856466.890691534</v>
      </c>
      <c r="CU30" s="149">
        <v>3636.5</v>
      </c>
      <c r="CV30" s="167">
        <v>1</v>
      </c>
      <c r="CW30" s="161">
        <f t="shared" si="299"/>
        <v>3425291.0251230248</v>
      </c>
      <c r="CX30" s="152">
        <f t="shared" si="122"/>
        <v>3636.5</v>
      </c>
      <c r="CY30" s="153">
        <f t="shared" si="123"/>
        <v>3425291.0251230248</v>
      </c>
      <c r="CZ30" s="152">
        <f t="shared" ref="CZ30:CZ49" si="376">+$CU30*$CV30</f>
        <v>3636.5</v>
      </c>
      <c r="DA30" s="285">
        <f t="shared" si="123"/>
        <v>3425291.0251230248</v>
      </c>
      <c r="DB30" s="152">
        <f t="shared" ref="DB30:DB49" si="377">+$CU30*$CV30</f>
        <v>3636.5</v>
      </c>
      <c r="DC30" s="285">
        <f t="shared" si="124"/>
        <v>3425291.0251230248</v>
      </c>
      <c r="DD30" s="152">
        <f t="shared" ref="DD30:DD49" si="378">+$CU30*$CV30</f>
        <v>3636.5</v>
      </c>
      <c r="DE30" s="285">
        <f t="shared" si="125"/>
        <v>3425291.0251230248</v>
      </c>
      <c r="DF30" s="152">
        <f t="shared" ref="DF30:DF49" si="379">+$CU30*$CV30</f>
        <v>3636.5</v>
      </c>
      <c r="DG30" s="285">
        <f t="shared" si="126"/>
        <v>3425291.0251230248</v>
      </c>
      <c r="DH30" s="152">
        <f t="shared" ref="DH30:DH49" si="380">+$CU30*$CV30</f>
        <v>3636.5</v>
      </c>
      <c r="DI30" s="285">
        <f t="shared" si="127"/>
        <v>3425291.0251230248</v>
      </c>
      <c r="DJ30" s="152">
        <f t="shared" si="128"/>
        <v>3636.5</v>
      </c>
      <c r="DK30" s="285">
        <f t="shared" si="129"/>
        <v>3425291.0251230248</v>
      </c>
      <c r="DL30" s="152">
        <f t="shared" ref="DL30:DL49" si="381">+$CU30*$CV30</f>
        <v>3636.5</v>
      </c>
      <c r="DM30" s="285">
        <f t="shared" si="130"/>
        <v>3425291.0251230248</v>
      </c>
      <c r="DN30" s="152">
        <f t="shared" si="131"/>
        <v>3636.5</v>
      </c>
      <c r="DO30" s="285">
        <f t="shared" si="132"/>
        <v>3425291.0251230248</v>
      </c>
      <c r="DP30" s="152">
        <f t="shared" ref="DP30:DP49" si="382">+$CU30*$CV30</f>
        <v>3636.5</v>
      </c>
      <c r="DQ30" s="285">
        <f t="shared" si="133"/>
        <v>3425291.0251230248</v>
      </c>
      <c r="DR30" s="152">
        <f t="shared" si="134"/>
        <v>3636.5</v>
      </c>
      <c r="DS30" s="285">
        <f t="shared" si="135"/>
        <v>3425291.0251230248</v>
      </c>
      <c r="DT30" s="152">
        <f t="shared" ref="DT30:DT49" si="383">+$CU30*$CV30</f>
        <v>3636.5</v>
      </c>
      <c r="DU30" s="285">
        <f t="shared" si="136"/>
        <v>3425291.0251230248</v>
      </c>
      <c r="DV30" s="158">
        <f t="shared" si="137"/>
        <v>43638</v>
      </c>
      <c r="DW30" s="159">
        <f t="shared" si="34"/>
        <v>41103492.3014763</v>
      </c>
      <c r="DY30" s="142">
        <f>+DY19</f>
        <v>4931.99</v>
      </c>
      <c r="DZ30" s="167">
        <v>1</v>
      </c>
      <c r="EA30" s="161">
        <f t="shared" si="35"/>
        <v>4645538.5901269093</v>
      </c>
      <c r="EB30" s="152">
        <f t="shared" ref="EB30:ED70" si="384">+$DY30*$DZ30</f>
        <v>4931.99</v>
      </c>
      <c r="EC30" s="153">
        <f t="shared" si="139"/>
        <v>4645538.5901269093</v>
      </c>
      <c r="ED30" s="317">
        <f t="shared" ref="ED30:ED69" si="385">+$DY30*$DZ30</f>
        <v>4931.99</v>
      </c>
      <c r="EE30" s="153">
        <f t="shared" si="139"/>
        <v>4645538.5901269093</v>
      </c>
      <c r="EF30" s="152">
        <f t="shared" ref="EF30:ER70" si="386">+$DY30*$DZ30</f>
        <v>4931.99</v>
      </c>
      <c r="EG30" s="153">
        <f t="shared" si="311"/>
        <v>4645538.5901269093</v>
      </c>
      <c r="EH30" s="152">
        <f t="shared" ref="EH30:EH69" si="387">+$DY30*$DZ30</f>
        <v>4931.99</v>
      </c>
      <c r="EI30" s="153">
        <f t="shared" si="311"/>
        <v>4645538.5901269093</v>
      </c>
      <c r="EJ30" s="152">
        <f t="shared" ref="EJ30:EJ69" si="388">+$DY30*$DZ30</f>
        <v>4931.99</v>
      </c>
      <c r="EK30" s="153">
        <f t="shared" si="143"/>
        <v>4645538.5901269093</v>
      </c>
      <c r="EL30" s="152">
        <f t="shared" ref="EL30:EL69" si="389">+$DY30*$DZ30</f>
        <v>4931.99</v>
      </c>
      <c r="EM30" s="153">
        <f t="shared" si="144"/>
        <v>4645538.5901269093</v>
      </c>
      <c r="EN30" s="152">
        <f t="shared" si="290"/>
        <v>4931.99</v>
      </c>
      <c r="EO30" s="153">
        <f t="shared" si="145"/>
        <v>4645538.5901269093</v>
      </c>
      <c r="EP30" s="152">
        <f t="shared" ref="EP30:EP69" si="390">+$DY30*$DZ30</f>
        <v>4931.99</v>
      </c>
      <c r="EQ30" s="153">
        <f t="shared" si="146"/>
        <v>4645538.5901269093</v>
      </c>
      <c r="ER30" s="152">
        <f t="shared" si="292"/>
        <v>4931.99</v>
      </c>
      <c r="ES30" s="153">
        <f t="shared" si="147"/>
        <v>4645538.5901269093</v>
      </c>
      <c r="ET30" s="152">
        <f t="shared" ref="ET30:ET94" si="391">+$DY30*$DZ30</f>
        <v>4931.99</v>
      </c>
      <c r="EU30" s="153">
        <f t="shared" si="148"/>
        <v>4645538.5901269093</v>
      </c>
      <c r="EV30" s="152">
        <f t="shared" si="294"/>
        <v>4931.99</v>
      </c>
      <c r="EW30" s="153">
        <f t="shared" si="149"/>
        <v>4645538.5901269093</v>
      </c>
      <c r="EX30" s="152">
        <f t="shared" ref="EX30:EX94" si="392">+$DY30*$DZ30</f>
        <v>4931.99</v>
      </c>
      <c r="EY30" s="153">
        <f t="shared" si="150"/>
        <v>4645538.5901269093</v>
      </c>
      <c r="EZ30" s="158">
        <f t="shared" si="151"/>
        <v>59183.879999999983</v>
      </c>
      <c r="FA30" s="159">
        <f t="shared" si="36"/>
        <v>55746463.081522897</v>
      </c>
      <c r="FC30" s="163">
        <f>+FC19</f>
        <v>723.53</v>
      </c>
      <c r="FD30" s="167">
        <v>1</v>
      </c>
      <c r="FE30" s="161">
        <f t="shared" si="296"/>
        <v>681507.16771820758</v>
      </c>
      <c r="FF30" s="152">
        <f t="shared" si="153"/>
        <v>723.53</v>
      </c>
      <c r="FG30" s="153">
        <f t="shared" si="154"/>
        <v>681507.16771820758</v>
      </c>
      <c r="FH30" s="368">
        <f t="shared" ref="FH30:FH38" si="393">+$FC30*$FD30</f>
        <v>723.53</v>
      </c>
      <c r="FI30" s="153">
        <f t="shared" si="155"/>
        <v>681507.16771820758</v>
      </c>
      <c r="FJ30" s="368">
        <f t="shared" ref="FJ30:FJ38" si="394">+$FC30*$FD30</f>
        <v>723.53</v>
      </c>
      <c r="FK30" s="153">
        <f t="shared" si="155"/>
        <v>681507.16771820758</v>
      </c>
      <c r="FL30" s="368">
        <f t="shared" ref="FL30:FL38" si="395">+$FC30*$FD30</f>
        <v>723.53</v>
      </c>
      <c r="FM30" s="153">
        <f t="shared" si="156"/>
        <v>681507.16771820758</v>
      </c>
      <c r="FN30" s="368">
        <f t="shared" ref="FN30:FN49" si="396">+$FC30*$FD30</f>
        <v>723.53</v>
      </c>
      <c r="FO30" s="153">
        <f t="shared" si="157"/>
        <v>681507.16771820758</v>
      </c>
      <c r="FP30" s="368">
        <f t="shared" ref="FP30:FP38" si="397">+$FC30*$FD30</f>
        <v>723.53</v>
      </c>
      <c r="FQ30" s="153">
        <f t="shared" si="158"/>
        <v>681507.16771820758</v>
      </c>
      <c r="FR30" s="368">
        <f t="shared" si="159"/>
        <v>723.53</v>
      </c>
      <c r="FS30" s="153">
        <f t="shared" si="160"/>
        <v>681507.16771820758</v>
      </c>
      <c r="FT30" s="368">
        <f t="shared" ref="FT30:FT38" si="398">+$FC30*$FD30</f>
        <v>723.53</v>
      </c>
      <c r="FU30" s="153">
        <f t="shared" si="161"/>
        <v>681507.16771820758</v>
      </c>
      <c r="FV30" s="368">
        <f t="shared" si="162"/>
        <v>723.53</v>
      </c>
      <c r="FW30" s="153">
        <f t="shared" si="163"/>
        <v>681507.16771820758</v>
      </c>
      <c r="FX30" s="368">
        <f t="shared" ref="FX30:FX38" si="399">+$FC30*$FD30</f>
        <v>723.53</v>
      </c>
      <c r="FY30" s="153">
        <f t="shared" si="164"/>
        <v>681507.16771820758</v>
      </c>
      <c r="FZ30" s="368">
        <f t="shared" si="165"/>
        <v>723.53</v>
      </c>
      <c r="GA30" s="153">
        <f t="shared" si="166"/>
        <v>681507.16771820758</v>
      </c>
      <c r="GB30" s="368">
        <f t="shared" ref="GB30:GB38" si="400">+$FC30*$FD30</f>
        <v>723.53</v>
      </c>
      <c r="GC30" s="153">
        <f t="shared" si="167"/>
        <v>681507.16771820758</v>
      </c>
      <c r="GD30" s="158">
        <f t="shared" si="168"/>
        <v>8682.3599999999988</v>
      </c>
      <c r="GE30" s="159">
        <f t="shared" si="45"/>
        <v>8178086.0126184905</v>
      </c>
      <c r="GG30" s="149">
        <f>+GG19</f>
        <v>840.49</v>
      </c>
      <c r="GH30" s="459">
        <v>1</v>
      </c>
      <c r="GI30" s="161">
        <f t="shared" si="297"/>
        <v>791674.09699041687</v>
      </c>
      <c r="GJ30" s="152">
        <f>+GG30*GH30</f>
        <v>840.49</v>
      </c>
      <c r="GK30" s="153">
        <f t="shared" si="170"/>
        <v>791674.09699041687</v>
      </c>
      <c r="GL30" s="152">
        <f t="shared" si="169"/>
        <v>840.49</v>
      </c>
      <c r="GM30" s="153">
        <f t="shared" si="170"/>
        <v>791674.09699041687</v>
      </c>
      <c r="GN30" s="152">
        <f t="shared" si="169"/>
        <v>840.49</v>
      </c>
      <c r="GO30" s="153">
        <f t="shared" si="171"/>
        <v>791674.09699041687</v>
      </c>
      <c r="GP30" s="152">
        <f t="shared" si="169"/>
        <v>840.49</v>
      </c>
      <c r="GQ30" s="153">
        <f t="shared" si="172"/>
        <v>791674.09699041687</v>
      </c>
      <c r="GR30" s="152">
        <f t="shared" si="173"/>
        <v>840.49</v>
      </c>
      <c r="GS30" s="153">
        <f t="shared" si="174"/>
        <v>791674.09699041687</v>
      </c>
      <c r="GT30" s="152">
        <f t="shared" si="175"/>
        <v>840.49</v>
      </c>
      <c r="GU30" s="153">
        <f t="shared" si="176"/>
        <v>791674.09699041687</v>
      </c>
      <c r="GV30" s="152">
        <f t="shared" si="177"/>
        <v>840.49</v>
      </c>
      <c r="GW30" s="153">
        <f t="shared" si="178"/>
        <v>791674.09699041687</v>
      </c>
      <c r="GX30" s="152">
        <f t="shared" si="179"/>
        <v>840.49</v>
      </c>
      <c r="GY30" s="153">
        <f t="shared" si="180"/>
        <v>791674.09699041687</v>
      </c>
      <c r="GZ30" s="152">
        <f t="shared" si="181"/>
        <v>840.49</v>
      </c>
      <c r="HA30" s="153">
        <f t="shared" si="182"/>
        <v>791674.09699041687</v>
      </c>
      <c r="HB30" s="152">
        <f t="shared" si="183"/>
        <v>840.49</v>
      </c>
      <c r="HC30" s="153">
        <f t="shared" si="184"/>
        <v>791674.09699041687</v>
      </c>
      <c r="HD30" s="152">
        <f t="shared" si="185"/>
        <v>840.49</v>
      </c>
      <c r="HE30" s="153">
        <f t="shared" si="186"/>
        <v>791674.09699041687</v>
      </c>
      <c r="HF30" s="152">
        <f t="shared" si="187"/>
        <v>840.49</v>
      </c>
      <c r="HG30" s="153">
        <f t="shared" si="188"/>
        <v>791674.09699041687</v>
      </c>
      <c r="HH30" s="158">
        <f t="shared" si="189"/>
        <v>10085.879999999999</v>
      </c>
      <c r="HI30" s="159">
        <f t="shared" si="47"/>
        <v>9500089.163885003</v>
      </c>
      <c r="HK30" s="149">
        <f>+HK19</f>
        <v>235.69</v>
      </c>
      <c r="HL30" s="459">
        <v>1</v>
      </c>
      <c r="HM30" s="161">
        <f t="shared" si="48"/>
        <v>222001.0564309764</v>
      </c>
      <c r="HN30" s="152">
        <v>0</v>
      </c>
      <c r="HO30" s="153">
        <f t="shared" si="191"/>
        <v>0</v>
      </c>
      <c r="HP30" s="152">
        <v>0</v>
      </c>
      <c r="HQ30" s="153">
        <f t="shared" si="193"/>
        <v>0</v>
      </c>
      <c r="HR30" s="152">
        <f t="shared" si="192"/>
        <v>235.69</v>
      </c>
      <c r="HS30" s="153">
        <f t="shared" si="193"/>
        <v>222001.0564309764</v>
      </c>
      <c r="HT30" s="152">
        <f t="shared" si="192"/>
        <v>235.69</v>
      </c>
      <c r="HU30" s="153">
        <f t="shared" si="194"/>
        <v>222001.0564309764</v>
      </c>
      <c r="HV30" s="152">
        <f t="shared" si="192"/>
        <v>235.69</v>
      </c>
      <c r="HW30" s="153">
        <f t="shared" si="195"/>
        <v>222001.0564309764</v>
      </c>
      <c r="HX30" s="152">
        <f t="shared" si="196"/>
        <v>235.69</v>
      </c>
      <c r="HY30" s="153">
        <f t="shared" si="197"/>
        <v>222001.0564309764</v>
      </c>
      <c r="HZ30" s="152">
        <f t="shared" si="198"/>
        <v>235.69</v>
      </c>
      <c r="IA30" s="153">
        <f t="shared" si="199"/>
        <v>222001.0564309764</v>
      </c>
      <c r="IB30" s="152">
        <f t="shared" si="200"/>
        <v>235.69</v>
      </c>
      <c r="IC30" s="153">
        <f t="shared" si="201"/>
        <v>222001.0564309764</v>
      </c>
      <c r="ID30" s="152">
        <f t="shared" si="202"/>
        <v>235.69</v>
      </c>
      <c r="IE30" s="153">
        <f t="shared" si="203"/>
        <v>222001.0564309764</v>
      </c>
      <c r="IF30" s="152">
        <f t="shared" si="204"/>
        <v>235.69</v>
      </c>
      <c r="IG30" s="153">
        <f t="shared" si="205"/>
        <v>222001.0564309764</v>
      </c>
      <c r="IH30" s="152">
        <f t="shared" si="206"/>
        <v>235.69</v>
      </c>
      <c r="II30" s="153">
        <f t="shared" si="207"/>
        <v>222001.0564309764</v>
      </c>
      <c r="IJ30" s="152">
        <f t="shared" si="208"/>
        <v>235.69</v>
      </c>
      <c r="IK30" s="153">
        <f t="shared" si="209"/>
        <v>222001.0564309764</v>
      </c>
      <c r="IL30" s="158">
        <f t="shared" si="210"/>
        <v>2356.9</v>
      </c>
      <c r="IM30" s="159">
        <f t="shared" si="211"/>
        <v>2220010.5643097642</v>
      </c>
      <c r="IO30" s="149">
        <v>1225</v>
      </c>
      <c r="IP30" s="167">
        <v>1</v>
      </c>
      <c r="IQ30" s="161">
        <f t="shared" si="298"/>
        <v>1153851.6446516446</v>
      </c>
      <c r="IR30" s="152">
        <f t="shared" si="212"/>
        <v>1225</v>
      </c>
      <c r="IS30" s="153">
        <f t="shared" si="213"/>
        <v>1153851.6446516446</v>
      </c>
      <c r="IT30" s="152">
        <f t="shared" ref="IT30:JF70" si="401">+$IO30*$IP30</f>
        <v>1225</v>
      </c>
      <c r="IU30" s="285">
        <f t="shared" si="214"/>
        <v>1153851.6446516446</v>
      </c>
      <c r="IV30" s="152">
        <f t="shared" ref="IV30:IV69" si="402">+$IO30*$IP30</f>
        <v>1225</v>
      </c>
      <c r="IW30" s="285">
        <f t="shared" si="214"/>
        <v>1153851.6446516446</v>
      </c>
      <c r="IX30" s="152">
        <f t="shared" ref="IX30:IX69" si="403">+$IO30*$IP30</f>
        <v>1225</v>
      </c>
      <c r="IY30" s="285">
        <f t="shared" si="215"/>
        <v>1153851.6446516446</v>
      </c>
      <c r="IZ30" s="152">
        <f t="shared" ref="IZ30:IZ69" si="404">+$IO30*$IP30</f>
        <v>1225</v>
      </c>
      <c r="JA30" s="285">
        <f t="shared" si="216"/>
        <v>1153851.6446516446</v>
      </c>
      <c r="JB30" s="152">
        <f t="shared" ref="JB30:JB69" si="405">+$IO30*$IP30</f>
        <v>1225</v>
      </c>
      <c r="JC30" s="285">
        <f t="shared" si="217"/>
        <v>1153851.6446516446</v>
      </c>
      <c r="JD30" s="152">
        <f t="shared" si="218"/>
        <v>1225</v>
      </c>
      <c r="JE30" s="285">
        <f t="shared" si="219"/>
        <v>1153851.6446516446</v>
      </c>
      <c r="JF30" s="152">
        <f t="shared" ref="JF30:JF69" si="406">+$IO30*$IP30</f>
        <v>1225</v>
      </c>
      <c r="JG30" s="285">
        <f t="shared" si="220"/>
        <v>1153851.6446516446</v>
      </c>
      <c r="JH30" s="152">
        <f t="shared" si="221"/>
        <v>1225</v>
      </c>
      <c r="JI30" s="285">
        <f t="shared" si="222"/>
        <v>1153851.6446516446</v>
      </c>
      <c r="JJ30" s="152">
        <f t="shared" ref="JJ30:JJ94" si="407">+$IO30*$IP30</f>
        <v>1225</v>
      </c>
      <c r="JK30" s="285">
        <f t="shared" si="223"/>
        <v>1153851.6446516446</v>
      </c>
      <c r="JL30" s="152">
        <f t="shared" si="224"/>
        <v>1225</v>
      </c>
      <c r="JM30" s="285">
        <f t="shared" si="225"/>
        <v>1153851.6446516446</v>
      </c>
      <c r="JN30" s="152">
        <f t="shared" ref="JN30:JN94" si="408">+$IO30*$IP30</f>
        <v>1225</v>
      </c>
      <c r="JO30" s="285">
        <f t="shared" si="226"/>
        <v>1153851.6446516446</v>
      </c>
      <c r="JP30" s="158">
        <f t="shared" si="227"/>
        <v>14700</v>
      </c>
      <c r="JQ30" s="159">
        <f t="shared" si="228"/>
        <v>13846219.735819735</v>
      </c>
      <c r="JS30" s="149">
        <v>212</v>
      </c>
      <c r="JT30" s="167">
        <v>1</v>
      </c>
      <c r="JU30" s="161">
        <f t="shared" si="58"/>
        <v>199686.97850297848</v>
      </c>
      <c r="JV30" s="152">
        <f t="shared" si="229"/>
        <v>212</v>
      </c>
      <c r="JW30" s="153">
        <f t="shared" si="230"/>
        <v>199686.97850297848</v>
      </c>
      <c r="JX30" s="368"/>
      <c r="JY30" s="153">
        <f t="shared" si="231"/>
        <v>0</v>
      </c>
      <c r="JZ30" s="368"/>
      <c r="KA30" s="153">
        <f t="shared" si="231"/>
        <v>0</v>
      </c>
      <c r="KB30" s="368"/>
      <c r="KC30" s="153">
        <f t="shared" si="232"/>
        <v>0</v>
      </c>
      <c r="KD30" s="368"/>
      <c r="KE30" s="153">
        <f t="shared" si="233"/>
        <v>0</v>
      </c>
      <c r="KF30" s="368"/>
      <c r="KG30" s="153">
        <f t="shared" si="234"/>
        <v>0</v>
      </c>
      <c r="KH30" s="368"/>
      <c r="KI30" s="153">
        <f t="shared" si="236"/>
        <v>0</v>
      </c>
      <c r="KJ30" s="368"/>
      <c r="KK30" s="153">
        <f t="shared" si="237"/>
        <v>0</v>
      </c>
      <c r="KL30" s="368"/>
      <c r="KM30" s="153">
        <f t="shared" si="239"/>
        <v>0</v>
      </c>
      <c r="KN30" s="368"/>
      <c r="KO30" s="153">
        <f t="shared" si="240"/>
        <v>0</v>
      </c>
      <c r="KP30" s="368"/>
      <c r="KQ30" s="153">
        <f t="shared" si="242"/>
        <v>0</v>
      </c>
      <c r="KR30" s="368"/>
      <c r="KS30" s="154">
        <f t="shared" si="243"/>
        <v>0</v>
      </c>
      <c r="KT30" s="158">
        <f t="shared" si="244"/>
        <v>212</v>
      </c>
      <c r="KU30" s="159">
        <f t="shared" si="67"/>
        <v>199686.97850297848</v>
      </c>
      <c r="KW30" s="149"/>
      <c r="KX30" s="167"/>
      <c r="KY30" s="157"/>
      <c r="KZ30" s="152">
        <f t="shared" si="271"/>
        <v>0</v>
      </c>
      <c r="LA30" s="153"/>
      <c r="LB30" s="152">
        <f t="shared" si="272"/>
        <v>0</v>
      </c>
      <c r="LC30" s="153">
        <f t="shared" si="246"/>
        <v>0</v>
      </c>
      <c r="LD30" s="152">
        <f t="shared" si="272"/>
        <v>0</v>
      </c>
      <c r="LE30" s="153">
        <f t="shared" si="246"/>
        <v>0</v>
      </c>
      <c r="LF30" s="152">
        <f t="shared" si="272"/>
        <v>0</v>
      </c>
      <c r="LG30" s="153">
        <f t="shared" si="247"/>
        <v>0</v>
      </c>
      <c r="LH30" s="152">
        <f t="shared" si="272"/>
        <v>0</v>
      </c>
      <c r="LI30" s="153">
        <f t="shared" si="248"/>
        <v>0</v>
      </c>
      <c r="LJ30" s="152">
        <f t="shared" si="273"/>
        <v>0</v>
      </c>
      <c r="LK30" s="153">
        <f t="shared" si="249"/>
        <v>0</v>
      </c>
      <c r="LL30" s="152">
        <f t="shared" si="274"/>
        <v>0</v>
      </c>
      <c r="LM30" s="153">
        <f t="shared" si="250"/>
        <v>0</v>
      </c>
      <c r="LN30" s="152">
        <f t="shared" si="275"/>
        <v>0</v>
      </c>
      <c r="LO30" s="153">
        <f t="shared" si="251"/>
        <v>0</v>
      </c>
      <c r="LP30" s="152">
        <f t="shared" si="276"/>
        <v>0</v>
      </c>
      <c r="LQ30" s="153">
        <f t="shared" si="252"/>
        <v>0</v>
      </c>
      <c r="LR30" s="152">
        <f t="shared" si="277"/>
        <v>0</v>
      </c>
      <c r="LS30" s="153">
        <f t="shared" si="253"/>
        <v>0</v>
      </c>
      <c r="LT30" s="152">
        <f t="shared" si="278"/>
        <v>0</v>
      </c>
      <c r="LU30" s="153">
        <f t="shared" si="254"/>
        <v>0</v>
      </c>
      <c r="LV30" s="152">
        <f t="shared" si="279"/>
        <v>0</v>
      </c>
      <c r="LW30" s="153">
        <f t="shared" si="255"/>
        <v>0</v>
      </c>
      <c r="LX30" s="158">
        <f t="shared" si="256"/>
        <v>0</v>
      </c>
      <c r="LY30" s="159">
        <f t="shared" si="257"/>
        <v>0</v>
      </c>
      <c r="MA30" s="164">
        <f t="shared" si="69"/>
        <v>16145.88</v>
      </c>
      <c r="MB30" s="386">
        <f t="shared" si="258"/>
        <v>15208122.605998443</v>
      </c>
      <c r="MC30" s="394">
        <f t="shared" si="70"/>
        <v>15933.88</v>
      </c>
      <c r="MD30" s="386">
        <f t="shared" si="259"/>
        <v>15008435.627495466</v>
      </c>
      <c r="ME30" s="394">
        <f t="shared" si="71"/>
        <v>16169.57</v>
      </c>
      <c r="MF30" s="386">
        <f t="shared" si="259"/>
        <v>15230436.683926443</v>
      </c>
      <c r="MG30" s="394">
        <f t="shared" si="72"/>
        <v>16169.57</v>
      </c>
      <c r="MH30" s="386">
        <f t="shared" si="260"/>
        <v>15230436.683926443</v>
      </c>
      <c r="MI30" s="394">
        <f t="shared" si="73"/>
        <v>16169.57</v>
      </c>
      <c r="MJ30" s="386">
        <f t="shared" si="261"/>
        <v>15230436.683926443</v>
      </c>
      <c r="MK30" s="394">
        <f t="shared" si="74"/>
        <v>16169.57</v>
      </c>
      <c r="ML30" s="386">
        <f t="shared" si="262"/>
        <v>15230436.683926443</v>
      </c>
      <c r="MM30" s="394">
        <f t="shared" si="75"/>
        <v>16169.57</v>
      </c>
      <c r="MN30" s="386">
        <f t="shared" si="263"/>
        <v>15230436.683926443</v>
      </c>
      <c r="MO30" s="394">
        <f t="shared" si="76"/>
        <v>16169.57</v>
      </c>
      <c r="MP30" s="386">
        <f t="shared" si="264"/>
        <v>15230436.683926443</v>
      </c>
      <c r="MQ30" s="394">
        <f t="shared" si="77"/>
        <v>16169.57</v>
      </c>
      <c r="MR30" s="386">
        <f t="shared" si="265"/>
        <v>15230436.683926443</v>
      </c>
      <c r="MS30" s="394">
        <f t="shared" si="78"/>
        <v>16169.57</v>
      </c>
      <c r="MT30" s="386">
        <f t="shared" si="266"/>
        <v>15230436.683926443</v>
      </c>
      <c r="MU30" s="394">
        <f t="shared" si="79"/>
        <v>16169.57</v>
      </c>
      <c r="MV30" s="386">
        <f t="shared" si="267"/>
        <v>15230436.683926443</v>
      </c>
      <c r="MW30" s="394">
        <f t="shared" si="80"/>
        <v>16169.57</v>
      </c>
      <c r="MX30" s="386">
        <f t="shared" si="268"/>
        <v>15230436.683926443</v>
      </c>
      <c r="MY30" s="165">
        <f t="shared" si="269"/>
        <v>193775.46000000005</v>
      </c>
      <c r="MZ30" s="166">
        <f t="shared" si="270"/>
        <v>182520925.07275838</v>
      </c>
    </row>
    <row r="31" spans="1:364" s="126" customFormat="1" ht="52.8" x14ac:dyDescent="0.3">
      <c r="A31" s="528"/>
      <c r="B31" s="14" t="s">
        <v>84</v>
      </c>
      <c r="C31" s="147" t="s">
        <v>85</v>
      </c>
      <c r="D31" s="148" t="s">
        <v>25</v>
      </c>
      <c r="E31" s="14">
        <v>1</v>
      </c>
      <c r="F31" s="346">
        <v>222.09272209272206</v>
      </c>
      <c r="G31" s="346">
        <f t="shared" si="81"/>
        <v>231.34870068203398</v>
      </c>
      <c r="I31" s="149">
        <f>+I20</f>
        <v>544.67999999999995</v>
      </c>
      <c r="J31" s="167">
        <v>1</v>
      </c>
      <c r="K31" s="151">
        <f t="shared" si="82"/>
        <v>126011.01028749025</v>
      </c>
      <c r="L31" s="152">
        <f t="shared" si="300"/>
        <v>544.67999999999995</v>
      </c>
      <c r="M31" s="285">
        <f t="shared" si="301"/>
        <v>126011.01028749025</v>
      </c>
      <c r="N31" s="152">
        <f t="shared" si="361"/>
        <v>544.67999999999995</v>
      </c>
      <c r="O31" s="285">
        <f t="shared" si="302"/>
        <v>126011.01028749025</v>
      </c>
      <c r="P31" s="152">
        <f t="shared" si="362"/>
        <v>544.67999999999995</v>
      </c>
      <c r="Q31" s="285">
        <f t="shared" si="302"/>
        <v>126011.01028749025</v>
      </c>
      <c r="R31" s="152">
        <f t="shared" si="363"/>
        <v>544.67999999999995</v>
      </c>
      <c r="S31" s="285">
        <f t="shared" si="86"/>
        <v>126011.01028749025</v>
      </c>
      <c r="T31" s="152">
        <f t="shared" si="364"/>
        <v>544.67999999999995</v>
      </c>
      <c r="U31" s="285">
        <f t="shared" si="87"/>
        <v>126011.01028749025</v>
      </c>
      <c r="V31" s="152">
        <f>+$I31*$J31</f>
        <v>544.67999999999995</v>
      </c>
      <c r="W31" s="285">
        <f t="shared" si="88"/>
        <v>126011.01028749025</v>
      </c>
      <c r="X31" s="152">
        <f t="shared" si="305"/>
        <v>544.67999999999995</v>
      </c>
      <c r="Y31" s="285">
        <f t="shared" si="89"/>
        <v>126011.01028749025</v>
      </c>
      <c r="Z31" s="152">
        <f t="shared" si="365"/>
        <v>544.67999999999995</v>
      </c>
      <c r="AA31" s="285">
        <f t="shared" si="90"/>
        <v>126011.01028749025</v>
      </c>
      <c r="AB31" s="152">
        <f t="shared" si="306"/>
        <v>544.67999999999995</v>
      </c>
      <c r="AC31" s="285">
        <f t="shared" si="91"/>
        <v>126011.01028749025</v>
      </c>
      <c r="AD31" s="152">
        <f t="shared" si="366"/>
        <v>544.67999999999995</v>
      </c>
      <c r="AE31" s="285">
        <f t="shared" si="92"/>
        <v>126011.01028749025</v>
      </c>
      <c r="AF31" s="152">
        <f t="shared" si="307"/>
        <v>544.67999999999995</v>
      </c>
      <c r="AG31" s="285">
        <f t="shared" si="308"/>
        <v>126011.01028749025</v>
      </c>
      <c r="AH31" s="152">
        <f t="shared" si="367"/>
        <v>544.67999999999995</v>
      </c>
      <c r="AI31" s="294">
        <f t="shared" si="309"/>
        <v>126011.01028749025</v>
      </c>
      <c r="AJ31" s="156">
        <f t="shared" si="94"/>
        <v>6536.1600000000008</v>
      </c>
      <c r="AK31" s="306">
        <f t="shared" si="95"/>
        <v>1512132.1234498834</v>
      </c>
      <c r="AM31" s="149">
        <v>0</v>
      </c>
      <c r="AN31" s="167">
        <v>1</v>
      </c>
      <c r="AO31" s="157">
        <f t="shared" si="285"/>
        <v>0</v>
      </c>
      <c r="AP31" s="152">
        <f t="shared" si="328"/>
        <v>0</v>
      </c>
      <c r="AQ31" s="285">
        <f t="shared" si="96"/>
        <v>0</v>
      </c>
      <c r="AR31" s="317">
        <f t="shared" si="329"/>
        <v>0</v>
      </c>
      <c r="AS31" s="285">
        <f t="shared" si="96"/>
        <v>0</v>
      </c>
      <c r="AT31" s="317">
        <f t="shared" si="330"/>
        <v>0</v>
      </c>
      <c r="AU31" s="285">
        <f t="shared" si="96"/>
        <v>0</v>
      </c>
      <c r="AV31" s="317">
        <f t="shared" si="331"/>
        <v>0</v>
      </c>
      <c r="AW31" s="285">
        <f t="shared" si="98"/>
        <v>0</v>
      </c>
      <c r="AX31" s="317">
        <f t="shared" si="5"/>
        <v>0</v>
      </c>
      <c r="AY31" s="285">
        <f t="shared" si="99"/>
        <v>0</v>
      </c>
      <c r="AZ31" s="317">
        <f t="shared" si="332"/>
        <v>0</v>
      </c>
      <c r="BA31" s="285">
        <f t="shared" si="100"/>
        <v>0</v>
      </c>
      <c r="BB31" s="317">
        <f t="shared" si="7"/>
        <v>0</v>
      </c>
      <c r="BC31" s="285">
        <f t="shared" si="101"/>
        <v>0</v>
      </c>
      <c r="BD31" s="317">
        <f t="shared" si="333"/>
        <v>0</v>
      </c>
      <c r="BE31" s="285">
        <f t="shared" si="102"/>
        <v>0</v>
      </c>
      <c r="BF31" s="317">
        <f t="shared" si="9"/>
        <v>0</v>
      </c>
      <c r="BG31" s="285">
        <f t="shared" si="103"/>
        <v>0</v>
      </c>
      <c r="BH31" s="317">
        <f t="shared" si="334"/>
        <v>0</v>
      </c>
      <c r="BI31" s="285">
        <f t="shared" si="310"/>
        <v>0</v>
      </c>
      <c r="BJ31" s="317">
        <f t="shared" si="335"/>
        <v>0</v>
      </c>
      <c r="BK31" s="285">
        <f t="shared" si="310"/>
        <v>0</v>
      </c>
      <c r="BL31" s="152">
        <f t="shared" si="336"/>
        <v>0</v>
      </c>
      <c r="BM31" s="296">
        <f t="shared" si="105"/>
        <v>0</v>
      </c>
      <c r="BN31" s="158">
        <f t="shared" si="106"/>
        <v>0</v>
      </c>
      <c r="BO31" s="307">
        <f t="shared" si="13"/>
        <v>0</v>
      </c>
      <c r="BQ31" s="149">
        <v>0</v>
      </c>
      <c r="BR31" s="167">
        <v>1</v>
      </c>
      <c r="BS31" s="160">
        <f t="shared" si="281"/>
        <v>0</v>
      </c>
      <c r="BT31" s="152">
        <f t="shared" si="280"/>
        <v>0</v>
      </c>
      <c r="BU31" s="332">
        <f t="shared" si="107"/>
        <v>0</v>
      </c>
      <c r="BV31" s="152">
        <f t="shared" si="368"/>
        <v>0</v>
      </c>
      <c r="BW31" s="153">
        <f t="shared" si="108"/>
        <v>0</v>
      </c>
      <c r="BX31" s="152">
        <f t="shared" si="369"/>
        <v>0</v>
      </c>
      <c r="BY31" s="153">
        <f t="shared" si="109"/>
        <v>0</v>
      </c>
      <c r="BZ31" s="152">
        <f t="shared" si="370"/>
        <v>0</v>
      </c>
      <c r="CA31" s="153">
        <f t="shared" si="110"/>
        <v>0</v>
      </c>
      <c r="CB31" s="152">
        <f t="shared" si="371"/>
        <v>0</v>
      </c>
      <c r="CC31" s="153">
        <f t="shared" si="111"/>
        <v>0</v>
      </c>
      <c r="CD31" s="152">
        <f t="shared" si="372"/>
        <v>0</v>
      </c>
      <c r="CE31" s="153">
        <f t="shared" si="112"/>
        <v>0</v>
      </c>
      <c r="CF31" s="152">
        <f t="shared" si="113"/>
        <v>0</v>
      </c>
      <c r="CG31" s="153">
        <f t="shared" si="114"/>
        <v>0</v>
      </c>
      <c r="CH31" s="152">
        <f t="shared" si="373"/>
        <v>0</v>
      </c>
      <c r="CI31" s="153">
        <f t="shared" si="115"/>
        <v>0</v>
      </c>
      <c r="CJ31" s="152">
        <f t="shared" si="116"/>
        <v>0</v>
      </c>
      <c r="CK31" s="153">
        <f t="shared" si="117"/>
        <v>0</v>
      </c>
      <c r="CL31" s="152">
        <f t="shared" si="374"/>
        <v>0</v>
      </c>
      <c r="CM31" s="153">
        <f t="shared" si="118"/>
        <v>0</v>
      </c>
      <c r="CN31" s="152">
        <f t="shared" si="119"/>
        <v>0</v>
      </c>
      <c r="CO31" s="153">
        <f t="shared" si="120"/>
        <v>0</v>
      </c>
      <c r="CP31" s="152">
        <f t="shared" si="375"/>
        <v>0</v>
      </c>
      <c r="CQ31" s="154">
        <f t="shared" si="23"/>
        <v>0</v>
      </c>
      <c r="CR31" s="158">
        <f t="shared" si="121"/>
        <v>0</v>
      </c>
      <c r="CS31" s="159">
        <f t="shared" si="24"/>
        <v>0</v>
      </c>
      <c r="CU31" s="149"/>
      <c r="CV31" s="167"/>
      <c r="CW31" s="161">
        <f t="shared" si="299"/>
        <v>0</v>
      </c>
      <c r="CX31" s="152">
        <f t="shared" si="122"/>
        <v>0</v>
      </c>
      <c r="CY31" s="153">
        <f t="shared" si="123"/>
        <v>0</v>
      </c>
      <c r="CZ31" s="152">
        <f t="shared" si="376"/>
        <v>0</v>
      </c>
      <c r="DA31" s="285">
        <f t="shared" si="123"/>
        <v>0</v>
      </c>
      <c r="DB31" s="152">
        <f t="shared" si="377"/>
        <v>0</v>
      </c>
      <c r="DC31" s="285">
        <f t="shared" si="124"/>
        <v>0</v>
      </c>
      <c r="DD31" s="152">
        <f t="shared" si="378"/>
        <v>0</v>
      </c>
      <c r="DE31" s="285">
        <f t="shared" si="125"/>
        <v>0</v>
      </c>
      <c r="DF31" s="152">
        <f t="shared" si="379"/>
        <v>0</v>
      </c>
      <c r="DG31" s="285">
        <f t="shared" si="126"/>
        <v>0</v>
      </c>
      <c r="DH31" s="152">
        <f t="shared" si="380"/>
        <v>0</v>
      </c>
      <c r="DI31" s="285">
        <f t="shared" si="127"/>
        <v>0</v>
      </c>
      <c r="DJ31" s="152">
        <f t="shared" si="128"/>
        <v>0</v>
      </c>
      <c r="DK31" s="285">
        <f t="shared" si="129"/>
        <v>0</v>
      </c>
      <c r="DL31" s="152">
        <f t="shared" si="381"/>
        <v>0</v>
      </c>
      <c r="DM31" s="285">
        <f t="shared" si="130"/>
        <v>0</v>
      </c>
      <c r="DN31" s="152">
        <f t="shared" si="131"/>
        <v>0</v>
      </c>
      <c r="DO31" s="285">
        <f t="shared" si="132"/>
        <v>0</v>
      </c>
      <c r="DP31" s="152">
        <f t="shared" si="382"/>
        <v>0</v>
      </c>
      <c r="DQ31" s="285">
        <f t="shared" si="133"/>
        <v>0</v>
      </c>
      <c r="DR31" s="152">
        <f t="shared" si="134"/>
        <v>0</v>
      </c>
      <c r="DS31" s="285">
        <f t="shared" si="135"/>
        <v>0</v>
      </c>
      <c r="DT31" s="152">
        <f t="shared" si="383"/>
        <v>0</v>
      </c>
      <c r="DU31" s="285">
        <f t="shared" si="136"/>
        <v>0</v>
      </c>
      <c r="DV31" s="158">
        <f t="shared" si="137"/>
        <v>0</v>
      </c>
      <c r="DW31" s="159">
        <f t="shared" si="34"/>
        <v>0</v>
      </c>
      <c r="DY31" s="164">
        <f>+DY20</f>
        <v>830.70999999999992</v>
      </c>
      <c r="DZ31" s="167">
        <v>1</v>
      </c>
      <c r="EA31" s="161">
        <f t="shared" si="35"/>
        <v>192183.67914357243</v>
      </c>
      <c r="EB31" s="152">
        <f t="shared" si="384"/>
        <v>830.70999999999992</v>
      </c>
      <c r="EC31" s="153">
        <f t="shared" si="139"/>
        <v>192183.67914357243</v>
      </c>
      <c r="ED31" s="317">
        <f t="shared" si="385"/>
        <v>830.70999999999992</v>
      </c>
      <c r="EE31" s="153">
        <f t="shared" si="139"/>
        <v>192183.67914357243</v>
      </c>
      <c r="EF31" s="152">
        <f t="shared" si="386"/>
        <v>830.70999999999992</v>
      </c>
      <c r="EG31" s="153">
        <f t="shared" si="311"/>
        <v>192183.67914357243</v>
      </c>
      <c r="EH31" s="152">
        <f t="shared" si="387"/>
        <v>830.70999999999992</v>
      </c>
      <c r="EI31" s="153">
        <f t="shared" si="311"/>
        <v>192183.67914357243</v>
      </c>
      <c r="EJ31" s="152">
        <f t="shared" si="388"/>
        <v>830.70999999999992</v>
      </c>
      <c r="EK31" s="153">
        <f t="shared" si="143"/>
        <v>192183.67914357243</v>
      </c>
      <c r="EL31" s="152">
        <f t="shared" si="389"/>
        <v>830.70999999999992</v>
      </c>
      <c r="EM31" s="153">
        <f t="shared" si="144"/>
        <v>192183.67914357243</v>
      </c>
      <c r="EN31" s="152">
        <f t="shared" si="290"/>
        <v>830.70999999999992</v>
      </c>
      <c r="EO31" s="153">
        <f t="shared" si="145"/>
        <v>192183.67914357243</v>
      </c>
      <c r="EP31" s="152">
        <f t="shared" si="390"/>
        <v>830.70999999999992</v>
      </c>
      <c r="EQ31" s="153">
        <f t="shared" si="146"/>
        <v>192183.67914357243</v>
      </c>
      <c r="ER31" s="152">
        <f t="shared" si="292"/>
        <v>830.70999999999992</v>
      </c>
      <c r="ES31" s="153">
        <f t="shared" si="147"/>
        <v>192183.67914357243</v>
      </c>
      <c r="ET31" s="152">
        <f t="shared" si="391"/>
        <v>830.70999999999992</v>
      </c>
      <c r="EU31" s="153">
        <f t="shared" si="148"/>
        <v>192183.67914357243</v>
      </c>
      <c r="EV31" s="152">
        <f t="shared" si="294"/>
        <v>830.70999999999992</v>
      </c>
      <c r="EW31" s="153">
        <f t="shared" si="149"/>
        <v>192183.67914357243</v>
      </c>
      <c r="EX31" s="152">
        <f t="shared" si="392"/>
        <v>830.70999999999992</v>
      </c>
      <c r="EY31" s="153">
        <f t="shared" si="150"/>
        <v>192183.67914357243</v>
      </c>
      <c r="EZ31" s="158">
        <f t="shared" si="151"/>
        <v>9968.5199999999968</v>
      </c>
      <c r="FA31" s="159">
        <f t="shared" si="36"/>
        <v>2306204.1497228686</v>
      </c>
      <c r="FC31" s="163">
        <f>+FC20</f>
        <v>65.989999999999995</v>
      </c>
      <c r="FD31" s="167">
        <v>1</v>
      </c>
      <c r="FE31" s="161">
        <f t="shared" si="296"/>
        <v>15266.700758007421</v>
      </c>
      <c r="FF31" s="152">
        <f t="shared" si="153"/>
        <v>65.989999999999995</v>
      </c>
      <c r="FG31" s="153">
        <f t="shared" si="154"/>
        <v>15266.700758007421</v>
      </c>
      <c r="FH31" s="368">
        <f t="shared" si="393"/>
        <v>65.989999999999995</v>
      </c>
      <c r="FI31" s="153">
        <f t="shared" si="155"/>
        <v>15266.700758007421</v>
      </c>
      <c r="FJ31" s="368">
        <f t="shared" si="394"/>
        <v>65.989999999999995</v>
      </c>
      <c r="FK31" s="153">
        <f t="shared" si="155"/>
        <v>15266.700758007421</v>
      </c>
      <c r="FL31" s="368">
        <f t="shared" si="395"/>
        <v>65.989999999999995</v>
      </c>
      <c r="FM31" s="153">
        <f t="shared" si="156"/>
        <v>15266.700758007421</v>
      </c>
      <c r="FN31" s="368">
        <f t="shared" si="396"/>
        <v>65.989999999999995</v>
      </c>
      <c r="FO31" s="153">
        <f t="shared" si="157"/>
        <v>15266.700758007421</v>
      </c>
      <c r="FP31" s="368">
        <f t="shared" si="397"/>
        <v>65.989999999999995</v>
      </c>
      <c r="FQ31" s="153">
        <f t="shared" si="158"/>
        <v>15266.700758007421</v>
      </c>
      <c r="FR31" s="368">
        <f t="shared" si="159"/>
        <v>65.989999999999995</v>
      </c>
      <c r="FS31" s="153">
        <f t="shared" si="160"/>
        <v>15266.700758007421</v>
      </c>
      <c r="FT31" s="368">
        <f t="shared" si="398"/>
        <v>65.989999999999995</v>
      </c>
      <c r="FU31" s="153">
        <f t="shared" si="161"/>
        <v>15266.700758007421</v>
      </c>
      <c r="FV31" s="368">
        <f t="shared" si="162"/>
        <v>65.989999999999995</v>
      </c>
      <c r="FW31" s="153">
        <f t="shared" si="163"/>
        <v>15266.700758007421</v>
      </c>
      <c r="FX31" s="368">
        <f t="shared" si="399"/>
        <v>65.989999999999995</v>
      </c>
      <c r="FY31" s="153">
        <f t="shared" si="164"/>
        <v>15266.700758007421</v>
      </c>
      <c r="FZ31" s="368">
        <f t="shared" si="165"/>
        <v>65.989999999999995</v>
      </c>
      <c r="GA31" s="153">
        <f t="shared" si="166"/>
        <v>15266.700758007421</v>
      </c>
      <c r="GB31" s="368">
        <f t="shared" si="400"/>
        <v>65.989999999999995</v>
      </c>
      <c r="GC31" s="153">
        <f t="shared" si="167"/>
        <v>15266.700758007421</v>
      </c>
      <c r="GD31" s="158">
        <f t="shared" si="168"/>
        <v>791.88</v>
      </c>
      <c r="GE31" s="159">
        <f t="shared" si="45"/>
        <v>183200.40909608908</v>
      </c>
      <c r="GG31" s="149">
        <f>+GG20</f>
        <v>55</v>
      </c>
      <c r="GH31" s="459">
        <v>1</v>
      </c>
      <c r="GI31" s="161">
        <f t="shared" si="297"/>
        <v>12724.178537511869</v>
      </c>
      <c r="GJ31" s="152">
        <f>+GG31*GH31</f>
        <v>55</v>
      </c>
      <c r="GK31" s="153">
        <f t="shared" si="170"/>
        <v>12724.178537511869</v>
      </c>
      <c r="GL31" s="152">
        <f t="shared" si="169"/>
        <v>55</v>
      </c>
      <c r="GM31" s="153">
        <f t="shared" si="170"/>
        <v>12724.178537511869</v>
      </c>
      <c r="GN31" s="152">
        <f t="shared" si="169"/>
        <v>55</v>
      </c>
      <c r="GO31" s="153">
        <f t="shared" si="171"/>
        <v>12724.178537511869</v>
      </c>
      <c r="GP31" s="152">
        <f t="shared" si="169"/>
        <v>55</v>
      </c>
      <c r="GQ31" s="153">
        <f t="shared" si="172"/>
        <v>12724.178537511869</v>
      </c>
      <c r="GR31" s="152">
        <f t="shared" si="173"/>
        <v>55</v>
      </c>
      <c r="GS31" s="153">
        <f t="shared" si="174"/>
        <v>12724.178537511869</v>
      </c>
      <c r="GT31" s="152">
        <f t="shared" si="175"/>
        <v>55</v>
      </c>
      <c r="GU31" s="153">
        <f t="shared" si="176"/>
        <v>12724.178537511869</v>
      </c>
      <c r="GV31" s="152">
        <f t="shared" si="177"/>
        <v>55</v>
      </c>
      <c r="GW31" s="153">
        <f t="shared" si="178"/>
        <v>12724.178537511869</v>
      </c>
      <c r="GX31" s="152">
        <f t="shared" si="179"/>
        <v>55</v>
      </c>
      <c r="GY31" s="153">
        <f t="shared" si="180"/>
        <v>12724.178537511869</v>
      </c>
      <c r="GZ31" s="152">
        <f t="shared" si="181"/>
        <v>55</v>
      </c>
      <c r="HA31" s="153">
        <f t="shared" si="182"/>
        <v>12724.178537511869</v>
      </c>
      <c r="HB31" s="152">
        <f t="shared" si="183"/>
        <v>55</v>
      </c>
      <c r="HC31" s="153">
        <f t="shared" si="184"/>
        <v>12724.178537511869</v>
      </c>
      <c r="HD31" s="152">
        <f t="shared" si="185"/>
        <v>55</v>
      </c>
      <c r="HE31" s="153">
        <f t="shared" si="186"/>
        <v>12724.178537511869</v>
      </c>
      <c r="HF31" s="152">
        <f t="shared" si="187"/>
        <v>55</v>
      </c>
      <c r="HG31" s="153">
        <f t="shared" si="188"/>
        <v>12724.178537511869</v>
      </c>
      <c r="HH31" s="158">
        <f t="shared" si="189"/>
        <v>660</v>
      </c>
      <c r="HI31" s="159">
        <f t="shared" si="47"/>
        <v>152690.14245014242</v>
      </c>
      <c r="HK31" s="149">
        <f>+HK20</f>
        <v>262.85000000000002</v>
      </c>
      <c r="HL31" s="459">
        <v>1</v>
      </c>
      <c r="HM31" s="161">
        <f t="shared" si="48"/>
        <v>60810.005974272637</v>
      </c>
      <c r="HN31" s="152">
        <v>0</v>
      </c>
      <c r="HO31" s="153">
        <f t="shared" si="191"/>
        <v>0</v>
      </c>
      <c r="HP31" s="152">
        <v>0</v>
      </c>
      <c r="HQ31" s="153">
        <f t="shared" si="193"/>
        <v>0</v>
      </c>
      <c r="HR31" s="152">
        <f t="shared" si="192"/>
        <v>262.85000000000002</v>
      </c>
      <c r="HS31" s="153">
        <f t="shared" si="193"/>
        <v>60810.005974272637</v>
      </c>
      <c r="HT31" s="152">
        <f t="shared" si="192"/>
        <v>262.85000000000002</v>
      </c>
      <c r="HU31" s="153">
        <f t="shared" si="194"/>
        <v>60810.005974272637</v>
      </c>
      <c r="HV31" s="152">
        <f t="shared" si="192"/>
        <v>262.85000000000002</v>
      </c>
      <c r="HW31" s="153">
        <f t="shared" si="195"/>
        <v>60810.005974272637</v>
      </c>
      <c r="HX31" s="152">
        <f t="shared" si="196"/>
        <v>262.85000000000002</v>
      </c>
      <c r="HY31" s="153">
        <f t="shared" si="197"/>
        <v>60810.005974272637</v>
      </c>
      <c r="HZ31" s="152">
        <f t="shared" si="198"/>
        <v>262.85000000000002</v>
      </c>
      <c r="IA31" s="153">
        <f t="shared" si="199"/>
        <v>60810.005974272637</v>
      </c>
      <c r="IB31" s="152">
        <f t="shared" si="200"/>
        <v>262.85000000000002</v>
      </c>
      <c r="IC31" s="153">
        <f t="shared" si="201"/>
        <v>60810.005974272637</v>
      </c>
      <c r="ID31" s="152">
        <f t="shared" si="202"/>
        <v>262.85000000000002</v>
      </c>
      <c r="IE31" s="153">
        <f t="shared" si="203"/>
        <v>60810.005974272637</v>
      </c>
      <c r="IF31" s="152">
        <f t="shared" si="204"/>
        <v>262.85000000000002</v>
      </c>
      <c r="IG31" s="153">
        <f t="shared" si="205"/>
        <v>60810.005974272637</v>
      </c>
      <c r="IH31" s="152">
        <f t="shared" si="206"/>
        <v>262.85000000000002</v>
      </c>
      <c r="II31" s="153">
        <f t="shared" si="207"/>
        <v>60810.005974272637</v>
      </c>
      <c r="IJ31" s="152">
        <f t="shared" si="208"/>
        <v>262.85000000000002</v>
      </c>
      <c r="IK31" s="153">
        <f t="shared" si="209"/>
        <v>60810.005974272637</v>
      </c>
      <c r="IL31" s="158">
        <f t="shared" si="210"/>
        <v>2628.4999999999995</v>
      </c>
      <c r="IM31" s="159">
        <f t="shared" si="211"/>
        <v>608100.05974272615</v>
      </c>
      <c r="IO31" s="149">
        <v>4663</v>
      </c>
      <c r="IP31" s="167">
        <v>1</v>
      </c>
      <c r="IQ31" s="161">
        <f t="shared" si="298"/>
        <v>1078778.9912803245</v>
      </c>
      <c r="IR31" s="152">
        <f t="shared" si="212"/>
        <v>4663</v>
      </c>
      <c r="IS31" s="153">
        <f t="shared" si="213"/>
        <v>1078778.9912803245</v>
      </c>
      <c r="IT31" s="152">
        <f t="shared" si="401"/>
        <v>4663</v>
      </c>
      <c r="IU31" s="285">
        <f t="shared" si="214"/>
        <v>1078778.9912803245</v>
      </c>
      <c r="IV31" s="152">
        <f t="shared" si="402"/>
        <v>4663</v>
      </c>
      <c r="IW31" s="285">
        <f t="shared" si="214"/>
        <v>1078778.9912803245</v>
      </c>
      <c r="IX31" s="152">
        <f t="shared" si="403"/>
        <v>4663</v>
      </c>
      <c r="IY31" s="285">
        <f t="shared" si="215"/>
        <v>1078778.9912803245</v>
      </c>
      <c r="IZ31" s="152">
        <f t="shared" si="404"/>
        <v>4663</v>
      </c>
      <c r="JA31" s="285">
        <f t="shared" si="216"/>
        <v>1078778.9912803245</v>
      </c>
      <c r="JB31" s="152">
        <f t="shared" si="405"/>
        <v>4663</v>
      </c>
      <c r="JC31" s="285">
        <f t="shared" si="217"/>
        <v>1078778.9912803245</v>
      </c>
      <c r="JD31" s="152">
        <f t="shared" si="218"/>
        <v>4663</v>
      </c>
      <c r="JE31" s="285">
        <f t="shared" si="219"/>
        <v>1078778.9912803245</v>
      </c>
      <c r="JF31" s="152">
        <f t="shared" si="406"/>
        <v>4663</v>
      </c>
      <c r="JG31" s="285">
        <f t="shared" si="220"/>
        <v>1078778.9912803245</v>
      </c>
      <c r="JH31" s="152">
        <f t="shared" si="221"/>
        <v>4663</v>
      </c>
      <c r="JI31" s="285">
        <f t="shared" si="222"/>
        <v>1078778.9912803245</v>
      </c>
      <c r="JJ31" s="152">
        <f t="shared" si="407"/>
        <v>4663</v>
      </c>
      <c r="JK31" s="285">
        <f t="shared" si="223"/>
        <v>1078778.9912803245</v>
      </c>
      <c r="JL31" s="152">
        <f t="shared" si="224"/>
        <v>4663</v>
      </c>
      <c r="JM31" s="285">
        <f t="shared" si="225"/>
        <v>1078778.9912803245</v>
      </c>
      <c r="JN31" s="152">
        <f t="shared" si="408"/>
        <v>4663</v>
      </c>
      <c r="JO31" s="285">
        <f t="shared" si="226"/>
        <v>1078778.9912803245</v>
      </c>
      <c r="JP31" s="158">
        <f t="shared" si="227"/>
        <v>55956</v>
      </c>
      <c r="JQ31" s="159">
        <f t="shared" si="228"/>
        <v>12945347.895363893</v>
      </c>
      <c r="JS31" s="149">
        <v>8810</v>
      </c>
      <c r="JT31" s="167">
        <v>1</v>
      </c>
      <c r="JU31" s="161">
        <f t="shared" si="58"/>
        <v>2038182.0530087193</v>
      </c>
      <c r="JV31" s="152">
        <f t="shared" si="229"/>
        <v>8810</v>
      </c>
      <c r="JW31" s="153">
        <f t="shared" si="230"/>
        <v>2038182.0530087193</v>
      </c>
      <c r="JX31" s="368"/>
      <c r="JY31" s="153">
        <f t="shared" si="231"/>
        <v>0</v>
      </c>
      <c r="JZ31" s="368"/>
      <c r="KA31" s="153">
        <f t="shared" si="231"/>
        <v>0</v>
      </c>
      <c r="KB31" s="368"/>
      <c r="KC31" s="153">
        <f t="shared" si="232"/>
        <v>0</v>
      </c>
      <c r="KD31" s="368"/>
      <c r="KE31" s="153">
        <f t="shared" si="233"/>
        <v>0</v>
      </c>
      <c r="KF31" s="368"/>
      <c r="KG31" s="153">
        <f t="shared" si="234"/>
        <v>0</v>
      </c>
      <c r="KH31" s="368"/>
      <c r="KI31" s="153">
        <f t="shared" si="236"/>
        <v>0</v>
      </c>
      <c r="KJ31" s="368"/>
      <c r="KK31" s="153">
        <f t="shared" si="237"/>
        <v>0</v>
      </c>
      <c r="KL31" s="368"/>
      <c r="KM31" s="153">
        <f t="shared" si="239"/>
        <v>0</v>
      </c>
      <c r="KN31" s="368"/>
      <c r="KO31" s="153">
        <f t="shared" si="240"/>
        <v>0</v>
      </c>
      <c r="KP31" s="368"/>
      <c r="KQ31" s="153">
        <f t="shared" si="242"/>
        <v>0</v>
      </c>
      <c r="KR31" s="368"/>
      <c r="KS31" s="154">
        <f t="shared" si="243"/>
        <v>0</v>
      </c>
      <c r="KT31" s="158">
        <f t="shared" si="244"/>
        <v>8810</v>
      </c>
      <c r="KU31" s="159">
        <f t="shared" si="67"/>
        <v>2038182.0530087193</v>
      </c>
      <c r="KW31" s="149"/>
      <c r="KX31" s="167"/>
      <c r="KY31" s="157"/>
      <c r="KZ31" s="152">
        <f t="shared" si="271"/>
        <v>0</v>
      </c>
      <c r="LA31" s="153"/>
      <c r="LB31" s="152">
        <f t="shared" si="272"/>
        <v>0</v>
      </c>
      <c r="LC31" s="153">
        <f t="shared" si="246"/>
        <v>0</v>
      </c>
      <c r="LD31" s="152">
        <f t="shared" si="272"/>
        <v>0</v>
      </c>
      <c r="LE31" s="153">
        <f t="shared" si="246"/>
        <v>0</v>
      </c>
      <c r="LF31" s="152">
        <f t="shared" si="272"/>
        <v>0</v>
      </c>
      <c r="LG31" s="153">
        <f t="shared" si="247"/>
        <v>0</v>
      </c>
      <c r="LH31" s="152">
        <f t="shared" si="272"/>
        <v>0</v>
      </c>
      <c r="LI31" s="153">
        <f t="shared" si="248"/>
        <v>0</v>
      </c>
      <c r="LJ31" s="152">
        <f t="shared" si="273"/>
        <v>0</v>
      </c>
      <c r="LK31" s="153">
        <f t="shared" si="249"/>
        <v>0</v>
      </c>
      <c r="LL31" s="152">
        <f t="shared" si="274"/>
        <v>0</v>
      </c>
      <c r="LM31" s="153">
        <f t="shared" si="250"/>
        <v>0</v>
      </c>
      <c r="LN31" s="152">
        <f t="shared" si="275"/>
        <v>0</v>
      </c>
      <c r="LO31" s="153">
        <f t="shared" si="251"/>
        <v>0</v>
      </c>
      <c r="LP31" s="152">
        <f t="shared" si="276"/>
        <v>0</v>
      </c>
      <c r="LQ31" s="153">
        <f t="shared" si="252"/>
        <v>0</v>
      </c>
      <c r="LR31" s="152">
        <f t="shared" si="277"/>
        <v>0</v>
      </c>
      <c r="LS31" s="153">
        <f t="shared" si="253"/>
        <v>0</v>
      </c>
      <c r="LT31" s="152">
        <f t="shared" si="278"/>
        <v>0</v>
      </c>
      <c r="LU31" s="153">
        <f t="shared" si="254"/>
        <v>0</v>
      </c>
      <c r="LV31" s="152">
        <f t="shared" si="279"/>
        <v>0</v>
      </c>
      <c r="LW31" s="153">
        <f t="shared" si="255"/>
        <v>0</v>
      </c>
      <c r="LX31" s="158">
        <f t="shared" si="256"/>
        <v>0</v>
      </c>
      <c r="LY31" s="159">
        <f t="shared" si="257"/>
        <v>0</v>
      </c>
      <c r="MA31" s="164">
        <f t="shared" si="69"/>
        <v>14969.380000000001</v>
      </c>
      <c r="MB31" s="386">
        <f t="shared" si="258"/>
        <v>3463146.6130156261</v>
      </c>
      <c r="MC31" s="394">
        <f t="shared" si="70"/>
        <v>6159.38</v>
      </c>
      <c r="MD31" s="386">
        <f t="shared" si="259"/>
        <v>1424964.5600069065</v>
      </c>
      <c r="ME31" s="394">
        <f t="shared" si="71"/>
        <v>6422.23</v>
      </c>
      <c r="MF31" s="386">
        <f t="shared" si="259"/>
        <v>1485774.565981179</v>
      </c>
      <c r="MG31" s="394">
        <f t="shared" si="72"/>
        <v>6422.23</v>
      </c>
      <c r="MH31" s="386">
        <f t="shared" si="260"/>
        <v>1485774.565981179</v>
      </c>
      <c r="MI31" s="394">
        <f t="shared" si="73"/>
        <v>6422.23</v>
      </c>
      <c r="MJ31" s="386">
        <f t="shared" si="261"/>
        <v>1485774.565981179</v>
      </c>
      <c r="MK31" s="394">
        <f t="shared" si="74"/>
        <v>6422.23</v>
      </c>
      <c r="ML31" s="386">
        <f t="shared" si="262"/>
        <v>1485774.565981179</v>
      </c>
      <c r="MM31" s="394">
        <f t="shared" si="75"/>
        <v>6422.23</v>
      </c>
      <c r="MN31" s="386">
        <f t="shared" si="263"/>
        <v>1485774.565981179</v>
      </c>
      <c r="MO31" s="394">
        <f t="shared" si="76"/>
        <v>6422.23</v>
      </c>
      <c r="MP31" s="386">
        <f t="shared" si="264"/>
        <v>1485774.565981179</v>
      </c>
      <c r="MQ31" s="394">
        <f t="shared" si="77"/>
        <v>6422.23</v>
      </c>
      <c r="MR31" s="386">
        <f t="shared" si="265"/>
        <v>1485774.565981179</v>
      </c>
      <c r="MS31" s="394">
        <f t="shared" si="78"/>
        <v>6422.23</v>
      </c>
      <c r="MT31" s="386">
        <f t="shared" si="266"/>
        <v>1485774.565981179</v>
      </c>
      <c r="MU31" s="394">
        <f t="shared" si="79"/>
        <v>6422.23</v>
      </c>
      <c r="MV31" s="386">
        <f t="shared" si="267"/>
        <v>1485774.565981179</v>
      </c>
      <c r="MW31" s="394">
        <f t="shared" si="80"/>
        <v>6422.23</v>
      </c>
      <c r="MX31" s="386">
        <f t="shared" si="268"/>
        <v>1485774.565981179</v>
      </c>
      <c r="MY31" s="165">
        <f t="shared" si="269"/>
        <v>85351.059999999969</v>
      </c>
      <c r="MZ31" s="166">
        <f t="shared" si="270"/>
        <v>19745856.832834315</v>
      </c>
    </row>
    <row r="32" spans="1:364" s="126" customFormat="1" ht="68.400000000000006" customHeight="1" x14ac:dyDescent="0.3">
      <c r="A32" s="528"/>
      <c r="B32" s="14" t="s">
        <v>86</v>
      </c>
      <c r="C32" s="147" t="s">
        <v>87</v>
      </c>
      <c r="D32" s="148" t="s">
        <v>65</v>
      </c>
      <c r="E32" s="14">
        <v>1</v>
      </c>
      <c r="F32" s="346">
        <v>13636.039886039885</v>
      </c>
      <c r="G32" s="346">
        <f t="shared" si="81"/>
        <v>14204.338081671414</v>
      </c>
      <c r="I32" s="149">
        <f>+I21</f>
        <v>225</v>
      </c>
      <c r="J32" s="167">
        <v>1</v>
      </c>
      <c r="K32" s="151">
        <f t="shared" si="82"/>
        <v>3195976.068376068</v>
      </c>
      <c r="L32" s="152">
        <f t="shared" si="300"/>
        <v>225</v>
      </c>
      <c r="M32" s="285">
        <f t="shared" si="301"/>
        <v>3195976.068376068</v>
      </c>
      <c r="N32" s="152"/>
      <c r="O32" s="285">
        <f t="shared" si="302"/>
        <v>0</v>
      </c>
      <c r="P32" s="152">
        <f t="shared" si="362"/>
        <v>225</v>
      </c>
      <c r="Q32" s="285">
        <f t="shared" si="302"/>
        <v>3195976.068376068</v>
      </c>
      <c r="R32" s="152"/>
      <c r="S32" s="285">
        <f t="shared" si="86"/>
        <v>0</v>
      </c>
      <c r="T32" s="152">
        <f t="shared" si="364"/>
        <v>225</v>
      </c>
      <c r="U32" s="285">
        <f t="shared" si="87"/>
        <v>3195976.068376068</v>
      </c>
      <c r="V32" s="152"/>
      <c r="W32" s="285">
        <f t="shared" si="88"/>
        <v>0</v>
      </c>
      <c r="X32" s="152">
        <f t="shared" si="305"/>
        <v>225</v>
      </c>
      <c r="Y32" s="285">
        <f t="shared" si="89"/>
        <v>3195976.068376068</v>
      </c>
      <c r="Z32" s="152"/>
      <c r="AA32" s="285">
        <f t="shared" si="90"/>
        <v>0</v>
      </c>
      <c r="AB32" s="152">
        <f t="shared" si="306"/>
        <v>225</v>
      </c>
      <c r="AC32" s="285">
        <f t="shared" si="91"/>
        <v>3195976.068376068</v>
      </c>
      <c r="AD32" s="152"/>
      <c r="AE32" s="285">
        <f t="shared" si="92"/>
        <v>0</v>
      </c>
      <c r="AF32" s="152">
        <f t="shared" si="307"/>
        <v>225</v>
      </c>
      <c r="AG32" s="285">
        <f t="shared" si="308"/>
        <v>3195976.068376068</v>
      </c>
      <c r="AH32" s="152"/>
      <c r="AI32" s="294">
        <f t="shared" si="309"/>
        <v>0</v>
      </c>
      <c r="AJ32" s="156">
        <f t="shared" si="94"/>
        <v>1350</v>
      </c>
      <c r="AK32" s="306">
        <f t="shared" si="95"/>
        <v>19175856.410256408</v>
      </c>
      <c r="AM32" s="149">
        <v>0</v>
      </c>
      <c r="AN32" s="167">
        <v>1</v>
      </c>
      <c r="AO32" s="157">
        <f t="shared" si="285"/>
        <v>0</v>
      </c>
      <c r="AP32" s="152">
        <f t="shared" si="328"/>
        <v>0</v>
      </c>
      <c r="AQ32" s="285">
        <f t="shared" si="96"/>
        <v>0</v>
      </c>
      <c r="AR32" s="317">
        <f t="shared" si="329"/>
        <v>0</v>
      </c>
      <c r="AS32" s="285">
        <f t="shared" si="96"/>
        <v>0</v>
      </c>
      <c r="AT32" s="317">
        <f t="shared" si="330"/>
        <v>0</v>
      </c>
      <c r="AU32" s="285">
        <f t="shared" si="96"/>
        <v>0</v>
      </c>
      <c r="AV32" s="317">
        <f t="shared" si="331"/>
        <v>0</v>
      </c>
      <c r="AW32" s="285">
        <f t="shared" si="98"/>
        <v>0</v>
      </c>
      <c r="AX32" s="317">
        <f t="shared" si="5"/>
        <v>0</v>
      </c>
      <c r="AY32" s="285">
        <f t="shared" si="99"/>
        <v>0</v>
      </c>
      <c r="AZ32" s="317">
        <f t="shared" si="332"/>
        <v>0</v>
      </c>
      <c r="BA32" s="285">
        <f t="shared" si="100"/>
        <v>0</v>
      </c>
      <c r="BB32" s="317">
        <f t="shared" si="7"/>
        <v>0</v>
      </c>
      <c r="BC32" s="285">
        <f t="shared" si="101"/>
        <v>0</v>
      </c>
      <c r="BD32" s="317">
        <f t="shared" si="333"/>
        <v>0</v>
      </c>
      <c r="BE32" s="285">
        <f t="shared" si="102"/>
        <v>0</v>
      </c>
      <c r="BF32" s="317">
        <f t="shared" si="9"/>
        <v>0</v>
      </c>
      <c r="BG32" s="285">
        <f t="shared" si="103"/>
        <v>0</v>
      </c>
      <c r="BH32" s="317">
        <f t="shared" si="334"/>
        <v>0</v>
      </c>
      <c r="BI32" s="285">
        <f t="shared" si="310"/>
        <v>0</v>
      </c>
      <c r="BJ32" s="317">
        <f t="shared" si="335"/>
        <v>0</v>
      </c>
      <c r="BK32" s="285">
        <f t="shared" si="310"/>
        <v>0</v>
      </c>
      <c r="BL32" s="152">
        <f t="shared" si="336"/>
        <v>0</v>
      </c>
      <c r="BM32" s="296">
        <f t="shared" si="105"/>
        <v>0</v>
      </c>
      <c r="BN32" s="158">
        <f t="shared" si="106"/>
        <v>0</v>
      </c>
      <c r="BO32" s="307">
        <f t="shared" si="13"/>
        <v>0</v>
      </c>
      <c r="BQ32" s="149">
        <v>111</v>
      </c>
      <c r="BR32" s="167">
        <v>1</v>
      </c>
      <c r="BS32" s="160">
        <f t="shared" si="281"/>
        <v>1576681.5270655269</v>
      </c>
      <c r="BT32" s="152">
        <f t="shared" si="280"/>
        <v>111</v>
      </c>
      <c r="BU32" s="332">
        <f t="shared" si="107"/>
        <v>1576681.5270655269</v>
      </c>
      <c r="BV32" s="152"/>
      <c r="BW32" s="153">
        <f t="shared" si="108"/>
        <v>0</v>
      </c>
      <c r="BX32" s="152">
        <f t="shared" si="369"/>
        <v>111</v>
      </c>
      <c r="BY32" s="153">
        <f t="shared" si="109"/>
        <v>1576681.5270655269</v>
      </c>
      <c r="BZ32" s="152"/>
      <c r="CA32" s="153">
        <f t="shared" si="110"/>
        <v>0</v>
      </c>
      <c r="CB32" s="152">
        <f t="shared" si="371"/>
        <v>111</v>
      </c>
      <c r="CC32" s="153">
        <f t="shared" si="111"/>
        <v>1576681.5270655269</v>
      </c>
      <c r="CD32" s="152"/>
      <c r="CE32" s="153">
        <f t="shared" si="112"/>
        <v>0</v>
      </c>
      <c r="CF32" s="152">
        <f t="shared" si="113"/>
        <v>111</v>
      </c>
      <c r="CG32" s="153">
        <f t="shared" si="114"/>
        <v>1576681.5270655269</v>
      </c>
      <c r="CH32" s="152"/>
      <c r="CI32" s="153">
        <f t="shared" si="115"/>
        <v>0</v>
      </c>
      <c r="CJ32" s="152">
        <f t="shared" si="116"/>
        <v>111</v>
      </c>
      <c r="CK32" s="153">
        <f t="shared" si="117"/>
        <v>1576681.5270655269</v>
      </c>
      <c r="CL32" s="152"/>
      <c r="CM32" s="153">
        <f t="shared" si="118"/>
        <v>0</v>
      </c>
      <c r="CN32" s="152">
        <f t="shared" si="119"/>
        <v>111</v>
      </c>
      <c r="CO32" s="153">
        <f t="shared" si="120"/>
        <v>1576681.5270655269</v>
      </c>
      <c r="CP32" s="152"/>
      <c r="CQ32" s="154">
        <f t="shared" si="23"/>
        <v>0</v>
      </c>
      <c r="CR32" s="158">
        <f t="shared" si="121"/>
        <v>666</v>
      </c>
      <c r="CS32" s="159">
        <f t="shared" si="24"/>
        <v>9460089.162393162</v>
      </c>
      <c r="CU32" s="149">
        <v>127</v>
      </c>
      <c r="CV32" s="167">
        <v>0.5</v>
      </c>
      <c r="CW32" s="161">
        <f t="shared" si="299"/>
        <v>901975.46818613482</v>
      </c>
      <c r="CX32" s="152">
        <f t="shared" si="122"/>
        <v>63.5</v>
      </c>
      <c r="CY32" s="153">
        <f t="shared" si="123"/>
        <v>901975.46818613482</v>
      </c>
      <c r="CZ32" s="152"/>
      <c r="DA32" s="285">
        <f t="shared" si="123"/>
        <v>0</v>
      </c>
      <c r="DB32" s="152">
        <f t="shared" si="377"/>
        <v>63.5</v>
      </c>
      <c r="DC32" s="285">
        <f t="shared" si="124"/>
        <v>901975.46818613482</v>
      </c>
      <c r="DD32" s="152"/>
      <c r="DE32" s="285">
        <f t="shared" si="125"/>
        <v>0</v>
      </c>
      <c r="DF32" s="152">
        <f t="shared" si="379"/>
        <v>63.5</v>
      </c>
      <c r="DG32" s="285">
        <f t="shared" si="126"/>
        <v>901975.46818613482</v>
      </c>
      <c r="DH32" s="152"/>
      <c r="DI32" s="285">
        <f t="shared" si="127"/>
        <v>0</v>
      </c>
      <c r="DJ32" s="152">
        <f t="shared" si="128"/>
        <v>63.5</v>
      </c>
      <c r="DK32" s="285">
        <f t="shared" si="129"/>
        <v>901975.46818613482</v>
      </c>
      <c r="DL32" s="152"/>
      <c r="DM32" s="285">
        <f t="shared" si="130"/>
        <v>0</v>
      </c>
      <c r="DN32" s="152">
        <f t="shared" si="131"/>
        <v>63.5</v>
      </c>
      <c r="DO32" s="285">
        <f t="shared" si="132"/>
        <v>901975.46818613482</v>
      </c>
      <c r="DP32" s="152"/>
      <c r="DQ32" s="285">
        <f t="shared" si="133"/>
        <v>0</v>
      </c>
      <c r="DR32" s="152">
        <f t="shared" si="134"/>
        <v>63.5</v>
      </c>
      <c r="DS32" s="285">
        <f t="shared" si="135"/>
        <v>901975.46818613482</v>
      </c>
      <c r="DT32" s="152"/>
      <c r="DU32" s="285">
        <f t="shared" si="136"/>
        <v>0</v>
      </c>
      <c r="DV32" s="158">
        <f t="shared" si="137"/>
        <v>381</v>
      </c>
      <c r="DW32" s="159">
        <f t="shared" si="34"/>
        <v>5411852.8091168087</v>
      </c>
      <c r="DY32" s="164">
        <f>+DY21</f>
        <v>214</v>
      </c>
      <c r="DZ32" s="167">
        <v>1</v>
      </c>
      <c r="EA32" s="161">
        <f t="shared" si="35"/>
        <v>3039728.3494776827</v>
      </c>
      <c r="EB32" s="152">
        <f t="shared" si="384"/>
        <v>214</v>
      </c>
      <c r="EC32" s="153">
        <f t="shared" si="139"/>
        <v>3039728.3494776827</v>
      </c>
      <c r="ED32" s="317"/>
      <c r="EE32" s="153">
        <f t="shared" si="139"/>
        <v>0</v>
      </c>
      <c r="EF32" s="152">
        <f t="shared" si="386"/>
        <v>214</v>
      </c>
      <c r="EG32" s="153">
        <f t="shared" si="311"/>
        <v>3039728.3494776827</v>
      </c>
      <c r="EH32" s="152"/>
      <c r="EI32" s="153">
        <f t="shared" si="311"/>
        <v>0</v>
      </c>
      <c r="EJ32" s="152">
        <f t="shared" si="388"/>
        <v>214</v>
      </c>
      <c r="EK32" s="153">
        <f t="shared" si="143"/>
        <v>3039728.3494776827</v>
      </c>
      <c r="EL32" s="152"/>
      <c r="EM32" s="153">
        <f t="shared" si="144"/>
        <v>0</v>
      </c>
      <c r="EN32" s="152">
        <f t="shared" si="290"/>
        <v>214</v>
      </c>
      <c r="EO32" s="153">
        <f t="shared" si="145"/>
        <v>3039728.3494776827</v>
      </c>
      <c r="EP32" s="152"/>
      <c r="EQ32" s="153">
        <f t="shared" si="146"/>
        <v>0</v>
      </c>
      <c r="ER32" s="152">
        <f t="shared" si="292"/>
        <v>214</v>
      </c>
      <c r="ES32" s="153">
        <f t="shared" si="147"/>
        <v>3039728.3494776827</v>
      </c>
      <c r="ET32" s="152"/>
      <c r="EU32" s="153">
        <f t="shared" si="148"/>
        <v>0</v>
      </c>
      <c r="EV32" s="152">
        <f t="shared" si="294"/>
        <v>214</v>
      </c>
      <c r="EW32" s="153">
        <f t="shared" si="149"/>
        <v>3039728.3494776827</v>
      </c>
      <c r="EX32" s="152"/>
      <c r="EY32" s="153">
        <f t="shared" si="150"/>
        <v>0</v>
      </c>
      <c r="EZ32" s="158">
        <f t="shared" si="151"/>
        <v>1284</v>
      </c>
      <c r="FA32" s="159">
        <f t="shared" si="36"/>
        <v>18238370.096866097</v>
      </c>
      <c r="FC32" s="149">
        <f>+FC21</f>
        <v>111</v>
      </c>
      <c r="FD32" s="167">
        <v>1</v>
      </c>
      <c r="FE32" s="161">
        <f t="shared" si="296"/>
        <v>1576681.5270655269</v>
      </c>
      <c r="FF32" s="152">
        <f t="shared" si="153"/>
        <v>111</v>
      </c>
      <c r="FG32" s="153">
        <f t="shared" si="154"/>
        <v>1576681.5270655269</v>
      </c>
      <c r="FH32" s="368"/>
      <c r="FI32" s="153">
        <f t="shared" si="155"/>
        <v>0</v>
      </c>
      <c r="FJ32" s="368">
        <f t="shared" si="394"/>
        <v>111</v>
      </c>
      <c r="FK32" s="153">
        <f t="shared" si="155"/>
        <v>1576681.5270655269</v>
      </c>
      <c r="FL32" s="368"/>
      <c r="FM32" s="153">
        <f t="shared" si="156"/>
        <v>0</v>
      </c>
      <c r="FN32" s="368">
        <f t="shared" si="396"/>
        <v>111</v>
      </c>
      <c r="FO32" s="153">
        <f t="shared" si="157"/>
        <v>1576681.5270655269</v>
      </c>
      <c r="FP32" s="368"/>
      <c r="FQ32" s="153">
        <f t="shared" si="158"/>
        <v>0</v>
      </c>
      <c r="FR32" s="368">
        <f t="shared" si="159"/>
        <v>111</v>
      </c>
      <c r="FS32" s="153">
        <f t="shared" si="160"/>
        <v>1576681.5270655269</v>
      </c>
      <c r="FT32" s="368"/>
      <c r="FU32" s="153">
        <f t="shared" si="161"/>
        <v>0</v>
      </c>
      <c r="FV32" s="368">
        <f t="shared" si="162"/>
        <v>111</v>
      </c>
      <c r="FW32" s="153">
        <f t="shared" si="163"/>
        <v>1576681.5270655269</v>
      </c>
      <c r="FX32" s="368"/>
      <c r="FY32" s="153">
        <f t="shared" si="164"/>
        <v>0</v>
      </c>
      <c r="FZ32" s="368">
        <f t="shared" si="165"/>
        <v>111</v>
      </c>
      <c r="GA32" s="153">
        <f t="shared" si="166"/>
        <v>1576681.5270655269</v>
      </c>
      <c r="GB32" s="368"/>
      <c r="GC32" s="153">
        <f t="shared" si="167"/>
        <v>0</v>
      </c>
      <c r="GD32" s="158">
        <f t="shared" si="168"/>
        <v>666</v>
      </c>
      <c r="GE32" s="159">
        <f t="shared" si="45"/>
        <v>9460089.162393162</v>
      </c>
      <c r="GG32" s="149">
        <f>+GG21</f>
        <v>0</v>
      </c>
      <c r="GH32" s="167">
        <v>0.5</v>
      </c>
      <c r="GI32" s="161">
        <f t="shared" si="297"/>
        <v>0</v>
      </c>
      <c r="GJ32" s="152">
        <v>0</v>
      </c>
      <c r="GK32" s="153">
        <f t="shared" si="170"/>
        <v>0</v>
      </c>
      <c r="GL32" s="152">
        <v>0</v>
      </c>
      <c r="GM32" s="153">
        <f t="shared" si="170"/>
        <v>0</v>
      </c>
      <c r="GN32" s="152">
        <f>+$GG32</f>
        <v>0</v>
      </c>
      <c r="GO32" s="153">
        <f t="shared" si="171"/>
        <v>0</v>
      </c>
      <c r="GP32" s="152">
        <v>0</v>
      </c>
      <c r="GQ32" s="153">
        <f t="shared" si="172"/>
        <v>0</v>
      </c>
      <c r="GR32" s="152">
        <f>+$GG32</f>
        <v>0</v>
      </c>
      <c r="GS32" s="153">
        <f t="shared" si="174"/>
        <v>0</v>
      </c>
      <c r="GT32" s="152"/>
      <c r="GU32" s="153">
        <f t="shared" si="176"/>
        <v>0</v>
      </c>
      <c r="GV32" s="152">
        <f>+$GG32</f>
        <v>0</v>
      </c>
      <c r="GW32" s="153">
        <f t="shared" si="178"/>
        <v>0</v>
      </c>
      <c r="GX32" s="152">
        <v>0</v>
      </c>
      <c r="GY32" s="153">
        <f t="shared" si="180"/>
        <v>0</v>
      </c>
      <c r="GZ32" s="152">
        <f>+$GG32</f>
        <v>0</v>
      </c>
      <c r="HA32" s="153">
        <f t="shared" si="182"/>
        <v>0</v>
      </c>
      <c r="HB32" s="152"/>
      <c r="HC32" s="153">
        <f t="shared" si="184"/>
        <v>0</v>
      </c>
      <c r="HD32" s="152">
        <f>+$GG32</f>
        <v>0</v>
      </c>
      <c r="HE32" s="153">
        <f t="shared" si="186"/>
        <v>0</v>
      </c>
      <c r="HF32" s="152"/>
      <c r="HG32" s="153">
        <f t="shared" si="188"/>
        <v>0</v>
      </c>
      <c r="HH32" s="158">
        <f t="shared" si="189"/>
        <v>0</v>
      </c>
      <c r="HI32" s="159">
        <f t="shared" si="47"/>
        <v>0</v>
      </c>
      <c r="HK32" s="149">
        <f>+HK21</f>
        <v>21</v>
      </c>
      <c r="HL32" s="167">
        <v>0.5</v>
      </c>
      <c r="HM32" s="161">
        <f t="shared" si="48"/>
        <v>149145.54985754986</v>
      </c>
      <c r="HN32" s="152">
        <v>0</v>
      </c>
      <c r="HO32" s="153">
        <f t="shared" si="191"/>
        <v>0</v>
      </c>
      <c r="HP32" s="152">
        <v>0</v>
      </c>
      <c r="HQ32" s="153">
        <f t="shared" si="193"/>
        <v>0</v>
      </c>
      <c r="HR32" s="152">
        <f>+$HK32</f>
        <v>21</v>
      </c>
      <c r="HS32" s="153">
        <f t="shared" si="193"/>
        <v>298291.09971509973</v>
      </c>
      <c r="HT32" s="152">
        <v>0</v>
      </c>
      <c r="HU32" s="153">
        <f t="shared" si="194"/>
        <v>0</v>
      </c>
      <c r="HV32" s="152">
        <f>+$HK32</f>
        <v>21</v>
      </c>
      <c r="HW32" s="153">
        <f t="shared" si="195"/>
        <v>298291.09971509973</v>
      </c>
      <c r="HX32" s="152">
        <v>0</v>
      </c>
      <c r="HY32" s="153">
        <f t="shared" si="197"/>
        <v>0</v>
      </c>
      <c r="HZ32" s="152">
        <f>+$HK32</f>
        <v>21</v>
      </c>
      <c r="IA32" s="153">
        <f t="shared" si="199"/>
        <v>298291.09971509973</v>
      </c>
      <c r="IB32" s="152">
        <v>0</v>
      </c>
      <c r="IC32" s="153">
        <f t="shared" si="201"/>
        <v>0</v>
      </c>
      <c r="ID32" s="152">
        <f>+$HK32</f>
        <v>21</v>
      </c>
      <c r="IE32" s="153">
        <f t="shared" si="203"/>
        <v>298291.09971509973</v>
      </c>
      <c r="IF32" s="152">
        <v>0</v>
      </c>
      <c r="IG32" s="153">
        <f t="shared" si="205"/>
        <v>0</v>
      </c>
      <c r="IH32" s="152">
        <f>+$HK32</f>
        <v>21</v>
      </c>
      <c r="II32" s="153">
        <f t="shared" si="207"/>
        <v>298291.09971509973</v>
      </c>
      <c r="IJ32" s="152">
        <v>0</v>
      </c>
      <c r="IK32" s="153">
        <f t="shared" si="209"/>
        <v>0</v>
      </c>
      <c r="IL32" s="158">
        <f t="shared" si="210"/>
        <v>105</v>
      </c>
      <c r="IM32" s="159">
        <f t="shared" si="211"/>
        <v>1491455.4985754986</v>
      </c>
      <c r="IO32" s="149">
        <v>243</v>
      </c>
      <c r="IP32" s="167">
        <v>1</v>
      </c>
      <c r="IQ32" s="161">
        <f t="shared" si="298"/>
        <v>3451654.1538461535</v>
      </c>
      <c r="IR32" s="152">
        <f t="shared" si="212"/>
        <v>243</v>
      </c>
      <c r="IS32" s="153">
        <f t="shared" si="213"/>
        <v>3451654.1538461535</v>
      </c>
      <c r="IT32" s="152"/>
      <c r="IU32" s="285">
        <f t="shared" si="214"/>
        <v>0</v>
      </c>
      <c r="IV32" s="152">
        <f t="shared" si="402"/>
        <v>243</v>
      </c>
      <c r="IW32" s="285">
        <f t="shared" si="214"/>
        <v>3451654.1538461535</v>
      </c>
      <c r="IX32" s="152"/>
      <c r="IY32" s="285">
        <f t="shared" si="215"/>
        <v>0</v>
      </c>
      <c r="IZ32" s="152">
        <f t="shared" si="404"/>
        <v>243</v>
      </c>
      <c r="JA32" s="285">
        <f t="shared" si="216"/>
        <v>3451654.1538461535</v>
      </c>
      <c r="JB32" s="152"/>
      <c r="JC32" s="285">
        <f t="shared" si="217"/>
        <v>0</v>
      </c>
      <c r="JD32" s="152">
        <f t="shared" si="218"/>
        <v>243</v>
      </c>
      <c r="JE32" s="285">
        <f t="shared" si="219"/>
        <v>3451654.1538461535</v>
      </c>
      <c r="JF32" s="152"/>
      <c r="JG32" s="285">
        <f t="shared" si="220"/>
        <v>0</v>
      </c>
      <c r="JH32" s="152">
        <f t="shared" si="221"/>
        <v>243</v>
      </c>
      <c r="JI32" s="285">
        <f t="shared" si="222"/>
        <v>3451654.1538461535</v>
      </c>
      <c r="JJ32" s="152"/>
      <c r="JK32" s="285">
        <f t="shared" si="223"/>
        <v>0</v>
      </c>
      <c r="JL32" s="152">
        <f t="shared" si="224"/>
        <v>243</v>
      </c>
      <c r="JM32" s="285">
        <f t="shared" si="225"/>
        <v>3451654.1538461535</v>
      </c>
      <c r="JN32" s="152"/>
      <c r="JO32" s="285">
        <f t="shared" si="226"/>
        <v>0</v>
      </c>
      <c r="JP32" s="158">
        <f t="shared" si="227"/>
        <v>1458</v>
      </c>
      <c r="JQ32" s="159">
        <f t="shared" si="228"/>
        <v>20709924.923076924</v>
      </c>
      <c r="JS32" s="149">
        <v>0</v>
      </c>
      <c r="JT32" s="167">
        <v>1</v>
      </c>
      <c r="JU32" s="161">
        <f t="shared" si="58"/>
        <v>0</v>
      </c>
      <c r="JV32" s="152">
        <f t="shared" si="229"/>
        <v>0</v>
      </c>
      <c r="JW32" s="153">
        <f t="shared" si="230"/>
        <v>0</v>
      </c>
      <c r="JX32" s="368"/>
      <c r="JY32" s="153">
        <f t="shared" si="231"/>
        <v>0</v>
      </c>
      <c r="JZ32" s="368"/>
      <c r="KA32" s="153">
        <f t="shared" si="231"/>
        <v>0</v>
      </c>
      <c r="KB32" s="368"/>
      <c r="KC32" s="153">
        <f t="shared" si="232"/>
        <v>0</v>
      </c>
      <c r="KD32" s="368"/>
      <c r="KE32" s="153">
        <f t="shared" si="233"/>
        <v>0</v>
      </c>
      <c r="KF32" s="368"/>
      <c r="KG32" s="153">
        <f t="shared" si="234"/>
        <v>0</v>
      </c>
      <c r="KH32" s="368"/>
      <c r="KI32" s="153">
        <f t="shared" si="236"/>
        <v>0</v>
      </c>
      <c r="KJ32" s="368"/>
      <c r="KK32" s="153">
        <f t="shared" si="237"/>
        <v>0</v>
      </c>
      <c r="KL32" s="368"/>
      <c r="KM32" s="153">
        <f t="shared" si="239"/>
        <v>0</v>
      </c>
      <c r="KN32" s="368"/>
      <c r="KO32" s="153">
        <f t="shared" si="240"/>
        <v>0</v>
      </c>
      <c r="KP32" s="368"/>
      <c r="KQ32" s="153">
        <f t="shared" si="242"/>
        <v>0</v>
      </c>
      <c r="KR32" s="368"/>
      <c r="KS32" s="154">
        <f t="shared" si="243"/>
        <v>0</v>
      </c>
      <c r="KT32" s="158">
        <f t="shared" si="244"/>
        <v>0</v>
      </c>
      <c r="KU32" s="159">
        <f t="shared" si="67"/>
        <v>0</v>
      </c>
      <c r="KW32" s="149"/>
      <c r="KX32" s="167"/>
      <c r="KY32" s="157"/>
      <c r="KZ32" s="152">
        <f t="shared" si="271"/>
        <v>0</v>
      </c>
      <c r="LA32" s="153"/>
      <c r="LB32" s="152">
        <f t="shared" si="272"/>
        <v>0</v>
      </c>
      <c r="LC32" s="153">
        <f t="shared" si="246"/>
        <v>0</v>
      </c>
      <c r="LD32" s="152">
        <f t="shared" si="272"/>
        <v>0</v>
      </c>
      <c r="LE32" s="153">
        <f t="shared" si="246"/>
        <v>0</v>
      </c>
      <c r="LF32" s="152">
        <f t="shared" si="272"/>
        <v>0</v>
      </c>
      <c r="LG32" s="153">
        <f t="shared" si="247"/>
        <v>0</v>
      </c>
      <c r="LH32" s="152">
        <f t="shared" si="272"/>
        <v>0</v>
      </c>
      <c r="LI32" s="153">
        <f t="shared" si="248"/>
        <v>0</v>
      </c>
      <c r="LJ32" s="152">
        <f t="shared" si="273"/>
        <v>0</v>
      </c>
      <c r="LK32" s="153">
        <f t="shared" si="249"/>
        <v>0</v>
      </c>
      <c r="LL32" s="152">
        <f t="shared" si="274"/>
        <v>0</v>
      </c>
      <c r="LM32" s="153">
        <f t="shared" si="250"/>
        <v>0</v>
      </c>
      <c r="LN32" s="152">
        <f t="shared" si="275"/>
        <v>0</v>
      </c>
      <c r="LO32" s="153">
        <f t="shared" si="251"/>
        <v>0</v>
      </c>
      <c r="LP32" s="152">
        <f t="shared" si="276"/>
        <v>0</v>
      </c>
      <c r="LQ32" s="153">
        <f t="shared" si="252"/>
        <v>0</v>
      </c>
      <c r="LR32" s="152">
        <f t="shared" si="277"/>
        <v>0</v>
      </c>
      <c r="LS32" s="153">
        <f t="shared" si="253"/>
        <v>0</v>
      </c>
      <c r="LT32" s="152">
        <f t="shared" si="278"/>
        <v>0</v>
      </c>
      <c r="LU32" s="153">
        <f t="shared" si="254"/>
        <v>0</v>
      </c>
      <c r="LV32" s="152">
        <f t="shared" si="279"/>
        <v>0</v>
      </c>
      <c r="LW32" s="153">
        <f t="shared" si="255"/>
        <v>0</v>
      </c>
      <c r="LX32" s="158">
        <f t="shared" si="256"/>
        <v>0</v>
      </c>
      <c r="LY32" s="159">
        <f t="shared" si="257"/>
        <v>0</v>
      </c>
      <c r="MA32" s="164">
        <f t="shared" si="69"/>
        <v>967.5</v>
      </c>
      <c r="MB32" s="386">
        <f t="shared" si="258"/>
        <v>13742697.094017094</v>
      </c>
      <c r="MC32" s="394">
        <f t="shared" si="70"/>
        <v>0</v>
      </c>
      <c r="MD32" s="386">
        <f t="shared" si="259"/>
        <v>0</v>
      </c>
      <c r="ME32" s="394">
        <f t="shared" si="71"/>
        <v>988.5</v>
      </c>
      <c r="MF32" s="386">
        <f t="shared" si="259"/>
        <v>14040988.193732193</v>
      </c>
      <c r="MG32" s="394">
        <f t="shared" si="72"/>
        <v>0</v>
      </c>
      <c r="MH32" s="386">
        <f t="shared" si="260"/>
        <v>0</v>
      </c>
      <c r="MI32" s="394">
        <f t="shared" si="73"/>
        <v>988.5</v>
      </c>
      <c r="MJ32" s="386">
        <f t="shared" si="261"/>
        <v>14040988.193732193</v>
      </c>
      <c r="MK32" s="394">
        <f t="shared" si="74"/>
        <v>0</v>
      </c>
      <c r="ML32" s="386">
        <f t="shared" si="262"/>
        <v>0</v>
      </c>
      <c r="MM32" s="394">
        <f t="shared" si="75"/>
        <v>988.5</v>
      </c>
      <c r="MN32" s="386">
        <f t="shared" si="263"/>
        <v>14040988.193732193</v>
      </c>
      <c r="MO32" s="394">
        <f t="shared" si="76"/>
        <v>0</v>
      </c>
      <c r="MP32" s="386">
        <f t="shared" si="264"/>
        <v>0</v>
      </c>
      <c r="MQ32" s="394">
        <f t="shared" si="77"/>
        <v>988.5</v>
      </c>
      <c r="MR32" s="386">
        <f t="shared" si="265"/>
        <v>14040988.193732193</v>
      </c>
      <c r="MS32" s="394">
        <f t="shared" si="78"/>
        <v>0</v>
      </c>
      <c r="MT32" s="386">
        <f t="shared" si="266"/>
        <v>0</v>
      </c>
      <c r="MU32" s="394">
        <f t="shared" si="79"/>
        <v>988.5</v>
      </c>
      <c r="MV32" s="386">
        <f t="shared" si="267"/>
        <v>14040988.193732193</v>
      </c>
      <c r="MW32" s="394">
        <f t="shared" si="80"/>
        <v>0</v>
      </c>
      <c r="MX32" s="386">
        <f t="shared" si="268"/>
        <v>0</v>
      </c>
      <c r="MY32" s="165">
        <f t="shared" si="269"/>
        <v>5910</v>
      </c>
      <c r="MZ32" s="166">
        <f t="shared" si="270"/>
        <v>83947638.062678054</v>
      </c>
    </row>
    <row r="33" spans="1:364" s="126" customFormat="1" ht="39.6" x14ac:dyDescent="0.3">
      <c r="A33" s="528"/>
      <c r="B33" s="14" t="s">
        <v>88</v>
      </c>
      <c r="C33" s="147" t="s">
        <v>89</v>
      </c>
      <c r="D33" s="148" t="s">
        <v>90</v>
      </c>
      <c r="E33" s="14">
        <v>1</v>
      </c>
      <c r="F33" s="346">
        <v>2146.1408961408961</v>
      </c>
      <c r="G33" s="346">
        <f t="shared" si="81"/>
        <v>2235.583872917206</v>
      </c>
      <c r="I33" s="149">
        <f>+I20</f>
        <v>544.67999999999995</v>
      </c>
      <c r="J33" s="150">
        <v>1</v>
      </c>
      <c r="K33" s="151">
        <f t="shared" si="82"/>
        <v>1217677.8239005436</v>
      </c>
      <c r="L33" s="152">
        <f t="shared" si="300"/>
        <v>544.67999999999995</v>
      </c>
      <c r="M33" s="285">
        <f t="shared" si="301"/>
        <v>1217677.8239005436</v>
      </c>
      <c r="N33" s="152">
        <f t="shared" si="361"/>
        <v>544.67999999999995</v>
      </c>
      <c r="O33" s="285">
        <f t="shared" si="302"/>
        <v>1217677.8239005436</v>
      </c>
      <c r="P33" s="152">
        <f t="shared" si="362"/>
        <v>544.67999999999995</v>
      </c>
      <c r="Q33" s="285">
        <f t="shared" si="302"/>
        <v>1217677.8239005436</v>
      </c>
      <c r="R33" s="152">
        <f t="shared" si="363"/>
        <v>544.67999999999995</v>
      </c>
      <c r="S33" s="285">
        <f t="shared" si="86"/>
        <v>1217677.8239005436</v>
      </c>
      <c r="T33" s="152">
        <f t="shared" si="364"/>
        <v>544.67999999999995</v>
      </c>
      <c r="U33" s="285">
        <f t="shared" si="87"/>
        <v>1217677.8239005436</v>
      </c>
      <c r="V33" s="152">
        <f t="shared" ref="V33:V84" si="409">+$I33*$J33</f>
        <v>544.67999999999995</v>
      </c>
      <c r="W33" s="285">
        <f t="shared" si="88"/>
        <v>1217677.8239005436</v>
      </c>
      <c r="X33" s="152">
        <f t="shared" si="305"/>
        <v>544.67999999999995</v>
      </c>
      <c r="Y33" s="285">
        <f t="shared" si="89"/>
        <v>1217677.8239005436</v>
      </c>
      <c r="Z33" s="152">
        <f t="shared" si="365"/>
        <v>544.67999999999995</v>
      </c>
      <c r="AA33" s="285">
        <f t="shared" si="90"/>
        <v>1217677.8239005436</v>
      </c>
      <c r="AB33" s="152">
        <f t="shared" si="306"/>
        <v>544.67999999999995</v>
      </c>
      <c r="AC33" s="285">
        <f t="shared" si="91"/>
        <v>1217677.8239005436</v>
      </c>
      <c r="AD33" s="152">
        <f t="shared" si="366"/>
        <v>544.67999999999995</v>
      </c>
      <c r="AE33" s="285">
        <f t="shared" si="92"/>
        <v>1217677.8239005436</v>
      </c>
      <c r="AF33" s="152">
        <f t="shared" si="307"/>
        <v>544.67999999999995</v>
      </c>
      <c r="AG33" s="285">
        <f t="shared" si="308"/>
        <v>1217677.8239005436</v>
      </c>
      <c r="AH33" s="152">
        <f t="shared" si="367"/>
        <v>544.67999999999995</v>
      </c>
      <c r="AI33" s="294">
        <f t="shared" si="309"/>
        <v>1217677.8239005436</v>
      </c>
      <c r="AJ33" s="156">
        <f t="shared" si="94"/>
        <v>6536.1600000000008</v>
      </c>
      <c r="AK33" s="306">
        <f t="shared" si="95"/>
        <v>14612133.886806527</v>
      </c>
      <c r="AM33" s="149">
        <v>0</v>
      </c>
      <c r="AN33" s="150">
        <v>1</v>
      </c>
      <c r="AO33" s="157">
        <f t="shared" si="285"/>
        <v>0</v>
      </c>
      <c r="AP33" s="152">
        <f t="shared" si="328"/>
        <v>0</v>
      </c>
      <c r="AQ33" s="285">
        <f t="shared" si="96"/>
        <v>0</v>
      </c>
      <c r="AR33" s="317">
        <f t="shared" si="329"/>
        <v>0</v>
      </c>
      <c r="AS33" s="285">
        <f t="shared" si="96"/>
        <v>0</v>
      </c>
      <c r="AT33" s="317">
        <f t="shared" si="330"/>
        <v>0</v>
      </c>
      <c r="AU33" s="285">
        <f t="shared" si="96"/>
        <v>0</v>
      </c>
      <c r="AV33" s="317">
        <f t="shared" si="331"/>
        <v>0</v>
      </c>
      <c r="AW33" s="285">
        <f t="shared" si="98"/>
        <v>0</v>
      </c>
      <c r="AX33" s="317">
        <f t="shared" si="5"/>
        <v>0</v>
      </c>
      <c r="AY33" s="285">
        <f t="shared" si="99"/>
        <v>0</v>
      </c>
      <c r="AZ33" s="317">
        <f t="shared" si="332"/>
        <v>0</v>
      </c>
      <c r="BA33" s="285">
        <f t="shared" si="100"/>
        <v>0</v>
      </c>
      <c r="BB33" s="317">
        <f t="shared" si="7"/>
        <v>0</v>
      </c>
      <c r="BC33" s="285">
        <f t="shared" si="101"/>
        <v>0</v>
      </c>
      <c r="BD33" s="317">
        <f t="shared" si="333"/>
        <v>0</v>
      </c>
      <c r="BE33" s="285">
        <f t="shared" si="102"/>
        <v>0</v>
      </c>
      <c r="BF33" s="317">
        <f t="shared" si="9"/>
        <v>0</v>
      </c>
      <c r="BG33" s="285">
        <f t="shared" si="103"/>
        <v>0</v>
      </c>
      <c r="BH33" s="317">
        <f t="shared" si="334"/>
        <v>0</v>
      </c>
      <c r="BI33" s="285">
        <f t="shared" si="310"/>
        <v>0</v>
      </c>
      <c r="BJ33" s="317">
        <f t="shared" si="335"/>
        <v>0</v>
      </c>
      <c r="BK33" s="285">
        <f t="shared" si="310"/>
        <v>0</v>
      </c>
      <c r="BL33" s="152">
        <f t="shared" si="336"/>
        <v>0</v>
      </c>
      <c r="BM33" s="296">
        <f t="shared" si="105"/>
        <v>0</v>
      </c>
      <c r="BN33" s="158">
        <f t="shared" si="106"/>
        <v>0</v>
      </c>
      <c r="BO33" s="307">
        <f t="shared" si="13"/>
        <v>0</v>
      </c>
      <c r="BQ33" s="149">
        <v>0</v>
      </c>
      <c r="BR33" s="150">
        <v>1</v>
      </c>
      <c r="BS33" s="160">
        <f t="shared" si="281"/>
        <v>0</v>
      </c>
      <c r="BT33" s="152">
        <f t="shared" si="280"/>
        <v>0</v>
      </c>
      <c r="BU33" s="332">
        <f t="shared" si="107"/>
        <v>0</v>
      </c>
      <c r="BV33" s="152">
        <f t="shared" si="368"/>
        <v>0</v>
      </c>
      <c r="BW33" s="153">
        <f t="shared" si="108"/>
        <v>0</v>
      </c>
      <c r="BX33" s="152">
        <f t="shared" si="369"/>
        <v>0</v>
      </c>
      <c r="BY33" s="153">
        <f t="shared" si="109"/>
        <v>0</v>
      </c>
      <c r="BZ33" s="152">
        <f t="shared" si="370"/>
        <v>0</v>
      </c>
      <c r="CA33" s="153">
        <f t="shared" si="110"/>
        <v>0</v>
      </c>
      <c r="CB33" s="152">
        <f t="shared" si="371"/>
        <v>0</v>
      </c>
      <c r="CC33" s="153">
        <f t="shared" si="111"/>
        <v>0</v>
      </c>
      <c r="CD33" s="152">
        <f t="shared" si="372"/>
        <v>0</v>
      </c>
      <c r="CE33" s="153">
        <f t="shared" si="112"/>
        <v>0</v>
      </c>
      <c r="CF33" s="152">
        <f t="shared" si="113"/>
        <v>0</v>
      </c>
      <c r="CG33" s="153">
        <f t="shared" si="114"/>
        <v>0</v>
      </c>
      <c r="CH33" s="152">
        <f t="shared" si="373"/>
        <v>0</v>
      </c>
      <c r="CI33" s="153">
        <f t="shared" si="115"/>
        <v>0</v>
      </c>
      <c r="CJ33" s="152">
        <f t="shared" si="116"/>
        <v>0</v>
      </c>
      <c r="CK33" s="153">
        <f t="shared" si="117"/>
        <v>0</v>
      </c>
      <c r="CL33" s="152">
        <f t="shared" si="374"/>
        <v>0</v>
      </c>
      <c r="CM33" s="153">
        <f t="shared" si="118"/>
        <v>0</v>
      </c>
      <c r="CN33" s="152">
        <f t="shared" si="119"/>
        <v>0</v>
      </c>
      <c r="CO33" s="153">
        <f t="shared" si="120"/>
        <v>0</v>
      </c>
      <c r="CP33" s="152">
        <f t="shared" si="375"/>
        <v>0</v>
      </c>
      <c r="CQ33" s="154">
        <f t="shared" si="23"/>
        <v>0</v>
      </c>
      <c r="CR33" s="158">
        <f t="shared" si="121"/>
        <v>0</v>
      </c>
      <c r="CS33" s="159">
        <f t="shared" si="24"/>
        <v>0</v>
      </c>
      <c r="CU33" s="149">
        <v>0</v>
      </c>
      <c r="CV33" s="150"/>
      <c r="CW33" s="161">
        <f t="shared" si="299"/>
        <v>0</v>
      </c>
      <c r="CX33" s="152">
        <f t="shared" si="122"/>
        <v>0</v>
      </c>
      <c r="CY33" s="153">
        <f t="shared" si="123"/>
        <v>0</v>
      </c>
      <c r="CZ33" s="152">
        <f t="shared" si="376"/>
        <v>0</v>
      </c>
      <c r="DA33" s="285">
        <f t="shared" si="123"/>
        <v>0</v>
      </c>
      <c r="DB33" s="152">
        <f t="shared" si="377"/>
        <v>0</v>
      </c>
      <c r="DC33" s="285">
        <f t="shared" si="124"/>
        <v>0</v>
      </c>
      <c r="DD33" s="152">
        <f t="shared" si="378"/>
        <v>0</v>
      </c>
      <c r="DE33" s="285">
        <f t="shared" si="125"/>
        <v>0</v>
      </c>
      <c r="DF33" s="152">
        <f t="shared" si="379"/>
        <v>0</v>
      </c>
      <c r="DG33" s="285">
        <f t="shared" si="126"/>
        <v>0</v>
      </c>
      <c r="DH33" s="152">
        <f t="shared" si="380"/>
        <v>0</v>
      </c>
      <c r="DI33" s="285">
        <f t="shared" si="127"/>
        <v>0</v>
      </c>
      <c r="DJ33" s="152">
        <f t="shared" si="128"/>
        <v>0</v>
      </c>
      <c r="DK33" s="285">
        <f t="shared" si="129"/>
        <v>0</v>
      </c>
      <c r="DL33" s="152">
        <f t="shared" si="381"/>
        <v>0</v>
      </c>
      <c r="DM33" s="285">
        <f t="shared" si="130"/>
        <v>0</v>
      </c>
      <c r="DN33" s="152">
        <f t="shared" si="131"/>
        <v>0</v>
      </c>
      <c r="DO33" s="285">
        <f t="shared" si="132"/>
        <v>0</v>
      </c>
      <c r="DP33" s="152">
        <f t="shared" si="382"/>
        <v>0</v>
      </c>
      <c r="DQ33" s="285">
        <f t="shared" si="133"/>
        <v>0</v>
      </c>
      <c r="DR33" s="152">
        <f t="shared" si="134"/>
        <v>0</v>
      </c>
      <c r="DS33" s="285">
        <f t="shared" si="135"/>
        <v>0</v>
      </c>
      <c r="DT33" s="152">
        <f t="shared" si="383"/>
        <v>0</v>
      </c>
      <c r="DU33" s="285">
        <f t="shared" si="136"/>
        <v>0</v>
      </c>
      <c r="DV33" s="158">
        <f t="shared" si="137"/>
        <v>0</v>
      </c>
      <c r="DW33" s="159">
        <f t="shared" si="34"/>
        <v>0</v>
      </c>
      <c r="DY33" s="164">
        <f>+DY20</f>
        <v>830.70999999999992</v>
      </c>
      <c r="DZ33" s="150">
        <v>1</v>
      </c>
      <c r="EA33" s="161">
        <f t="shared" si="35"/>
        <v>1857121.879071052</v>
      </c>
      <c r="EB33" s="152">
        <f t="shared" si="384"/>
        <v>830.70999999999992</v>
      </c>
      <c r="EC33" s="153">
        <f t="shared" si="139"/>
        <v>1857121.879071052</v>
      </c>
      <c r="ED33" s="317">
        <f t="shared" si="385"/>
        <v>830.70999999999992</v>
      </c>
      <c r="EE33" s="153">
        <f t="shared" si="139"/>
        <v>1857121.879071052</v>
      </c>
      <c r="EF33" s="152">
        <f t="shared" si="386"/>
        <v>830.70999999999992</v>
      </c>
      <c r="EG33" s="153">
        <f t="shared" si="311"/>
        <v>1857121.879071052</v>
      </c>
      <c r="EH33" s="152">
        <f t="shared" si="387"/>
        <v>830.70999999999992</v>
      </c>
      <c r="EI33" s="153">
        <f t="shared" si="311"/>
        <v>1857121.879071052</v>
      </c>
      <c r="EJ33" s="152">
        <f t="shared" si="388"/>
        <v>830.70999999999992</v>
      </c>
      <c r="EK33" s="153">
        <f t="shared" si="143"/>
        <v>1857121.879071052</v>
      </c>
      <c r="EL33" s="152">
        <f t="shared" si="389"/>
        <v>830.70999999999992</v>
      </c>
      <c r="EM33" s="153">
        <f t="shared" si="144"/>
        <v>1857121.879071052</v>
      </c>
      <c r="EN33" s="152">
        <f t="shared" si="290"/>
        <v>830.70999999999992</v>
      </c>
      <c r="EO33" s="153">
        <f t="shared" si="145"/>
        <v>1857121.879071052</v>
      </c>
      <c r="EP33" s="152">
        <f t="shared" si="390"/>
        <v>830.70999999999992</v>
      </c>
      <c r="EQ33" s="153">
        <f t="shared" si="146"/>
        <v>1857121.879071052</v>
      </c>
      <c r="ER33" s="152">
        <f t="shared" si="292"/>
        <v>830.70999999999992</v>
      </c>
      <c r="ES33" s="153">
        <f t="shared" si="147"/>
        <v>1857121.879071052</v>
      </c>
      <c r="ET33" s="152">
        <f t="shared" si="391"/>
        <v>830.70999999999992</v>
      </c>
      <c r="EU33" s="153">
        <f t="shared" si="148"/>
        <v>1857121.879071052</v>
      </c>
      <c r="EV33" s="152">
        <f t="shared" si="294"/>
        <v>830.70999999999992</v>
      </c>
      <c r="EW33" s="153">
        <f t="shared" si="149"/>
        <v>1857121.879071052</v>
      </c>
      <c r="EX33" s="152">
        <f t="shared" si="392"/>
        <v>830.70999999999992</v>
      </c>
      <c r="EY33" s="153">
        <f t="shared" si="150"/>
        <v>1857121.879071052</v>
      </c>
      <c r="EZ33" s="158">
        <f t="shared" si="151"/>
        <v>9968.5199999999968</v>
      </c>
      <c r="FA33" s="159">
        <f t="shared" si="36"/>
        <v>22285462.548852619</v>
      </c>
      <c r="FC33" s="170">
        <f>+FC20</f>
        <v>65.989999999999995</v>
      </c>
      <c r="FD33" s="150">
        <v>1</v>
      </c>
      <c r="FE33" s="161">
        <f t="shared" si="296"/>
        <v>147526.17977380642</v>
      </c>
      <c r="FF33" s="169">
        <f t="shared" si="153"/>
        <v>65.989999999999995</v>
      </c>
      <c r="FG33" s="153">
        <f t="shared" si="154"/>
        <v>147526.17977380642</v>
      </c>
      <c r="FH33" s="368">
        <f t="shared" si="393"/>
        <v>65.989999999999995</v>
      </c>
      <c r="FI33" s="153">
        <f t="shared" si="155"/>
        <v>147526.17977380642</v>
      </c>
      <c r="FJ33" s="368">
        <f t="shared" si="394"/>
        <v>65.989999999999995</v>
      </c>
      <c r="FK33" s="153">
        <f t="shared" si="155"/>
        <v>147526.17977380642</v>
      </c>
      <c r="FL33" s="368">
        <f t="shared" si="395"/>
        <v>65.989999999999995</v>
      </c>
      <c r="FM33" s="153">
        <f t="shared" si="156"/>
        <v>147526.17977380642</v>
      </c>
      <c r="FN33" s="368">
        <f t="shared" si="396"/>
        <v>65.989999999999995</v>
      </c>
      <c r="FO33" s="153">
        <f t="shared" si="157"/>
        <v>147526.17977380642</v>
      </c>
      <c r="FP33" s="368">
        <f t="shared" si="397"/>
        <v>65.989999999999995</v>
      </c>
      <c r="FQ33" s="153">
        <f t="shared" si="158"/>
        <v>147526.17977380642</v>
      </c>
      <c r="FR33" s="368">
        <f t="shared" si="159"/>
        <v>65.989999999999995</v>
      </c>
      <c r="FS33" s="153">
        <f t="shared" si="160"/>
        <v>147526.17977380642</v>
      </c>
      <c r="FT33" s="368">
        <f t="shared" si="398"/>
        <v>65.989999999999995</v>
      </c>
      <c r="FU33" s="153">
        <f t="shared" si="161"/>
        <v>147526.17977380642</v>
      </c>
      <c r="FV33" s="368">
        <f t="shared" si="162"/>
        <v>65.989999999999995</v>
      </c>
      <c r="FW33" s="153">
        <f t="shared" si="163"/>
        <v>147526.17977380642</v>
      </c>
      <c r="FX33" s="368">
        <f t="shared" si="399"/>
        <v>65.989999999999995</v>
      </c>
      <c r="FY33" s="153">
        <f t="shared" si="164"/>
        <v>147526.17977380642</v>
      </c>
      <c r="FZ33" s="368">
        <f t="shared" si="165"/>
        <v>65.989999999999995</v>
      </c>
      <c r="GA33" s="153">
        <f t="shared" si="166"/>
        <v>147526.17977380642</v>
      </c>
      <c r="GB33" s="368">
        <f t="shared" si="400"/>
        <v>65.989999999999995</v>
      </c>
      <c r="GC33" s="153">
        <f t="shared" si="167"/>
        <v>147526.17977380642</v>
      </c>
      <c r="GD33" s="158">
        <f t="shared" si="168"/>
        <v>791.88</v>
      </c>
      <c r="GE33" s="159">
        <f t="shared" si="45"/>
        <v>1770314.157285677</v>
      </c>
      <c r="GG33" s="149">
        <f>+GG20</f>
        <v>55</v>
      </c>
      <c r="GH33" s="150">
        <v>1</v>
      </c>
      <c r="GI33" s="161">
        <f t="shared" si="297"/>
        <v>122957.11301044634</v>
      </c>
      <c r="GJ33" s="152">
        <f t="shared" si="169"/>
        <v>55</v>
      </c>
      <c r="GK33" s="153">
        <f t="shared" si="170"/>
        <v>122957.11301044634</v>
      </c>
      <c r="GL33" s="152">
        <f t="shared" si="169"/>
        <v>55</v>
      </c>
      <c r="GM33" s="153">
        <f t="shared" si="170"/>
        <v>122957.11301044634</v>
      </c>
      <c r="GN33" s="152">
        <f t="shared" si="169"/>
        <v>55</v>
      </c>
      <c r="GO33" s="153">
        <f t="shared" si="171"/>
        <v>122957.11301044634</v>
      </c>
      <c r="GP33" s="152">
        <f t="shared" si="169"/>
        <v>55</v>
      </c>
      <c r="GQ33" s="153">
        <f t="shared" si="172"/>
        <v>122957.11301044634</v>
      </c>
      <c r="GR33" s="152">
        <f t="shared" si="173"/>
        <v>55</v>
      </c>
      <c r="GS33" s="153">
        <f t="shared" si="174"/>
        <v>122957.11301044634</v>
      </c>
      <c r="GT33" s="152">
        <f t="shared" si="175"/>
        <v>55</v>
      </c>
      <c r="GU33" s="153">
        <f t="shared" si="176"/>
        <v>122957.11301044634</v>
      </c>
      <c r="GV33" s="152">
        <f t="shared" si="177"/>
        <v>55</v>
      </c>
      <c r="GW33" s="153">
        <f t="shared" si="178"/>
        <v>122957.11301044634</v>
      </c>
      <c r="GX33" s="152">
        <f t="shared" si="179"/>
        <v>55</v>
      </c>
      <c r="GY33" s="153">
        <f t="shared" si="180"/>
        <v>122957.11301044634</v>
      </c>
      <c r="GZ33" s="152">
        <f t="shared" si="181"/>
        <v>55</v>
      </c>
      <c r="HA33" s="153">
        <f t="shared" si="182"/>
        <v>122957.11301044634</v>
      </c>
      <c r="HB33" s="152">
        <f t="shared" si="183"/>
        <v>55</v>
      </c>
      <c r="HC33" s="153">
        <f t="shared" si="184"/>
        <v>122957.11301044634</v>
      </c>
      <c r="HD33" s="152">
        <f t="shared" si="185"/>
        <v>55</v>
      </c>
      <c r="HE33" s="153">
        <f t="shared" si="186"/>
        <v>122957.11301044634</v>
      </c>
      <c r="HF33" s="152">
        <f t="shared" si="187"/>
        <v>55</v>
      </c>
      <c r="HG33" s="153">
        <f t="shared" si="188"/>
        <v>122957.11301044634</v>
      </c>
      <c r="HH33" s="158">
        <f t="shared" si="189"/>
        <v>660</v>
      </c>
      <c r="HI33" s="159">
        <f t="shared" si="47"/>
        <v>1475485.3561253559</v>
      </c>
      <c r="HK33" s="149">
        <f>+HK20</f>
        <v>262.85000000000002</v>
      </c>
      <c r="HL33" s="150">
        <v>1</v>
      </c>
      <c r="HM33" s="161">
        <f t="shared" si="48"/>
        <v>587623.22099628765</v>
      </c>
      <c r="HN33" s="152">
        <v>0</v>
      </c>
      <c r="HO33" s="153">
        <f t="shared" si="191"/>
        <v>0</v>
      </c>
      <c r="HP33" s="152">
        <v>0</v>
      </c>
      <c r="HQ33" s="153">
        <f t="shared" si="193"/>
        <v>0</v>
      </c>
      <c r="HR33" s="152">
        <f t="shared" si="192"/>
        <v>262.85000000000002</v>
      </c>
      <c r="HS33" s="153">
        <f t="shared" si="193"/>
        <v>587623.22099628765</v>
      </c>
      <c r="HT33" s="152">
        <f t="shared" si="192"/>
        <v>262.85000000000002</v>
      </c>
      <c r="HU33" s="153">
        <f t="shared" si="194"/>
        <v>587623.22099628765</v>
      </c>
      <c r="HV33" s="152">
        <f t="shared" si="192"/>
        <v>262.85000000000002</v>
      </c>
      <c r="HW33" s="153">
        <f t="shared" si="195"/>
        <v>587623.22099628765</v>
      </c>
      <c r="HX33" s="152">
        <f t="shared" si="196"/>
        <v>262.85000000000002</v>
      </c>
      <c r="HY33" s="153">
        <f t="shared" si="197"/>
        <v>587623.22099628765</v>
      </c>
      <c r="HZ33" s="152">
        <f t="shared" si="198"/>
        <v>262.85000000000002</v>
      </c>
      <c r="IA33" s="153">
        <f t="shared" si="199"/>
        <v>587623.22099628765</v>
      </c>
      <c r="IB33" s="152">
        <f t="shared" si="200"/>
        <v>262.85000000000002</v>
      </c>
      <c r="IC33" s="153">
        <f t="shared" si="201"/>
        <v>587623.22099628765</v>
      </c>
      <c r="ID33" s="152">
        <f t="shared" si="202"/>
        <v>262.85000000000002</v>
      </c>
      <c r="IE33" s="153">
        <f t="shared" si="203"/>
        <v>587623.22099628765</v>
      </c>
      <c r="IF33" s="152">
        <f t="shared" si="204"/>
        <v>262.85000000000002</v>
      </c>
      <c r="IG33" s="153">
        <f t="shared" si="205"/>
        <v>587623.22099628765</v>
      </c>
      <c r="IH33" s="152">
        <f t="shared" si="206"/>
        <v>262.85000000000002</v>
      </c>
      <c r="II33" s="153">
        <f t="shared" si="207"/>
        <v>587623.22099628765</v>
      </c>
      <c r="IJ33" s="152">
        <f t="shared" si="208"/>
        <v>262.85000000000002</v>
      </c>
      <c r="IK33" s="153">
        <f t="shared" si="209"/>
        <v>587623.22099628765</v>
      </c>
      <c r="IL33" s="158">
        <f t="shared" si="210"/>
        <v>2628.4999999999995</v>
      </c>
      <c r="IM33" s="159">
        <f t="shared" si="211"/>
        <v>5876232.2099628747</v>
      </c>
      <c r="IO33" s="149">
        <v>3427</v>
      </c>
      <c r="IP33" s="150">
        <v>1</v>
      </c>
      <c r="IQ33" s="161">
        <f t="shared" si="298"/>
        <v>7661345.9324872652</v>
      </c>
      <c r="IR33" s="152">
        <f t="shared" si="212"/>
        <v>3427</v>
      </c>
      <c r="IS33" s="153">
        <f t="shared" si="213"/>
        <v>7661345.9324872652</v>
      </c>
      <c r="IT33" s="152">
        <f t="shared" si="401"/>
        <v>3427</v>
      </c>
      <c r="IU33" s="285">
        <f t="shared" si="214"/>
        <v>7661345.9324872652</v>
      </c>
      <c r="IV33" s="152">
        <f t="shared" si="402"/>
        <v>3427</v>
      </c>
      <c r="IW33" s="285">
        <f t="shared" si="214"/>
        <v>7661345.9324872652</v>
      </c>
      <c r="IX33" s="152">
        <f t="shared" si="403"/>
        <v>3427</v>
      </c>
      <c r="IY33" s="285">
        <f t="shared" si="215"/>
        <v>7661345.9324872652</v>
      </c>
      <c r="IZ33" s="152">
        <f t="shared" si="404"/>
        <v>3427</v>
      </c>
      <c r="JA33" s="285">
        <f t="shared" si="216"/>
        <v>7661345.9324872652</v>
      </c>
      <c r="JB33" s="152">
        <f t="shared" si="405"/>
        <v>3427</v>
      </c>
      <c r="JC33" s="285">
        <f t="shared" si="217"/>
        <v>7661345.9324872652</v>
      </c>
      <c r="JD33" s="152">
        <f t="shared" si="218"/>
        <v>3427</v>
      </c>
      <c r="JE33" s="285">
        <f t="shared" si="219"/>
        <v>7661345.9324872652</v>
      </c>
      <c r="JF33" s="152">
        <f t="shared" si="406"/>
        <v>3427</v>
      </c>
      <c r="JG33" s="285">
        <f t="shared" si="220"/>
        <v>7661345.9324872652</v>
      </c>
      <c r="JH33" s="152">
        <f t="shared" si="221"/>
        <v>3427</v>
      </c>
      <c r="JI33" s="285">
        <f t="shared" si="222"/>
        <v>7661345.9324872652</v>
      </c>
      <c r="JJ33" s="152">
        <f t="shared" si="407"/>
        <v>3427</v>
      </c>
      <c r="JK33" s="285">
        <f t="shared" si="223"/>
        <v>7661345.9324872652</v>
      </c>
      <c r="JL33" s="152">
        <f t="shared" si="224"/>
        <v>3427</v>
      </c>
      <c r="JM33" s="285">
        <f t="shared" si="225"/>
        <v>7661345.9324872652</v>
      </c>
      <c r="JN33" s="152">
        <f t="shared" si="408"/>
        <v>3427</v>
      </c>
      <c r="JO33" s="285">
        <f t="shared" si="226"/>
        <v>7661345.9324872652</v>
      </c>
      <c r="JP33" s="158">
        <f t="shared" si="227"/>
        <v>41124</v>
      </c>
      <c r="JQ33" s="159">
        <f t="shared" si="228"/>
        <v>91936151.189847186</v>
      </c>
      <c r="JS33" s="149">
        <v>0</v>
      </c>
      <c r="JT33" s="150">
        <v>1</v>
      </c>
      <c r="JU33" s="161">
        <f t="shared" si="58"/>
        <v>0</v>
      </c>
      <c r="JV33" s="152">
        <f t="shared" si="229"/>
        <v>0</v>
      </c>
      <c r="JW33" s="153">
        <f t="shared" si="230"/>
        <v>0</v>
      </c>
      <c r="JX33" s="368"/>
      <c r="JY33" s="153">
        <f t="shared" si="231"/>
        <v>0</v>
      </c>
      <c r="JZ33" s="368"/>
      <c r="KA33" s="153">
        <f t="shared" si="231"/>
        <v>0</v>
      </c>
      <c r="KB33" s="368"/>
      <c r="KC33" s="153">
        <f t="shared" si="232"/>
        <v>0</v>
      </c>
      <c r="KD33" s="368"/>
      <c r="KE33" s="153">
        <f t="shared" si="233"/>
        <v>0</v>
      </c>
      <c r="KF33" s="368"/>
      <c r="KG33" s="153">
        <f t="shared" si="234"/>
        <v>0</v>
      </c>
      <c r="KH33" s="368"/>
      <c r="KI33" s="153">
        <f t="shared" si="236"/>
        <v>0</v>
      </c>
      <c r="KJ33" s="368"/>
      <c r="KK33" s="153">
        <f t="shared" si="237"/>
        <v>0</v>
      </c>
      <c r="KL33" s="368"/>
      <c r="KM33" s="153">
        <f t="shared" si="239"/>
        <v>0</v>
      </c>
      <c r="KN33" s="368"/>
      <c r="KO33" s="153">
        <f t="shared" si="240"/>
        <v>0</v>
      </c>
      <c r="KP33" s="368"/>
      <c r="KQ33" s="153">
        <f t="shared" si="242"/>
        <v>0</v>
      </c>
      <c r="KR33" s="368"/>
      <c r="KS33" s="154">
        <f t="shared" si="243"/>
        <v>0</v>
      </c>
      <c r="KT33" s="158">
        <f t="shared" si="244"/>
        <v>0</v>
      </c>
      <c r="KU33" s="159">
        <f t="shared" si="67"/>
        <v>0</v>
      </c>
      <c r="KW33" s="149"/>
      <c r="KX33" s="150"/>
      <c r="KY33" s="157"/>
      <c r="KZ33" s="152">
        <f t="shared" si="271"/>
        <v>0</v>
      </c>
      <c r="LA33" s="153"/>
      <c r="LB33" s="152">
        <f t="shared" si="272"/>
        <v>0</v>
      </c>
      <c r="LC33" s="153">
        <f t="shared" si="246"/>
        <v>0</v>
      </c>
      <c r="LD33" s="152">
        <f t="shared" si="272"/>
        <v>0</v>
      </c>
      <c r="LE33" s="153">
        <f t="shared" si="246"/>
        <v>0</v>
      </c>
      <c r="LF33" s="152">
        <f t="shared" si="272"/>
        <v>0</v>
      </c>
      <c r="LG33" s="153">
        <f t="shared" si="247"/>
        <v>0</v>
      </c>
      <c r="LH33" s="152">
        <f t="shared" si="272"/>
        <v>0</v>
      </c>
      <c r="LI33" s="153">
        <f t="shared" si="248"/>
        <v>0</v>
      </c>
      <c r="LJ33" s="152">
        <f t="shared" si="273"/>
        <v>0</v>
      </c>
      <c r="LK33" s="153">
        <f t="shared" si="249"/>
        <v>0</v>
      </c>
      <c r="LL33" s="152">
        <f t="shared" si="274"/>
        <v>0</v>
      </c>
      <c r="LM33" s="153">
        <f t="shared" si="250"/>
        <v>0</v>
      </c>
      <c r="LN33" s="152">
        <f t="shared" si="275"/>
        <v>0</v>
      </c>
      <c r="LO33" s="153">
        <f t="shared" si="251"/>
        <v>0</v>
      </c>
      <c r="LP33" s="152">
        <f t="shared" si="276"/>
        <v>0</v>
      </c>
      <c r="LQ33" s="153">
        <f t="shared" si="252"/>
        <v>0</v>
      </c>
      <c r="LR33" s="152">
        <f t="shared" si="277"/>
        <v>0</v>
      </c>
      <c r="LS33" s="153">
        <f t="shared" si="253"/>
        <v>0</v>
      </c>
      <c r="LT33" s="152">
        <f t="shared" si="278"/>
        <v>0</v>
      </c>
      <c r="LU33" s="153">
        <f t="shared" si="254"/>
        <v>0</v>
      </c>
      <c r="LV33" s="152">
        <f t="shared" si="279"/>
        <v>0</v>
      </c>
      <c r="LW33" s="153">
        <f t="shared" si="255"/>
        <v>0</v>
      </c>
      <c r="LX33" s="158">
        <f t="shared" si="256"/>
        <v>0</v>
      </c>
      <c r="LY33" s="159">
        <f t="shared" si="257"/>
        <v>0</v>
      </c>
      <c r="MA33" s="164">
        <f t="shared" si="69"/>
        <v>4923.38</v>
      </c>
      <c r="MB33" s="386">
        <f t="shared" si="258"/>
        <v>11006628.928243114</v>
      </c>
      <c r="MC33" s="394">
        <f t="shared" si="70"/>
        <v>4923.38</v>
      </c>
      <c r="MD33" s="386">
        <f t="shared" si="259"/>
        <v>11006628.928243114</v>
      </c>
      <c r="ME33" s="394">
        <f t="shared" si="71"/>
        <v>5186.2299999999996</v>
      </c>
      <c r="MF33" s="386">
        <f t="shared" si="259"/>
        <v>11594252.1492394</v>
      </c>
      <c r="MG33" s="394">
        <f t="shared" si="72"/>
        <v>5186.2299999999996</v>
      </c>
      <c r="MH33" s="386">
        <f t="shared" si="260"/>
        <v>11594252.1492394</v>
      </c>
      <c r="MI33" s="394">
        <f t="shared" si="73"/>
        <v>5186.2299999999996</v>
      </c>
      <c r="MJ33" s="386">
        <f t="shared" si="261"/>
        <v>11594252.1492394</v>
      </c>
      <c r="MK33" s="394">
        <f t="shared" si="74"/>
        <v>5186.2299999999996</v>
      </c>
      <c r="ML33" s="386">
        <f t="shared" si="262"/>
        <v>11594252.1492394</v>
      </c>
      <c r="MM33" s="394">
        <f t="shared" si="75"/>
        <v>5186.2299999999996</v>
      </c>
      <c r="MN33" s="386">
        <f t="shared" si="263"/>
        <v>11594252.1492394</v>
      </c>
      <c r="MO33" s="394">
        <f t="shared" si="76"/>
        <v>5186.2299999999996</v>
      </c>
      <c r="MP33" s="386">
        <f t="shared" si="264"/>
        <v>11594252.1492394</v>
      </c>
      <c r="MQ33" s="394">
        <f t="shared" si="77"/>
        <v>5186.2299999999996</v>
      </c>
      <c r="MR33" s="386">
        <f t="shared" si="265"/>
        <v>11594252.1492394</v>
      </c>
      <c r="MS33" s="394">
        <f t="shared" si="78"/>
        <v>5186.2299999999996</v>
      </c>
      <c r="MT33" s="386">
        <f t="shared" si="266"/>
        <v>11594252.1492394</v>
      </c>
      <c r="MU33" s="394">
        <f t="shared" si="79"/>
        <v>5186.2299999999996</v>
      </c>
      <c r="MV33" s="386">
        <f t="shared" si="267"/>
        <v>11594252.1492394</v>
      </c>
      <c r="MW33" s="394">
        <f t="shared" si="80"/>
        <v>5186.2299999999996</v>
      </c>
      <c r="MX33" s="386">
        <f t="shared" si="268"/>
        <v>11594252.1492394</v>
      </c>
      <c r="MY33" s="165">
        <f t="shared" si="269"/>
        <v>61709.059999999983</v>
      </c>
      <c r="MZ33" s="166">
        <f t="shared" si="270"/>
        <v>137955779.3488802</v>
      </c>
    </row>
    <row r="34" spans="1:364" s="126" customFormat="1" ht="52.8" x14ac:dyDescent="0.3">
      <c r="A34" s="528"/>
      <c r="B34" s="14" t="s">
        <v>91</v>
      </c>
      <c r="C34" s="147" t="s">
        <v>92</v>
      </c>
      <c r="D34" s="148" t="s">
        <v>25</v>
      </c>
      <c r="E34" s="14">
        <v>1</v>
      </c>
      <c r="F34" s="346">
        <v>427.18855218855214</v>
      </c>
      <c r="G34" s="346">
        <f t="shared" si="81"/>
        <v>444.99214365881022</v>
      </c>
      <c r="I34" s="149">
        <f>+I19+I20+I21</f>
        <v>2620.0099999999998</v>
      </c>
      <c r="J34" s="150">
        <v>1</v>
      </c>
      <c r="K34" s="151">
        <f t="shared" si="82"/>
        <v>1165883.8663075194</v>
      </c>
      <c r="L34" s="152">
        <f t="shared" si="300"/>
        <v>2620.0099999999998</v>
      </c>
      <c r="M34" s="285">
        <f t="shared" si="301"/>
        <v>1165883.8663075194</v>
      </c>
      <c r="N34" s="152">
        <f t="shared" si="361"/>
        <v>2620.0099999999998</v>
      </c>
      <c r="O34" s="285">
        <f t="shared" si="302"/>
        <v>1165883.8663075194</v>
      </c>
      <c r="P34" s="152">
        <f t="shared" si="362"/>
        <v>2620.0099999999998</v>
      </c>
      <c r="Q34" s="285">
        <f t="shared" si="302"/>
        <v>1165883.8663075194</v>
      </c>
      <c r="R34" s="152">
        <f t="shared" si="363"/>
        <v>2620.0099999999998</v>
      </c>
      <c r="S34" s="285">
        <f t="shared" si="86"/>
        <v>1165883.8663075194</v>
      </c>
      <c r="T34" s="152">
        <f t="shared" si="364"/>
        <v>2620.0099999999998</v>
      </c>
      <c r="U34" s="285">
        <f t="shared" si="87"/>
        <v>1165883.8663075194</v>
      </c>
      <c r="V34" s="152">
        <f t="shared" si="409"/>
        <v>2620.0099999999998</v>
      </c>
      <c r="W34" s="285">
        <f t="shared" si="88"/>
        <v>1165883.8663075194</v>
      </c>
      <c r="X34" s="152">
        <f t="shared" si="305"/>
        <v>2620.0099999999998</v>
      </c>
      <c r="Y34" s="285">
        <f t="shared" si="89"/>
        <v>1165883.8663075194</v>
      </c>
      <c r="Z34" s="152">
        <f t="shared" si="365"/>
        <v>2620.0099999999998</v>
      </c>
      <c r="AA34" s="285">
        <f t="shared" si="90"/>
        <v>1165883.8663075194</v>
      </c>
      <c r="AB34" s="152">
        <f t="shared" si="306"/>
        <v>2620.0099999999998</v>
      </c>
      <c r="AC34" s="285">
        <f t="shared" si="91"/>
        <v>1165883.8663075194</v>
      </c>
      <c r="AD34" s="152">
        <f t="shared" si="366"/>
        <v>2620.0099999999998</v>
      </c>
      <c r="AE34" s="285">
        <f t="shared" si="92"/>
        <v>1165883.8663075194</v>
      </c>
      <c r="AF34" s="152">
        <f t="shared" si="307"/>
        <v>2620.0099999999998</v>
      </c>
      <c r="AG34" s="285">
        <f t="shared" si="308"/>
        <v>1165883.8663075194</v>
      </c>
      <c r="AH34" s="152">
        <f t="shared" si="367"/>
        <v>2620.0099999999998</v>
      </c>
      <c r="AI34" s="294">
        <f t="shared" si="309"/>
        <v>1165883.8663075194</v>
      </c>
      <c r="AJ34" s="156">
        <f t="shared" si="94"/>
        <v>31440.119999999992</v>
      </c>
      <c r="AK34" s="306">
        <f t="shared" si="95"/>
        <v>13990606.395690229</v>
      </c>
      <c r="AM34" s="149">
        <v>0</v>
      </c>
      <c r="AN34" s="150">
        <v>1</v>
      </c>
      <c r="AO34" s="157">
        <f t="shared" si="285"/>
        <v>0</v>
      </c>
      <c r="AP34" s="152">
        <f t="shared" si="328"/>
        <v>0</v>
      </c>
      <c r="AQ34" s="285">
        <f t="shared" si="96"/>
        <v>0</v>
      </c>
      <c r="AR34" s="317">
        <f t="shared" si="329"/>
        <v>0</v>
      </c>
      <c r="AS34" s="285">
        <f t="shared" si="96"/>
        <v>0</v>
      </c>
      <c r="AT34" s="317">
        <f t="shared" si="330"/>
        <v>0</v>
      </c>
      <c r="AU34" s="285">
        <f t="shared" si="96"/>
        <v>0</v>
      </c>
      <c r="AV34" s="317">
        <f t="shared" si="331"/>
        <v>0</v>
      </c>
      <c r="AW34" s="285">
        <f t="shared" si="98"/>
        <v>0</v>
      </c>
      <c r="AX34" s="317">
        <f t="shared" si="5"/>
        <v>0</v>
      </c>
      <c r="AY34" s="285">
        <f t="shared" si="99"/>
        <v>0</v>
      </c>
      <c r="AZ34" s="317">
        <f t="shared" si="332"/>
        <v>0</v>
      </c>
      <c r="BA34" s="285">
        <f t="shared" si="100"/>
        <v>0</v>
      </c>
      <c r="BB34" s="317">
        <f t="shared" si="7"/>
        <v>0</v>
      </c>
      <c r="BC34" s="285">
        <f t="shared" si="101"/>
        <v>0</v>
      </c>
      <c r="BD34" s="317">
        <f t="shared" si="333"/>
        <v>0</v>
      </c>
      <c r="BE34" s="285">
        <f t="shared" si="102"/>
        <v>0</v>
      </c>
      <c r="BF34" s="317">
        <f t="shared" si="9"/>
        <v>0</v>
      </c>
      <c r="BG34" s="285">
        <f t="shared" si="103"/>
        <v>0</v>
      </c>
      <c r="BH34" s="317">
        <f t="shared" si="334"/>
        <v>0</v>
      </c>
      <c r="BI34" s="285">
        <f t="shared" si="310"/>
        <v>0</v>
      </c>
      <c r="BJ34" s="317">
        <f t="shared" si="335"/>
        <v>0</v>
      </c>
      <c r="BK34" s="285">
        <f t="shared" si="310"/>
        <v>0</v>
      </c>
      <c r="BL34" s="152">
        <f t="shared" si="336"/>
        <v>0</v>
      </c>
      <c r="BM34" s="296">
        <f t="shared" si="105"/>
        <v>0</v>
      </c>
      <c r="BN34" s="158">
        <f t="shared" si="106"/>
        <v>0</v>
      </c>
      <c r="BO34" s="307">
        <f t="shared" si="13"/>
        <v>0</v>
      </c>
      <c r="BQ34" s="171">
        <v>2295</v>
      </c>
      <c r="BR34" s="150">
        <v>1</v>
      </c>
      <c r="BS34" s="160">
        <f t="shared" si="281"/>
        <v>1021256.9696969695</v>
      </c>
      <c r="BT34" s="152">
        <f t="shared" si="280"/>
        <v>2295</v>
      </c>
      <c r="BU34" s="332">
        <f t="shared" si="107"/>
        <v>1021256.9696969695</v>
      </c>
      <c r="BV34" s="152">
        <f t="shared" si="368"/>
        <v>2295</v>
      </c>
      <c r="BW34" s="153">
        <f t="shared" si="108"/>
        <v>1021256.9696969695</v>
      </c>
      <c r="BX34" s="152">
        <f t="shared" si="369"/>
        <v>2295</v>
      </c>
      <c r="BY34" s="153">
        <f t="shared" si="109"/>
        <v>1021256.9696969695</v>
      </c>
      <c r="BZ34" s="152">
        <f t="shared" si="370"/>
        <v>2295</v>
      </c>
      <c r="CA34" s="153">
        <f t="shared" si="110"/>
        <v>1021256.9696969695</v>
      </c>
      <c r="CB34" s="152">
        <f t="shared" si="371"/>
        <v>2295</v>
      </c>
      <c r="CC34" s="153">
        <f t="shared" si="111"/>
        <v>1021256.9696969695</v>
      </c>
      <c r="CD34" s="152">
        <f t="shared" si="372"/>
        <v>2295</v>
      </c>
      <c r="CE34" s="153">
        <f t="shared" si="112"/>
        <v>1021256.9696969695</v>
      </c>
      <c r="CF34" s="152">
        <f t="shared" si="113"/>
        <v>2295</v>
      </c>
      <c r="CG34" s="153">
        <f t="shared" si="114"/>
        <v>1021256.9696969695</v>
      </c>
      <c r="CH34" s="152">
        <f t="shared" si="373"/>
        <v>2295</v>
      </c>
      <c r="CI34" s="153">
        <f t="shared" si="115"/>
        <v>1021256.9696969695</v>
      </c>
      <c r="CJ34" s="152">
        <f t="shared" si="116"/>
        <v>2295</v>
      </c>
      <c r="CK34" s="153">
        <f t="shared" si="117"/>
        <v>1021256.9696969695</v>
      </c>
      <c r="CL34" s="152">
        <f t="shared" si="374"/>
        <v>2295</v>
      </c>
      <c r="CM34" s="153">
        <f t="shared" si="118"/>
        <v>1021256.9696969695</v>
      </c>
      <c r="CN34" s="152">
        <f t="shared" si="119"/>
        <v>2295</v>
      </c>
      <c r="CO34" s="153">
        <f t="shared" si="120"/>
        <v>1021256.9696969695</v>
      </c>
      <c r="CP34" s="152">
        <f t="shared" si="375"/>
        <v>2295</v>
      </c>
      <c r="CQ34" s="154">
        <f t="shared" si="23"/>
        <v>1021256.9696969695</v>
      </c>
      <c r="CR34" s="158">
        <f t="shared" si="121"/>
        <v>27540</v>
      </c>
      <c r="CS34" s="159">
        <f t="shared" si="24"/>
        <v>12255083.636363633</v>
      </c>
      <c r="CU34" s="171">
        <f>+CU19+CU20</f>
        <v>3636.5</v>
      </c>
      <c r="CV34" s="150">
        <v>1</v>
      </c>
      <c r="CW34" s="161">
        <f t="shared" si="299"/>
        <v>1618213.9304152634</v>
      </c>
      <c r="CX34" s="152">
        <f t="shared" si="122"/>
        <v>3636.5</v>
      </c>
      <c r="CY34" s="153">
        <f t="shared" si="123"/>
        <v>1618213.9304152634</v>
      </c>
      <c r="CZ34" s="152">
        <f t="shared" si="376"/>
        <v>3636.5</v>
      </c>
      <c r="DA34" s="285">
        <f t="shared" si="123"/>
        <v>1618213.9304152634</v>
      </c>
      <c r="DB34" s="152">
        <f t="shared" si="377"/>
        <v>3636.5</v>
      </c>
      <c r="DC34" s="285">
        <f t="shared" si="124"/>
        <v>1618213.9304152634</v>
      </c>
      <c r="DD34" s="152">
        <f t="shared" si="378"/>
        <v>3636.5</v>
      </c>
      <c r="DE34" s="285">
        <f t="shared" si="125"/>
        <v>1618213.9304152634</v>
      </c>
      <c r="DF34" s="152">
        <f t="shared" si="379"/>
        <v>3636.5</v>
      </c>
      <c r="DG34" s="285">
        <f t="shared" si="126"/>
        <v>1618213.9304152634</v>
      </c>
      <c r="DH34" s="152">
        <f t="shared" si="380"/>
        <v>3636.5</v>
      </c>
      <c r="DI34" s="285">
        <f t="shared" si="127"/>
        <v>1618213.9304152634</v>
      </c>
      <c r="DJ34" s="152">
        <f t="shared" si="128"/>
        <v>3636.5</v>
      </c>
      <c r="DK34" s="285">
        <f t="shared" si="129"/>
        <v>1618213.9304152634</v>
      </c>
      <c r="DL34" s="152">
        <f t="shared" si="381"/>
        <v>3636.5</v>
      </c>
      <c r="DM34" s="285">
        <f t="shared" si="130"/>
        <v>1618213.9304152634</v>
      </c>
      <c r="DN34" s="152">
        <f t="shared" si="131"/>
        <v>3636.5</v>
      </c>
      <c r="DO34" s="285">
        <f t="shared" si="132"/>
        <v>1618213.9304152634</v>
      </c>
      <c r="DP34" s="152">
        <f t="shared" si="382"/>
        <v>3636.5</v>
      </c>
      <c r="DQ34" s="285">
        <f t="shared" si="133"/>
        <v>1618213.9304152634</v>
      </c>
      <c r="DR34" s="152">
        <f t="shared" si="134"/>
        <v>3636.5</v>
      </c>
      <c r="DS34" s="285">
        <f t="shared" si="135"/>
        <v>1618213.9304152634</v>
      </c>
      <c r="DT34" s="152">
        <f t="shared" si="383"/>
        <v>3636.5</v>
      </c>
      <c r="DU34" s="285">
        <f t="shared" si="136"/>
        <v>1618213.9304152634</v>
      </c>
      <c r="DV34" s="158">
        <f t="shared" si="137"/>
        <v>43638</v>
      </c>
      <c r="DW34" s="159">
        <f t="shared" si="34"/>
        <v>19418567.164983161</v>
      </c>
      <c r="DY34" s="172">
        <f>+DY19+DY20+DY21</f>
        <v>5976.7</v>
      </c>
      <c r="DZ34" s="150">
        <v>1</v>
      </c>
      <c r="EA34" s="161">
        <f t="shared" si="35"/>
        <v>2659584.5450056111</v>
      </c>
      <c r="EB34" s="152">
        <f t="shared" si="384"/>
        <v>5976.7</v>
      </c>
      <c r="EC34" s="153">
        <f t="shared" si="139"/>
        <v>2659584.5450056111</v>
      </c>
      <c r="ED34" s="317">
        <f t="shared" si="385"/>
        <v>5976.7</v>
      </c>
      <c r="EE34" s="153">
        <f t="shared" si="139"/>
        <v>2659584.5450056111</v>
      </c>
      <c r="EF34" s="152">
        <f t="shared" si="386"/>
        <v>5976.7</v>
      </c>
      <c r="EG34" s="153">
        <f t="shared" si="311"/>
        <v>2659584.5450056111</v>
      </c>
      <c r="EH34" s="152">
        <f t="shared" si="387"/>
        <v>5976.7</v>
      </c>
      <c r="EI34" s="153">
        <f t="shared" si="311"/>
        <v>2659584.5450056111</v>
      </c>
      <c r="EJ34" s="152">
        <f t="shared" si="388"/>
        <v>5976.7</v>
      </c>
      <c r="EK34" s="153">
        <f t="shared" si="143"/>
        <v>2659584.5450056111</v>
      </c>
      <c r="EL34" s="152">
        <f t="shared" si="389"/>
        <v>5976.7</v>
      </c>
      <c r="EM34" s="153">
        <f t="shared" si="144"/>
        <v>2659584.5450056111</v>
      </c>
      <c r="EN34" s="152">
        <f t="shared" si="290"/>
        <v>5976.7</v>
      </c>
      <c r="EO34" s="153">
        <f t="shared" si="145"/>
        <v>2659584.5450056111</v>
      </c>
      <c r="EP34" s="152">
        <f t="shared" si="390"/>
        <v>5976.7</v>
      </c>
      <c r="EQ34" s="153">
        <f t="shared" si="146"/>
        <v>2659584.5450056111</v>
      </c>
      <c r="ER34" s="152">
        <f t="shared" si="292"/>
        <v>5976.7</v>
      </c>
      <c r="ES34" s="153">
        <f t="shared" si="147"/>
        <v>2659584.5450056111</v>
      </c>
      <c r="ET34" s="152">
        <f t="shared" si="391"/>
        <v>5976.7</v>
      </c>
      <c r="EU34" s="153">
        <f t="shared" si="148"/>
        <v>2659584.5450056111</v>
      </c>
      <c r="EV34" s="152">
        <f t="shared" si="294"/>
        <v>5976.7</v>
      </c>
      <c r="EW34" s="153">
        <f t="shared" si="149"/>
        <v>2659584.5450056111</v>
      </c>
      <c r="EX34" s="152">
        <f t="shared" si="392"/>
        <v>5976.7</v>
      </c>
      <c r="EY34" s="153">
        <f t="shared" si="150"/>
        <v>2659584.5450056111</v>
      </c>
      <c r="EZ34" s="158">
        <f t="shared" si="151"/>
        <v>71720.39999999998</v>
      </c>
      <c r="FA34" s="159">
        <f t="shared" si="36"/>
        <v>31915014.540067323</v>
      </c>
      <c r="FC34" s="149">
        <f>+FC19+FC20+FC21+FC37</f>
        <v>1053.52</v>
      </c>
      <c r="FD34" s="150">
        <v>1</v>
      </c>
      <c r="FE34" s="161">
        <f t="shared" si="296"/>
        <v>468808.12318742974</v>
      </c>
      <c r="FF34" s="152">
        <f t="shared" si="153"/>
        <v>1053.52</v>
      </c>
      <c r="FG34" s="153">
        <f t="shared" si="154"/>
        <v>468808.12318742974</v>
      </c>
      <c r="FH34" s="368">
        <f t="shared" si="393"/>
        <v>1053.52</v>
      </c>
      <c r="FI34" s="153">
        <f t="shared" si="155"/>
        <v>468808.12318742974</v>
      </c>
      <c r="FJ34" s="368">
        <f t="shared" si="394"/>
        <v>1053.52</v>
      </c>
      <c r="FK34" s="153">
        <f t="shared" si="155"/>
        <v>468808.12318742974</v>
      </c>
      <c r="FL34" s="368">
        <f t="shared" si="395"/>
        <v>1053.52</v>
      </c>
      <c r="FM34" s="153">
        <f t="shared" si="156"/>
        <v>468808.12318742974</v>
      </c>
      <c r="FN34" s="368">
        <f t="shared" si="396"/>
        <v>1053.52</v>
      </c>
      <c r="FO34" s="153">
        <f t="shared" si="157"/>
        <v>468808.12318742974</v>
      </c>
      <c r="FP34" s="368">
        <f t="shared" si="397"/>
        <v>1053.52</v>
      </c>
      <c r="FQ34" s="153">
        <f t="shared" si="158"/>
        <v>468808.12318742974</v>
      </c>
      <c r="FR34" s="368">
        <f t="shared" si="159"/>
        <v>1053.52</v>
      </c>
      <c r="FS34" s="153">
        <f t="shared" si="160"/>
        <v>468808.12318742974</v>
      </c>
      <c r="FT34" s="368">
        <f t="shared" si="398"/>
        <v>1053.52</v>
      </c>
      <c r="FU34" s="153">
        <f t="shared" si="161"/>
        <v>468808.12318742974</v>
      </c>
      <c r="FV34" s="368">
        <f t="shared" si="162"/>
        <v>1053.52</v>
      </c>
      <c r="FW34" s="153">
        <f t="shared" si="163"/>
        <v>468808.12318742974</v>
      </c>
      <c r="FX34" s="368">
        <f t="shared" si="399"/>
        <v>1053.52</v>
      </c>
      <c r="FY34" s="153">
        <f t="shared" si="164"/>
        <v>468808.12318742974</v>
      </c>
      <c r="FZ34" s="368">
        <f t="shared" si="165"/>
        <v>1053.52</v>
      </c>
      <c r="GA34" s="153">
        <f t="shared" si="166"/>
        <v>468808.12318742974</v>
      </c>
      <c r="GB34" s="368">
        <f t="shared" si="400"/>
        <v>1053.52</v>
      </c>
      <c r="GC34" s="153">
        <f t="shared" si="167"/>
        <v>468808.12318742974</v>
      </c>
      <c r="GD34" s="158">
        <f t="shared" si="168"/>
        <v>12642.240000000003</v>
      </c>
      <c r="GE34" s="159">
        <f t="shared" si="45"/>
        <v>5625697.4782491587</v>
      </c>
      <c r="GG34" s="149">
        <f>+GG19+GG20+GG21</f>
        <v>895.49</v>
      </c>
      <c r="GH34" s="150">
        <v>1</v>
      </c>
      <c r="GI34" s="161">
        <f t="shared" si="297"/>
        <v>398486.01472502796</v>
      </c>
      <c r="GJ34" s="152">
        <f t="shared" si="169"/>
        <v>895.49</v>
      </c>
      <c r="GK34" s="153">
        <f t="shared" si="170"/>
        <v>398486.01472502796</v>
      </c>
      <c r="GL34" s="152">
        <f t="shared" si="169"/>
        <v>895.49</v>
      </c>
      <c r="GM34" s="153">
        <f t="shared" si="170"/>
        <v>398486.01472502796</v>
      </c>
      <c r="GN34" s="152">
        <f t="shared" si="169"/>
        <v>895.49</v>
      </c>
      <c r="GO34" s="153">
        <f t="shared" si="171"/>
        <v>398486.01472502796</v>
      </c>
      <c r="GP34" s="152">
        <f t="shared" si="169"/>
        <v>895.49</v>
      </c>
      <c r="GQ34" s="153">
        <f t="shared" si="172"/>
        <v>398486.01472502796</v>
      </c>
      <c r="GR34" s="152">
        <f t="shared" si="173"/>
        <v>895.49</v>
      </c>
      <c r="GS34" s="153">
        <f t="shared" si="174"/>
        <v>398486.01472502796</v>
      </c>
      <c r="GT34" s="152">
        <f t="shared" si="175"/>
        <v>895.49</v>
      </c>
      <c r="GU34" s="153">
        <f t="shared" si="176"/>
        <v>398486.01472502796</v>
      </c>
      <c r="GV34" s="152">
        <f t="shared" si="177"/>
        <v>895.49</v>
      </c>
      <c r="GW34" s="153">
        <f t="shared" si="178"/>
        <v>398486.01472502796</v>
      </c>
      <c r="GX34" s="152">
        <f t="shared" si="179"/>
        <v>895.49</v>
      </c>
      <c r="GY34" s="153">
        <f t="shared" si="180"/>
        <v>398486.01472502796</v>
      </c>
      <c r="GZ34" s="152">
        <f t="shared" si="181"/>
        <v>895.49</v>
      </c>
      <c r="HA34" s="153">
        <f t="shared" si="182"/>
        <v>398486.01472502796</v>
      </c>
      <c r="HB34" s="152">
        <f t="shared" si="183"/>
        <v>895.49</v>
      </c>
      <c r="HC34" s="153">
        <f t="shared" si="184"/>
        <v>398486.01472502796</v>
      </c>
      <c r="HD34" s="152">
        <f t="shared" si="185"/>
        <v>895.49</v>
      </c>
      <c r="HE34" s="153">
        <f t="shared" si="186"/>
        <v>398486.01472502796</v>
      </c>
      <c r="HF34" s="152">
        <f t="shared" si="187"/>
        <v>895.49</v>
      </c>
      <c r="HG34" s="153">
        <f t="shared" si="188"/>
        <v>398486.01472502796</v>
      </c>
      <c r="HH34" s="158">
        <f t="shared" si="189"/>
        <v>10745.88</v>
      </c>
      <c r="HI34" s="159">
        <f t="shared" si="47"/>
        <v>4781832.176700335</v>
      </c>
      <c r="HK34" s="149">
        <f>+HK19+HK20+HK21</f>
        <v>519.54</v>
      </c>
      <c r="HL34" s="150">
        <v>1</v>
      </c>
      <c r="HM34" s="161">
        <f t="shared" si="48"/>
        <v>231191.21831649824</v>
      </c>
      <c r="HN34" s="152">
        <v>0</v>
      </c>
      <c r="HO34" s="153">
        <f t="shared" si="191"/>
        <v>0</v>
      </c>
      <c r="HP34" s="152">
        <v>0</v>
      </c>
      <c r="HQ34" s="153">
        <f t="shared" si="193"/>
        <v>0</v>
      </c>
      <c r="HR34" s="152">
        <f t="shared" si="192"/>
        <v>519.54</v>
      </c>
      <c r="HS34" s="153">
        <f t="shared" si="193"/>
        <v>231191.21831649824</v>
      </c>
      <c r="HT34" s="152">
        <f t="shared" si="192"/>
        <v>519.54</v>
      </c>
      <c r="HU34" s="153">
        <f t="shared" si="194"/>
        <v>231191.21831649824</v>
      </c>
      <c r="HV34" s="152">
        <f t="shared" si="192"/>
        <v>519.54</v>
      </c>
      <c r="HW34" s="153">
        <f t="shared" si="195"/>
        <v>231191.21831649824</v>
      </c>
      <c r="HX34" s="152">
        <f t="shared" si="196"/>
        <v>519.54</v>
      </c>
      <c r="HY34" s="153">
        <f t="shared" si="197"/>
        <v>231191.21831649824</v>
      </c>
      <c r="HZ34" s="152">
        <f t="shared" si="198"/>
        <v>519.54</v>
      </c>
      <c r="IA34" s="153">
        <f t="shared" si="199"/>
        <v>231191.21831649824</v>
      </c>
      <c r="IB34" s="152">
        <f t="shared" si="200"/>
        <v>519.54</v>
      </c>
      <c r="IC34" s="153">
        <f t="shared" si="201"/>
        <v>231191.21831649824</v>
      </c>
      <c r="ID34" s="152">
        <f t="shared" si="202"/>
        <v>519.54</v>
      </c>
      <c r="IE34" s="153">
        <f t="shared" si="203"/>
        <v>231191.21831649824</v>
      </c>
      <c r="IF34" s="152">
        <f t="shared" si="204"/>
        <v>519.54</v>
      </c>
      <c r="IG34" s="153">
        <f t="shared" si="205"/>
        <v>231191.21831649824</v>
      </c>
      <c r="IH34" s="152">
        <f t="shared" si="206"/>
        <v>519.54</v>
      </c>
      <c r="II34" s="153">
        <f t="shared" si="207"/>
        <v>231191.21831649824</v>
      </c>
      <c r="IJ34" s="152">
        <f t="shared" si="208"/>
        <v>519.54</v>
      </c>
      <c r="IK34" s="153">
        <f t="shared" si="209"/>
        <v>231191.21831649824</v>
      </c>
      <c r="IL34" s="158">
        <f t="shared" si="210"/>
        <v>5195.3999999999996</v>
      </c>
      <c r="IM34" s="159">
        <f t="shared" si="211"/>
        <v>2311912.1831649826</v>
      </c>
      <c r="IO34" s="149">
        <v>5887</v>
      </c>
      <c r="IP34" s="150">
        <v>1</v>
      </c>
      <c r="IQ34" s="161">
        <f t="shared" si="298"/>
        <v>2619668.7497194158</v>
      </c>
      <c r="IR34" s="152">
        <f t="shared" si="212"/>
        <v>5887</v>
      </c>
      <c r="IS34" s="153">
        <f t="shared" si="213"/>
        <v>2619668.7497194158</v>
      </c>
      <c r="IT34" s="152">
        <f t="shared" si="401"/>
        <v>5887</v>
      </c>
      <c r="IU34" s="285">
        <f t="shared" si="214"/>
        <v>2619668.7497194158</v>
      </c>
      <c r="IV34" s="152">
        <f t="shared" si="402"/>
        <v>5887</v>
      </c>
      <c r="IW34" s="285">
        <f t="shared" si="214"/>
        <v>2619668.7497194158</v>
      </c>
      <c r="IX34" s="152">
        <f t="shared" si="403"/>
        <v>5887</v>
      </c>
      <c r="IY34" s="285">
        <f t="shared" si="215"/>
        <v>2619668.7497194158</v>
      </c>
      <c r="IZ34" s="152">
        <f t="shared" si="404"/>
        <v>5887</v>
      </c>
      <c r="JA34" s="285">
        <f t="shared" si="216"/>
        <v>2619668.7497194158</v>
      </c>
      <c r="JB34" s="152">
        <f t="shared" si="405"/>
        <v>5887</v>
      </c>
      <c r="JC34" s="285">
        <f t="shared" si="217"/>
        <v>2619668.7497194158</v>
      </c>
      <c r="JD34" s="152">
        <f t="shared" si="218"/>
        <v>5887</v>
      </c>
      <c r="JE34" s="285">
        <f t="shared" si="219"/>
        <v>2619668.7497194158</v>
      </c>
      <c r="JF34" s="152">
        <f t="shared" si="406"/>
        <v>5887</v>
      </c>
      <c r="JG34" s="285">
        <f t="shared" si="220"/>
        <v>2619668.7497194158</v>
      </c>
      <c r="JH34" s="152">
        <f t="shared" si="221"/>
        <v>5887</v>
      </c>
      <c r="JI34" s="285">
        <f t="shared" si="222"/>
        <v>2619668.7497194158</v>
      </c>
      <c r="JJ34" s="152">
        <f t="shared" si="407"/>
        <v>5887</v>
      </c>
      <c r="JK34" s="285">
        <f t="shared" si="223"/>
        <v>2619668.7497194158</v>
      </c>
      <c r="JL34" s="152">
        <f t="shared" si="224"/>
        <v>5887</v>
      </c>
      <c r="JM34" s="285">
        <f t="shared" si="225"/>
        <v>2619668.7497194158</v>
      </c>
      <c r="JN34" s="152">
        <f t="shared" si="408"/>
        <v>5887</v>
      </c>
      <c r="JO34" s="285">
        <f t="shared" si="226"/>
        <v>2619668.7497194158</v>
      </c>
      <c r="JP34" s="158">
        <f t="shared" si="227"/>
        <v>70644</v>
      </c>
      <c r="JQ34" s="159">
        <f t="shared" si="228"/>
        <v>31436024.996632989</v>
      </c>
      <c r="JS34" s="149">
        <v>5432</v>
      </c>
      <c r="JT34" s="150">
        <v>1</v>
      </c>
      <c r="JU34" s="161">
        <f t="shared" si="58"/>
        <v>2417197.324354657</v>
      </c>
      <c r="JV34" s="152">
        <f t="shared" si="229"/>
        <v>5432</v>
      </c>
      <c r="JW34" s="153">
        <f t="shared" si="230"/>
        <v>2417197.324354657</v>
      </c>
      <c r="JX34" s="368"/>
      <c r="JY34" s="153">
        <f t="shared" si="231"/>
        <v>0</v>
      </c>
      <c r="JZ34" s="368"/>
      <c r="KA34" s="153">
        <f t="shared" si="231"/>
        <v>0</v>
      </c>
      <c r="KB34" s="368"/>
      <c r="KC34" s="153">
        <f t="shared" si="232"/>
        <v>0</v>
      </c>
      <c r="KD34" s="368"/>
      <c r="KE34" s="153">
        <f t="shared" si="233"/>
        <v>0</v>
      </c>
      <c r="KF34" s="368"/>
      <c r="KG34" s="153">
        <f t="shared" si="234"/>
        <v>0</v>
      </c>
      <c r="KH34" s="368"/>
      <c r="KI34" s="153">
        <f t="shared" si="236"/>
        <v>0</v>
      </c>
      <c r="KJ34" s="368"/>
      <c r="KK34" s="153">
        <f t="shared" si="237"/>
        <v>0</v>
      </c>
      <c r="KL34" s="368"/>
      <c r="KM34" s="153">
        <f t="shared" si="239"/>
        <v>0</v>
      </c>
      <c r="KN34" s="368"/>
      <c r="KO34" s="153">
        <f t="shared" si="240"/>
        <v>0</v>
      </c>
      <c r="KP34" s="368"/>
      <c r="KQ34" s="153">
        <f t="shared" si="242"/>
        <v>0</v>
      </c>
      <c r="KR34" s="368"/>
      <c r="KS34" s="154">
        <f t="shared" si="243"/>
        <v>0</v>
      </c>
      <c r="KT34" s="158">
        <f t="shared" si="244"/>
        <v>5432</v>
      </c>
      <c r="KU34" s="159">
        <f t="shared" si="67"/>
        <v>2417197.324354657</v>
      </c>
      <c r="KW34" s="149"/>
      <c r="KX34" s="150"/>
      <c r="KY34" s="157"/>
      <c r="KZ34" s="152">
        <f t="shared" si="271"/>
        <v>0</v>
      </c>
      <c r="LA34" s="153"/>
      <c r="LB34" s="152">
        <f t="shared" si="272"/>
        <v>0</v>
      </c>
      <c r="LC34" s="153">
        <f t="shared" si="246"/>
        <v>0</v>
      </c>
      <c r="LD34" s="152">
        <f t="shared" si="272"/>
        <v>0</v>
      </c>
      <c r="LE34" s="153">
        <f t="shared" si="246"/>
        <v>0</v>
      </c>
      <c r="LF34" s="152">
        <f t="shared" si="272"/>
        <v>0</v>
      </c>
      <c r="LG34" s="153">
        <f t="shared" si="247"/>
        <v>0</v>
      </c>
      <c r="LH34" s="152">
        <f t="shared" si="272"/>
        <v>0</v>
      </c>
      <c r="LI34" s="153">
        <f t="shared" si="248"/>
        <v>0</v>
      </c>
      <c r="LJ34" s="152">
        <f t="shared" si="273"/>
        <v>0</v>
      </c>
      <c r="LK34" s="153">
        <f t="shared" si="249"/>
        <v>0</v>
      </c>
      <c r="LL34" s="152">
        <f t="shared" si="274"/>
        <v>0</v>
      </c>
      <c r="LM34" s="153">
        <f t="shared" si="250"/>
        <v>0</v>
      </c>
      <c r="LN34" s="152">
        <f t="shared" si="275"/>
        <v>0</v>
      </c>
      <c r="LO34" s="153">
        <f t="shared" si="251"/>
        <v>0</v>
      </c>
      <c r="LP34" s="152">
        <f t="shared" si="276"/>
        <v>0</v>
      </c>
      <c r="LQ34" s="153">
        <f t="shared" si="252"/>
        <v>0</v>
      </c>
      <c r="LR34" s="152">
        <f t="shared" si="277"/>
        <v>0</v>
      </c>
      <c r="LS34" s="153">
        <f t="shared" si="253"/>
        <v>0</v>
      </c>
      <c r="LT34" s="152">
        <f t="shared" si="278"/>
        <v>0</v>
      </c>
      <c r="LU34" s="153">
        <f t="shared" si="254"/>
        <v>0</v>
      </c>
      <c r="LV34" s="152">
        <f t="shared" si="279"/>
        <v>0</v>
      </c>
      <c r="LW34" s="153">
        <f t="shared" si="255"/>
        <v>0</v>
      </c>
      <c r="LX34" s="158">
        <f t="shared" si="256"/>
        <v>0</v>
      </c>
      <c r="LY34" s="159">
        <f t="shared" si="257"/>
        <v>0</v>
      </c>
      <c r="MA34" s="164">
        <f t="shared" si="69"/>
        <v>27796.22</v>
      </c>
      <c r="MB34" s="386">
        <f t="shared" si="258"/>
        <v>12369099.523411894</v>
      </c>
      <c r="MC34" s="394">
        <f t="shared" si="70"/>
        <v>22364.22</v>
      </c>
      <c r="MD34" s="386">
        <f t="shared" si="259"/>
        <v>9951902.1990572363</v>
      </c>
      <c r="ME34" s="394">
        <f t="shared" si="71"/>
        <v>22883.760000000002</v>
      </c>
      <c r="MF34" s="386">
        <f t="shared" si="259"/>
        <v>10183093.417373735</v>
      </c>
      <c r="MG34" s="394">
        <f t="shared" si="72"/>
        <v>22883.760000000002</v>
      </c>
      <c r="MH34" s="386">
        <f t="shared" si="260"/>
        <v>10183093.417373735</v>
      </c>
      <c r="MI34" s="394">
        <f t="shared" si="73"/>
        <v>22883.760000000002</v>
      </c>
      <c r="MJ34" s="386">
        <f t="shared" si="261"/>
        <v>10183093.417373735</v>
      </c>
      <c r="MK34" s="394">
        <f t="shared" si="74"/>
        <v>22883.760000000002</v>
      </c>
      <c r="ML34" s="386">
        <f t="shared" si="262"/>
        <v>10183093.417373735</v>
      </c>
      <c r="MM34" s="394">
        <f t="shared" si="75"/>
        <v>22883.760000000002</v>
      </c>
      <c r="MN34" s="386">
        <f t="shared" si="263"/>
        <v>10183093.417373735</v>
      </c>
      <c r="MO34" s="394">
        <f t="shared" si="76"/>
        <v>22883.760000000002</v>
      </c>
      <c r="MP34" s="386">
        <f t="shared" si="264"/>
        <v>10183093.417373735</v>
      </c>
      <c r="MQ34" s="394">
        <f t="shared" si="77"/>
        <v>22883.760000000002</v>
      </c>
      <c r="MR34" s="386">
        <f t="shared" si="265"/>
        <v>10183093.417373735</v>
      </c>
      <c r="MS34" s="394">
        <f t="shared" si="78"/>
        <v>22883.760000000002</v>
      </c>
      <c r="MT34" s="386">
        <f t="shared" si="266"/>
        <v>10183093.417373735</v>
      </c>
      <c r="MU34" s="394">
        <f t="shared" si="79"/>
        <v>22883.760000000002</v>
      </c>
      <c r="MV34" s="386">
        <f t="shared" si="267"/>
        <v>10183093.417373735</v>
      </c>
      <c r="MW34" s="394">
        <f t="shared" si="80"/>
        <v>22883.760000000002</v>
      </c>
      <c r="MX34" s="386">
        <f t="shared" si="268"/>
        <v>10183093.417373735</v>
      </c>
      <c r="MY34" s="165">
        <f t="shared" si="269"/>
        <v>278998.0400000001</v>
      </c>
      <c r="MZ34" s="166">
        <f t="shared" si="270"/>
        <v>124151935.89620653</v>
      </c>
    </row>
    <row r="35" spans="1:364" s="126" customFormat="1" ht="17.399999999999999" customHeight="1" x14ac:dyDescent="0.3">
      <c r="A35" s="528"/>
      <c r="B35" s="14" t="s">
        <v>93</v>
      </c>
      <c r="C35" s="147" t="s">
        <v>94</v>
      </c>
      <c r="D35" s="148" t="s">
        <v>95</v>
      </c>
      <c r="E35" s="14">
        <v>1</v>
      </c>
      <c r="F35" s="346">
        <v>774294.5480445479</v>
      </c>
      <c r="G35" s="346">
        <f t="shared" si="81"/>
        <v>806564.19511352829</v>
      </c>
      <c r="I35" s="149">
        <v>12</v>
      </c>
      <c r="J35" s="150">
        <v>1</v>
      </c>
      <c r="K35" s="151">
        <f t="shared" si="82"/>
        <v>9678770.3413623385</v>
      </c>
      <c r="L35" s="152">
        <f t="shared" si="300"/>
        <v>12</v>
      </c>
      <c r="M35" s="285">
        <f t="shared" si="301"/>
        <v>9678770.3413623385</v>
      </c>
      <c r="N35" s="152">
        <f t="shared" si="361"/>
        <v>12</v>
      </c>
      <c r="O35" s="285">
        <f t="shared" si="302"/>
        <v>9678770.3413623385</v>
      </c>
      <c r="P35" s="152">
        <v>10</v>
      </c>
      <c r="Q35" s="285">
        <f t="shared" si="302"/>
        <v>8065641.9511352833</v>
      </c>
      <c r="R35" s="152">
        <v>10</v>
      </c>
      <c r="S35" s="285">
        <f t="shared" si="86"/>
        <v>8065641.9511352833</v>
      </c>
      <c r="T35" s="152">
        <v>11</v>
      </c>
      <c r="U35" s="285">
        <f t="shared" si="87"/>
        <v>8872206.1462488119</v>
      </c>
      <c r="V35" s="152">
        <v>11</v>
      </c>
      <c r="W35" s="285">
        <f t="shared" si="88"/>
        <v>8872206.1462488119</v>
      </c>
      <c r="X35" s="152">
        <f t="shared" si="305"/>
        <v>12</v>
      </c>
      <c r="Y35" s="285">
        <f t="shared" si="89"/>
        <v>9678770.3413623385</v>
      </c>
      <c r="Z35" s="152">
        <f t="shared" si="365"/>
        <v>12</v>
      </c>
      <c r="AA35" s="285">
        <f t="shared" si="90"/>
        <v>9678770.3413623385</v>
      </c>
      <c r="AB35" s="152">
        <f t="shared" si="306"/>
        <v>12</v>
      </c>
      <c r="AC35" s="285">
        <f t="shared" si="91"/>
        <v>9678770.3413623385</v>
      </c>
      <c r="AD35" s="152">
        <f t="shared" si="366"/>
        <v>12</v>
      </c>
      <c r="AE35" s="285">
        <f t="shared" si="92"/>
        <v>9678770.3413623385</v>
      </c>
      <c r="AF35" s="152">
        <f t="shared" si="307"/>
        <v>12</v>
      </c>
      <c r="AG35" s="285">
        <f t="shared" si="308"/>
        <v>9678770.3413623385</v>
      </c>
      <c r="AH35" s="152">
        <f t="shared" si="367"/>
        <v>12</v>
      </c>
      <c r="AI35" s="294">
        <f t="shared" si="309"/>
        <v>9678770.3413623385</v>
      </c>
      <c r="AJ35" s="156">
        <f t="shared" si="94"/>
        <v>138</v>
      </c>
      <c r="AK35" s="306">
        <f t="shared" si="95"/>
        <v>111305858.9256669</v>
      </c>
      <c r="AM35" s="149">
        <v>4</v>
      </c>
      <c r="AN35" s="150">
        <v>1</v>
      </c>
      <c r="AO35" s="157">
        <f t="shared" si="285"/>
        <v>3226256.7804541131</v>
      </c>
      <c r="AP35" s="152">
        <f t="shared" si="328"/>
        <v>4</v>
      </c>
      <c r="AQ35" s="285">
        <f t="shared" si="96"/>
        <v>3226256.7804541131</v>
      </c>
      <c r="AR35" s="317">
        <v>6</v>
      </c>
      <c r="AS35" s="285">
        <f t="shared" si="96"/>
        <v>4839385.1706811693</v>
      </c>
      <c r="AT35" s="317">
        <v>6</v>
      </c>
      <c r="AU35" s="285">
        <f t="shared" si="96"/>
        <v>4839385.1706811693</v>
      </c>
      <c r="AV35" s="317">
        <f t="shared" si="331"/>
        <v>4</v>
      </c>
      <c r="AW35" s="285">
        <f t="shared" si="98"/>
        <v>3226256.7804541131</v>
      </c>
      <c r="AX35" s="317">
        <v>5</v>
      </c>
      <c r="AY35" s="285">
        <f t="shared" si="99"/>
        <v>4032820.9755676417</v>
      </c>
      <c r="AZ35" s="317">
        <v>5</v>
      </c>
      <c r="BA35" s="285">
        <f t="shared" si="100"/>
        <v>4032820.9755676417</v>
      </c>
      <c r="BB35" s="317">
        <f t="shared" si="7"/>
        <v>4</v>
      </c>
      <c r="BC35" s="285">
        <f t="shared" si="101"/>
        <v>3226256.7804541131</v>
      </c>
      <c r="BD35" s="317">
        <f t="shared" si="333"/>
        <v>4</v>
      </c>
      <c r="BE35" s="285">
        <f t="shared" si="102"/>
        <v>3226256.7804541131</v>
      </c>
      <c r="BF35" s="317">
        <f t="shared" si="9"/>
        <v>4</v>
      </c>
      <c r="BG35" s="285">
        <f t="shared" si="103"/>
        <v>3226256.7804541131</v>
      </c>
      <c r="BH35" s="317">
        <v>6</v>
      </c>
      <c r="BI35" s="285">
        <f t="shared" si="310"/>
        <v>4839385.1706811693</v>
      </c>
      <c r="BJ35" s="317">
        <f t="shared" si="335"/>
        <v>4</v>
      </c>
      <c r="BK35" s="285">
        <f t="shared" si="310"/>
        <v>3226256.7804541131</v>
      </c>
      <c r="BL35" s="152">
        <f t="shared" si="336"/>
        <v>4</v>
      </c>
      <c r="BM35" s="296">
        <f t="shared" si="105"/>
        <v>3226256.7804541131</v>
      </c>
      <c r="BN35" s="158">
        <f t="shared" si="106"/>
        <v>56</v>
      </c>
      <c r="BO35" s="307">
        <f t="shared" si="13"/>
        <v>45167594.926357582</v>
      </c>
      <c r="BQ35" s="171">
        <v>0</v>
      </c>
      <c r="BR35" s="173">
        <v>1</v>
      </c>
      <c r="BS35" s="174">
        <f t="shared" si="281"/>
        <v>0</v>
      </c>
      <c r="BT35" s="152">
        <v>0</v>
      </c>
      <c r="BU35" s="332">
        <f t="shared" si="107"/>
        <v>0</v>
      </c>
      <c r="BV35" s="152">
        <v>0</v>
      </c>
      <c r="BW35" s="153">
        <f t="shared" si="108"/>
        <v>0</v>
      </c>
      <c r="BX35" s="152">
        <v>0</v>
      </c>
      <c r="BY35" s="153">
        <f t="shared" si="109"/>
        <v>0</v>
      </c>
      <c r="BZ35" s="152">
        <v>0</v>
      </c>
      <c r="CA35" s="153">
        <f t="shared" si="110"/>
        <v>0</v>
      </c>
      <c r="CB35" s="152">
        <v>0</v>
      </c>
      <c r="CC35" s="153">
        <f t="shared" si="111"/>
        <v>0</v>
      </c>
      <c r="CD35" s="152">
        <v>0</v>
      </c>
      <c r="CE35" s="153">
        <f t="shared" si="112"/>
        <v>0</v>
      </c>
      <c r="CF35" s="152">
        <v>0</v>
      </c>
      <c r="CG35" s="153">
        <f t="shared" si="114"/>
        <v>0</v>
      </c>
      <c r="CH35" s="152">
        <v>0</v>
      </c>
      <c r="CI35" s="153">
        <f t="shared" si="115"/>
        <v>0</v>
      </c>
      <c r="CJ35" s="152">
        <v>0</v>
      </c>
      <c r="CK35" s="153">
        <f t="shared" si="117"/>
        <v>0</v>
      </c>
      <c r="CL35" s="152">
        <v>0</v>
      </c>
      <c r="CM35" s="153">
        <f t="shared" si="118"/>
        <v>0</v>
      </c>
      <c r="CN35" s="152">
        <v>0</v>
      </c>
      <c r="CO35" s="153">
        <f t="shared" si="120"/>
        <v>0</v>
      </c>
      <c r="CP35" s="152">
        <v>0</v>
      </c>
      <c r="CQ35" s="154">
        <f t="shared" si="23"/>
        <v>0</v>
      </c>
      <c r="CR35" s="158">
        <f t="shared" si="121"/>
        <v>0</v>
      </c>
      <c r="CS35" s="159">
        <f t="shared" si="24"/>
        <v>0</v>
      </c>
      <c r="CU35" s="171">
        <v>0</v>
      </c>
      <c r="CV35" s="173">
        <v>1</v>
      </c>
      <c r="CW35" s="175">
        <f t="shared" si="299"/>
        <v>0</v>
      </c>
      <c r="CX35" s="152">
        <v>0</v>
      </c>
      <c r="CY35" s="153">
        <f t="shared" si="123"/>
        <v>0</v>
      </c>
      <c r="CZ35" s="152">
        <v>0</v>
      </c>
      <c r="DA35" s="285">
        <f t="shared" si="123"/>
        <v>0</v>
      </c>
      <c r="DB35" s="152">
        <v>0</v>
      </c>
      <c r="DC35" s="285">
        <f t="shared" si="124"/>
        <v>0</v>
      </c>
      <c r="DD35" s="152">
        <v>0</v>
      </c>
      <c r="DE35" s="285">
        <f t="shared" si="125"/>
        <v>0</v>
      </c>
      <c r="DF35" s="152">
        <v>0</v>
      </c>
      <c r="DG35" s="285">
        <f t="shared" si="126"/>
        <v>0</v>
      </c>
      <c r="DH35" s="152">
        <v>0</v>
      </c>
      <c r="DI35" s="285">
        <f t="shared" si="127"/>
        <v>0</v>
      </c>
      <c r="DJ35" s="152">
        <v>0</v>
      </c>
      <c r="DK35" s="285">
        <f t="shared" si="129"/>
        <v>0</v>
      </c>
      <c r="DL35" s="152">
        <v>0</v>
      </c>
      <c r="DM35" s="285">
        <f t="shared" si="130"/>
        <v>0</v>
      </c>
      <c r="DN35" s="152">
        <v>0</v>
      </c>
      <c r="DO35" s="285">
        <f t="shared" si="132"/>
        <v>0</v>
      </c>
      <c r="DP35" s="152">
        <v>0</v>
      </c>
      <c r="DQ35" s="285">
        <f t="shared" si="133"/>
        <v>0</v>
      </c>
      <c r="DR35" s="152">
        <v>0</v>
      </c>
      <c r="DS35" s="285">
        <f t="shared" si="135"/>
        <v>0</v>
      </c>
      <c r="DT35" s="152">
        <v>0</v>
      </c>
      <c r="DU35" s="285">
        <f t="shared" si="136"/>
        <v>0</v>
      </c>
      <c r="DV35" s="158">
        <f t="shared" si="137"/>
        <v>0</v>
      </c>
      <c r="DW35" s="159">
        <f t="shared" si="34"/>
        <v>0</v>
      </c>
      <c r="DY35" s="172">
        <v>2</v>
      </c>
      <c r="DZ35" s="150">
        <v>1</v>
      </c>
      <c r="EA35" s="175">
        <f t="shared" si="35"/>
        <v>1613128.3902270566</v>
      </c>
      <c r="EB35" s="152">
        <v>10</v>
      </c>
      <c r="EC35" s="153">
        <f t="shared" si="139"/>
        <v>8065641.9511352833</v>
      </c>
      <c r="ED35" s="317">
        <v>6</v>
      </c>
      <c r="EE35" s="153">
        <f t="shared" si="139"/>
        <v>4839385.1706811693</v>
      </c>
      <c r="EF35" s="152">
        <v>10</v>
      </c>
      <c r="EG35" s="153">
        <f t="shared" si="311"/>
        <v>8065641.9511352833</v>
      </c>
      <c r="EH35" s="152">
        <v>10</v>
      </c>
      <c r="EI35" s="153">
        <f t="shared" si="311"/>
        <v>8065641.9511352833</v>
      </c>
      <c r="EJ35" s="152">
        <v>10</v>
      </c>
      <c r="EK35" s="153">
        <f t="shared" si="143"/>
        <v>8065641.9511352833</v>
      </c>
      <c r="EL35" s="152">
        <v>10</v>
      </c>
      <c r="EM35" s="153">
        <f t="shared" si="144"/>
        <v>8065641.9511352833</v>
      </c>
      <c r="EN35" s="152">
        <v>10</v>
      </c>
      <c r="EO35" s="153">
        <f t="shared" si="145"/>
        <v>8065641.9511352833</v>
      </c>
      <c r="EP35" s="152">
        <v>10</v>
      </c>
      <c r="EQ35" s="153">
        <f t="shared" si="146"/>
        <v>8065641.9511352833</v>
      </c>
      <c r="ER35" s="152">
        <v>10</v>
      </c>
      <c r="ES35" s="153">
        <f t="shared" si="147"/>
        <v>8065641.9511352833</v>
      </c>
      <c r="ET35" s="152">
        <v>10</v>
      </c>
      <c r="EU35" s="153">
        <f t="shared" si="148"/>
        <v>8065641.9511352833</v>
      </c>
      <c r="EV35" s="152">
        <v>8</v>
      </c>
      <c r="EW35" s="153">
        <f t="shared" si="149"/>
        <v>6452513.5609082263</v>
      </c>
      <c r="EX35" s="152">
        <v>10</v>
      </c>
      <c r="EY35" s="153">
        <f t="shared" si="150"/>
        <v>8065641.9511352833</v>
      </c>
      <c r="EZ35" s="158">
        <f t="shared" si="151"/>
        <v>114</v>
      </c>
      <c r="FA35" s="159">
        <f t="shared" si="36"/>
        <v>91948318.242942229</v>
      </c>
      <c r="FC35" s="149">
        <v>0</v>
      </c>
      <c r="FD35" s="150"/>
      <c r="FE35" s="161">
        <f t="shared" si="296"/>
        <v>0</v>
      </c>
      <c r="FF35" s="152">
        <f t="shared" si="153"/>
        <v>0</v>
      </c>
      <c r="FG35" s="153">
        <f t="shared" si="154"/>
        <v>0</v>
      </c>
      <c r="FH35" s="368">
        <f t="shared" si="393"/>
        <v>0</v>
      </c>
      <c r="FI35" s="153">
        <f t="shared" si="155"/>
        <v>0</v>
      </c>
      <c r="FJ35" s="368">
        <f t="shared" si="394"/>
        <v>0</v>
      </c>
      <c r="FK35" s="153">
        <f t="shared" si="155"/>
        <v>0</v>
      </c>
      <c r="FL35" s="368">
        <f t="shared" si="395"/>
        <v>0</v>
      </c>
      <c r="FM35" s="153">
        <f t="shared" si="156"/>
        <v>0</v>
      </c>
      <c r="FN35" s="368">
        <f t="shared" si="396"/>
        <v>0</v>
      </c>
      <c r="FO35" s="153">
        <f t="shared" si="157"/>
        <v>0</v>
      </c>
      <c r="FP35" s="368">
        <f t="shared" si="397"/>
        <v>0</v>
      </c>
      <c r="FQ35" s="153">
        <f t="shared" si="158"/>
        <v>0</v>
      </c>
      <c r="FR35" s="368">
        <f t="shared" si="159"/>
        <v>0</v>
      </c>
      <c r="FS35" s="153">
        <f t="shared" si="160"/>
        <v>0</v>
      </c>
      <c r="FT35" s="368">
        <f t="shared" si="398"/>
        <v>0</v>
      </c>
      <c r="FU35" s="153">
        <f t="shared" si="161"/>
        <v>0</v>
      </c>
      <c r="FV35" s="368">
        <f t="shared" si="162"/>
        <v>0</v>
      </c>
      <c r="FW35" s="153">
        <f t="shared" si="163"/>
        <v>0</v>
      </c>
      <c r="FX35" s="368">
        <f t="shared" si="399"/>
        <v>0</v>
      </c>
      <c r="FY35" s="153">
        <f t="shared" si="164"/>
        <v>0</v>
      </c>
      <c r="FZ35" s="368">
        <f t="shared" si="165"/>
        <v>0</v>
      </c>
      <c r="GA35" s="153">
        <f t="shared" si="166"/>
        <v>0</v>
      </c>
      <c r="GB35" s="368">
        <f t="shared" si="400"/>
        <v>0</v>
      </c>
      <c r="GC35" s="153">
        <f t="shared" si="167"/>
        <v>0</v>
      </c>
      <c r="GD35" s="158">
        <f t="shared" si="168"/>
        <v>0</v>
      </c>
      <c r="GE35" s="159">
        <f t="shared" si="45"/>
        <v>0</v>
      </c>
      <c r="GG35" s="149">
        <v>0</v>
      </c>
      <c r="GH35" s="150"/>
      <c r="GI35" s="161">
        <f t="shared" si="297"/>
        <v>0</v>
      </c>
      <c r="GJ35" s="152">
        <f>+$GG35</f>
        <v>0</v>
      </c>
      <c r="GK35" s="153">
        <f t="shared" si="170"/>
        <v>0</v>
      </c>
      <c r="GL35" s="152">
        <f>+$GG35</f>
        <v>0</v>
      </c>
      <c r="GM35" s="153">
        <f t="shared" si="170"/>
        <v>0</v>
      </c>
      <c r="GN35" s="152">
        <f>+$GG35</f>
        <v>0</v>
      </c>
      <c r="GO35" s="153">
        <f t="shared" si="171"/>
        <v>0</v>
      </c>
      <c r="GP35" s="152">
        <f>+$GG35</f>
        <v>0</v>
      </c>
      <c r="GQ35" s="153">
        <f t="shared" si="172"/>
        <v>0</v>
      </c>
      <c r="GR35" s="152">
        <f>+$GG35</f>
        <v>0</v>
      </c>
      <c r="GS35" s="153">
        <f t="shared" si="174"/>
        <v>0</v>
      </c>
      <c r="GT35" s="152">
        <f>+$GG35</f>
        <v>0</v>
      </c>
      <c r="GU35" s="153">
        <f t="shared" si="176"/>
        <v>0</v>
      </c>
      <c r="GV35" s="152">
        <f>+$GG35</f>
        <v>0</v>
      </c>
      <c r="GW35" s="153">
        <f t="shared" si="178"/>
        <v>0</v>
      </c>
      <c r="GX35" s="152">
        <f>+$GG35</f>
        <v>0</v>
      </c>
      <c r="GY35" s="153">
        <f t="shared" si="180"/>
        <v>0</v>
      </c>
      <c r="GZ35" s="152">
        <f>+$GG35</f>
        <v>0</v>
      </c>
      <c r="HA35" s="153">
        <f t="shared" si="182"/>
        <v>0</v>
      </c>
      <c r="HB35" s="152">
        <f>+$GG35</f>
        <v>0</v>
      </c>
      <c r="HC35" s="153">
        <f t="shared" si="184"/>
        <v>0</v>
      </c>
      <c r="HD35" s="152">
        <f>+$GG35</f>
        <v>0</v>
      </c>
      <c r="HE35" s="153">
        <f t="shared" si="186"/>
        <v>0</v>
      </c>
      <c r="HF35" s="152">
        <f>+$GG35</f>
        <v>0</v>
      </c>
      <c r="HG35" s="153">
        <f t="shared" si="188"/>
        <v>0</v>
      </c>
      <c r="HH35" s="158">
        <f t="shared" si="189"/>
        <v>0</v>
      </c>
      <c r="HI35" s="159">
        <f t="shared" si="47"/>
        <v>0</v>
      </c>
      <c r="HK35" s="149"/>
      <c r="HL35" s="150"/>
      <c r="HM35" s="161">
        <f t="shared" si="48"/>
        <v>0</v>
      </c>
      <c r="HN35" s="152">
        <f t="shared" si="190"/>
        <v>0</v>
      </c>
      <c r="HO35" s="153">
        <f t="shared" si="191"/>
        <v>0</v>
      </c>
      <c r="HP35" s="152">
        <f t="shared" si="192"/>
        <v>0</v>
      </c>
      <c r="HQ35" s="153">
        <f t="shared" si="193"/>
        <v>0</v>
      </c>
      <c r="HR35" s="152">
        <f t="shared" si="192"/>
        <v>0</v>
      </c>
      <c r="HS35" s="153">
        <f t="shared" si="193"/>
        <v>0</v>
      </c>
      <c r="HT35" s="152">
        <f t="shared" si="192"/>
        <v>0</v>
      </c>
      <c r="HU35" s="153">
        <f t="shared" si="194"/>
        <v>0</v>
      </c>
      <c r="HV35" s="152">
        <f t="shared" si="192"/>
        <v>0</v>
      </c>
      <c r="HW35" s="153">
        <f t="shared" si="195"/>
        <v>0</v>
      </c>
      <c r="HX35" s="152">
        <f t="shared" si="196"/>
        <v>0</v>
      </c>
      <c r="HY35" s="153">
        <f t="shared" si="197"/>
        <v>0</v>
      </c>
      <c r="HZ35" s="152">
        <f t="shared" si="198"/>
        <v>0</v>
      </c>
      <c r="IA35" s="153">
        <f t="shared" si="199"/>
        <v>0</v>
      </c>
      <c r="IB35" s="152">
        <f t="shared" si="200"/>
        <v>0</v>
      </c>
      <c r="IC35" s="153">
        <f t="shared" si="201"/>
        <v>0</v>
      </c>
      <c r="ID35" s="152">
        <f t="shared" si="202"/>
        <v>0</v>
      </c>
      <c r="IE35" s="153">
        <f t="shared" si="203"/>
        <v>0</v>
      </c>
      <c r="IF35" s="152">
        <f t="shared" si="204"/>
        <v>0</v>
      </c>
      <c r="IG35" s="153">
        <f t="shared" si="205"/>
        <v>0</v>
      </c>
      <c r="IH35" s="152">
        <f t="shared" si="206"/>
        <v>0</v>
      </c>
      <c r="II35" s="153">
        <f t="shared" si="207"/>
        <v>0</v>
      </c>
      <c r="IJ35" s="152">
        <f t="shared" si="208"/>
        <v>0</v>
      </c>
      <c r="IK35" s="153">
        <f t="shared" si="209"/>
        <v>0</v>
      </c>
      <c r="IL35" s="158">
        <f t="shared" si="210"/>
        <v>0</v>
      </c>
      <c r="IM35" s="159">
        <f t="shared" si="211"/>
        <v>0</v>
      </c>
      <c r="IO35" s="149"/>
      <c r="IP35" s="150">
        <v>1</v>
      </c>
      <c r="IQ35" s="161">
        <f t="shared" si="298"/>
        <v>0</v>
      </c>
      <c r="IR35" s="152">
        <v>30</v>
      </c>
      <c r="IS35" s="153">
        <f t="shared" si="213"/>
        <v>24196925.853405848</v>
      </c>
      <c r="IT35" s="152">
        <v>30</v>
      </c>
      <c r="IU35" s="285">
        <f t="shared" si="214"/>
        <v>24196925.853405848</v>
      </c>
      <c r="IV35" s="152">
        <v>30</v>
      </c>
      <c r="IW35" s="285">
        <f t="shared" si="214"/>
        <v>24196925.853405848</v>
      </c>
      <c r="IX35" s="152">
        <v>30</v>
      </c>
      <c r="IY35" s="285">
        <f t="shared" si="215"/>
        <v>24196925.853405848</v>
      </c>
      <c r="IZ35" s="152">
        <v>30</v>
      </c>
      <c r="JA35" s="285">
        <f t="shared" si="216"/>
        <v>24196925.853405848</v>
      </c>
      <c r="JB35" s="152">
        <v>30</v>
      </c>
      <c r="JC35" s="285">
        <f t="shared" si="217"/>
        <v>24196925.853405848</v>
      </c>
      <c r="JD35" s="152">
        <v>30</v>
      </c>
      <c r="JE35" s="285">
        <f t="shared" si="219"/>
        <v>24196925.853405848</v>
      </c>
      <c r="JF35" s="152">
        <v>30</v>
      </c>
      <c r="JG35" s="285">
        <f t="shared" si="220"/>
        <v>24196925.853405848</v>
      </c>
      <c r="JH35" s="152">
        <v>30</v>
      </c>
      <c r="JI35" s="285">
        <f t="shared" si="222"/>
        <v>24196925.853405848</v>
      </c>
      <c r="JJ35" s="152">
        <v>30</v>
      </c>
      <c r="JK35" s="285">
        <f t="shared" si="223"/>
        <v>24196925.853405848</v>
      </c>
      <c r="JL35" s="152">
        <v>30</v>
      </c>
      <c r="JM35" s="285">
        <f t="shared" si="225"/>
        <v>24196925.853405848</v>
      </c>
      <c r="JN35" s="152">
        <v>30</v>
      </c>
      <c r="JO35" s="285">
        <f t="shared" si="226"/>
        <v>24196925.853405848</v>
      </c>
      <c r="JP35" s="158">
        <f t="shared" si="227"/>
        <v>360</v>
      </c>
      <c r="JQ35" s="159">
        <f t="shared" si="228"/>
        <v>290363110.24087018</v>
      </c>
      <c r="JS35" s="149"/>
      <c r="JT35" s="150">
        <v>1</v>
      </c>
      <c r="JU35" s="161">
        <f t="shared" si="58"/>
        <v>0</v>
      </c>
      <c r="JV35" s="152">
        <f t="shared" si="229"/>
        <v>0</v>
      </c>
      <c r="JW35" s="153">
        <f t="shared" si="230"/>
        <v>0</v>
      </c>
      <c r="JX35" s="368"/>
      <c r="JY35" s="153">
        <f t="shared" si="231"/>
        <v>0</v>
      </c>
      <c r="JZ35" s="368"/>
      <c r="KA35" s="153">
        <f t="shared" si="231"/>
        <v>0</v>
      </c>
      <c r="KB35" s="368"/>
      <c r="KC35" s="153">
        <f t="shared" si="232"/>
        <v>0</v>
      </c>
      <c r="KD35" s="368"/>
      <c r="KE35" s="153">
        <f t="shared" si="233"/>
        <v>0</v>
      </c>
      <c r="KF35" s="368"/>
      <c r="KG35" s="153">
        <f t="shared" si="234"/>
        <v>0</v>
      </c>
      <c r="KH35" s="368"/>
      <c r="KI35" s="153">
        <f t="shared" si="236"/>
        <v>0</v>
      </c>
      <c r="KJ35" s="368"/>
      <c r="KK35" s="153">
        <f t="shared" si="237"/>
        <v>0</v>
      </c>
      <c r="KL35" s="368"/>
      <c r="KM35" s="153">
        <f t="shared" si="239"/>
        <v>0</v>
      </c>
      <c r="KN35" s="368"/>
      <c r="KO35" s="153">
        <f t="shared" si="240"/>
        <v>0</v>
      </c>
      <c r="KP35" s="368"/>
      <c r="KQ35" s="153">
        <f t="shared" si="242"/>
        <v>0</v>
      </c>
      <c r="KR35" s="368"/>
      <c r="KS35" s="154">
        <f t="shared" si="243"/>
        <v>0</v>
      </c>
      <c r="KT35" s="158">
        <f t="shared" si="244"/>
        <v>0</v>
      </c>
      <c r="KU35" s="159">
        <f t="shared" si="67"/>
        <v>0</v>
      </c>
      <c r="KW35" s="149"/>
      <c r="KX35" s="150"/>
      <c r="KY35" s="157"/>
      <c r="KZ35" s="152">
        <f t="shared" si="271"/>
        <v>0</v>
      </c>
      <c r="LA35" s="153"/>
      <c r="LB35" s="152">
        <f t="shared" si="272"/>
        <v>0</v>
      </c>
      <c r="LC35" s="153">
        <f t="shared" si="246"/>
        <v>0</v>
      </c>
      <c r="LD35" s="152">
        <f t="shared" si="272"/>
        <v>0</v>
      </c>
      <c r="LE35" s="153">
        <f t="shared" si="246"/>
        <v>0</v>
      </c>
      <c r="LF35" s="152">
        <f t="shared" si="272"/>
        <v>0</v>
      </c>
      <c r="LG35" s="153">
        <f t="shared" si="247"/>
        <v>0</v>
      </c>
      <c r="LH35" s="152">
        <f t="shared" si="272"/>
        <v>0</v>
      </c>
      <c r="LI35" s="153">
        <f t="shared" si="248"/>
        <v>0</v>
      </c>
      <c r="LJ35" s="152">
        <f t="shared" si="273"/>
        <v>0</v>
      </c>
      <c r="LK35" s="153">
        <f t="shared" si="249"/>
        <v>0</v>
      </c>
      <c r="LL35" s="152">
        <f t="shared" si="274"/>
        <v>0</v>
      </c>
      <c r="LM35" s="153">
        <f t="shared" si="250"/>
        <v>0</v>
      </c>
      <c r="LN35" s="152">
        <f t="shared" si="275"/>
        <v>0</v>
      </c>
      <c r="LO35" s="153">
        <f t="shared" si="251"/>
        <v>0</v>
      </c>
      <c r="LP35" s="152">
        <f t="shared" si="276"/>
        <v>0</v>
      </c>
      <c r="LQ35" s="153">
        <f t="shared" si="252"/>
        <v>0</v>
      </c>
      <c r="LR35" s="152">
        <f t="shared" si="277"/>
        <v>0</v>
      </c>
      <c r="LS35" s="153">
        <f t="shared" si="253"/>
        <v>0</v>
      </c>
      <c r="LT35" s="152">
        <f t="shared" si="278"/>
        <v>0</v>
      </c>
      <c r="LU35" s="153">
        <f t="shared" si="254"/>
        <v>0</v>
      </c>
      <c r="LV35" s="152">
        <f t="shared" si="279"/>
        <v>0</v>
      </c>
      <c r="LW35" s="153">
        <f t="shared" si="255"/>
        <v>0</v>
      </c>
      <c r="LX35" s="158">
        <f t="shared" si="256"/>
        <v>0</v>
      </c>
      <c r="LY35" s="159">
        <f t="shared" si="257"/>
        <v>0</v>
      </c>
      <c r="MA35" s="164">
        <f t="shared" si="69"/>
        <v>56</v>
      </c>
      <c r="MB35" s="386">
        <f t="shared" si="258"/>
        <v>45167594.926357582</v>
      </c>
      <c r="MC35" s="394">
        <f t="shared" si="70"/>
        <v>54</v>
      </c>
      <c r="MD35" s="386">
        <f t="shared" si="259"/>
        <v>43554466.536130525</v>
      </c>
      <c r="ME35" s="394">
        <f t="shared" si="71"/>
        <v>56</v>
      </c>
      <c r="MF35" s="386">
        <f t="shared" si="259"/>
        <v>45167594.926357582</v>
      </c>
      <c r="MG35" s="394">
        <f t="shared" si="72"/>
        <v>54</v>
      </c>
      <c r="MH35" s="386">
        <f t="shared" si="260"/>
        <v>43554466.536130525</v>
      </c>
      <c r="MI35" s="394">
        <f t="shared" si="73"/>
        <v>56</v>
      </c>
      <c r="MJ35" s="386">
        <f t="shared" si="261"/>
        <v>45167594.926357582</v>
      </c>
      <c r="MK35" s="394">
        <f t="shared" si="74"/>
        <v>56</v>
      </c>
      <c r="ML35" s="386">
        <f t="shared" si="262"/>
        <v>45167594.926357582</v>
      </c>
      <c r="MM35" s="394">
        <f t="shared" si="75"/>
        <v>56</v>
      </c>
      <c r="MN35" s="386">
        <f t="shared" si="263"/>
        <v>45167594.926357582</v>
      </c>
      <c r="MO35" s="394">
        <f t="shared" si="76"/>
        <v>56</v>
      </c>
      <c r="MP35" s="386">
        <f t="shared" si="264"/>
        <v>45167594.926357582</v>
      </c>
      <c r="MQ35" s="394">
        <f t="shared" si="77"/>
        <v>56</v>
      </c>
      <c r="MR35" s="386">
        <f t="shared" si="265"/>
        <v>45167594.926357582</v>
      </c>
      <c r="MS35" s="394">
        <f t="shared" si="78"/>
        <v>58</v>
      </c>
      <c r="MT35" s="386">
        <f t="shared" si="266"/>
        <v>46780723.316584639</v>
      </c>
      <c r="MU35" s="394">
        <f t="shared" si="79"/>
        <v>54</v>
      </c>
      <c r="MV35" s="386">
        <f t="shared" si="267"/>
        <v>43554466.536130525</v>
      </c>
      <c r="MW35" s="394">
        <f t="shared" si="80"/>
        <v>56</v>
      </c>
      <c r="MX35" s="386">
        <f t="shared" si="268"/>
        <v>45167594.926357582</v>
      </c>
      <c r="MY35" s="165">
        <f t="shared" si="269"/>
        <v>668</v>
      </c>
      <c r="MZ35" s="166">
        <f t="shared" si="270"/>
        <v>538784882.33583689</v>
      </c>
    </row>
    <row r="36" spans="1:364" s="126" customFormat="1" ht="52.8" x14ac:dyDescent="0.3">
      <c r="A36" s="528"/>
      <c r="B36" s="14" t="s">
        <v>96</v>
      </c>
      <c r="C36" s="147" t="s">
        <v>97</v>
      </c>
      <c r="D36" s="148" t="s">
        <v>25</v>
      </c>
      <c r="E36" s="14">
        <v>1</v>
      </c>
      <c r="F36" s="346">
        <v>1036.8104118104118</v>
      </c>
      <c r="G36" s="346">
        <f t="shared" si="81"/>
        <v>1080.0207200207199</v>
      </c>
      <c r="I36" s="149">
        <f>+I34</f>
        <v>2620.0099999999998</v>
      </c>
      <c r="J36" s="150">
        <v>1</v>
      </c>
      <c r="K36" s="151">
        <f t="shared" si="82"/>
        <v>2829665.086661486</v>
      </c>
      <c r="L36" s="152">
        <f t="shared" si="300"/>
        <v>2620.0099999999998</v>
      </c>
      <c r="M36" s="285">
        <f t="shared" si="301"/>
        <v>2829665.086661486</v>
      </c>
      <c r="N36" s="152">
        <f t="shared" si="361"/>
        <v>2620.0099999999998</v>
      </c>
      <c r="O36" s="285">
        <f t="shared" si="302"/>
        <v>2829665.086661486</v>
      </c>
      <c r="P36" s="152">
        <f t="shared" si="362"/>
        <v>2620.0099999999998</v>
      </c>
      <c r="Q36" s="285">
        <f t="shared" si="302"/>
        <v>2829665.086661486</v>
      </c>
      <c r="R36" s="152">
        <f t="shared" si="363"/>
        <v>2620.0099999999998</v>
      </c>
      <c r="S36" s="285">
        <f t="shared" si="86"/>
        <v>2829665.086661486</v>
      </c>
      <c r="T36" s="152">
        <f t="shared" si="364"/>
        <v>2620.0099999999998</v>
      </c>
      <c r="U36" s="285">
        <f t="shared" si="87"/>
        <v>2829665.086661486</v>
      </c>
      <c r="V36" s="152">
        <f t="shared" si="409"/>
        <v>2620.0099999999998</v>
      </c>
      <c r="W36" s="285">
        <f t="shared" si="88"/>
        <v>2829665.086661486</v>
      </c>
      <c r="X36" s="152">
        <f t="shared" si="305"/>
        <v>2620.0099999999998</v>
      </c>
      <c r="Y36" s="285">
        <f t="shared" si="89"/>
        <v>2829665.086661486</v>
      </c>
      <c r="Z36" s="152">
        <f t="shared" si="365"/>
        <v>2620.0099999999998</v>
      </c>
      <c r="AA36" s="285">
        <f t="shared" si="90"/>
        <v>2829665.086661486</v>
      </c>
      <c r="AB36" s="152">
        <f t="shared" si="306"/>
        <v>2620.0099999999998</v>
      </c>
      <c r="AC36" s="285">
        <f t="shared" si="91"/>
        <v>2829665.086661486</v>
      </c>
      <c r="AD36" s="152">
        <f t="shared" si="366"/>
        <v>2620.0099999999998</v>
      </c>
      <c r="AE36" s="285">
        <f t="shared" si="92"/>
        <v>2829665.086661486</v>
      </c>
      <c r="AF36" s="152">
        <f t="shared" si="307"/>
        <v>2620.0099999999998</v>
      </c>
      <c r="AG36" s="285">
        <f t="shared" si="308"/>
        <v>2829665.086661486</v>
      </c>
      <c r="AH36" s="152">
        <f t="shared" si="367"/>
        <v>2620.0099999999998</v>
      </c>
      <c r="AI36" s="294">
        <f t="shared" si="309"/>
        <v>2829665.086661486</v>
      </c>
      <c r="AJ36" s="158">
        <f t="shared" si="94"/>
        <v>31440.119999999992</v>
      </c>
      <c r="AK36" s="307">
        <f t="shared" si="95"/>
        <v>33955981.039937824</v>
      </c>
      <c r="AM36" s="149">
        <f>+AM19</f>
        <v>350</v>
      </c>
      <c r="AN36" s="150">
        <v>1</v>
      </c>
      <c r="AO36" s="157">
        <f t="shared" si="285"/>
        <v>378007.25200725195</v>
      </c>
      <c r="AP36" s="152">
        <f t="shared" si="328"/>
        <v>350</v>
      </c>
      <c r="AQ36" s="285">
        <f t="shared" si="96"/>
        <v>378007.25200725195</v>
      </c>
      <c r="AR36" s="317">
        <f t="shared" si="329"/>
        <v>350</v>
      </c>
      <c r="AS36" s="285">
        <f t="shared" si="96"/>
        <v>378007.25200725195</v>
      </c>
      <c r="AT36" s="317">
        <f t="shared" si="330"/>
        <v>350</v>
      </c>
      <c r="AU36" s="285">
        <f t="shared" si="96"/>
        <v>378007.25200725195</v>
      </c>
      <c r="AV36" s="317">
        <f t="shared" si="331"/>
        <v>350</v>
      </c>
      <c r="AW36" s="285">
        <f t="shared" si="98"/>
        <v>378007.25200725195</v>
      </c>
      <c r="AX36" s="317">
        <f t="shared" si="5"/>
        <v>350</v>
      </c>
      <c r="AY36" s="285">
        <f t="shared" si="99"/>
        <v>378007.25200725195</v>
      </c>
      <c r="AZ36" s="317">
        <f t="shared" si="332"/>
        <v>350</v>
      </c>
      <c r="BA36" s="285">
        <f t="shared" si="100"/>
        <v>378007.25200725195</v>
      </c>
      <c r="BB36" s="317">
        <f t="shared" si="7"/>
        <v>350</v>
      </c>
      <c r="BC36" s="285">
        <f t="shared" si="101"/>
        <v>378007.25200725195</v>
      </c>
      <c r="BD36" s="317">
        <f t="shared" si="333"/>
        <v>350</v>
      </c>
      <c r="BE36" s="285">
        <f t="shared" si="102"/>
        <v>378007.25200725195</v>
      </c>
      <c r="BF36" s="317">
        <f t="shared" si="9"/>
        <v>350</v>
      </c>
      <c r="BG36" s="285">
        <f t="shared" si="103"/>
        <v>378007.25200725195</v>
      </c>
      <c r="BH36" s="317">
        <f t="shared" si="334"/>
        <v>350</v>
      </c>
      <c r="BI36" s="285">
        <f t="shared" si="310"/>
        <v>378007.25200725195</v>
      </c>
      <c r="BJ36" s="317">
        <f t="shared" si="335"/>
        <v>350</v>
      </c>
      <c r="BK36" s="285">
        <f t="shared" si="310"/>
        <v>378007.25200725195</v>
      </c>
      <c r="BL36" s="152">
        <f t="shared" si="336"/>
        <v>350</v>
      </c>
      <c r="BM36" s="296">
        <f t="shared" si="105"/>
        <v>378007.25200725195</v>
      </c>
      <c r="BN36" s="158">
        <f t="shared" si="106"/>
        <v>4200</v>
      </c>
      <c r="BO36" s="307">
        <f t="shared" ref="BO36:BO68" si="410">+BN36*G36</f>
        <v>4536087.024087023</v>
      </c>
      <c r="BQ36" s="171">
        <f>+BQ19+BQ20+BQ21</f>
        <v>2406</v>
      </c>
      <c r="BR36" s="150">
        <v>1</v>
      </c>
      <c r="BS36" s="160">
        <f t="shared" si="281"/>
        <v>2598529.8523698519</v>
      </c>
      <c r="BT36" s="152">
        <f t="shared" si="280"/>
        <v>2406</v>
      </c>
      <c r="BU36" s="332">
        <f t="shared" si="107"/>
        <v>2598529.8523698519</v>
      </c>
      <c r="BV36" s="152">
        <f t="shared" si="368"/>
        <v>2406</v>
      </c>
      <c r="BW36" s="153">
        <f t="shared" si="108"/>
        <v>2598529.8523698519</v>
      </c>
      <c r="BX36" s="152">
        <f t="shared" si="369"/>
        <v>2406</v>
      </c>
      <c r="BY36" s="153">
        <f t="shared" si="109"/>
        <v>2598529.8523698519</v>
      </c>
      <c r="BZ36" s="152">
        <f t="shared" si="370"/>
        <v>2406</v>
      </c>
      <c r="CA36" s="153">
        <f t="shared" si="110"/>
        <v>2598529.8523698519</v>
      </c>
      <c r="CB36" s="152">
        <f t="shared" si="371"/>
        <v>2406</v>
      </c>
      <c r="CC36" s="153">
        <f t="shared" si="111"/>
        <v>2598529.8523698519</v>
      </c>
      <c r="CD36" s="152">
        <f t="shared" si="372"/>
        <v>2406</v>
      </c>
      <c r="CE36" s="153">
        <f t="shared" si="112"/>
        <v>2598529.8523698519</v>
      </c>
      <c r="CF36" s="152">
        <f t="shared" si="113"/>
        <v>2406</v>
      </c>
      <c r="CG36" s="153">
        <f t="shared" si="114"/>
        <v>2598529.8523698519</v>
      </c>
      <c r="CH36" s="152">
        <f t="shared" si="373"/>
        <v>2406</v>
      </c>
      <c r="CI36" s="153">
        <f t="shared" si="115"/>
        <v>2598529.8523698519</v>
      </c>
      <c r="CJ36" s="152">
        <f t="shared" si="116"/>
        <v>2406</v>
      </c>
      <c r="CK36" s="153">
        <f t="shared" si="117"/>
        <v>2598529.8523698519</v>
      </c>
      <c r="CL36" s="152">
        <f t="shared" si="374"/>
        <v>2406</v>
      </c>
      <c r="CM36" s="153">
        <f t="shared" si="118"/>
        <v>2598529.8523698519</v>
      </c>
      <c r="CN36" s="152">
        <f t="shared" si="119"/>
        <v>2406</v>
      </c>
      <c r="CO36" s="153">
        <f t="shared" si="120"/>
        <v>2598529.8523698519</v>
      </c>
      <c r="CP36" s="152">
        <f t="shared" si="375"/>
        <v>2406</v>
      </c>
      <c r="CQ36" s="154">
        <f t="shared" si="23"/>
        <v>2598529.8523698519</v>
      </c>
      <c r="CR36" s="158">
        <f t="shared" si="121"/>
        <v>28872</v>
      </c>
      <c r="CS36" s="159">
        <f t="shared" si="24"/>
        <v>31182358.228438225</v>
      </c>
      <c r="CT36" s="176"/>
      <c r="CU36" s="171">
        <f>+CU19+CU20+CU21</f>
        <v>3763.5</v>
      </c>
      <c r="CV36" s="150">
        <v>1</v>
      </c>
      <c r="CW36" s="161">
        <f t="shared" si="299"/>
        <v>4064657.9797979794</v>
      </c>
      <c r="CX36" s="152">
        <f t="shared" si="122"/>
        <v>3763.5</v>
      </c>
      <c r="CY36" s="153">
        <f t="shared" si="123"/>
        <v>4064657.9797979794</v>
      </c>
      <c r="CZ36" s="152">
        <f t="shared" si="376"/>
        <v>3763.5</v>
      </c>
      <c r="DA36" s="285">
        <f t="shared" si="123"/>
        <v>4064657.9797979794</v>
      </c>
      <c r="DB36" s="152">
        <f t="shared" si="377"/>
        <v>3763.5</v>
      </c>
      <c r="DC36" s="285">
        <f t="shared" si="124"/>
        <v>4064657.9797979794</v>
      </c>
      <c r="DD36" s="152">
        <f t="shared" si="378"/>
        <v>3763.5</v>
      </c>
      <c r="DE36" s="285">
        <f t="shared" si="125"/>
        <v>4064657.9797979794</v>
      </c>
      <c r="DF36" s="152">
        <f t="shared" si="379"/>
        <v>3763.5</v>
      </c>
      <c r="DG36" s="285">
        <f t="shared" si="126"/>
        <v>4064657.9797979794</v>
      </c>
      <c r="DH36" s="152">
        <f t="shared" si="380"/>
        <v>3763.5</v>
      </c>
      <c r="DI36" s="285">
        <f t="shared" si="127"/>
        <v>4064657.9797979794</v>
      </c>
      <c r="DJ36" s="152">
        <f t="shared" si="128"/>
        <v>3763.5</v>
      </c>
      <c r="DK36" s="285">
        <f t="shared" si="129"/>
        <v>4064657.9797979794</v>
      </c>
      <c r="DL36" s="152">
        <f t="shared" si="381"/>
        <v>3763.5</v>
      </c>
      <c r="DM36" s="285">
        <f t="shared" si="130"/>
        <v>4064657.9797979794</v>
      </c>
      <c r="DN36" s="152">
        <f t="shared" si="131"/>
        <v>3763.5</v>
      </c>
      <c r="DO36" s="285">
        <f t="shared" si="132"/>
        <v>4064657.9797979794</v>
      </c>
      <c r="DP36" s="152">
        <f t="shared" si="382"/>
        <v>3763.5</v>
      </c>
      <c r="DQ36" s="285">
        <f t="shared" si="133"/>
        <v>4064657.9797979794</v>
      </c>
      <c r="DR36" s="152">
        <f t="shared" si="134"/>
        <v>3763.5</v>
      </c>
      <c r="DS36" s="285">
        <f t="shared" si="135"/>
        <v>4064657.9797979794</v>
      </c>
      <c r="DT36" s="152">
        <f t="shared" si="383"/>
        <v>3763.5</v>
      </c>
      <c r="DU36" s="285">
        <f t="shared" si="136"/>
        <v>4064657.9797979794</v>
      </c>
      <c r="DV36" s="158">
        <f t="shared" si="137"/>
        <v>45162</v>
      </c>
      <c r="DW36" s="159">
        <f t="shared" si="34"/>
        <v>48775895.75757575</v>
      </c>
      <c r="DY36" s="172">
        <f>+DY34</f>
        <v>5976.7</v>
      </c>
      <c r="DZ36" s="150">
        <v>1</v>
      </c>
      <c r="EA36" s="161">
        <f t="shared" si="35"/>
        <v>6454959.8373478362</v>
      </c>
      <c r="EB36" s="152">
        <f t="shared" si="384"/>
        <v>5976.7</v>
      </c>
      <c r="EC36" s="153">
        <f t="shared" si="139"/>
        <v>6454959.8373478362</v>
      </c>
      <c r="ED36" s="317">
        <f t="shared" si="385"/>
        <v>5976.7</v>
      </c>
      <c r="EE36" s="153">
        <f t="shared" si="139"/>
        <v>6454959.8373478362</v>
      </c>
      <c r="EF36" s="152">
        <f t="shared" si="386"/>
        <v>5976.7</v>
      </c>
      <c r="EG36" s="153">
        <f t="shared" si="311"/>
        <v>6454959.8373478362</v>
      </c>
      <c r="EH36" s="152">
        <f t="shared" si="387"/>
        <v>5976.7</v>
      </c>
      <c r="EI36" s="153">
        <f t="shared" si="311"/>
        <v>6454959.8373478362</v>
      </c>
      <c r="EJ36" s="152">
        <f t="shared" si="388"/>
        <v>5976.7</v>
      </c>
      <c r="EK36" s="153">
        <f t="shared" si="143"/>
        <v>6454959.8373478362</v>
      </c>
      <c r="EL36" s="152">
        <f t="shared" si="389"/>
        <v>5976.7</v>
      </c>
      <c r="EM36" s="153">
        <f t="shared" si="144"/>
        <v>6454959.8373478362</v>
      </c>
      <c r="EN36" s="152">
        <f t="shared" si="290"/>
        <v>5976.7</v>
      </c>
      <c r="EO36" s="153">
        <f t="shared" si="145"/>
        <v>6454959.8373478362</v>
      </c>
      <c r="EP36" s="152">
        <f t="shared" si="390"/>
        <v>5976.7</v>
      </c>
      <c r="EQ36" s="153">
        <f t="shared" si="146"/>
        <v>6454959.8373478362</v>
      </c>
      <c r="ER36" s="152">
        <f t="shared" si="292"/>
        <v>5976.7</v>
      </c>
      <c r="ES36" s="153">
        <f t="shared" si="147"/>
        <v>6454959.8373478362</v>
      </c>
      <c r="ET36" s="152">
        <f t="shared" si="391"/>
        <v>5976.7</v>
      </c>
      <c r="EU36" s="153">
        <f t="shared" si="148"/>
        <v>6454959.8373478362</v>
      </c>
      <c r="EV36" s="152">
        <f t="shared" si="294"/>
        <v>5976.7</v>
      </c>
      <c r="EW36" s="153">
        <f t="shared" si="149"/>
        <v>6454959.8373478362</v>
      </c>
      <c r="EX36" s="152">
        <f t="shared" si="392"/>
        <v>5976.7</v>
      </c>
      <c r="EY36" s="153">
        <f t="shared" si="150"/>
        <v>6454959.8373478362</v>
      </c>
      <c r="EZ36" s="158">
        <f t="shared" si="151"/>
        <v>71720.39999999998</v>
      </c>
      <c r="FA36" s="159">
        <f t="shared" si="36"/>
        <v>77459518.048174009</v>
      </c>
      <c r="FC36" s="149">
        <f>+FC19+FC20+FC21</f>
        <v>900.52</v>
      </c>
      <c r="FD36" s="150">
        <v>1</v>
      </c>
      <c r="FE36" s="161">
        <f t="shared" si="296"/>
        <v>972580.25879305869</v>
      </c>
      <c r="FF36" s="152">
        <f t="shared" si="153"/>
        <v>900.52</v>
      </c>
      <c r="FG36" s="153">
        <f t="shared" si="154"/>
        <v>972580.25879305869</v>
      </c>
      <c r="FH36" s="368">
        <f t="shared" si="393"/>
        <v>900.52</v>
      </c>
      <c r="FI36" s="153">
        <f t="shared" si="155"/>
        <v>972580.25879305869</v>
      </c>
      <c r="FJ36" s="368">
        <f t="shared" si="394"/>
        <v>900.52</v>
      </c>
      <c r="FK36" s="153">
        <f t="shared" si="155"/>
        <v>972580.25879305869</v>
      </c>
      <c r="FL36" s="368">
        <f t="shared" si="395"/>
        <v>900.52</v>
      </c>
      <c r="FM36" s="153">
        <f t="shared" si="156"/>
        <v>972580.25879305869</v>
      </c>
      <c r="FN36" s="368">
        <f t="shared" si="396"/>
        <v>900.52</v>
      </c>
      <c r="FO36" s="153">
        <f t="shared" si="157"/>
        <v>972580.25879305869</v>
      </c>
      <c r="FP36" s="368">
        <f t="shared" si="397"/>
        <v>900.52</v>
      </c>
      <c r="FQ36" s="153">
        <f t="shared" si="158"/>
        <v>972580.25879305869</v>
      </c>
      <c r="FR36" s="368">
        <f t="shared" si="159"/>
        <v>900.52</v>
      </c>
      <c r="FS36" s="153">
        <f t="shared" si="160"/>
        <v>972580.25879305869</v>
      </c>
      <c r="FT36" s="368">
        <f t="shared" si="398"/>
        <v>900.52</v>
      </c>
      <c r="FU36" s="153">
        <f t="shared" si="161"/>
        <v>972580.25879305869</v>
      </c>
      <c r="FV36" s="368">
        <f t="shared" si="162"/>
        <v>900.52</v>
      </c>
      <c r="FW36" s="153">
        <f t="shared" si="163"/>
        <v>972580.25879305869</v>
      </c>
      <c r="FX36" s="368">
        <f t="shared" si="399"/>
        <v>900.52</v>
      </c>
      <c r="FY36" s="153">
        <f t="shared" si="164"/>
        <v>972580.25879305869</v>
      </c>
      <c r="FZ36" s="368">
        <f t="shared" si="165"/>
        <v>900.52</v>
      </c>
      <c r="GA36" s="153">
        <f t="shared" si="166"/>
        <v>972580.25879305869</v>
      </c>
      <c r="GB36" s="368">
        <f t="shared" si="400"/>
        <v>900.52</v>
      </c>
      <c r="GC36" s="153">
        <f t="shared" si="167"/>
        <v>972580.25879305869</v>
      </c>
      <c r="GD36" s="158">
        <f t="shared" si="168"/>
        <v>10806.240000000003</v>
      </c>
      <c r="GE36" s="159">
        <f t="shared" ref="GE36:GE68" si="411">+GD36*G36</f>
        <v>11670963.105516708</v>
      </c>
      <c r="GG36" s="149">
        <f>+GG19+GG20+GG21</f>
        <v>895.49</v>
      </c>
      <c r="GH36" s="150">
        <v>1</v>
      </c>
      <c r="GI36" s="161">
        <f t="shared" si="297"/>
        <v>967147.75457135448</v>
      </c>
      <c r="GJ36" s="152">
        <f>+GJ34</f>
        <v>895.49</v>
      </c>
      <c r="GK36" s="153">
        <f t="shared" si="170"/>
        <v>967147.75457135448</v>
      </c>
      <c r="GL36" s="152">
        <f t="shared" si="169"/>
        <v>895.49</v>
      </c>
      <c r="GM36" s="153">
        <f t="shared" si="170"/>
        <v>967147.75457135448</v>
      </c>
      <c r="GN36" s="152">
        <f t="shared" si="169"/>
        <v>895.49</v>
      </c>
      <c r="GO36" s="153">
        <f t="shared" si="171"/>
        <v>967147.75457135448</v>
      </c>
      <c r="GP36" s="152">
        <f t="shared" si="169"/>
        <v>895.49</v>
      </c>
      <c r="GQ36" s="153">
        <f t="shared" si="172"/>
        <v>967147.75457135448</v>
      </c>
      <c r="GR36" s="152">
        <f t="shared" si="173"/>
        <v>895.49</v>
      </c>
      <c r="GS36" s="153">
        <f t="shared" si="174"/>
        <v>967147.75457135448</v>
      </c>
      <c r="GT36" s="152">
        <f t="shared" si="175"/>
        <v>895.49</v>
      </c>
      <c r="GU36" s="153">
        <f t="shared" si="176"/>
        <v>967147.75457135448</v>
      </c>
      <c r="GV36" s="152">
        <f t="shared" si="177"/>
        <v>895.49</v>
      </c>
      <c r="GW36" s="153">
        <f t="shared" si="178"/>
        <v>967147.75457135448</v>
      </c>
      <c r="GX36" s="152">
        <f t="shared" si="179"/>
        <v>895.49</v>
      </c>
      <c r="GY36" s="153">
        <f t="shared" si="180"/>
        <v>967147.75457135448</v>
      </c>
      <c r="GZ36" s="152">
        <f t="shared" si="181"/>
        <v>895.49</v>
      </c>
      <c r="HA36" s="153">
        <f t="shared" si="182"/>
        <v>967147.75457135448</v>
      </c>
      <c r="HB36" s="152">
        <f t="shared" si="183"/>
        <v>895.49</v>
      </c>
      <c r="HC36" s="153">
        <f t="shared" si="184"/>
        <v>967147.75457135448</v>
      </c>
      <c r="HD36" s="152">
        <f t="shared" si="185"/>
        <v>895.49</v>
      </c>
      <c r="HE36" s="153">
        <f t="shared" si="186"/>
        <v>967147.75457135448</v>
      </c>
      <c r="HF36" s="152">
        <f t="shared" si="187"/>
        <v>895.49</v>
      </c>
      <c r="HG36" s="153">
        <f t="shared" si="188"/>
        <v>967147.75457135448</v>
      </c>
      <c r="HH36" s="158">
        <f t="shared" si="189"/>
        <v>10745.88</v>
      </c>
      <c r="HI36" s="159">
        <f t="shared" si="47"/>
        <v>11605773.054856252</v>
      </c>
      <c r="HK36" s="149">
        <f>+HK34</f>
        <v>519.54</v>
      </c>
      <c r="HL36" s="150">
        <v>1</v>
      </c>
      <c r="HM36" s="161">
        <f t="shared" si="48"/>
        <v>561113.96487956471</v>
      </c>
      <c r="HN36" s="152">
        <v>0</v>
      </c>
      <c r="HO36" s="153">
        <f t="shared" si="191"/>
        <v>0</v>
      </c>
      <c r="HP36" s="152">
        <v>0</v>
      </c>
      <c r="HQ36" s="153">
        <f t="shared" si="193"/>
        <v>0</v>
      </c>
      <c r="HR36" s="152">
        <f t="shared" si="192"/>
        <v>519.54</v>
      </c>
      <c r="HS36" s="153">
        <f t="shared" si="193"/>
        <v>561113.96487956471</v>
      </c>
      <c r="HT36" s="152">
        <f t="shared" si="192"/>
        <v>519.54</v>
      </c>
      <c r="HU36" s="153">
        <f t="shared" si="194"/>
        <v>561113.96487956471</v>
      </c>
      <c r="HV36" s="152">
        <f t="shared" si="192"/>
        <v>519.54</v>
      </c>
      <c r="HW36" s="153">
        <f t="shared" si="195"/>
        <v>561113.96487956471</v>
      </c>
      <c r="HX36" s="152">
        <f t="shared" si="196"/>
        <v>519.54</v>
      </c>
      <c r="HY36" s="153">
        <f t="shared" si="197"/>
        <v>561113.96487956471</v>
      </c>
      <c r="HZ36" s="152">
        <f t="shared" si="198"/>
        <v>519.54</v>
      </c>
      <c r="IA36" s="153">
        <f t="shared" si="199"/>
        <v>561113.96487956471</v>
      </c>
      <c r="IB36" s="152">
        <f t="shared" si="200"/>
        <v>519.54</v>
      </c>
      <c r="IC36" s="153">
        <f t="shared" si="201"/>
        <v>561113.96487956471</v>
      </c>
      <c r="ID36" s="152">
        <f t="shared" si="202"/>
        <v>519.54</v>
      </c>
      <c r="IE36" s="153">
        <f t="shared" si="203"/>
        <v>561113.96487956471</v>
      </c>
      <c r="IF36" s="152">
        <f t="shared" si="204"/>
        <v>519.54</v>
      </c>
      <c r="IG36" s="153">
        <f t="shared" si="205"/>
        <v>561113.96487956471</v>
      </c>
      <c r="IH36" s="152">
        <f t="shared" si="206"/>
        <v>519.54</v>
      </c>
      <c r="II36" s="153">
        <f t="shared" si="207"/>
        <v>561113.96487956471</v>
      </c>
      <c r="IJ36" s="152">
        <f t="shared" si="208"/>
        <v>519.54</v>
      </c>
      <c r="IK36" s="153">
        <f t="shared" si="209"/>
        <v>561113.96487956471</v>
      </c>
      <c r="IL36" s="158">
        <f t="shared" si="210"/>
        <v>5195.3999999999996</v>
      </c>
      <c r="IM36" s="159">
        <f t="shared" si="211"/>
        <v>5611139.6487956475</v>
      </c>
      <c r="IO36" s="149">
        <v>10550</v>
      </c>
      <c r="IP36" s="150">
        <v>1</v>
      </c>
      <c r="IQ36" s="161">
        <f t="shared" si="298"/>
        <v>11394218.596218595</v>
      </c>
      <c r="IR36" s="152">
        <f t="shared" si="212"/>
        <v>10550</v>
      </c>
      <c r="IS36" s="153">
        <f t="shared" si="213"/>
        <v>11394218.596218595</v>
      </c>
      <c r="IT36" s="152">
        <f t="shared" si="401"/>
        <v>10550</v>
      </c>
      <c r="IU36" s="285">
        <f t="shared" si="214"/>
        <v>11394218.596218595</v>
      </c>
      <c r="IV36" s="152">
        <f t="shared" si="402"/>
        <v>10550</v>
      </c>
      <c r="IW36" s="285">
        <f t="shared" si="214"/>
        <v>11394218.596218595</v>
      </c>
      <c r="IX36" s="152">
        <f t="shared" si="403"/>
        <v>10550</v>
      </c>
      <c r="IY36" s="285">
        <f t="shared" si="215"/>
        <v>11394218.596218595</v>
      </c>
      <c r="IZ36" s="152">
        <f t="shared" si="404"/>
        <v>10550</v>
      </c>
      <c r="JA36" s="285">
        <f t="shared" si="216"/>
        <v>11394218.596218595</v>
      </c>
      <c r="JB36" s="152">
        <f t="shared" si="405"/>
        <v>10550</v>
      </c>
      <c r="JC36" s="285">
        <f t="shared" si="217"/>
        <v>11394218.596218595</v>
      </c>
      <c r="JD36" s="152">
        <f t="shared" si="218"/>
        <v>10550</v>
      </c>
      <c r="JE36" s="285">
        <f t="shared" si="219"/>
        <v>11394218.596218595</v>
      </c>
      <c r="JF36" s="152">
        <f t="shared" si="406"/>
        <v>10550</v>
      </c>
      <c r="JG36" s="285">
        <f t="shared" si="220"/>
        <v>11394218.596218595</v>
      </c>
      <c r="JH36" s="152">
        <f t="shared" si="221"/>
        <v>10550</v>
      </c>
      <c r="JI36" s="285">
        <f t="shared" si="222"/>
        <v>11394218.596218595</v>
      </c>
      <c r="JJ36" s="152">
        <f t="shared" si="407"/>
        <v>10550</v>
      </c>
      <c r="JK36" s="285">
        <f t="shared" si="223"/>
        <v>11394218.596218595</v>
      </c>
      <c r="JL36" s="152">
        <f t="shared" si="224"/>
        <v>10550</v>
      </c>
      <c r="JM36" s="285">
        <f t="shared" si="225"/>
        <v>11394218.596218595</v>
      </c>
      <c r="JN36" s="152">
        <f t="shared" si="408"/>
        <v>10550</v>
      </c>
      <c r="JO36" s="285">
        <f t="shared" si="226"/>
        <v>11394218.596218595</v>
      </c>
      <c r="JP36" s="158">
        <f t="shared" si="227"/>
        <v>126600</v>
      </c>
      <c r="JQ36" s="159">
        <f t="shared" si="228"/>
        <v>136730623.15462312</v>
      </c>
      <c r="JS36" s="149">
        <v>9023</v>
      </c>
      <c r="JT36" s="150">
        <v>1</v>
      </c>
      <c r="JU36" s="161">
        <f t="shared" si="58"/>
        <v>9745026.9567469545</v>
      </c>
      <c r="JV36" s="152">
        <f t="shared" si="229"/>
        <v>9023</v>
      </c>
      <c r="JW36" s="153">
        <f t="shared" si="230"/>
        <v>9745026.9567469545</v>
      </c>
      <c r="JX36" s="368"/>
      <c r="JY36" s="153">
        <f t="shared" si="231"/>
        <v>0</v>
      </c>
      <c r="JZ36" s="368"/>
      <c r="KA36" s="153">
        <f t="shared" si="231"/>
        <v>0</v>
      </c>
      <c r="KB36" s="368"/>
      <c r="KC36" s="153">
        <f t="shared" si="232"/>
        <v>0</v>
      </c>
      <c r="KD36" s="368"/>
      <c r="KE36" s="153">
        <f t="shared" si="233"/>
        <v>0</v>
      </c>
      <c r="KF36" s="368"/>
      <c r="KG36" s="153">
        <f t="shared" si="234"/>
        <v>0</v>
      </c>
      <c r="KH36" s="368"/>
      <c r="KI36" s="153">
        <f t="shared" si="236"/>
        <v>0</v>
      </c>
      <c r="KJ36" s="368"/>
      <c r="KK36" s="153">
        <f t="shared" si="237"/>
        <v>0</v>
      </c>
      <c r="KL36" s="368"/>
      <c r="KM36" s="153">
        <f t="shared" si="239"/>
        <v>0</v>
      </c>
      <c r="KN36" s="368"/>
      <c r="KO36" s="153">
        <f t="shared" si="240"/>
        <v>0</v>
      </c>
      <c r="KP36" s="368"/>
      <c r="KQ36" s="153">
        <f t="shared" si="242"/>
        <v>0</v>
      </c>
      <c r="KR36" s="368"/>
      <c r="KS36" s="154">
        <f t="shared" si="243"/>
        <v>0</v>
      </c>
      <c r="KT36" s="158">
        <f t="shared" si="244"/>
        <v>9023</v>
      </c>
      <c r="KU36" s="159">
        <f t="shared" si="67"/>
        <v>9745026.9567469545</v>
      </c>
      <c r="KW36" s="149"/>
      <c r="KX36" s="150"/>
      <c r="KY36" s="157"/>
      <c r="KZ36" s="152">
        <f t="shared" si="271"/>
        <v>0</v>
      </c>
      <c r="LA36" s="153"/>
      <c r="LB36" s="152">
        <f t="shared" si="272"/>
        <v>0</v>
      </c>
      <c r="LC36" s="153">
        <f t="shared" si="246"/>
        <v>0</v>
      </c>
      <c r="LD36" s="152">
        <f t="shared" si="272"/>
        <v>0</v>
      </c>
      <c r="LE36" s="153">
        <f t="shared" si="246"/>
        <v>0</v>
      </c>
      <c r="LF36" s="152">
        <f t="shared" si="272"/>
        <v>0</v>
      </c>
      <c r="LG36" s="153">
        <f t="shared" si="247"/>
        <v>0</v>
      </c>
      <c r="LH36" s="152">
        <f t="shared" si="272"/>
        <v>0</v>
      </c>
      <c r="LI36" s="153">
        <f t="shared" si="248"/>
        <v>0</v>
      </c>
      <c r="LJ36" s="152">
        <f t="shared" si="273"/>
        <v>0</v>
      </c>
      <c r="LK36" s="153">
        <f t="shared" si="249"/>
        <v>0</v>
      </c>
      <c r="LL36" s="152">
        <f t="shared" si="274"/>
        <v>0</v>
      </c>
      <c r="LM36" s="153">
        <f t="shared" si="250"/>
        <v>0</v>
      </c>
      <c r="LN36" s="152">
        <f t="shared" si="275"/>
        <v>0</v>
      </c>
      <c r="LO36" s="153">
        <f t="shared" si="251"/>
        <v>0</v>
      </c>
      <c r="LP36" s="152">
        <f t="shared" si="276"/>
        <v>0</v>
      </c>
      <c r="LQ36" s="153">
        <f t="shared" si="252"/>
        <v>0</v>
      </c>
      <c r="LR36" s="152">
        <f t="shared" si="277"/>
        <v>0</v>
      </c>
      <c r="LS36" s="153">
        <f t="shared" si="253"/>
        <v>0</v>
      </c>
      <c r="LT36" s="152">
        <f t="shared" si="278"/>
        <v>0</v>
      </c>
      <c r="LU36" s="153">
        <f t="shared" si="254"/>
        <v>0</v>
      </c>
      <c r="LV36" s="152">
        <f t="shared" si="279"/>
        <v>0</v>
      </c>
      <c r="LW36" s="153">
        <f t="shared" si="255"/>
        <v>0</v>
      </c>
      <c r="LX36" s="158">
        <f t="shared" si="256"/>
        <v>0</v>
      </c>
      <c r="LY36" s="159">
        <f t="shared" si="257"/>
        <v>0</v>
      </c>
      <c r="MA36" s="164">
        <f t="shared" ref="MA36:MA68" si="412">+L36+AP36+BT36+CX36+EB36+FF36+GJ36+HN36+IR36+JV36+KZ36</f>
        <v>36485.22</v>
      </c>
      <c r="MB36" s="386">
        <f t="shared" si="258"/>
        <v>39404793.574514367</v>
      </c>
      <c r="MC36" s="394">
        <f t="shared" ref="MC36:MC68" si="413">+N36+AR36+BV36+CZ36+ED36+FH36+GL36+HP36+IT36+JX36+LB36</f>
        <v>27462.22</v>
      </c>
      <c r="MD36" s="386">
        <f t="shared" si="259"/>
        <v>29659766.617767416</v>
      </c>
      <c r="ME36" s="394">
        <f t="shared" ref="ME36:ME68" si="414">+P36+AT36+BX36+DB36+EF36+FJ36+GN36+HR36+IV36+JZ36+LD36</f>
        <v>27981.760000000002</v>
      </c>
      <c r="MF36" s="386">
        <f t="shared" si="259"/>
        <v>30220880.582646981</v>
      </c>
      <c r="MG36" s="394">
        <f t="shared" ref="MG36:MG68" si="415">+R36+AV36+BZ36+DD36+EH36+FL36+GP36+HT36+IX36+KB36+LF36</f>
        <v>27981.760000000002</v>
      </c>
      <c r="MH36" s="386">
        <f t="shared" si="260"/>
        <v>30220880.582646981</v>
      </c>
      <c r="MI36" s="394">
        <f t="shared" ref="MI36:MI68" si="416">+T36+AX36+CB36+DF36+EJ36+FN36+GR36+HV36+IZ36+KD36+LH36</f>
        <v>27981.760000000002</v>
      </c>
      <c r="MJ36" s="386">
        <f t="shared" si="261"/>
        <v>30220880.582646981</v>
      </c>
      <c r="MK36" s="394">
        <f t="shared" ref="MK36:MK68" si="417">+V36+AZ36+CD36+DH36+EL36+FP36+GT36+HX36+JB36+KF36+LJ36</f>
        <v>27981.760000000002</v>
      </c>
      <c r="ML36" s="386">
        <f t="shared" si="262"/>
        <v>30220880.582646981</v>
      </c>
      <c r="MM36" s="394">
        <f t="shared" ref="MM36:MM68" si="418">+X36+BB36+CF36+DJ36+EN36+FR36+GV36+HZ36+JD36+KH36+LL36</f>
        <v>27981.760000000002</v>
      </c>
      <c r="MN36" s="386">
        <f t="shared" si="263"/>
        <v>30220880.582646981</v>
      </c>
      <c r="MO36" s="394">
        <f t="shared" ref="MO36:MO68" si="419">+Z36+BD36+CH36+DL36+EP36+FT36+GX36+IB36+JF36+KJ36+LN36</f>
        <v>27981.760000000002</v>
      </c>
      <c r="MP36" s="386">
        <f t="shared" si="264"/>
        <v>30220880.582646981</v>
      </c>
      <c r="MQ36" s="394">
        <f t="shared" ref="MQ36:MQ68" si="420">+AB36+BF36+CJ36+DN36+ER36+FV36+GZ36+ID36+JH36+KL36+LP36</f>
        <v>27981.760000000002</v>
      </c>
      <c r="MR36" s="386">
        <f t="shared" si="265"/>
        <v>30220880.582646981</v>
      </c>
      <c r="MS36" s="394">
        <f t="shared" ref="MS36:MS68" si="421">+AD36+BH36+CL36+DP36+ET36+FX36+HB36+IF36+JJ36+KN36+LR36</f>
        <v>27981.760000000002</v>
      </c>
      <c r="MT36" s="386">
        <f t="shared" si="266"/>
        <v>30220880.582646981</v>
      </c>
      <c r="MU36" s="394">
        <f t="shared" ref="MU36:MU68" si="422">+AF36+BJ36+CN36+DR36+EV36+FZ36+HD36+IH36+JL36+KP36+LT36</f>
        <v>27981.760000000002</v>
      </c>
      <c r="MV36" s="386">
        <f t="shared" si="267"/>
        <v>30220880.582646981</v>
      </c>
      <c r="MW36" s="394">
        <f t="shared" ref="MW36:MW68" si="423">+AH36+BL36+CP36+DT36+EX36+GB36+HF36+IJ36+JN36+KR36+LV36</f>
        <v>27981.760000000002</v>
      </c>
      <c r="MX36" s="386">
        <f t="shared" si="268"/>
        <v>30220880.582646981</v>
      </c>
      <c r="MY36" s="165">
        <f t="shared" si="269"/>
        <v>343765.0400000001</v>
      </c>
      <c r="MZ36" s="166">
        <f t="shared" si="270"/>
        <v>371273366.01875168</v>
      </c>
    </row>
    <row r="37" spans="1:364" s="126" customFormat="1" ht="52.8" x14ac:dyDescent="0.3">
      <c r="A37" s="528"/>
      <c r="B37" s="177">
        <v>2.19</v>
      </c>
      <c r="C37" s="178" t="s">
        <v>98</v>
      </c>
      <c r="D37" s="148" t="s">
        <v>25</v>
      </c>
      <c r="E37" s="33">
        <v>1</v>
      </c>
      <c r="F37" s="347">
        <v>2825.4654886148005</v>
      </c>
      <c r="G37" s="347">
        <f t="shared" si="81"/>
        <v>2943.2201265022136</v>
      </c>
      <c r="I37" s="149"/>
      <c r="J37" s="150"/>
      <c r="K37" s="151">
        <f t="shared" si="82"/>
        <v>0</v>
      </c>
      <c r="L37" s="152">
        <f t="shared" si="300"/>
        <v>0</v>
      </c>
      <c r="M37" s="285">
        <f t="shared" si="301"/>
        <v>0</v>
      </c>
      <c r="N37" s="152">
        <f t="shared" si="361"/>
        <v>0</v>
      </c>
      <c r="O37" s="285">
        <f t="shared" ref="O37:Q41" si="424">+N37*$G37</f>
        <v>0</v>
      </c>
      <c r="P37" s="152">
        <f t="shared" si="362"/>
        <v>0</v>
      </c>
      <c r="Q37" s="285">
        <f t="shared" si="424"/>
        <v>0</v>
      </c>
      <c r="R37" s="152">
        <f t="shared" si="363"/>
        <v>0</v>
      </c>
      <c r="S37" s="285">
        <f t="shared" si="86"/>
        <v>0</v>
      </c>
      <c r="T37" s="152">
        <f t="shared" si="364"/>
        <v>0</v>
      </c>
      <c r="U37" s="285">
        <f t="shared" si="87"/>
        <v>0</v>
      </c>
      <c r="V37" s="152">
        <f t="shared" si="409"/>
        <v>0</v>
      </c>
      <c r="W37" s="285">
        <f t="shared" si="88"/>
        <v>0</v>
      </c>
      <c r="X37" s="152">
        <f t="shared" si="305"/>
        <v>0</v>
      </c>
      <c r="Y37" s="285">
        <f t="shared" si="89"/>
        <v>0</v>
      </c>
      <c r="Z37" s="152">
        <f t="shared" si="365"/>
        <v>0</v>
      </c>
      <c r="AA37" s="285">
        <f t="shared" si="90"/>
        <v>0</v>
      </c>
      <c r="AB37" s="152">
        <f t="shared" si="306"/>
        <v>0</v>
      </c>
      <c r="AC37" s="285">
        <f t="shared" si="91"/>
        <v>0</v>
      </c>
      <c r="AD37" s="152">
        <f t="shared" si="366"/>
        <v>0</v>
      </c>
      <c r="AE37" s="285">
        <f t="shared" si="92"/>
        <v>0</v>
      </c>
      <c r="AF37" s="152">
        <f t="shared" si="307"/>
        <v>0</v>
      </c>
      <c r="AG37" s="285">
        <f t="shared" si="308"/>
        <v>0</v>
      </c>
      <c r="AH37" s="152">
        <f t="shared" si="367"/>
        <v>0</v>
      </c>
      <c r="AI37" s="294">
        <f t="shared" si="309"/>
        <v>0</v>
      </c>
      <c r="AJ37" s="158">
        <f t="shared" si="94"/>
        <v>0</v>
      </c>
      <c r="AK37" s="307">
        <f t="shared" si="95"/>
        <v>0</v>
      </c>
      <c r="AM37" s="149"/>
      <c r="AN37" s="150"/>
      <c r="AO37" s="157"/>
      <c r="AP37" s="152">
        <f t="shared" si="328"/>
        <v>0</v>
      </c>
      <c r="AQ37" s="285">
        <f t="shared" si="96"/>
        <v>0</v>
      </c>
      <c r="AR37" s="317">
        <f t="shared" si="329"/>
        <v>0</v>
      </c>
      <c r="AS37" s="285">
        <f t="shared" si="96"/>
        <v>0</v>
      </c>
      <c r="AT37" s="317">
        <f t="shared" si="330"/>
        <v>0</v>
      </c>
      <c r="AU37" s="285">
        <f t="shared" si="96"/>
        <v>0</v>
      </c>
      <c r="AV37" s="317">
        <f t="shared" si="331"/>
        <v>0</v>
      </c>
      <c r="AW37" s="285">
        <f t="shared" si="98"/>
        <v>0</v>
      </c>
      <c r="AX37" s="317">
        <f t="shared" si="5"/>
        <v>0</v>
      </c>
      <c r="AY37" s="285">
        <f t="shared" si="99"/>
        <v>0</v>
      </c>
      <c r="AZ37" s="317">
        <f t="shared" si="332"/>
        <v>0</v>
      </c>
      <c r="BA37" s="285">
        <f t="shared" si="100"/>
        <v>0</v>
      </c>
      <c r="BB37" s="317">
        <f t="shared" si="7"/>
        <v>0</v>
      </c>
      <c r="BC37" s="285">
        <f t="shared" si="101"/>
        <v>0</v>
      </c>
      <c r="BD37" s="317">
        <f t="shared" si="333"/>
        <v>0</v>
      </c>
      <c r="BE37" s="285">
        <f t="shared" si="102"/>
        <v>0</v>
      </c>
      <c r="BF37" s="317">
        <f t="shared" si="9"/>
        <v>0</v>
      </c>
      <c r="BG37" s="285">
        <f t="shared" si="103"/>
        <v>0</v>
      </c>
      <c r="BH37" s="317">
        <f t="shared" si="334"/>
        <v>0</v>
      </c>
      <c r="BI37" s="285">
        <f t="shared" ref="BI37:BK52" si="425">+BH37*$G37</f>
        <v>0</v>
      </c>
      <c r="BJ37" s="317">
        <f t="shared" si="335"/>
        <v>0</v>
      </c>
      <c r="BK37" s="285">
        <f t="shared" si="425"/>
        <v>0</v>
      </c>
      <c r="BL37" s="152"/>
      <c r="BM37" s="296">
        <f t="shared" si="105"/>
        <v>0</v>
      </c>
      <c r="BN37" s="158">
        <f t="shared" si="106"/>
        <v>0</v>
      </c>
      <c r="BO37" s="307">
        <f t="shared" si="410"/>
        <v>0</v>
      </c>
      <c r="BQ37" s="171"/>
      <c r="BR37" s="150"/>
      <c r="BS37" s="160"/>
      <c r="BT37" s="152">
        <f t="shared" si="280"/>
        <v>0</v>
      </c>
      <c r="BU37" s="332">
        <f t="shared" si="107"/>
        <v>0</v>
      </c>
      <c r="BV37" s="152">
        <f t="shared" si="368"/>
        <v>0</v>
      </c>
      <c r="BW37" s="153">
        <f t="shared" si="108"/>
        <v>0</v>
      </c>
      <c r="BX37" s="152">
        <f t="shared" si="369"/>
        <v>0</v>
      </c>
      <c r="BY37" s="153">
        <f t="shared" si="109"/>
        <v>0</v>
      </c>
      <c r="BZ37" s="152">
        <f t="shared" si="370"/>
        <v>0</v>
      </c>
      <c r="CA37" s="153">
        <f t="shared" si="110"/>
        <v>0</v>
      </c>
      <c r="CB37" s="152">
        <f t="shared" si="371"/>
        <v>0</v>
      </c>
      <c r="CC37" s="153">
        <f t="shared" si="111"/>
        <v>0</v>
      </c>
      <c r="CD37" s="152">
        <f t="shared" si="372"/>
        <v>0</v>
      </c>
      <c r="CE37" s="153">
        <f t="shared" si="112"/>
        <v>0</v>
      </c>
      <c r="CF37" s="152">
        <f t="shared" si="113"/>
        <v>0</v>
      </c>
      <c r="CG37" s="153">
        <f t="shared" si="114"/>
        <v>0</v>
      </c>
      <c r="CH37" s="152">
        <f t="shared" si="373"/>
        <v>0</v>
      </c>
      <c r="CI37" s="153">
        <f t="shared" si="115"/>
        <v>0</v>
      </c>
      <c r="CJ37" s="152">
        <f t="shared" si="116"/>
        <v>0</v>
      </c>
      <c r="CK37" s="153">
        <f t="shared" si="117"/>
        <v>0</v>
      </c>
      <c r="CL37" s="152">
        <f t="shared" si="374"/>
        <v>0</v>
      </c>
      <c r="CM37" s="153">
        <f t="shared" si="118"/>
        <v>0</v>
      </c>
      <c r="CN37" s="152">
        <f t="shared" si="119"/>
        <v>0</v>
      </c>
      <c r="CO37" s="153">
        <f t="shared" si="120"/>
        <v>0</v>
      </c>
      <c r="CP37" s="152">
        <f t="shared" si="375"/>
        <v>0</v>
      </c>
      <c r="CQ37" s="154"/>
      <c r="CR37" s="158">
        <f t="shared" si="121"/>
        <v>0</v>
      </c>
      <c r="CS37" s="159"/>
      <c r="CT37" s="179"/>
      <c r="CU37" s="171"/>
      <c r="CV37" s="150"/>
      <c r="CW37" s="161"/>
      <c r="CX37" s="152">
        <f t="shared" si="122"/>
        <v>0</v>
      </c>
      <c r="CY37" s="153">
        <f t="shared" si="123"/>
        <v>0</v>
      </c>
      <c r="CZ37" s="152">
        <f t="shared" si="376"/>
        <v>0</v>
      </c>
      <c r="DA37" s="285">
        <f t="shared" si="123"/>
        <v>0</v>
      </c>
      <c r="DB37" s="152">
        <f t="shared" si="377"/>
        <v>0</v>
      </c>
      <c r="DC37" s="285">
        <f t="shared" si="124"/>
        <v>0</v>
      </c>
      <c r="DD37" s="152">
        <f t="shared" si="378"/>
        <v>0</v>
      </c>
      <c r="DE37" s="285">
        <f t="shared" si="125"/>
        <v>0</v>
      </c>
      <c r="DF37" s="152">
        <f t="shared" si="379"/>
        <v>0</v>
      </c>
      <c r="DG37" s="285">
        <f t="shared" si="126"/>
        <v>0</v>
      </c>
      <c r="DH37" s="152">
        <f t="shared" si="380"/>
        <v>0</v>
      </c>
      <c r="DI37" s="285">
        <f t="shared" si="127"/>
        <v>0</v>
      </c>
      <c r="DJ37" s="152">
        <f t="shared" si="128"/>
        <v>0</v>
      </c>
      <c r="DK37" s="285">
        <f t="shared" si="129"/>
        <v>0</v>
      </c>
      <c r="DL37" s="152">
        <f t="shared" si="381"/>
        <v>0</v>
      </c>
      <c r="DM37" s="285">
        <f t="shared" si="130"/>
        <v>0</v>
      </c>
      <c r="DN37" s="152">
        <f t="shared" si="131"/>
        <v>0</v>
      </c>
      <c r="DO37" s="285">
        <f t="shared" si="132"/>
        <v>0</v>
      </c>
      <c r="DP37" s="152">
        <f t="shared" si="382"/>
        <v>0</v>
      </c>
      <c r="DQ37" s="285">
        <f t="shared" si="133"/>
        <v>0</v>
      </c>
      <c r="DR37" s="152">
        <f t="shared" si="134"/>
        <v>0</v>
      </c>
      <c r="DS37" s="285">
        <f t="shared" si="135"/>
        <v>0</v>
      </c>
      <c r="DT37" s="152">
        <f t="shared" si="383"/>
        <v>0</v>
      </c>
      <c r="DU37" s="285">
        <f t="shared" si="136"/>
        <v>0</v>
      </c>
      <c r="DV37" s="158">
        <f t="shared" si="137"/>
        <v>0</v>
      </c>
      <c r="DW37" s="159"/>
      <c r="DY37" s="172"/>
      <c r="DZ37" s="150"/>
      <c r="EA37" s="161"/>
      <c r="EB37" s="152">
        <f t="shared" si="384"/>
        <v>0</v>
      </c>
      <c r="EC37" s="153">
        <f t="shared" si="139"/>
        <v>0</v>
      </c>
      <c r="ED37" s="317">
        <f t="shared" si="385"/>
        <v>0</v>
      </c>
      <c r="EE37" s="153">
        <f t="shared" si="139"/>
        <v>0</v>
      </c>
      <c r="EF37" s="152">
        <f t="shared" si="386"/>
        <v>0</v>
      </c>
      <c r="EG37" s="153">
        <f t="shared" ref="EG37:EI52" si="426">+EF37*$G37</f>
        <v>0</v>
      </c>
      <c r="EH37" s="152">
        <f t="shared" si="387"/>
        <v>0</v>
      </c>
      <c r="EI37" s="153">
        <f t="shared" si="426"/>
        <v>0</v>
      </c>
      <c r="EJ37" s="152">
        <f t="shared" si="388"/>
        <v>0</v>
      </c>
      <c r="EK37" s="153">
        <f t="shared" si="143"/>
        <v>0</v>
      </c>
      <c r="EL37" s="152">
        <f t="shared" si="389"/>
        <v>0</v>
      </c>
      <c r="EM37" s="153">
        <f t="shared" si="144"/>
        <v>0</v>
      </c>
      <c r="EN37" s="152">
        <f t="shared" si="290"/>
        <v>0</v>
      </c>
      <c r="EO37" s="153">
        <f t="shared" si="145"/>
        <v>0</v>
      </c>
      <c r="EP37" s="152">
        <f t="shared" si="390"/>
        <v>0</v>
      </c>
      <c r="EQ37" s="153">
        <f t="shared" si="146"/>
        <v>0</v>
      </c>
      <c r="ER37" s="152">
        <f t="shared" si="292"/>
        <v>0</v>
      </c>
      <c r="ES37" s="153">
        <f t="shared" si="147"/>
        <v>0</v>
      </c>
      <c r="ET37" s="152">
        <f t="shared" si="391"/>
        <v>0</v>
      </c>
      <c r="EU37" s="153">
        <f t="shared" si="148"/>
        <v>0</v>
      </c>
      <c r="EV37" s="152">
        <f t="shared" si="294"/>
        <v>0</v>
      </c>
      <c r="EW37" s="153">
        <f t="shared" si="149"/>
        <v>0</v>
      </c>
      <c r="EX37" s="152">
        <f t="shared" si="392"/>
        <v>0</v>
      </c>
      <c r="EY37" s="153">
        <f t="shared" si="150"/>
        <v>0</v>
      </c>
      <c r="EZ37" s="180">
        <f t="shared" si="151"/>
        <v>0</v>
      </c>
      <c r="FA37" s="181"/>
      <c r="FC37" s="182">
        <v>153</v>
      </c>
      <c r="FD37" s="183">
        <v>1</v>
      </c>
      <c r="FE37" s="161">
        <f t="shared" si="296"/>
        <v>450312.67935483868</v>
      </c>
      <c r="FF37" s="184">
        <f t="shared" si="153"/>
        <v>153</v>
      </c>
      <c r="FG37" s="185">
        <f t="shared" si="154"/>
        <v>450312.67935483868</v>
      </c>
      <c r="FH37" s="369">
        <f t="shared" si="393"/>
        <v>153</v>
      </c>
      <c r="FI37" s="185">
        <f t="shared" si="155"/>
        <v>450312.67935483868</v>
      </c>
      <c r="FJ37" s="369">
        <f t="shared" si="394"/>
        <v>153</v>
      </c>
      <c r="FK37" s="185">
        <f t="shared" si="155"/>
        <v>450312.67935483868</v>
      </c>
      <c r="FL37" s="369">
        <f t="shared" si="395"/>
        <v>153</v>
      </c>
      <c r="FM37" s="185">
        <f t="shared" si="156"/>
        <v>450312.67935483868</v>
      </c>
      <c r="FN37" s="369">
        <f t="shared" si="396"/>
        <v>153</v>
      </c>
      <c r="FO37" s="185">
        <f t="shared" si="157"/>
        <v>450312.67935483868</v>
      </c>
      <c r="FP37" s="369">
        <f t="shared" si="397"/>
        <v>153</v>
      </c>
      <c r="FQ37" s="185">
        <f t="shared" si="158"/>
        <v>450312.67935483868</v>
      </c>
      <c r="FR37" s="369">
        <f t="shared" si="159"/>
        <v>153</v>
      </c>
      <c r="FS37" s="185">
        <f t="shared" si="160"/>
        <v>450312.67935483868</v>
      </c>
      <c r="FT37" s="369">
        <f t="shared" si="398"/>
        <v>153</v>
      </c>
      <c r="FU37" s="185">
        <f t="shared" si="161"/>
        <v>450312.67935483868</v>
      </c>
      <c r="FV37" s="369">
        <f t="shared" si="162"/>
        <v>153</v>
      </c>
      <c r="FW37" s="185">
        <f t="shared" si="163"/>
        <v>450312.67935483868</v>
      </c>
      <c r="FX37" s="369">
        <f t="shared" si="399"/>
        <v>153</v>
      </c>
      <c r="FY37" s="185">
        <f t="shared" si="164"/>
        <v>450312.67935483868</v>
      </c>
      <c r="FZ37" s="369">
        <f t="shared" si="165"/>
        <v>153</v>
      </c>
      <c r="GA37" s="185">
        <f t="shared" si="166"/>
        <v>450312.67935483868</v>
      </c>
      <c r="GB37" s="369">
        <f t="shared" si="400"/>
        <v>153</v>
      </c>
      <c r="GC37" s="185">
        <f t="shared" si="167"/>
        <v>450312.67935483868</v>
      </c>
      <c r="GD37" s="180">
        <f t="shared" si="168"/>
        <v>1836</v>
      </c>
      <c r="GE37" s="159">
        <f t="shared" si="411"/>
        <v>5403752.1522580646</v>
      </c>
      <c r="GG37" s="149"/>
      <c r="GH37" s="150"/>
      <c r="GI37" s="161">
        <f t="shared" si="297"/>
        <v>0</v>
      </c>
      <c r="GJ37" s="152">
        <f t="shared" si="169"/>
        <v>0</v>
      </c>
      <c r="GK37" s="153">
        <f t="shared" si="170"/>
        <v>0</v>
      </c>
      <c r="GL37" s="152">
        <f t="shared" si="169"/>
        <v>0</v>
      </c>
      <c r="GM37" s="153">
        <f t="shared" si="170"/>
        <v>0</v>
      </c>
      <c r="GN37" s="152">
        <f t="shared" si="169"/>
        <v>0</v>
      </c>
      <c r="GO37" s="153">
        <f t="shared" si="171"/>
        <v>0</v>
      </c>
      <c r="GP37" s="152">
        <f t="shared" si="169"/>
        <v>0</v>
      </c>
      <c r="GQ37" s="153">
        <f t="shared" si="172"/>
        <v>0</v>
      </c>
      <c r="GR37" s="152">
        <f t="shared" si="173"/>
        <v>0</v>
      </c>
      <c r="GS37" s="153">
        <f t="shared" si="174"/>
        <v>0</v>
      </c>
      <c r="GT37" s="152">
        <f t="shared" si="175"/>
        <v>0</v>
      </c>
      <c r="GU37" s="153">
        <f t="shared" si="176"/>
        <v>0</v>
      </c>
      <c r="GV37" s="152">
        <f t="shared" si="177"/>
        <v>0</v>
      </c>
      <c r="GW37" s="153">
        <f t="shared" si="178"/>
        <v>0</v>
      </c>
      <c r="GX37" s="152">
        <f t="shared" si="179"/>
        <v>0</v>
      </c>
      <c r="GY37" s="153">
        <f t="shared" si="180"/>
        <v>0</v>
      </c>
      <c r="GZ37" s="152">
        <f t="shared" si="181"/>
        <v>0</v>
      </c>
      <c r="HA37" s="153">
        <f t="shared" si="182"/>
        <v>0</v>
      </c>
      <c r="HB37" s="152">
        <f t="shared" si="183"/>
        <v>0</v>
      </c>
      <c r="HC37" s="153">
        <f t="shared" si="184"/>
        <v>0</v>
      </c>
      <c r="HD37" s="152">
        <f t="shared" si="185"/>
        <v>0</v>
      </c>
      <c r="HE37" s="153">
        <f t="shared" si="186"/>
        <v>0</v>
      </c>
      <c r="HF37" s="152">
        <f t="shared" si="187"/>
        <v>0</v>
      </c>
      <c r="HG37" s="153">
        <f t="shared" si="188"/>
        <v>0</v>
      </c>
      <c r="HH37" s="158">
        <f t="shared" si="189"/>
        <v>0</v>
      </c>
      <c r="HI37" s="159">
        <f t="shared" si="47"/>
        <v>0</v>
      </c>
      <c r="HK37" s="149">
        <v>0</v>
      </c>
      <c r="HL37" s="150"/>
      <c r="HM37" s="161"/>
      <c r="HN37" s="152">
        <f t="shared" si="190"/>
        <v>0</v>
      </c>
      <c r="HO37" s="153">
        <f t="shared" si="191"/>
        <v>0</v>
      </c>
      <c r="HP37" s="152">
        <f t="shared" si="192"/>
        <v>0</v>
      </c>
      <c r="HQ37" s="153">
        <f t="shared" si="193"/>
        <v>0</v>
      </c>
      <c r="HR37" s="152">
        <f t="shared" si="192"/>
        <v>0</v>
      </c>
      <c r="HS37" s="153">
        <f t="shared" si="193"/>
        <v>0</v>
      </c>
      <c r="HT37" s="152">
        <f t="shared" si="192"/>
        <v>0</v>
      </c>
      <c r="HU37" s="153">
        <f t="shared" si="194"/>
        <v>0</v>
      </c>
      <c r="HV37" s="152">
        <f t="shared" si="192"/>
        <v>0</v>
      </c>
      <c r="HW37" s="153">
        <f t="shared" si="195"/>
        <v>0</v>
      </c>
      <c r="HX37" s="152">
        <f t="shared" si="196"/>
        <v>0</v>
      </c>
      <c r="HY37" s="153">
        <f t="shared" si="197"/>
        <v>0</v>
      </c>
      <c r="HZ37" s="152">
        <f t="shared" si="198"/>
        <v>0</v>
      </c>
      <c r="IA37" s="153">
        <f t="shared" si="199"/>
        <v>0</v>
      </c>
      <c r="IB37" s="152">
        <f t="shared" si="200"/>
        <v>0</v>
      </c>
      <c r="IC37" s="153">
        <f t="shared" si="201"/>
        <v>0</v>
      </c>
      <c r="ID37" s="152">
        <f t="shared" si="202"/>
        <v>0</v>
      </c>
      <c r="IE37" s="153">
        <f t="shared" si="203"/>
        <v>0</v>
      </c>
      <c r="IF37" s="152">
        <f t="shared" si="204"/>
        <v>0</v>
      </c>
      <c r="IG37" s="153">
        <f t="shared" si="205"/>
        <v>0</v>
      </c>
      <c r="IH37" s="152">
        <f t="shared" si="206"/>
        <v>0</v>
      </c>
      <c r="II37" s="153">
        <f t="shared" si="207"/>
        <v>0</v>
      </c>
      <c r="IJ37" s="152">
        <f t="shared" si="208"/>
        <v>0</v>
      </c>
      <c r="IK37" s="153">
        <f t="shared" si="209"/>
        <v>0</v>
      </c>
      <c r="IL37" s="158">
        <f t="shared" si="210"/>
        <v>0</v>
      </c>
      <c r="IM37" s="159">
        <f t="shared" si="211"/>
        <v>0</v>
      </c>
      <c r="IO37" s="149"/>
      <c r="IP37" s="150"/>
      <c r="IQ37" s="161"/>
      <c r="IR37" s="152">
        <f t="shared" si="212"/>
        <v>0</v>
      </c>
      <c r="IS37" s="153">
        <f t="shared" si="213"/>
        <v>0</v>
      </c>
      <c r="IT37" s="152">
        <f t="shared" si="401"/>
        <v>0</v>
      </c>
      <c r="IU37" s="285">
        <f t="shared" si="214"/>
        <v>0</v>
      </c>
      <c r="IV37" s="152">
        <f t="shared" si="402"/>
        <v>0</v>
      </c>
      <c r="IW37" s="285">
        <f t="shared" si="214"/>
        <v>0</v>
      </c>
      <c r="IX37" s="152">
        <f t="shared" si="403"/>
        <v>0</v>
      </c>
      <c r="IY37" s="285">
        <f t="shared" si="215"/>
        <v>0</v>
      </c>
      <c r="IZ37" s="152">
        <f t="shared" si="404"/>
        <v>0</v>
      </c>
      <c r="JA37" s="285">
        <f t="shared" si="216"/>
        <v>0</v>
      </c>
      <c r="JB37" s="152">
        <f t="shared" si="405"/>
        <v>0</v>
      </c>
      <c r="JC37" s="285">
        <f t="shared" si="217"/>
        <v>0</v>
      </c>
      <c r="JD37" s="152">
        <f t="shared" si="218"/>
        <v>0</v>
      </c>
      <c r="JE37" s="285">
        <f t="shared" si="219"/>
        <v>0</v>
      </c>
      <c r="JF37" s="152">
        <f t="shared" si="406"/>
        <v>0</v>
      </c>
      <c r="JG37" s="285">
        <f t="shared" si="220"/>
        <v>0</v>
      </c>
      <c r="JH37" s="152">
        <f t="shared" si="221"/>
        <v>0</v>
      </c>
      <c r="JI37" s="285">
        <f t="shared" si="222"/>
        <v>0</v>
      </c>
      <c r="JJ37" s="152">
        <f t="shared" si="407"/>
        <v>0</v>
      </c>
      <c r="JK37" s="285">
        <f t="shared" si="223"/>
        <v>0</v>
      </c>
      <c r="JL37" s="152">
        <f t="shared" si="224"/>
        <v>0</v>
      </c>
      <c r="JM37" s="285">
        <f t="shared" si="225"/>
        <v>0</v>
      </c>
      <c r="JN37" s="152">
        <f t="shared" si="408"/>
        <v>0</v>
      </c>
      <c r="JO37" s="285">
        <f t="shared" si="226"/>
        <v>0</v>
      </c>
      <c r="JP37" s="158">
        <f t="shared" si="227"/>
        <v>0</v>
      </c>
      <c r="JQ37" s="159">
        <f t="shared" si="228"/>
        <v>0</v>
      </c>
      <c r="JS37" s="149"/>
      <c r="JT37" s="150"/>
      <c r="JU37" s="161"/>
      <c r="JV37" s="152">
        <f t="shared" si="229"/>
        <v>0</v>
      </c>
      <c r="JW37" s="153">
        <f t="shared" si="230"/>
        <v>0</v>
      </c>
      <c r="JX37" s="368"/>
      <c r="JY37" s="153">
        <f t="shared" si="231"/>
        <v>0</v>
      </c>
      <c r="JZ37" s="368"/>
      <c r="KA37" s="153">
        <f t="shared" si="231"/>
        <v>0</v>
      </c>
      <c r="KB37" s="368"/>
      <c r="KC37" s="153">
        <f t="shared" si="232"/>
        <v>0</v>
      </c>
      <c r="KD37" s="368"/>
      <c r="KE37" s="153">
        <f t="shared" si="233"/>
        <v>0</v>
      </c>
      <c r="KF37" s="368"/>
      <c r="KG37" s="153">
        <f t="shared" si="234"/>
        <v>0</v>
      </c>
      <c r="KH37" s="368"/>
      <c r="KI37" s="153">
        <f t="shared" si="236"/>
        <v>0</v>
      </c>
      <c r="KJ37" s="368"/>
      <c r="KK37" s="153">
        <f t="shared" si="237"/>
        <v>0</v>
      </c>
      <c r="KL37" s="368"/>
      <c r="KM37" s="153">
        <f t="shared" si="239"/>
        <v>0</v>
      </c>
      <c r="KN37" s="368"/>
      <c r="KO37" s="153">
        <f t="shared" si="240"/>
        <v>0</v>
      </c>
      <c r="KP37" s="368"/>
      <c r="KQ37" s="153">
        <f t="shared" si="242"/>
        <v>0</v>
      </c>
      <c r="KR37" s="368"/>
      <c r="KS37" s="154">
        <f t="shared" si="243"/>
        <v>0</v>
      </c>
      <c r="KT37" s="158">
        <f t="shared" si="244"/>
        <v>0</v>
      </c>
      <c r="KU37" s="159"/>
      <c r="KW37" s="149"/>
      <c r="KX37" s="150"/>
      <c r="KY37" s="157"/>
      <c r="KZ37" s="152">
        <f t="shared" si="271"/>
        <v>0</v>
      </c>
      <c r="LA37" s="153"/>
      <c r="LB37" s="152">
        <f t="shared" si="272"/>
        <v>0</v>
      </c>
      <c r="LC37" s="153">
        <f t="shared" si="246"/>
        <v>0</v>
      </c>
      <c r="LD37" s="152">
        <f t="shared" si="272"/>
        <v>0</v>
      </c>
      <c r="LE37" s="153">
        <f t="shared" si="246"/>
        <v>0</v>
      </c>
      <c r="LF37" s="152">
        <f t="shared" si="272"/>
        <v>0</v>
      </c>
      <c r="LG37" s="153">
        <f t="shared" si="247"/>
        <v>0</v>
      </c>
      <c r="LH37" s="152">
        <f t="shared" si="272"/>
        <v>0</v>
      </c>
      <c r="LI37" s="153">
        <f t="shared" si="248"/>
        <v>0</v>
      </c>
      <c r="LJ37" s="152">
        <f t="shared" si="273"/>
        <v>0</v>
      </c>
      <c r="LK37" s="153">
        <f t="shared" si="249"/>
        <v>0</v>
      </c>
      <c r="LL37" s="152">
        <f t="shared" si="274"/>
        <v>0</v>
      </c>
      <c r="LM37" s="153">
        <f t="shared" si="250"/>
        <v>0</v>
      </c>
      <c r="LN37" s="152">
        <f t="shared" si="275"/>
        <v>0</v>
      </c>
      <c r="LO37" s="153">
        <f t="shared" si="251"/>
        <v>0</v>
      </c>
      <c r="LP37" s="152">
        <f t="shared" si="276"/>
        <v>0</v>
      </c>
      <c r="LQ37" s="153">
        <f t="shared" si="252"/>
        <v>0</v>
      </c>
      <c r="LR37" s="152">
        <f t="shared" si="277"/>
        <v>0</v>
      </c>
      <c r="LS37" s="153">
        <f t="shared" si="253"/>
        <v>0</v>
      </c>
      <c r="LT37" s="152">
        <f t="shared" si="278"/>
        <v>0</v>
      </c>
      <c r="LU37" s="153">
        <f t="shared" si="254"/>
        <v>0</v>
      </c>
      <c r="LV37" s="152">
        <f t="shared" si="279"/>
        <v>0</v>
      </c>
      <c r="LW37" s="153">
        <f t="shared" si="255"/>
        <v>0</v>
      </c>
      <c r="LX37" s="158">
        <f t="shared" si="256"/>
        <v>0</v>
      </c>
      <c r="LY37" s="159">
        <f t="shared" si="257"/>
        <v>0</v>
      </c>
      <c r="MA37" s="164">
        <f t="shared" si="412"/>
        <v>153</v>
      </c>
      <c r="MB37" s="386">
        <f t="shared" si="258"/>
        <v>450312.67935483868</v>
      </c>
      <c r="MC37" s="394">
        <f t="shared" si="413"/>
        <v>153</v>
      </c>
      <c r="MD37" s="386">
        <f t="shared" si="259"/>
        <v>450312.67935483868</v>
      </c>
      <c r="ME37" s="394">
        <f t="shared" si="414"/>
        <v>153</v>
      </c>
      <c r="MF37" s="386">
        <f t="shared" si="259"/>
        <v>450312.67935483868</v>
      </c>
      <c r="MG37" s="394">
        <f t="shared" si="415"/>
        <v>153</v>
      </c>
      <c r="MH37" s="386">
        <f t="shared" si="260"/>
        <v>450312.67935483868</v>
      </c>
      <c r="MI37" s="394">
        <f t="shared" si="416"/>
        <v>153</v>
      </c>
      <c r="MJ37" s="386">
        <f t="shared" si="261"/>
        <v>450312.67935483868</v>
      </c>
      <c r="MK37" s="394">
        <f t="shared" si="417"/>
        <v>153</v>
      </c>
      <c r="ML37" s="386">
        <f t="shared" si="262"/>
        <v>450312.67935483868</v>
      </c>
      <c r="MM37" s="394">
        <f t="shared" si="418"/>
        <v>153</v>
      </c>
      <c r="MN37" s="386">
        <f t="shared" si="263"/>
        <v>450312.67935483868</v>
      </c>
      <c r="MO37" s="394">
        <f t="shared" si="419"/>
        <v>153</v>
      </c>
      <c r="MP37" s="386">
        <f t="shared" si="264"/>
        <v>450312.67935483868</v>
      </c>
      <c r="MQ37" s="394">
        <f t="shared" si="420"/>
        <v>153</v>
      </c>
      <c r="MR37" s="386">
        <f t="shared" si="265"/>
        <v>450312.67935483868</v>
      </c>
      <c r="MS37" s="394">
        <f t="shared" si="421"/>
        <v>153</v>
      </c>
      <c r="MT37" s="386">
        <f t="shared" si="266"/>
        <v>450312.67935483868</v>
      </c>
      <c r="MU37" s="394">
        <f t="shared" si="422"/>
        <v>153</v>
      </c>
      <c r="MV37" s="386">
        <f t="shared" si="267"/>
        <v>450312.67935483868</v>
      </c>
      <c r="MW37" s="394">
        <f t="shared" si="423"/>
        <v>153</v>
      </c>
      <c r="MX37" s="386">
        <f t="shared" si="268"/>
        <v>450312.67935483868</v>
      </c>
      <c r="MY37" s="165">
        <f t="shared" si="269"/>
        <v>1836</v>
      </c>
      <c r="MZ37" s="166">
        <f t="shared" si="270"/>
        <v>5403752.1522580646</v>
      </c>
    </row>
    <row r="38" spans="1:364" s="126" customFormat="1" ht="66" x14ac:dyDescent="0.3">
      <c r="A38" s="528"/>
      <c r="B38" s="177">
        <v>2.2000000000000002</v>
      </c>
      <c r="C38" s="178" t="s">
        <v>99</v>
      </c>
      <c r="D38" s="148" t="s">
        <v>25</v>
      </c>
      <c r="E38" s="33">
        <v>1</v>
      </c>
      <c r="F38" s="347">
        <v>3058.5670659392786</v>
      </c>
      <c r="G38" s="347">
        <f t="shared" si="81"/>
        <v>3186.0364895635666</v>
      </c>
      <c r="I38" s="149"/>
      <c r="J38" s="150"/>
      <c r="K38" s="151">
        <f t="shared" si="82"/>
        <v>0</v>
      </c>
      <c r="L38" s="152">
        <f t="shared" si="300"/>
        <v>0</v>
      </c>
      <c r="M38" s="285">
        <f t="shared" si="301"/>
        <v>0</v>
      </c>
      <c r="N38" s="152">
        <f t="shared" si="361"/>
        <v>0</v>
      </c>
      <c r="O38" s="285">
        <f t="shared" si="424"/>
        <v>0</v>
      </c>
      <c r="P38" s="152">
        <f t="shared" si="362"/>
        <v>0</v>
      </c>
      <c r="Q38" s="285">
        <f t="shared" si="424"/>
        <v>0</v>
      </c>
      <c r="R38" s="152">
        <f t="shared" si="363"/>
        <v>0</v>
      </c>
      <c r="S38" s="285">
        <f t="shared" si="86"/>
        <v>0</v>
      </c>
      <c r="T38" s="152">
        <f t="shared" si="364"/>
        <v>0</v>
      </c>
      <c r="U38" s="285">
        <f t="shared" si="87"/>
        <v>0</v>
      </c>
      <c r="V38" s="152">
        <f t="shared" si="409"/>
        <v>0</v>
      </c>
      <c r="W38" s="285">
        <f t="shared" si="88"/>
        <v>0</v>
      </c>
      <c r="X38" s="152">
        <f t="shared" si="305"/>
        <v>0</v>
      </c>
      <c r="Y38" s="285">
        <f t="shared" si="89"/>
        <v>0</v>
      </c>
      <c r="Z38" s="152">
        <f t="shared" si="365"/>
        <v>0</v>
      </c>
      <c r="AA38" s="285">
        <f t="shared" si="90"/>
        <v>0</v>
      </c>
      <c r="AB38" s="152">
        <f t="shared" si="306"/>
        <v>0</v>
      </c>
      <c r="AC38" s="285">
        <f t="shared" si="91"/>
        <v>0</v>
      </c>
      <c r="AD38" s="152">
        <f t="shared" si="366"/>
        <v>0</v>
      </c>
      <c r="AE38" s="285">
        <f t="shared" si="92"/>
        <v>0</v>
      </c>
      <c r="AF38" s="152">
        <f t="shared" si="307"/>
        <v>0</v>
      </c>
      <c r="AG38" s="285">
        <f t="shared" si="308"/>
        <v>0</v>
      </c>
      <c r="AH38" s="152">
        <f t="shared" si="367"/>
        <v>0</v>
      </c>
      <c r="AI38" s="294">
        <f t="shared" si="309"/>
        <v>0</v>
      </c>
      <c r="AJ38" s="158">
        <f t="shared" si="94"/>
        <v>0</v>
      </c>
      <c r="AK38" s="307">
        <f t="shared" si="95"/>
        <v>0</v>
      </c>
      <c r="AM38" s="149"/>
      <c r="AN38" s="150"/>
      <c r="AO38" s="157"/>
      <c r="AP38" s="152">
        <f t="shared" si="328"/>
        <v>0</v>
      </c>
      <c r="AQ38" s="285">
        <f t="shared" si="96"/>
        <v>0</v>
      </c>
      <c r="AR38" s="317">
        <f t="shared" si="329"/>
        <v>0</v>
      </c>
      <c r="AS38" s="285">
        <f t="shared" si="96"/>
        <v>0</v>
      </c>
      <c r="AT38" s="317">
        <f t="shared" si="330"/>
        <v>0</v>
      </c>
      <c r="AU38" s="285">
        <f t="shared" si="96"/>
        <v>0</v>
      </c>
      <c r="AV38" s="317">
        <f t="shared" si="331"/>
        <v>0</v>
      </c>
      <c r="AW38" s="285">
        <f t="shared" si="98"/>
        <v>0</v>
      </c>
      <c r="AX38" s="317">
        <f t="shared" si="5"/>
        <v>0</v>
      </c>
      <c r="AY38" s="285">
        <f t="shared" si="99"/>
        <v>0</v>
      </c>
      <c r="AZ38" s="317">
        <f t="shared" si="332"/>
        <v>0</v>
      </c>
      <c r="BA38" s="285">
        <f t="shared" si="100"/>
        <v>0</v>
      </c>
      <c r="BB38" s="317">
        <f t="shared" si="7"/>
        <v>0</v>
      </c>
      <c r="BC38" s="285">
        <f t="shared" si="101"/>
        <v>0</v>
      </c>
      <c r="BD38" s="317">
        <f t="shared" si="333"/>
        <v>0</v>
      </c>
      <c r="BE38" s="285">
        <f t="shared" si="102"/>
        <v>0</v>
      </c>
      <c r="BF38" s="317">
        <f t="shared" si="9"/>
        <v>0</v>
      </c>
      <c r="BG38" s="285">
        <f t="shared" si="103"/>
        <v>0</v>
      </c>
      <c r="BH38" s="317">
        <f t="shared" si="334"/>
        <v>0</v>
      </c>
      <c r="BI38" s="285">
        <f t="shared" si="425"/>
        <v>0</v>
      </c>
      <c r="BJ38" s="317">
        <f t="shared" si="335"/>
        <v>0</v>
      </c>
      <c r="BK38" s="285">
        <f t="shared" si="425"/>
        <v>0</v>
      </c>
      <c r="BL38" s="152"/>
      <c r="BM38" s="296">
        <f t="shared" si="105"/>
        <v>0</v>
      </c>
      <c r="BN38" s="158">
        <f t="shared" si="106"/>
        <v>0</v>
      </c>
      <c r="BO38" s="307">
        <f t="shared" si="410"/>
        <v>0</v>
      </c>
      <c r="BQ38" s="171"/>
      <c r="BR38" s="150"/>
      <c r="BS38" s="160"/>
      <c r="BT38" s="152">
        <f t="shared" si="280"/>
        <v>0</v>
      </c>
      <c r="BU38" s="332">
        <f t="shared" si="107"/>
        <v>0</v>
      </c>
      <c r="BV38" s="152">
        <f t="shared" si="368"/>
        <v>0</v>
      </c>
      <c r="BW38" s="153">
        <f t="shared" si="108"/>
        <v>0</v>
      </c>
      <c r="BX38" s="152">
        <f t="shared" si="369"/>
        <v>0</v>
      </c>
      <c r="BY38" s="153">
        <f t="shared" si="109"/>
        <v>0</v>
      </c>
      <c r="BZ38" s="152">
        <f t="shared" si="370"/>
        <v>0</v>
      </c>
      <c r="CA38" s="153">
        <f t="shared" si="110"/>
        <v>0</v>
      </c>
      <c r="CB38" s="152">
        <f t="shared" si="371"/>
        <v>0</v>
      </c>
      <c r="CC38" s="153">
        <f t="shared" si="111"/>
        <v>0</v>
      </c>
      <c r="CD38" s="152">
        <f t="shared" si="372"/>
        <v>0</v>
      </c>
      <c r="CE38" s="153">
        <f t="shared" si="112"/>
        <v>0</v>
      </c>
      <c r="CF38" s="152">
        <f t="shared" si="113"/>
        <v>0</v>
      </c>
      <c r="CG38" s="153">
        <f t="shared" si="114"/>
        <v>0</v>
      </c>
      <c r="CH38" s="152">
        <f t="shared" si="373"/>
        <v>0</v>
      </c>
      <c r="CI38" s="153">
        <f t="shared" si="115"/>
        <v>0</v>
      </c>
      <c r="CJ38" s="152">
        <f t="shared" si="116"/>
        <v>0</v>
      </c>
      <c r="CK38" s="153">
        <f t="shared" si="117"/>
        <v>0</v>
      </c>
      <c r="CL38" s="152">
        <f t="shared" si="374"/>
        <v>0</v>
      </c>
      <c r="CM38" s="153">
        <f t="shared" si="118"/>
        <v>0</v>
      </c>
      <c r="CN38" s="152">
        <f t="shared" si="119"/>
        <v>0</v>
      </c>
      <c r="CO38" s="153">
        <f t="shared" si="120"/>
        <v>0</v>
      </c>
      <c r="CP38" s="152">
        <f t="shared" si="375"/>
        <v>0</v>
      </c>
      <c r="CQ38" s="154"/>
      <c r="CR38" s="158">
        <f t="shared" si="121"/>
        <v>0</v>
      </c>
      <c r="CS38" s="159"/>
      <c r="CT38" s="179"/>
      <c r="CU38" s="171"/>
      <c r="CV38" s="150"/>
      <c r="CW38" s="161"/>
      <c r="CX38" s="152">
        <f t="shared" si="122"/>
        <v>0</v>
      </c>
      <c r="CY38" s="153">
        <f t="shared" si="123"/>
        <v>0</v>
      </c>
      <c r="CZ38" s="152">
        <f t="shared" si="376"/>
        <v>0</v>
      </c>
      <c r="DA38" s="285">
        <f t="shared" si="123"/>
        <v>0</v>
      </c>
      <c r="DB38" s="152">
        <f t="shared" si="377"/>
        <v>0</v>
      </c>
      <c r="DC38" s="285">
        <f t="shared" si="124"/>
        <v>0</v>
      </c>
      <c r="DD38" s="152">
        <f t="shared" si="378"/>
        <v>0</v>
      </c>
      <c r="DE38" s="285">
        <f t="shared" si="125"/>
        <v>0</v>
      </c>
      <c r="DF38" s="152">
        <f t="shared" si="379"/>
        <v>0</v>
      </c>
      <c r="DG38" s="285">
        <f t="shared" si="126"/>
        <v>0</v>
      </c>
      <c r="DH38" s="152">
        <f t="shared" si="380"/>
        <v>0</v>
      </c>
      <c r="DI38" s="285">
        <f t="shared" si="127"/>
        <v>0</v>
      </c>
      <c r="DJ38" s="152">
        <f t="shared" si="128"/>
        <v>0</v>
      </c>
      <c r="DK38" s="285">
        <f t="shared" si="129"/>
        <v>0</v>
      </c>
      <c r="DL38" s="152">
        <f t="shared" si="381"/>
        <v>0</v>
      </c>
      <c r="DM38" s="285">
        <f t="shared" si="130"/>
        <v>0</v>
      </c>
      <c r="DN38" s="152">
        <f t="shared" si="131"/>
        <v>0</v>
      </c>
      <c r="DO38" s="285">
        <f t="shared" si="132"/>
        <v>0</v>
      </c>
      <c r="DP38" s="152">
        <f t="shared" si="382"/>
        <v>0</v>
      </c>
      <c r="DQ38" s="285">
        <f t="shared" si="133"/>
        <v>0</v>
      </c>
      <c r="DR38" s="152">
        <f t="shared" si="134"/>
        <v>0</v>
      </c>
      <c r="DS38" s="285">
        <f t="shared" si="135"/>
        <v>0</v>
      </c>
      <c r="DT38" s="152">
        <f t="shared" si="383"/>
        <v>0</v>
      </c>
      <c r="DU38" s="285">
        <f t="shared" si="136"/>
        <v>0</v>
      </c>
      <c r="DV38" s="158">
        <f t="shared" si="137"/>
        <v>0</v>
      </c>
      <c r="DW38" s="159"/>
      <c r="DY38" s="172"/>
      <c r="DZ38" s="150"/>
      <c r="EA38" s="161"/>
      <c r="EB38" s="152">
        <f t="shared" si="384"/>
        <v>0</v>
      </c>
      <c r="EC38" s="153">
        <f t="shared" si="139"/>
        <v>0</v>
      </c>
      <c r="ED38" s="317">
        <f t="shared" si="385"/>
        <v>0</v>
      </c>
      <c r="EE38" s="153">
        <f t="shared" si="139"/>
        <v>0</v>
      </c>
      <c r="EF38" s="152">
        <f t="shared" si="386"/>
        <v>0</v>
      </c>
      <c r="EG38" s="153">
        <f t="shared" si="426"/>
        <v>0</v>
      </c>
      <c r="EH38" s="152">
        <f t="shared" si="387"/>
        <v>0</v>
      </c>
      <c r="EI38" s="153">
        <f t="shared" si="426"/>
        <v>0</v>
      </c>
      <c r="EJ38" s="152">
        <f t="shared" si="388"/>
        <v>0</v>
      </c>
      <c r="EK38" s="153">
        <f t="shared" si="143"/>
        <v>0</v>
      </c>
      <c r="EL38" s="152">
        <f t="shared" si="389"/>
        <v>0</v>
      </c>
      <c r="EM38" s="153">
        <f t="shared" si="144"/>
        <v>0</v>
      </c>
      <c r="EN38" s="152">
        <f t="shared" si="290"/>
        <v>0</v>
      </c>
      <c r="EO38" s="153">
        <f t="shared" si="145"/>
        <v>0</v>
      </c>
      <c r="EP38" s="152">
        <f t="shared" si="390"/>
        <v>0</v>
      </c>
      <c r="EQ38" s="153">
        <f t="shared" si="146"/>
        <v>0</v>
      </c>
      <c r="ER38" s="152">
        <f t="shared" si="292"/>
        <v>0</v>
      </c>
      <c r="ES38" s="153">
        <f t="shared" si="147"/>
        <v>0</v>
      </c>
      <c r="ET38" s="152">
        <f t="shared" si="391"/>
        <v>0</v>
      </c>
      <c r="EU38" s="153">
        <f t="shared" si="148"/>
        <v>0</v>
      </c>
      <c r="EV38" s="152">
        <f t="shared" si="294"/>
        <v>0</v>
      </c>
      <c r="EW38" s="153">
        <f t="shared" si="149"/>
        <v>0</v>
      </c>
      <c r="EX38" s="152">
        <f t="shared" si="392"/>
        <v>0</v>
      </c>
      <c r="EY38" s="153">
        <f t="shared" si="150"/>
        <v>0</v>
      </c>
      <c r="EZ38" s="180">
        <f t="shared" si="151"/>
        <v>0</v>
      </c>
      <c r="FA38" s="181"/>
      <c r="FC38" s="182">
        <v>153</v>
      </c>
      <c r="FD38" s="183">
        <v>1</v>
      </c>
      <c r="FE38" s="161">
        <f t="shared" si="296"/>
        <v>487463.58290322567</v>
      </c>
      <c r="FF38" s="184">
        <f t="shared" si="153"/>
        <v>153</v>
      </c>
      <c r="FG38" s="185">
        <f t="shared" si="154"/>
        <v>487463.58290322567</v>
      </c>
      <c r="FH38" s="369">
        <f t="shared" si="393"/>
        <v>153</v>
      </c>
      <c r="FI38" s="185">
        <f t="shared" si="155"/>
        <v>487463.58290322567</v>
      </c>
      <c r="FJ38" s="369">
        <f t="shared" si="394"/>
        <v>153</v>
      </c>
      <c r="FK38" s="185">
        <f t="shared" si="155"/>
        <v>487463.58290322567</v>
      </c>
      <c r="FL38" s="369">
        <f t="shared" si="395"/>
        <v>153</v>
      </c>
      <c r="FM38" s="185">
        <f t="shared" si="156"/>
        <v>487463.58290322567</v>
      </c>
      <c r="FN38" s="369">
        <f t="shared" si="396"/>
        <v>153</v>
      </c>
      <c r="FO38" s="185">
        <f t="shared" si="157"/>
        <v>487463.58290322567</v>
      </c>
      <c r="FP38" s="369">
        <f t="shared" si="397"/>
        <v>153</v>
      </c>
      <c r="FQ38" s="185">
        <f t="shared" si="158"/>
        <v>487463.58290322567</v>
      </c>
      <c r="FR38" s="369">
        <f t="shared" si="159"/>
        <v>153</v>
      </c>
      <c r="FS38" s="185">
        <f t="shared" si="160"/>
        <v>487463.58290322567</v>
      </c>
      <c r="FT38" s="369">
        <f t="shared" si="398"/>
        <v>153</v>
      </c>
      <c r="FU38" s="185">
        <f t="shared" si="161"/>
        <v>487463.58290322567</v>
      </c>
      <c r="FV38" s="369">
        <f t="shared" si="162"/>
        <v>153</v>
      </c>
      <c r="FW38" s="185">
        <f t="shared" si="163"/>
        <v>487463.58290322567</v>
      </c>
      <c r="FX38" s="369">
        <f t="shared" si="399"/>
        <v>153</v>
      </c>
      <c r="FY38" s="185">
        <f t="shared" si="164"/>
        <v>487463.58290322567</v>
      </c>
      <c r="FZ38" s="369">
        <f t="shared" si="165"/>
        <v>153</v>
      </c>
      <c r="GA38" s="185">
        <f t="shared" si="166"/>
        <v>487463.58290322567</v>
      </c>
      <c r="GB38" s="369">
        <f t="shared" si="400"/>
        <v>153</v>
      </c>
      <c r="GC38" s="185">
        <f t="shared" si="167"/>
        <v>487463.58290322567</v>
      </c>
      <c r="GD38" s="180">
        <f t="shared" si="168"/>
        <v>1836</v>
      </c>
      <c r="GE38" s="159">
        <f t="shared" si="411"/>
        <v>5849562.9948387081</v>
      </c>
      <c r="GG38" s="149"/>
      <c r="GH38" s="150"/>
      <c r="GI38" s="161">
        <f t="shared" si="297"/>
        <v>0</v>
      </c>
      <c r="GJ38" s="152">
        <f t="shared" si="169"/>
        <v>0</v>
      </c>
      <c r="GK38" s="153">
        <f t="shared" si="170"/>
        <v>0</v>
      </c>
      <c r="GL38" s="152">
        <f t="shared" si="169"/>
        <v>0</v>
      </c>
      <c r="GM38" s="153">
        <f t="shared" si="170"/>
        <v>0</v>
      </c>
      <c r="GN38" s="152">
        <f t="shared" si="169"/>
        <v>0</v>
      </c>
      <c r="GO38" s="153">
        <f t="shared" si="171"/>
        <v>0</v>
      </c>
      <c r="GP38" s="152">
        <f t="shared" si="169"/>
        <v>0</v>
      </c>
      <c r="GQ38" s="153">
        <f t="shared" si="172"/>
        <v>0</v>
      </c>
      <c r="GR38" s="152">
        <f t="shared" si="173"/>
        <v>0</v>
      </c>
      <c r="GS38" s="153">
        <f t="shared" si="174"/>
        <v>0</v>
      </c>
      <c r="GT38" s="152">
        <f t="shared" si="175"/>
        <v>0</v>
      </c>
      <c r="GU38" s="153">
        <f t="shared" si="176"/>
        <v>0</v>
      </c>
      <c r="GV38" s="152">
        <f t="shared" si="177"/>
        <v>0</v>
      </c>
      <c r="GW38" s="153">
        <f t="shared" si="178"/>
        <v>0</v>
      </c>
      <c r="GX38" s="152">
        <f t="shared" si="179"/>
        <v>0</v>
      </c>
      <c r="GY38" s="153">
        <f t="shared" si="180"/>
        <v>0</v>
      </c>
      <c r="GZ38" s="152">
        <f t="shared" si="181"/>
        <v>0</v>
      </c>
      <c r="HA38" s="153">
        <f t="shared" si="182"/>
        <v>0</v>
      </c>
      <c r="HB38" s="152">
        <f t="shared" si="183"/>
        <v>0</v>
      </c>
      <c r="HC38" s="153">
        <f t="shared" si="184"/>
        <v>0</v>
      </c>
      <c r="HD38" s="152">
        <f t="shared" si="185"/>
        <v>0</v>
      </c>
      <c r="HE38" s="153">
        <f t="shared" si="186"/>
        <v>0</v>
      </c>
      <c r="HF38" s="152">
        <f t="shared" si="187"/>
        <v>0</v>
      </c>
      <c r="HG38" s="153">
        <f t="shared" si="188"/>
        <v>0</v>
      </c>
      <c r="HH38" s="158">
        <f t="shared" si="189"/>
        <v>0</v>
      </c>
      <c r="HI38" s="159">
        <f t="shared" si="47"/>
        <v>0</v>
      </c>
      <c r="HK38" s="149">
        <v>0</v>
      </c>
      <c r="HL38" s="150"/>
      <c r="HM38" s="161"/>
      <c r="HN38" s="152">
        <f t="shared" si="190"/>
        <v>0</v>
      </c>
      <c r="HO38" s="153">
        <f t="shared" si="191"/>
        <v>0</v>
      </c>
      <c r="HP38" s="152">
        <f t="shared" si="192"/>
        <v>0</v>
      </c>
      <c r="HQ38" s="153">
        <f t="shared" si="193"/>
        <v>0</v>
      </c>
      <c r="HR38" s="152">
        <f t="shared" si="192"/>
        <v>0</v>
      </c>
      <c r="HS38" s="153">
        <f t="shared" si="193"/>
        <v>0</v>
      </c>
      <c r="HT38" s="152">
        <f t="shared" si="192"/>
        <v>0</v>
      </c>
      <c r="HU38" s="153">
        <f t="shared" si="194"/>
        <v>0</v>
      </c>
      <c r="HV38" s="152">
        <f t="shared" si="192"/>
        <v>0</v>
      </c>
      <c r="HW38" s="153">
        <f t="shared" si="195"/>
        <v>0</v>
      </c>
      <c r="HX38" s="152">
        <f t="shared" si="196"/>
        <v>0</v>
      </c>
      <c r="HY38" s="153">
        <f t="shared" si="197"/>
        <v>0</v>
      </c>
      <c r="HZ38" s="152">
        <f t="shared" si="198"/>
        <v>0</v>
      </c>
      <c r="IA38" s="153">
        <f t="shared" si="199"/>
        <v>0</v>
      </c>
      <c r="IB38" s="152">
        <f t="shared" si="200"/>
        <v>0</v>
      </c>
      <c r="IC38" s="153">
        <f t="shared" si="201"/>
        <v>0</v>
      </c>
      <c r="ID38" s="152">
        <f t="shared" si="202"/>
        <v>0</v>
      </c>
      <c r="IE38" s="153">
        <f t="shared" si="203"/>
        <v>0</v>
      </c>
      <c r="IF38" s="152">
        <f t="shared" si="204"/>
        <v>0</v>
      </c>
      <c r="IG38" s="153">
        <f t="shared" si="205"/>
        <v>0</v>
      </c>
      <c r="IH38" s="152">
        <f t="shared" si="206"/>
        <v>0</v>
      </c>
      <c r="II38" s="153">
        <f t="shared" si="207"/>
        <v>0</v>
      </c>
      <c r="IJ38" s="152">
        <f t="shared" si="208"/>
        <v>0</v>
      </c>
      <c r="IK38" s="153">
        <f t="shared" si="209"/>
        <v>0</v>
      </c>
      <c r="IL38" s="158">
        <f t="shared" si="210"/>
        <v>0</v>
      </c>
      <c r="IM38" s="159">
        <f t="shared" si="211"/>
        <v>0</v>
      </c>
      <c r="IO38" s="149"/>
      <c r="IP38" s="150"/>
      <c r="IQ38" s="161"/>
      <c r="IR38" s="152">
        <f t="shared" si="212"/>
        <v>0</v>
      </c>
      <c r="IS38" s="153">
        <f t="shared" si="213"/>
        <v>0</v>
      </c>
      <c r="IT38" s="152">
        <f t="shared" si="401"/>
        <v>0</v>
      </c>
      <c r="IU38" s="285">
        <f t="shared" si="214"/>
        <v>0</v>
      </c>
      <c r="IV38" s="152">
        <f t="shared" si="402"/>
        <v>0</v>
      </c>
      <c r="IW38" s="285">
        <f t="shared" si="214"/>
        <v>0</v>
      </c>
      <c r="IX38" s="152">
        <f t="shared" si="403"/>
        <v>0</v>
      </c>
      <c r="IY38" s="285">
        <f t="shared" si="215"/>
        <v>0</v>
      </c>
      <c r="IZ38" s="152">
        <f t="shared" si="404"/>
        <v>0</v>
      </c>
      <c r="JA38" s="285">
        <f t="shared" si="216"/>
        <v>0</v>
      </c>
      <c r="JB38" s="152">
        <f t="shared" si="405"/>
        <v>0</v>
      </c>
      <c r="JC38" s="285">
        <f t="shared" si="217"/>
        <v>0</v>
      </c>
      <c r="JD38" s="152">
        <f t="shared" si="218"/>
        <v>0</v>
      </c>
      <c r="JE38" s="285">
        <f t="shared" si="219"/>
        <v>0</v>
      </c>
      <c r="JF38" s="152">
        <f t="shared" si="406"/>
        <v>0</v>
      </c>
      <c r="JG38" s="285">
        <f t="shared" si="220"/>
        <v>0</v>
      </c>
      <c r="JH38" s="152">
        <f t="shared" si="221"/>
        <v>0</v>
      </c>
      <c r="JI38" s="285">
        <f t="shared" si="222"/>
        <v>0</v>
      </c>
      <c r="JJ38" s="152">
        <f t="shared" si="407"/>
        <v>0</v>
      </c>
      <c r="JK38" s="285">
        <f t="shared" si="223"/>
        <v>0</v>
      </c>
      <c r="JL38" s="152">
        <f t="shared" si="224"/>
        <v>0</v>
      </c>
      <c r="JM38" s="285">
        <f t="shared" si="225"/>
        <v>0</v>
      </c>
      <c r="JN38" s="152">
        <f t="shared" si="408"/>
        <v>0</v>
      </c>
      <c r="JO38" s="285">
        <f t="shared" si="226"/>
        <v>0</v>
      </c>
      <c r="JP38" s="158">
        <f t="shared" si="227"/>
        <v>0</v>
      </c>
      <c r="JQ38" s="159">
        <f t="shared" si="228"/>
        <v>0</v>
      </c>
      <c r="JS38" s="149"/>
      <c r="JT38" s="150"/>
      <c r="JU38" s="161"/>
      <c r="JV38" s="152">
        <f t="shared" si="229"/>
        <v>0</v>
      </c>
      <c r="JW38" s="153">
        <f t="shared" si="230"/>
        <v>0</v>
      </c>
      <c r="JX38" s="368"/>
      <c r="JY38" s="153">
        <f t="shared" si="231"/>
        <v>0</v>
      </c>
      <c r="JZ38" s="368"/>
      <c r="KA38" s="153">
        <f t="shared" si="231"/>
        <v>0</v>
      </c>
      <c r="KB38" s="368"/>
      <c r="KC38" s="153">
        <f t="shared" si="232"/>
        <v>0</v>
      </c>
      <c r="KD38" s="368"/>
      <c r="KE38" s="153">
        <f t="shared" si="233"/>
        <v>0</v>
      </c>
      <c r="KF38" s="368"/>
      <c r="KG38" s="153">
        <f t="shared" si="234"/>
        <v>0</v>
      </c>
      <c r="KH38" s="368"/>
      <c r="KI38" s="153">
        <f t="shared" si="236"/>
        <v>0</v>
      </c>
      <c r="KJ38" s="368"/>
      <c r="KK38" s="153">
        <f t="shared" si="237"/>
        <v>0</v>
      </c>
      <c r="KL38" s="368"/>
      <c r="KM38" s="153">
        <f t="shared" si="239"/>
        <v>0</v>
      </c>
      <c r="KN38" s="368"/>
      <c r="KO38" s="153">
        <f t="shared" si="240"/>
        <v>0</v>
      </c>
      <c r="KP38" s="368"/>
      <c r="KQ38" s="153">
        <f t="shared" si="242"/>
        <v>0</v>
      </c>
      <c r="KR38" s="368"/>
      <c r="KS38" s="154">
        <f t="shared" si="243"/>
        <v>0</v>
      </c>
      <c r="KT38" s="158">
        <f t="shared" si="244"/>
        <v>0</v>
      </c>
      <c r="KU38" s="159"/>
      <c r="KW38" s="149"/>
      <c r="KX38" s="150"/>
      <c r="KY38" s="157"/>
      <c r="KZ38" s="152">
        <f t="shared" si="271"/>
        <v>0</v>
      </c>
      <c r="LA38" s="153"/>
      <c r="LB38" s="152">
        <f t="shared" si="272"/>
        <v>0</v>
      </c>
      <c r="LC38" s="153">
        <f t="shared" si="246"/>
        <v>0</v>
      </c>
      <c r="LD38" s="152">
        <f t="shared" si="272"/>
        <v>0</v>
      </c>
      <c r="LE38" s="153">
        <f t="shared" si="246"/>
        <v>0</v>
      </c>
      <c r="LF38" s="152">
        <f t="shared" si="272"/>
        <v>0</v>
      </c>
      <c r="LG38" s="153">
        <f t="shared" si="247"/>
        <v>0</v>
      </c>
      <c r="LH38" s="152">
        <f t="shared" si="272"/>
        <v>0</v>
      </c>
      <c r="LI38" s="153">
        <f t="shared" si="248"/>
        <v>0</v>
      </c>
      <c r="LJ38" s="152">
        <f t="shared" si="273"/>
        <v>0</v>
      </c>
      <c r="LK38" s="153">
        <f t="shared" si="249"/>
        <v>0</v>
      </c>
      <c r="LL38" s="152">
        <f t="shared" si="274"/>
        <v>0</v>
      </c>
      <c r="LM38" s="153">
        <f t="shared" si="250"/>
        <v>0</v>
      </c>
      <c r="LN38" s="152">
        <f t="shared" si="275"/>
        <v>0</v>
      </c>
      <c r="LO38" s="153">
        <f t="shared" si="251"/>
        <v>0</v>
      </c>
      <c r="LP38" s="152">
        <f t="shared" si="276"/>
        <v>0</v>
      </c>
      <c r="LQ38" s="153">
        <f t="shared" si="252"/>
        <v>0</v>
      </c>
      <c r="LR38" s="152">
        <f t="shared" si="277"/>
        <v>0</v>
      </c>
      <c r="LS38" s="153">
        <f t="shared" si="253"/>
        <v>0</v>
      </c>
      <c r="LT38" s="152">
        <f t="shared" si="278"/>
        <v>0</v>
      </c>
      <c r="LU38" s="153">
        <f t="shared" si="254"/>
        <v>0</v>
      </c>
      <c r="LV38" s="152">
        <f t="shared" si="279"/>
        <v>0</v>
      </c>
      <c r="LW38" s="153">
        <f t="shared" si="255"/>
        <v>0</v>
      </c>
      <c r="LX38" s="158">
        <f t="shared" si="256"/>
        <v>0</v>
      </c>
      <c r="LY38" s="159">
        <f t="shared" si="257"/>
        <v>0</v>
      </c>
      <c r="MA38" s="164">
        <f t="shared" si="412"/>
        <v>153</v>
      </c>
      <c r="MB38" s="386">
        <f t="shared" si="258"/>
        <v>487463.58290322567</v>
      </c>
      <c r="MC38" s="394">
        <f t="shared" si="413"/>
        <v>153</v>
      </c>
      <c r="MD38" s="386">
        <f t="shared" si="259"/>
        <v>487463.58290322567</v>
      </c>
      <c r="ME38" s="394">
        <f t="shared" si="414"/>
        <v>153</v>
      </c>
      <c r="MF38" s="386">
        <f t="shared" si="259"/>
        <v>487463.58290322567</v>
      </c>
      <c r="MG38" s="394">
        <f t="shared" si="415"/>
        <v>153</v>
      </c>
      <c r="MH38" s="386">
        <f t="shared" si="260"/>
        <v>487463.58290322567</v>
      </c>
      <c r="MI38" s="394">
        <f t="shared" si="416"/>
        <v>153</v>
      </c>
      <c r="MJ38" s="386">
        <f t="shared" si="261"/>
        <v>487463.58290322567</v>
      </c>
      <c r="MK38" s="394">
        <f t="shared" si="417"/>
        <v>153</v>
      </c>
      <c r="ML38" s="386">
        <f t="shared" si="262"/>
        <v>487463.58290322567</v>
      </c>
      <c r="MM38" s="394">
        <f t="shared" si="418"/>
        <v>153</v>
      </c>
      <c r="MN38" s="386">
        <f t="shared" si="263"/>
        <v>487463.58290322567</v>
      </c>
      <c r="MO38" s="394">
        <f t="shared" si="419"/>
        <v>153</v>
      </c>
      <c r="MP38" s="386">
        <f t="shared" si="264"/>
        <v>487463.58290322567</v>
      </c>
      <c r="MQ38" s="394">
        <f t="shared" si="420"/>
        <v>153</v>
      </c>
      <c r="MR38" s="386">
        <f t="shared" si="265"/>
        <v>487463.58290322567</v>
      </c>
      <c r="MS38" s="394">
        <f t="shared" si="421"/>
        <v>153</v>
      </c>
      <c r="MT38" s="386">
        <f t="shared" si="266"/>
        <v>487463.58290322567</v>
      </c>
      <c r="MU38" s="394">
        <f t="shared" si="422"/>
        <v>153</v>
      </c>
      <c r="MV38" s="386">
        <f t="shared" si="267"/>
        <v>487463.58290322567</v>
      </c>
      <c r="MW38" s="394">
        <f t="shared" si="423"/>
        <v>153</v>
      </c>
      <c r="MX38" s="386">
        <f t="shared" si="268"/>
        <v>487463.58290322567</v>
      </c>
      <c r="MY38" s="165">
        <f t="shared" si="269"/>
        <v>1836</v>
      </c>
      <c r="MZ38" s="166">
        <f t="shared" si="270"/>
        <v>5849562.9948387081</v>
      </c>
    </row>
    <row r="39" spans="1:364" s="126" customFormat="1" ht="66" x14ac:dyDescent="0.3">
      <c r="A39" s="528"/>
      <c r="B39" s="177">
        <v>2.21</v>
      </c>
      <c r="C39" s="178" t="s">
        <v>100</v>
      </c>
      <c r="D39" s="148" t="s">
        <v>25</v>
      </c>
      <c r="E39" s="33">
        <v>1</v>
      </c>
      <c r="F39" s="347">
        <v>2720.9366105313093</v>
      </c>
      <c r="G39" s="347">
        <f t="shared" si="81"/>
        <v>2834.3348829854522</v>
      </c>
      <c r="I39" s="149"/>
      <c r="J39" s="150"/>
      <c r="K39" s="151">
        <f t="shared" si="82"/>
        <v>0</v>
      </c>
      <c r="L39" s="152">
        <f t="shared" si="300"/>
        <v>0</v>
      </c>
      <c r="M39" s="285">
        <f t="shared" si="301"/>
        <v>0</v>
      </c>
      <c r="N39" s="152">
        <f t="shared" si="361"/>
        <v>0</v>
      </c>
      <c r="O39" s="285">
        <f t="shared" si="424"/>
        <v>0</v>
      </c>
      <c r="P39" s="152">
        <f t="shared" si="362"/>
        <v>0</v>
      </c>
      <c r="Q39" s="285">
        <f t="shared" si="424"/>
        <v>0</v>
      </c>
      <c r="R39" s="152">
        <f t="shared" si="363"/>
        <v>0</v>
      </c>
      <c r="S39" s="285">
        <f t="shared" si="86"/>
        <v>0</v>
      </c>
      <c r="T39" s="152">
        <f t="shared" si="364"/>
        <v>0</v>
      </c>
      <c r="U39" s="285">
        <f t="shared" si="87"/>
        <v>0</v>
      </c>
      <c r="V39" s="152">
        <f t="shared" si="409"/>
        <v>0</v>
      </c>
      <c r="W39" s="285">
        <f t="shared" si="88"/>
        <v>0</v>
      </c>
      <c r="X39" s="152">
        <f t="shared" si="305"/>
        <v>0</v>
      </c>
      <c r="Y39" s="285">
        <f t="shared" si="89"/>
        <v>0</v>
      </c>
      <c r="Z39" s="152">
        <f t="shared" si="365"/>
        <v>0</v>
      </c>
      <c r="AA39" s="285">
        <f t="shared" si="90"/>
        <v>0</v>
      </c>
      <c r="AB39" s="152">
        <f t="shared" si="306"/>
        <v>0</v>
      </c>
      <c r="AC39" s="285">
        <f t="shared" si="91"/>
        <v>0</v>
      </c>
      <c r="AD39" s="152">
        <f t="shared" si="366"/>
        <v>0</v>
      </c>
      <c r="AE39" s="285">
        <f t="shared" si="92"/>
        <v>0</v>
      </c>
      <c r="AF39" s="152">
        <f t="shared" si="307"/>
        <v>0</v>
      </c>
      <c r="AG39" s="285">
        <f t="shared" si="308"/>
        <v>0</v>
      </c>
      <c r="AH39" s="152">
        <f t="shared" si="367"/>
        <v>0</v>
      </c>
      <c r="AI39" s="294">
        <f t="shared" si="309"/>
        <v>0</v>
      </c>
      <c r="AJ39" s="158">
        <f t="shared" si="94"/>
        <v>0</v>
      </c>
      <c r="AK39" s="307">
        <f t="shared" si="95"/>
        <v>0</v>
      </c>
      <c r="AM39" s="149"/>
      <c r="AN39" s="150"/>
      <c r="AO39" s="157"/>
      <c r="AP39" s="152">
        <f t="shared" si="328"/>
        <v>0</v>
      </c>
      <c r="AQ39" s="285">
        <f t="shared" si="96"/>
        <v>0</v>
      </c>
      <c r="AR39" s="317">
        <f t="shared" si="329"/>
        <v>0</v>
      </c>
      <c r="AS39" s="285">
        <f t="shared" si="96"/>
        <v>0</v>
      </c>
      <c r="AT39" s="317">
        <f t="shared" si="330"/>
        <v>0</v>
      </c>
      <c r="AU39" s="285">
        <f t="shared" si="96"/>
        <v>0</v>
      </c>
      <c r="AV39" s="317">
        <f t="shared" si="331"/>
        <v>0</v>
      </c>
      <c r="AW39" s="285">
        <f t="shared" si="98"/>
        <v>0</v>
      </c>
      <c r="AX39" s="317">
        <f t="shared" si="5"/>
        <v>0</v>
      </c>
      <c r="AY39" s="285">
        <f t="shared" si="99"/>
        <v>0</v>
      </c>
      <c r="AZ39" s="317">
        <f t="shared" si="332"/>
        <v>0</v>
      </c>
      <c r="BA39" s="285">
        <f t="shared" si="100"/>
        <v>0</v>
      </c>
      <c r="BB39" s="317">
        <f t="shared" si="7"/>
        <v>0</v>
      </c>
      <c r="BC39" s="285">
        <f t="shared" si="101"/>
        <v>0</v>
      </c>
      <c r="BD39" s="317">
        <f t="shared" si="333"/>
        <v>0</v>
      </c>
      <c r="BE39" s="285">
        <f t="shared" si="102"/>
        <v>0</v>
      </c>
      <c r="BF39" s="317">
        <f t="shared" si="9"/>
        <v>0</v>
      </c>
      <c r="BG39" s="285">
        <f t="shared" si="103"/>
        <v>0</v>
      </c>
      <c r="BH39" s="317">
        <f t="shared" si="334"/>
        <v>0</v>
      </c>
      <c r="BI39" s="285">
        <f t="shared" si="425"/>
        <v>0</v>
      </c>
      <c r="BJ39" s="317">
        <f t="shared" si="335"/>
        <v>0</v>
      </c>
      <c r="BK39" s="285">
        <f t="shared" si="425"/>
        <v>0</v>
      </c>
      <c r="BL39" s="152"/>
      <c r="BM39" s="296">
        <f t="shared" si="105"/>
        <v>0</v>
      </c>
      <c r="BN39" s="158">
        <f t="shared" si="106"/>
        <v>0</v>
      </c>
      <c r="BO39" s="307">
        <f t="shared" si="410"/>
        <v>0</v>
      </c>
      <c r="BQ39" s="171"/>
      <c r="BR39" s="150"/>
      <c r="BS39" s="160"/>
      <c r="BT39" s="152">
        <f t="shared" si="280"/>
        <v>0</v>
      </c>
      <c r="BU39" s="332">
        <f t="shared" si="107"/>
        <v>0</v>
      </c>
      <c r="BV39" s="152">
        <f t="shared" si="368"/>
        <v>0</v>
      </c>
      <c r="BW39" s="153">
        <f t="shared" si="108"/>
        <v>0</v>
      </c>
      <c r="BX39" s="152">
        <f t="shared" si="369"/>
        <v>0</v>
      </c>
      <c r="BY39" s="153">
        <f t="shared" si="109"/>
        <v>0</v>
      </c>
      <c r="BZ39" s="152">
        <f t="shared" si="370"/>
        <v>0</v>
      </c>
      <c r="CA39" s="153">
        <f t="shared" si="110"/>
        <v>0</v>
      </c>
      <c r="CB39" s="152">
        <f t="shared" si="371"/>
        <v>0</v>
      </c>
      <c r="CC39" s="153">
        <f t="shared" si="111"/>
        <v>0</v>
      </c>
      <c r="CD39" s="152">
        <f t="shared" si="372"/>
        <v>0</v>
      </c>
      <c r="CE39" s="153">
        <f t="shared" si="112"/>
        <v>0</v>
      </c>
      <c r="CF39" s="152">
        <f t="shared" si="113"/>
        <v>0</v>
      </c>
      <c r="CG39" s="153">
        <f t="shared" si="114"/>
        <v>0</v>
      </c>
      <c r="CH39" s="152">
        <f t="shared" si="373"/>
        <v>0</v>
      </c>
      <c r="CI39" s="153">
        <f t="shared" si="115"/>
        <v>0</v>
      </c>
      <c r="CJ39" s="152">
        <f t="shared" si="116"/>
        <v>0</v>
      </c>
      <c r="CK39" s="153">
        <f t="shared" si="117"/>
        <v>0</v>
      </c>
      <c r="CL39" s="152">
        <f t="shared" si="374"/>
        <v>0</v>
      </c>
      <c r="CM39" s="153">
        <f t="shared" si="118"/>
        <v>0</v>
      </c>
      <c r="CN39" s="152">
        <f t="shared" si="119"/>
        <v>0</v>
      </c>
      <c r="CO39" s="153">
        <f t="shared" si="120"/>
        <v>0</v>
      </c>
      <c r="CP39" s="152">
        <f t="shared" si="375"/>
        <v>0</v>
      </c>
      <c r="CQ39" s="154"/>
      <c r="CR39" s="158">
        <f t="shared" si="121"/>
        <v>0</v>
      </c>
      <c r="CS39" s="159"/>
      <c r="CT39" s="179"/>
      <c r="CU39" s="171"/>
      <c r="CV39" s="150"/>
      <c r="CW39" s="161"/>
      <c r="CX39" s="152">
        <f t="shared" si="122"/>
        <v>0</v>
      </c>
      <c r="CY39" s="153">
        <f t="shared" si="123"/>
        <v>0</v>
      </c>
      <c r="CZ39" s="152">
        <f t="shared" si="376"/>
        <v>0</v>
      </c>
      <c r="DA39" s="285">
        <f t="shared" si="123"/>
        <v>0</v>
      </c>
      <c r="DB39" s="152">
        <f t="shared" si="377"/>
        <v>0</v>
      </c>
      <c r="DC39" s="285">
        <f t="shared" si="124"/>
        <v>0</v>
      </c>
      <c r="DD39" s="152">
        <f t="shared" si="378"/>
        <v>0</v>
      </c>
      <c r="DE39" s="285">
        <f t="shared" si="125"/>
        <v>0</v>
      </c>
      <c r="DF39" s="152">
        <f t="shared" si="379"/>
        <v>0</v>
      </c>
      <c r="DG39" s="285">
        <f t="shared" si="126"/>
        <v>0</v>
      </c>
      <c r="DH39" s="152">
        <f t="shared" si="380"/>
        <v>0</v>
      </c>
      <c r="DI39" s="285">
        <f t="shared" si="127"/>
        <v>0</v>
      </c>
      <c r="DJ39" s="152">
        <f t="shared" si="128"/>
        <v>0</v>
      </c>
      <c r="DK39" s="285">
        <f t="shared" si="129"/>
        <v>0</v>
      </c>
      <c r="DL39" s="152">
        <f t="shared" si="381"/>
        <v>0</v>
      </c>
      <c r="DM39" s="285">
        <f t="shared" si="130"/>
        <v>0</v>
      </c>
      <c r="DN39" s="152">
        <f t="shared" si="131"/>
        <v>0</v>
      </c>
      <c r="DO39" s="285">
        <f t="shared" si="132"/>
        <v>0</v>
      </c>
      <c r="DP39" s="152">
        <f t="shared" si="382"/>
        <v>0</v>
      </c>
      <c r="DQ39" s="285">
        <f t="shared" si="133"/>
        <v>0</v>
      </c>
      <c r="DR39" s="152">
        <f t="shared" si="134"/>
        <v>0</v>
      </c>
      <c r="DS39" s="285">
        <f t="shared" si="135"/>
        <v>0</v>
      </c>
      <c r="DT39" s="152">
        <f t="shared" si="383"/>
        <v>0</v>
      </c>
      <c r="DU39" s="285">
        <f t="shared" si="136"/>
        <v>0</v>
      </c>
      <c r="DV39" s="158">
        <f t="shared" si="137"/>
        <v>0</v>
      </c>
      <c r="DW39" s="159"/>
      <c r="DY39" s="172"/>
      <c r="DZ39" s="150"/>
      <c r="EA39" s="161"/>
      <c r="EB39" s="152">
        <f t="shared" si="384"/>
        <v>0</v>
      </c>
      <c r="EC39" s="153">
        <f t="shared" si="139"/>
        <v>0</v>
      </c>
      <c r="ED39" s="317">
        <f t="shared" si="385"/>
        <v>0</v>
      </c>
      <c r="EE39" s="153">
        <f t="shared" si="139"/>
        <v>0</v>
      </c>
      <c r="EF39" s="152">
        <f t="shared" si="386"/>
        <v>0</v>
      </c>
      <c r="EG39" s="153">
        <f t="shared" si="426"/>
        <v>0</v>
      </c>
      <c r="EH39" s="152">
        <f t="shared" si="387"/>
        <v>0</v>
      </c>
      <c r="EI39" s="153">
        <f t="shared" si="426"/>
        <v>0</v>
      </c>
      <c r="EJ39" s="152">
        <f t="shared" si="388"/>
        <v>0</v>
      </c>
      <c r="EK39" s="153">
        <f t="shared" si="143"/>
        <v>0</v>
      </c>
      <c r="EL39" s="152">
        <f t="shared" si="389"/>
        <v>0</v>
      </c>
      <c r="EM39" s="153">
        <f t="shared" si="144"/>
        <v>0</v>
      </c>
      <c r="EN39" s="152">
        <f t="shared" si="290"/>
        <v>0</v>
      </c>
      <c r="EO39" s="153">
        <f t="shared" si="145"/>
        <v>0</v>
      </c>
      <c r="EP39" s="152">
        <f t="shared" si="390"/>
        <v>0</v>
      </c>
      <c r="EQ39" s="153">
        <f t="shared" si="146"/>
        <v>0</v>
      </c>
      <c r="ER39" s="152">
        <f t="shared" si="292"/>
        <v>0</v>
      </c>
      <c r="ES39" s="153">
        <f t="shared" si="147"/>
        <v>0</v>
      </c>
      <c r="ET39" s="152">
        <f t="shared" si="391"/>
        <v>0</v>
      </c>
      <c r="EU39" s="153">
        <f t="shared" si="148"/>
        <v>0</v>
      </c>
      <c r="EV39" s="152">
        <f t="shared" si="294"/>
        <v>0</v>
      </c>
      <c r="EW39" s="153">
        <f t="shared" si="149"/>
        <v>0</v>
      </c>
      <c r="EX39" s="152">
        <f t="shared" si="392"/>
        <v>0</v>
      </c>
      <c r="EY39" s="153">
        <f t="shared" si="150"/>
        <v>0</v>
      </c>
      <c r="EZ39" s="180">
        <f t="shared" si="151"/>
        <v>0</v>
      </c>
      <c r="FA39" s="181"/>
      <c r="FC39" s="182">
        <v>153</v>
      </c>
      <c r="FD39" s="183">
        <v>0.5</v>
      </c>
      <c r="FE39" s="161">
        <f t="shared" si="296"/>
        <v>216826.61854838708</v>
      </c>
      <c r="FF39" s="184">
        <f>+FC39</f>
        <v>153</v>
      </c>
      <c r="FG39" s="185">
        <f t="shared" si="154"/>
        <v>433653.23709677416</v>
      </c>
      <c r="FH39" s="369"/>
      <c r="FI39" s="185">
        <f t="shared" si="155"/>
        <v>0</v>
      </c>
      <c r="FJ39" s="369">
        <f>+FC39</f>
        <v>153</v>
      </c>
      <c r="FK39" s="185">
        <f t="shared" si="155"/>
        <v>433653.23709677416</v>
      </c>
      <c r="FL39" s="369"/>
      <c r="FM39" s="185">
        <f t="shared" si="156"/>
        <v>0</v>
      </c>
      <c r="FN39" s="369">
        <f>+FC39</f>
        <v>153</v>
      </c>
      <c r="FO39" s="185">
        <f t="shared" si="157"/>
        <v>433653.23709677416</v>
      </c>
      <c r="FP39" s="369"/>
      <c r="FQ39" s="185">
        <f t="shared" si="158"/>
        <v>0</v>
      </c>
      <c r="FR39" s="369">
        <f>+FC39</f>
        <v>153</v>
      </c>
      <c r="FS39" s="185">
        <f t="shared" si="160"/>
        <v>433653.23709677416</v>
      </c>
      <c r="FT39" s="369"/>
      <c r="FU39" s="185">
        <f t="shared" si="161"/>
        <v>0</v>
      </c>
      <c r="FV39" s="369">
        <f>+FC39</f>
        <v>153</v>
      </c>
      <c r="FW39" s="185">
        <f t="shared" si="163"/>
        <v>433653.23709677416</v>
      </c>
      <c r="FX39" s="369"/>
      <c r="FY39" s="185">
        <f t="shared" si="164"/>
        <v>0</v>
      </c>
      <c r="FZ39" s="369">
        <f>+FC39</f>
        <v>153</v>
      </c>
      <c r="GA39" s="185">
        <f t="shared" si="166"/>
        <v>433653.23709677416</v>
      </c>
      <c r="GB39" s="369"/>
      <c r="GC39" s="185">
        <f t="shared" si="167"/>
        <v>0</v>
      </c>
      <c r="GD39" s="180">
        <f t="shared" si="168"/>
        <v>918</v>
      </c>
      <c r="GE39" s="159">
        <f t="shared" si="411"/>
        <v>2601919.422580645</v>
      </c>
      <c r="GG39" s="149"/>
      <c r="GH39" s="150"/>
      <c r="GI39" s="161">
        <f t="shared" si="297"/>
        <v>0</v>
      </c>
      <c r="GJ39" s="152">
        <f t="shared" si="169"/>
        <v>0</v>
      </c>
      <c r="GK39" s="153">
        <f t="shared" si="170"/>
        <v>0</v>
      </c>
      <c r="GL39" s="152">
        <f t="shared" si="169"/>
        <v>0</v>
      </c>
      <c r="GM39" s="153">
        <f t="shared" si="170"/>
        <v>0</v>
      </c>
      <c r="GN39" s="152">
        <f t="shared" si="169"/>
        <v>0</v>
      </c>
      <c r="GO39" s="153">
        <f t="shared" si="171"/>
        <v>0</v>
      </c>
      <c r="GP39" s="152">
        <f t="shared" si="169"/>
        <v>0</v>
      </c>
      <c r="GQ39" s="153">
        <f t="shared" si="172"/>
        <v>0</v>
      </c>
      <c r="GR39" s="152">
        <f t="shared" si="173"/>
        <v>0</v>
      </c>
      <c r="GS39" s="153">
        <f t="shared" si="174"/>
        <v>0</v>
      </c>
      <c r="GT39" s="152">
        <f t="shared" si="175"/>
        <v>0</v>
      </c>
      <c r="GU39" s="153">
        <f t="shared" si="176"/>
        <v>0</v>
      </c>
      <c r="GV39" s="152">
        <f t="shared" si="177"/>
        <v>0</v>
      </c>
      <c r="GW39" s="153">
        <f t="shared" si="178"/>
        <v>0</v>
      </c>
      <c r="GX39" s="152">
        <f t="shared" si="179"/>
        <v>0</v>
      </c>
      <c r="GY39" s="153">
        <f t="shared" si="180"/>
        <v>0</v>
      </c>
      <c r="GZ39" s="152">
        <f t="shared" si="181"/>
        <v>0</v>
      </c>
      <c r="HA39" s="153">
        <f t="shared" si="182"/>
        <v>0</v>
      </c>
      <c r="HB39" s="152">
        <f t="shared" si="183"/>
        <v>0</v>
      </c>
      <c r="HC39" s="153">
        <f t="shared" si="184"/>
        <v>0</v>
      </c>
      <c r="HD39" s="152">
        <f t="shared" si="185"/>
        <v>0</v>
      </c>
      <c r="HE39" s="153">
        <f t="shared" si="186"/>
        <v>0</v>
      </c>
      <c r="HF39" s="152">
        <f t="shared" si="187"/>
        <v>0</v>
      </c>
      <c r="HG39" s="153">
        <f t="shared" si="188"/>
        <v>0</v>
      </c>
      <c r="HH39" s="158">
        <f t="shared" si="189"/>
        <v>0</v>
      </c>
      <c r="HI39" s="159">
        <f t="shared" si="47"/>
        <v>0</v>
      </c>
      <c r="HK39" s="149">
        <v>0</v>
      </c>
      <c r="HL39" s="150"/>
      <c r="HM39" s="161"/>
      <c r="HN39" s="152">
        <f t="shared" si="190"/>
        <v>0</v>
      </c>
      <c r="HO39" s="153">
        <f t="shared" si="191"/>
        <v>0</v>
      </c>
      <c r="HP39" s="152">
        <f t="shared" si="192"/>
        <v>0</v>
      </c>
      <c r="HQ39" s="153">
        <f t="shared" si="193"/>
        <v>0</v>
      </c>
      <c r="HR39" s="152">
        <f t="shared" si="192"/>
        <v>0</v>
      </c>
      <c r="HS39" s="153">
        <f t="shared" si="193"/>
        <v>0</v>
      </c>
      <c r="HT39" s="152">
        <f t="shared" si="192"/>
        <v>0</v>
      </c>
      <c r="HU39" s="153">
        <f t="shared" si="194"/>
        <v>0</v>
      </c>
      <c r="HV39" s="152">
        <f t="shared" si="192"/>
        <v>0</v>
      </c>
      <c r="HW39" s="153">
        <f t="shared" si="195"/>
        <v>0</v>
      </c>
      <c r="HX39" s="152">
        <f t="shared" si="196"/>
        <v>0</v>
      </c>
      <c r="HY39" s="153">
        <f t="shared" si="197"/>
        <v>0</v>
      </c>
      <c r="HZ39" s="152">
        <f t="shared" si="198"/>
        <v>0</v>
      </c>
      <c r="IA39" s="153">
        <f t="shared" si="199"/>
        <v>0</v>
      </c>
      <c r="IB39" s="152">
        <f t="shared" si="200"/>
        <v>0</v>
      </c>
      <c r="IC39" s="153">
        <f t="shared" si="201"/>
        <v>0</v>
      </c>
      <c r="ID39" s="152">
        <f t="shared" si="202"/>
        <v>0</v>
      </c>
      <c r="IE39" s="153">
        <f t="shared" si="203"/>
        <v>0</v>
      </c>
      <c r="IF39" s="152">
        <f t="shared" si="204"/>
        <v>0</v>
      </c>
      <c r="IG39" s="153">
        <f t="shared" si="205"/>
        <v>0</v>
      </c>
      <c r="IH39" s="152">
        <f t="shared" si="206"/>
        <v>0</v>
      </c>
      <c r="II39" s="153">
        <f t="shared" si="207"/>
        <v>0</v>
      </c>
      <c r="IJ39" s="152">
        <f t="shared" si="208"/>
        <v>0</v>
      </c>
      <c r="IK39" s="153">
        <f t="shared" si="209"/>
        <v>0</v>
      </c>
      <c r="IL39" s="158">
        <f t="shared" si="210"/>
        <v>0</v>
      </c>
      <c r="IM39" s="159">
        <f t="shared" si="211"/>
        <v>0</v>
      </c>
      <c r="IO39" s="149"/>
      <c r="IP39" s="150"/>
      <c r="IQ39" s="161"/>
      <c r="IR39" s="152">
        <f t="shared" si="212"/>
        <v>0</v>
      </c>
      <c r="IS39" s="153">
        <f t="shared" si="213"/>
        <v>0</v>
      </c>
      <c r="IT39" s="152">
        <f t="shared" si="401"/>
        <v>0</v>
      </c>
      <c r="IU39" s="285">
        <f t="shared" si="214"/>
        <v>0</v>
      </c>
      <c r="IV39" s="152">
        <f t="shared" si="402"/>
        <v>0</v>
      </c>
      <c r="IW39" s="285">
        <f t="shared" si="214"/>
        <v>0</v>
      </c>
      <c r="IX39" s="152">
        <f t="shared" si="403"/>
        <v>0</v>
      </c>
      <c r="IY39" s="285">
        <f t="shared" si="215"/>
        <v>0</v>
      </c>
      <c r="IZ39" s="152">
        <f t="shared" si="404"/>
        <v>0</v>
      </c>
      <c r="JA39" s="285">
        <f t="shared" si="216"/>
        <v>0</v>
      </c>
      <c r="JB39" s="152">
        <f t="shared" si="405"/>
        <v>0</v>
      </c>
      <c r="JC39" s="285">
        <f t="shared" si="217"/>
        <v>0</v>
      </c>
      <c r="JD39" s="152">
        <f t="shared" si="218"/>
        <v>0</v>
      </c>
      <c r="JE39" s="285">
        <f t="shared" si="219"/>
        <v>0</v>
      </c>
      <c r="JF39" s="152">
        <f t="shared" si="406"/>
        <v>0</v>
      </c>
      <c r="JG39" s="285">
        <f t="shared" si="220"/>
        <v>0</v>
      </c>
      <c r="JH39" s="152">
        <f t="shared" si="221"/>
        <v>0</v>
      </c>
      <c r="JI39" s="285">
        <f t="shared" si="222"/>
        <v>0</v>
      </c>
      <c r="JJ39" s="152">
        <f t="shared" si="407"/>
        <v>0</v>
      </c>
      <c r="JK39" s="285">
        <f t="shared" si="223"/>
        <v>0</v>
      </c>
      <c r="JL39" s="152">
        <f t="shared" si="224"/>
        <v>0</v>
      </c>
      <c r="JM39" s="285">
        <f t="shared" si="225"/>
        <v>0</v>
      </c>
      <c r="JN39" s="152">
        <f t="shared" si="408"/>
        <v>0</v>
      </c>
      <c r="JO39" s="285">
        <f t="shared" si="226"/>
        <v>0</v>
      </c>
      <c r="JP39" s="158">
        <f t="shared" si="227"/>
        <v>0</v>
      </c>
      <c r="JQ39" s="159">
        <f t="shared" si="228"/>
        <v>0</v>
      </c>
      <c r="JS39" s="149"/>
      <c r="JT39" s="150"/>
      <c r="JU39" s="161"/>
      <c r="JV39" s="152">
        <f t="shared" si="229"/>
        <v>0</v>
      </c>
      <c r="JW39" s="153">
        <f t="shared" si="230"/>
        <v>0</v>
      </c>
      <c r="JX39" s="368"/>
      <c r="JY39" s="153">
        <f t="shared" si="231"/>
        <v>0</v>
      </c>
      <c r="JZ39" s="368"/>
      <c r="KA39" s="153">
        <f t="shared" si="231"/>
        <v>0</v>
      </c>
      <c r="KB39" s="368"/>
      <c r="KC39" s="153">
        <f t="shared" si="232"/>
        <v>0</v>
      </c>
      <c r="KD39" s="368"/>
      <c r="KE39" s="153">
        <f t="shared" si="233"/>
        <v>0</v>
      </c>
      <c r="KF39" s="368"/>
      <c r="KG39" s="153">
        <f t="shared" si="234"/>
        <v>0</v>
      </c>
      <c r="KH39" s="368"/>
      <c r="KI39" s="153">
        <f t="shared" si="236"/>
        <v>0</v>
      </c>
      <c r="KJ39" s="368"/>
      <c r="KK39" s="153">
        <f t="shared" si="237"/>
        <v>0</v>
      </c>
      <c r="KL39" s="368"/>
      <c r="KM39" s="153">
        <f t="shared" si="239"/>
        <v>0</v>
      </c>
      <c r="KN39" s="368"/>
      <c r="KO39" s="153">
        <f t="shared" si="240"/>
        <v>0</v>
      </c>
      <c r="KP39" s="368"/>
      <c r="KQ39" s="153">
        <f t="shared" si="242"/>
        <v>0</v>
      </c>
      <c r="KR39" s="368"/>
      <c r="KS39" s="154">
        <f t="shared" si="243"/>
        <v>0</v>
      </c>
      <c r="KT39" s="158">
        <f t="shared" si="244"/>
        <v>0</v>
      </c>
      <c r="KU39" s="159"/>
      <c r="KW39" s="149"/>
      <c r="KX39" s="150"/>
      <c r="KY39" s="157"/>
      <c r="KZ39" s="152">
        <f t="shared" si="271"/>
        <v>0</v>
      </c>
      <c r="LA39" s="153"/>
      <c r="LB39" s="152">
        <f t="shared" si="272"/>
        <v>0</v>
      </c>
      <c r="LC39" s="153">
        <f t="shared" si="246"/>
        <v>0</v>
      </c>
      <c r="LD39" s="152">
        <f t="shared" si="272"/>
        <v>0</v>
      </c>
      <c r="LE39" s="153">
        <f t="shared" si="246"/>
        <v>0</v>
      </c>
      <c r="LF39" s="152">
        <f t="shared" si="272"/>
        <v>0</v>
      </c>
      <c r="LG39" s="153">
        <f t="shared" si="247"/>
        <v>0</v>
      </c>
      <c r="LH39" s="152">
        <f t="shared" si="272"/>
        <v>0</v>
      </c>
      <c r="LI39" s="153">
        <f t="shared" si="248"/>
        <v>0</v>
      </c>
      <c r="LJ39" s="152">
        <f t="shared" si="273"/>
        <v>0</v>
      </c>
      <c r="LK39" s="153">
        <f t="shared" si="249"/>
        <v>0</v>
      </c>
      <c r="LL39" s="152">
        <f t="shared" si="274"/>
        <v>0</v>
      </c>
      <c r="LM39" s="153">
        <f t="shared" si="250"/>
        <v>0</v>
      </c>
      <c r="LN39" s="152">
        <f t="shared" si="275"/>
        <v>0</v>
      </c>
      <c r="LO39" s="153">
        <f t="shared" si="251"/>
        <v>0</v>
      </c>
      <c r="LP39" s="152">
        <f t="shared" si="276"/>
        <v>0</v>
      </c>
      <c r="LQ39" s="153">
        <f t="shared" si="252"/>
        <v>0</v>
      </c>
      <c r="LR39" s="152">
        <f t="shared" si="277"/>
        <v>0</v>
      </c>
      <c r="LS39" s="153">
        <f t="shared" si="253"/>
        <v>0</v>
      </c>
      <c r="LT39" s="152">
        <f t="shared" si="278"/>
        <v>0</v>
      </c>
      <c r="LU39" s="153">
        <f t="shared" si="254"/>
        <v>0</v>
      </c>
      <c r="LV39" s="152">
        <f t="shared" si="279"/>
        <v>0</v>
      </c>
      <c r="LW39" s="153">
        <f t="shared" si="255"/>
        <v>0</v>
      </c>
      <c r="LX39" s="158">
        <f t="shared" si="256"/>
        <v>0</v>
      </c>
      <c r="LY39" s="159">
        <f t="shared" si="257"/>
        <v>0</v>
      </c>
      <c r="MA39" s="164">
        <f t="shared" si="412"/>
        <v>153</v>
      </c>
      <c r="MB39" s="386">
        <f t="shared" si="258"/>
        <v>433653.23709677416</v>
      </c>
      <c r="MC39" s="394">
        <f t="shared" si="413"/>
        <v>0</v>
      </c>
      <c r="MD39" s="386">
        <f t="shared" si="259"/>
        <v>0</v>
      </c>
      <c r="ME39" s="394">
        <f t="shared" si="414"/>
        <v>153</v>
      </c>
      <c r="MF39" s="386">
        <f t="shared" si="259"/>
        <v>433653.23709677416</v>
      </c>
      <c r="MG39" s="394">
        <f t="shared" si="415"/>
        <v>0</v>
      </c>
      <c r="MH39" s="386">
        <f t="shared" si="260"/>
        <v>0</v>
      </c>
      <c r="MI39" s="394">
        <f t="shared" si="416"/>
        <v>153</v>
      </c>
      <c r="MJ39" s="386">
        <f t="shared" si="261"/>
        <v>433653.23709677416</v>
      </c>
      <c r="MK39" s="394">
        <f t="shared" si="417"/>
        <v>0</v>
      </c>
      <c r="ML39" s="386">
        <f t="shared" si="262"/>
        <v>0</v>
      </c>
      <c r="MM39" s="394">
        <f t="shared" si="418"/>
        <v>153</v>
      </c>
      <c r="MN39" s="386">
        <f t="shared" si="263"/>
        <v>433653.23709677416</v>
      </c>
      <c r="MO39" s="394">
        <f t="shared" si="419"/>
        <v>0</v>
      </c>
      <c r="MP39" s="386">
        <f t="shared" si="264"/>
        <v>0</v>
      </c>
      <c r="MQ39" s="394">
        <f t="shared" si="420"/>
        <v>153</v>
      </c>
      <c r="MR39" s="386">
        <f t="shared" si="265"/>
        <v>433653.23709677416</v>
      </c>
      <c r="MS39" s="394">
        <f t="shared" si="421"/>
        <v>0</v>
      </c>
      <c r="MT39" s="386">
        <f t="shared" si="266"/>
        <v>0</v>
      </c>
      <c r="MU39" s="394">
        <f t="shared" si="422"/>
        <v>153</v>
      </c>
      <c r="MV39" s="386">
        <f t="shared" si="267"/>
        <v>433653.23709677416</v>
      </c>
      <c r="MW39" s="394">
        <f t="shared" si="423"/>
        <v>0</v>
      </c>
      <c r="MX39" s="386">
        <f t="shared" si="268"/>
        <v>0</v>
      </c>
      <c r="MY39" s="165">
        <f t="shared" si="269"/>
        <v>918</v>
      </c>
      <c r="MZ39" s="166">
        <f t="shared" si="270"/>
        <v>2601919.422580645</v>
      </c>
    </row>
    <row r="40" spans="1:364" s="126" customFormat="1" ht="66.599999999999994" thickBot="1" x14ac:dyDescent="0.35">
      <c r="A40" s="529"/>
      <c r="B40" s="186">
        <v>2.2200000000000002</v>
      </c>
      <c r="C40" s="187" t="s">
        <v>101</v>
      </c>
      <c r="D40" s="188" t="s">
        <v>25</v>
      </c>
      <c r="E40" s="15">
        <v>1</v>
      </c>
      <c r="F40" s="348">
        <v>3276.4453866223903</v>
      </c>
      <c r="G40" s="348">
        <f t="shared" si="81"/>
        <v>3412.9951486401005</v>
      </c>
      <c r="I40" s="189"/>
      <c r="J40" s="190"/>
      <c r="K40" s="191">
        <f t="shared" si="82"/>
        <v>0</v>
      </c>
      <c r="L40" s="192">
        <f t="shared" si="300"/>
        <v>0</v>
      </c>
      <c r="M40" s="286">
        <f t="shared" si="301"/>
        <v>0</v>
      </c>
      <c r="N40" s="192">
        <f t="shared" si="361"/>
        <v>0</v>
      </c>
      <c r="O40" s="286">
        <f t="shared" si="424"/>
        <v>0</v>
      </c>
      <c r="P40" s="192">
        <f t="shared" si="362"/>
        <v>0</v>
      </c>
      <c r="Q40" s="286">
        <f t="shared" si="424"/>
        <v>0</v>
      </c>
      <c r="R40" s="192">
        <f t="shared" si="363"/>
        <v>0</v>
      </c>
      <c r="S40" s="286">
        <f t="shared" si="86"/>
        <v>0</v>
      </c>
      <c r="T40" s="192">
        <f t="shared" si="364"/>
        <v>0</v>
      </c>
      <c r="U40" s="286">
        <f t="shared" si="87"/>
        <v>0</v>
      </c>
      <c r="V40" s="192">
        <f t="shared" si="409"/>
        <v>0</v>
      </c>
      <c r="W40" s="286">
        <f t="shared" si="88"/>
        <v>0</v>
      </c>
      <c r="X40" s="192">
        <f t="shared" si="305"/>
        <v>0</v>
      </c>
      <c r="Y40" s="286">
        <f t="shared" si="89"/>
        <v>0</v>
      </c>
      <c r="Z40" s="192">
        <f t="shared" si="365"/>
        <v>0</v>
      </c>
      <c r="AA40" s="286">
        <f t="shared" si="90"/>
        <v>0</v>
      </c>
      <c r="AB40" s="192">
        <f t="shared" si="306"/>
        <v>0</v>
      </c>
      <c r="AC40" s="286">
        <f t="shared" si="91"/>
        <v>0</v>
      </c>
      <c r="AD40" s="192">
        <f t="shared" si="366"/>
        <v>0</v>
      </c>
      <c r="AE40" s="286">
        <f t="shared" si="92"/>
        <v>0</v>
      </c>
      <c r="AF40" s="192">
        <f t="shared" si="307"/>
        <v>0</v>
      </c>
      <c r="AG40" s="286">
        <f t="shared" si="308"/>
        <v>0</v>
      </c>
      <c r="AH40" s="192">
        <f t="shared" si="367"/>
        <v>0</v>
      </c>
      <c r="AI40" s="295">
        <f t="shared" si="309"/>
        <v>0</v>
      </c>
      <c r="AJ40" s="196">
        <f t="shared" si="94"/>
        <v>0</v>
      </c>
      <c r="AK40" s="308">
        <f t="shared" si="95"/>
        <v>0</v>
      </c>
      <c r="AM40" s="189"/>
      <c r="AN40" s="190"/>
      <c r="AO40" s="198"/>
      <c r="AP40" s="192">
        <f t="shared" si="328"/>
        <v>0</v>
      </c>
      <c r="AQ40" s="286">
        <f t="shared" si="96"/>
        <v>0</v>
      </c>
      <c r="AR40" s="318">
        <f t="shared" si="329"/>
        <v>0</v>
      </c>
      <c r="AS40" s="286">
        <f t="shared" si="96"/>
        <v>0</v>
      </c>
      <c r="AT40" s="318">
        <f t="shared" si="330"/>
        <v>0</v>
      </c>
      <c r="AU40" s="286">
        <f t="shared" si="96"/>
        <v>0</v>
      </c>
      <c r="AV40" s="318">
        <f t="shared" si="331"/>
        <v>0</v>
      </c>
      <c r="AW40" s="286">
        <f t="shared" si="98"/>
        <v>0</v>
      </c>
      <c r="AX40" s="318">
        <f t="shared" si="5"/>
        <v>0</v>
      </c>
      <c r="AY40" s="286">
        <f t="shared" si="99"/>
        <v>0</v>
      </c>
      <c r="AZ40" s="318">
        <f t="shared" si="332"/>
        <v>0</v>
      </c>
      <c r="BA40" s="286">
        <f t="shared" si="100"/>
        <v>0</v>
      </c>
      <c r="BB40" s="318">
        <f t="shared" si="7"/>
        <v>0</v>
      </c>
      <c r="BC40" s="286">
        <f t="shared" si="101"/>
        <v>0</v>
      </c>
      <c r="BD40" s="318">
        <f t="shared" si="333"/>
        <v>0</v>
      </c>
      <c r="BE40" s="286">
        <f t="shared" si="102"/>
        <v>0</v>
      </c>
      <c r="BF40" s="318">
        <f t="shared" si="9"/>
        <v>0</v>
      </c>
      <c r="BG40" s="286">
        <f t="shared" si="103"/>
        <v>0</v>
      </c>
      <c r="BH40" s="318">
        <f t="shared" si="334"/>
        <v>0</v>
      </c>
      <c r="BI40" s="286">
        <f t="shared" si="425"/>
        <v>0</v>
      </c>
      <c r="BJ40" s="318">
        <f t="shared" si="335"/>
        <v>0</v>
      </c>
      <c r="BK40" s="286">
        <f t="shared" si="425"/>
        <v>0</v>
      </c>
      <c r="BL40" s="192"/>
      <c r="BM40" s="325">
        <f t="shared" si="105"/>
        <v>0</v>
      </c>
      <c r="BN40" s="196">
        <f t="shared" si="106"/>
        <v>0</v>
      </c>
      <c r="BO40" s="308">
        <f t="shared" si="410"/>
        <v>0</v>
      </c>
      <c r="BQ40" s="199"/>
      <c r="BR40" s="190"/>
      <c r="BS40" s="200"/>
      <c r="BT40" s="192">
        <f t="shared" si="280"/>
        <v>0</v>
      </c>
      <c r="BU40" s="333">
        <f t="shared" si="107"/>
        <v>0</v>
      </c>
      <c r="BV40" s="192">
        <f t="shared" si="368"/>
        <v>0</v>
      </c>
      <c r="BW40" s="193">
        <f t="shared" si="108"/>
        <v>0</v>
      </c>
      <c r="BX40" s="192">
        <f t="shared" si="369"/>
        <v>0</v>
      </c>
      <c r="BY40" s="193">
        <f t="shared" si="109"/>
        <v>0</v>
      </c>
      <c r="BZ40" s="192">
        <f t="shared" si="370"/>
        <v>0</v>
      </c>
      <c r="CA40" s="193">
        <f t="shared" si="110"/>
        <v>0</v>
      </c>
      <c r="CB40" s="192">
        <f t="shared" si="371"/>
        <v>0</v>
      </c>
      <c r="CC40" s="193">
        <f t="shared" si="111"/>
        <v>0</v>
      </c>
      <c r="CD40" s="192">
        <f t="shared" si="372"/>
        <v>0</v>
      </c>
      <c r="CE40" s="193">
        <f t="shared" si="112"/>
        <v>0</v>
      </c>
      <c r="CF40" s="192">
        <f t="shared" si="113"/>
        <v>0</v>
      </c>
      <c r="CG40" s="193">
        <f t="shared" si="114"/>
        <v>0</v>
      </c>
      <c r="CH40" s="192">
        <f t="shared" si="373"/>
        <v>0</v>
      </c>
      <c r="CI40" s="193">
        <f t="shared" si="115"/>
        <v>0</v>
      </c>
      <c r="CJ40" s="192">
        <f t="shared" si="116"/>
        <v>0</v>
      </c>
      <c r="CK40" s="193">
        <f t="shared" si="117"/>
        <v>0</v>
      </c>
      <c r="CL40" s="192">
        <f t="shared" si="374"/>
        <v>0</v>
      </c>
      <c r="CM40" s="193">
        <f t="shared" si="118"/>
        <v>0</v>
      </c>
      <c r="CN40" s="192">
        <f t="shared" si="119"/>
        <v>0</v>
      </c>
      <c r="CO40" s="193">
        <f t="shared" si="120"/>
        <v>0</v>
      </c>
      <c r="CP40" s="192">
        <f t="shared" si="375"/>
        <v>0</v>
      </c>
      <c r="CQ40" s="194"/>
      <c r="CR40" s="196">
        <f t="shared" si="121"/>
        <v>0</v>
      </c>
      <c r="CS40" s="197"/>
      <c r="CT40" s="201"/>
      <c r="CU40" s="199"/>
      <c r="CV40" s="190"/>
      <c r="CW40" s="202"/>
      <c r="CX40" s="192">
        <f t="shared" si="122"/>
        <v>0</v>
      </c>
      <c r="CY40" s="193">
        <f t="shared" si="123"/>
        <v>0</v>
      </c>
      <c r="CZ40" s="192">
        <f t="shared" si="376"/>
        <v>0</v>
      </c>
      <c r="DA40" s="286">
        <f t="shared" si="123"/>
        <v>0</v>
      </c>
      <c r="DB40" s="192">
        <f t="shared" si="377"/>
        <v>0</v>
      </c>
      <c r="DC40" s="286">
        <f t="shared" si="124"/>
        <v>0</v>
      </c>
      <c r="DD40" s="192">
        <f t="shared" si="378"/>
        <v>0</v>
      </c>
      <c r="DE40" s="286">
        <f t="shared" si="125"/>
        <v>0</v>
      </c>
      <c r="DF40" s="192">
        <f t="shared" si="379"/>
        <v>0</v>
      </c>
      <c r="DG40" s="286">
        <f t="shared" si="126"/>
        <v>0</v>
      </c>
      <c r="DH40" s="192">
        <f t="shared" si="380"/>
        <v>0</v>
      </c>
      <c r="DI40" s="286">
        <f t="shared" si="127"/>
        <v>0</v>
      </c>
      <c r="DJ40" s="192">
        <f t="shared" si="128"/>
        <v>0</v>
      </c>
      <c r="DK40" s="286">
        <f t="shared" si="129"/>
        <v>0</v>
      </c>
      <c r="DL40" s="192">
        <f t="shared" si="381"/>
        <v>0</v>
      </c>
      <c r="DM40" s="286">
        <f t="shared" si="130"/>
        <v>0</v>
      </c>
      <c r="DN40" s="192">
        <f t="shared" si="131"/>
        <v>0</v>
      </c>
      <c r="DO40" s="286">
        <f t="shared" si="132"/>
        <v>0</v>
      </c>
      <c r="DP40" s="192">
        <f t="shared" si="382"/>
        <v>0</v>
      </c>
      <c r="DQ40" s="286">
        <f t="shared" si="133"/>
        <v>0</v>
      </c>
      <c r="DR40" s="192">
        <f t="shared" si="134"/>
        <v>0</v>
      </c>
      <c r="DS40" s="286">
        <f t="shared" si="135"/>
        <v>0</v>
      </c>
      <c r="DT40" s="192">
        <f t="shared" si="383"/>
        <v>0</v>
      </c>
      <c r="DU40" s="286">
        <f t="shared" si="136"/>
        <v>0</v>
      </c>
      <c r="DV40" s="196">
        <f t="shared" si="137"/>
        <v>0</v>
      </c>
      <c r="DW40" s="197"/>
      <c r="DY40" s="203"/>
      <c r="DZ40" s="190"/>
      <c r="EA40" s="202"/>
      <c r="EB40" s="192">
        <f t="shared" si="384"/>
        <v>0</v>
      </c>
      <c r="EC40" s="193">
        <f t="shared" si="139"/>
        <v>0</v>
      </c>
      <c r="ED40" s="318">
        <f t="shared" si="385"/>
        <v>0</v>
      </c>
      <c r="EE40" s="193">
        <f t="shared" si="139"/>
        <v>0</v>
      </c>
      <c r="EF40" s="192">
        <f t="shared" si="386"/>
        <v>0</v>
      </c>
      <c r="EG40" s="193">
        <f t="shared" si="426"/>
        <v>0</v>
      </c>
      <c r="EH40" s="192">
        <f t="shared" si="387"/>
        <v>0</v>
      </c>
      <c r="EI40" s="193">
        <f t="shared" si="426"/>
        <v>0</v>
      </c>
      <c r="EJ40" s="192">
        <f t="shared" si="388"/>
        <v>0</v>
      </c>
      <c r="EK40" s="193">
        <f t="shared" si="143"/>
        <v>0</v>
      </c>
      <c r="EL40" s="192">
        <f t="shared" si="389"/>
        <v>0</v>
      </c>
      <c r="EM40" s="193">
        <f t="shared" si="144"/>
        <v>0</v>
      </c>
      <c r="EN40" s="192">
        <f t="shared" si="290"/>
        <v>0</v>
      </c>
      <c r="EO40" s="193">
        <f t="shared" si="145"/>
        <v>0</v>
      </c>
      <c r="EP40" s="192">
        <f t="shared" si="390"/>
        <v>0</v>
      </c>
      <c r="EQ40" s="193">
        <f t="shared" si="146"/>
        <v>0</v>
      </c>
      <c r="ER40" s="192">
        <f t="shared" si="292"/>
        <v>0</v>
      </c>
      <c r="ES40" s="193">
        <f t="shared" si="147"/>
        <v>0</v>
      </c>
      <c r="ET40" s="192">
        <f t="shared" si="391"/>
        <v>0</v>
      </c>
      <c r="EU40" s="193">
        <f t="shared" si="148"/>
        <v>0</v>
      </c>
      <c r="EV40" s="192">
        <f t="shared" si="294"/>
        <v>0</v>
      </c>
      <c r="EW40" s="193">
        <f t="shared" si="149"/>
        <v>0</v>
      </c>
      <c r="EX40" s="192">
        <f t="shared" si="392"/>
        <v>0</v>
      </c>
      <c r="EY40" s="193">
        <f t="shared" si="150"/>
        <v>0</v>
      </c>
      <c r="EZ40" s="196">
        <f t="shared" si="151"/>
        <v>0</v>
      </c>
      <c r="FA40" s="197"/>
      <c r="FC40" s="189">
        <v>153</v>
      </c>
      <c r="FD40" s="190">
        <v>0.33</v>
      </c>
      <c r="FE40" s="202">
        <f t="shared" si="296"/>
        <v>172322.12505483869</v>
      </c>
      <c r="FF40" s="192"/>
      <c r="FG40" s="193">
        <f t="shared" si="154"/>
        <v>0</v>
      </c>
      <c r="FH40" s="370">
        <f>+FC40</f>
        <v>153</v>
      </c>
      <c r="FI40" s="193">
        <f t="shared" si="155"/>
        <v>522188.25774193538</v>
      </c>
      <c r="FJ40" s="370"/>
      <c r="FK40" s="193">
        <f t="shared" si="155"/>
        <v>0</v>
      </c>
      <c r="FL40" s="370"/>
      <c r="FM40" s="193">
        <f t="shared" si="156"/>
        <v>0</v>
      </c>
      <c r="FN40" s="370">
        <f>+FC40</f>
        <v>153</v>
      </c>
      <c r="FO40" s="193">
        <f t="shared" si="157"/>
        <v>522188.25774193538</v>
      </c>
      <c r="FP40" s="370"/>
      <c r="FQ40" s="193">
        <f t="shared" si="158"/>
        <v>0</v>
      </c>
      <c r="FR40" s="370"/>
      <c r="FS40" s="193">
        <f t="shared" si="160"/>
        <v>0</v>
      </c>
      <c r="FT40" s="370">
        <f>+FC40</f>
        <v>153</v>
      </c>
      <c r="FU40" s="193">
        <f t="shared" si="161"/>
        <v>522188.25774193538</v>
      </c>
      <c r="FV40" s="370"/>
      <c r="FW40" s="193">
        <f t="shared" si="163"/>
        <v>0</v>
      </c>
      <c r="FX40" s="370"/>
      <c r="FY40" s="193">
        <f t="shared" si="164"/>
        <v>0</v>
      </c>
      <c r="FZ40" s="370">
        <f>+FC40</f>
        <v>153</v>
      </c>
      <c r="GA40" s="193">
        <f t="shared" si="166"/>
        <v>522188.25774193538</v>
      </c>
      <c r="GB40" s="370"/>
      <c r="GC40" s="193">
        <f t="shared" si="167"/>
        <v>0</v>
      </c>
      <c r="GD40" s="196">
        <f t="shared" si="168"/>
        <v>612</v>
      </c>
      <c r="GE40" s="197">
        <f t="shared" si="411"/>
        <v>2088753.0309677415</v>
      </c>
      <c r="GG40" s="189"/>
      <c r="GH40" s="190"/>
      <c r="GI40" s="202">
        <f t="shared" si="297"/>
        <v>0</v>
      </c>
      <c r="GJ40" s="192">
        <f t="shared" si="169"/>
        <v>0</v>
      </c>
      <c r="GK40" s="193">
        <f t="shared" si="170"/>
        <v>0</v>
      </c>
      <c r="GL40" s="192">
        <f t="shared" si="169"/>
        <v>0</v>
      </c>
      <c r="GM40" s="193">
        <f t="shared" si="170"/>
        <v>0</v>
      </c>
      <c r="GN40" s="192">
        <f t="shared" si="169"/>
        <v>0</v>
      </c>
      <c r="GO40" s="193">
        <f t="shared" si="171"/>
        <v>0</v>
      </c>
      <c r="GP40" s="192">
        <f t="shared" si="169"/>
        <v>0</v>
      </c>
      <c r="GQ40" s="193">
        <f t="shared" si="172"/>
        <v>0</v>
      </c>
      <c r="GR40" s="192">
        <f t="shared" si="173"/>
        <v>0</v>
      </c>
      <c r="GS40" s="193">
        <f t="shared" si="174"/>
        <v>0</v>
      </c>
      <c r="GT40" s="192">
        <f t="shared" si="175"/>
        <v>0</v>
      </c>
      <c r="GU40" s="193">
        <f t="shared" si="176"/>
        <v>0</v>
      </c>
      <c r="GV40" s="192">
        <f t="shared" si="177"/>
        <v>0</v>
      </c>
      <c r="GW40" s="193">
        <f t="shared" si="178"/>
        <v>0</v>
      </c>
      <c r="GX40" s="192">
        <f t="shared" si="179"/>
        <v>0</v>
      </c>
      <c r="GY40" s="193">
        <f t="shared" si="180"/>
        <v>0</v>
      </c>
      <c r="GZ40" s="192">
        <f t="shared" si="181"/>
        <v>0</v>
      </c>
      <c r="HA40" s="193">
        <f t="shared" si="182"/>
        <v>0</v>
      </c>
      <c r="HB40" s="192">
        <f t="shared" si="183"/>
        <v>0</v>
      </c>
      <c r="HC40" s="193">
        <f t="shared" si="184"/>
        <v>0</v>
      </c>
      <c r="HD40" s="192">
        <f t="shared" si="185"/>
        <v>0</v>
      </c>
      <c r="HE40" s="193">
        <f t="shared" si="186"/>
        <v>0</v>
      </c>
      <c r="HF40" s="192">
        <f t="shared" si="187"/>
        <v>0</v>
      </c>
      <c r="HG40" s="193">
        <f t="shared" si="188"/>
        <v>0</v>
      </c>
      <c r="HH40" s="196">
        <f t="shared" si="189"/>
        <v>0</v>
      </c>
      <c r="HI40" s="197">
        <f t="shared" si="47"/>
        <v>0</v>
      </c>
      <c r="HK40" s="189">
        <v>0</v>
      </c>
      <c r="HL40" s="190"/>
      <c r="HM40" s="202"/>
      <c r="HN40" s="192">
        <f t="shared" si="190"/>
        <v>0</v>
      </c>
      <c r="HO40" s="193">
        <f t="shared" si="191"/>
        <v>0</v>
      </c>
      <c r="HP40" s="192">
        <f t="shared" si="192"/>
        <v>0</v>
      </c>
      <c r="HQ40" s="193">
        <f t="shared" si="193"/>
        <v>0</v>
      </c>
      <c r="HR40" s="192">
        <f t="shared" si="192"/>
        <v>0</v>
      </c>
      <c r="HS40" s="193">
        <f t="shared" si="193"/>
        <v>0</v>
      </c>
      <c r="HT40" s="192">
        <f t="shared" si="192"/>
        <v>0</v>
      </c>
      <c r="HU40" s="193">
        <f t="shared" si="194"/>
        <v>0</v>
      </c>
      <c r="HV40" s="192">
        <f t="shared" si="192"/>
        <v>0</v>
      </c>
      <c r="HW40" s="193">
        <f t="shared" si="195"/>
        <v>0</v>
      </c>
      <c r="HX40" s="192">
        <f t="shared" si="196"/>
        <v>0</v>
      </c>
      <c r="HY40" s="193">
        <f t="shared" si="197"/>
        <v>0</v>
      </c>
      <c r="HZ40" s="192">
        <f t="shared" si="198"/>
        <v>0</v>
      </c>
      <c r="IA40" s="193">
        <f t="shared" si="199"/>
        <v>0</v>
      </c>
      <c r="IB40" s="192">
        <f t="shared" si="200"/>
        <v>0</v>
      </c>
      <c r="IC40" s="193">
        <f t="shared" si="201"/>
        <v>0</v>
      </c>
      <c r="ID40" s="192">
        <f t="shared" si="202"/>
        <v>0</v>
      </c>
      <c r="IE40" s="193">
        <f t="shared" si="203"/>
        <v>0</v>
      </c>
      <c r="IF40" s="192">
        <f t="shared" si="204"/>
        <v>0</v>
      </c>
      <c r="IG40" s="193">
        <f t="shared" si="205"/>
        <v>0</v>
      </c>
      <c r="IH40" s="192">
        <f t="shared" si="206"/>
        <v>0</v>
      </c>
      <c r="II40" s="193">
        <f t="shared" si="207"/>
        <v>0</v>
      </c>
      <c r="IJ40" s="192">
        <f t="shared" si="208"/>
        <v>0</v>
      </c>
      <c r="IK40" s="193">
        <f t="shared" si="209"/>
        <v>0</v>
      </c>
      <c r="IL40" s="196">
        <f t="shared" si="210"/>
        <v>0</v>
      </c>
      <c r="IM40" s="197">
        <f t="shared" si="211"/>
        <v>0</v>
      </c>
      <c r="IO40" s="189"/>
      <c r="IP40" s="190"/>
      <c r="IQ40" s="202"/>
      <c r="IR40" s="192">
        <f t="shared" si="212"/>
        <v>0</v>
      </c>
      <c r="IS40" s="193">
        <f t="shared" si="213"/>
        <v>0</v>
      </c>
      <c r="IT40" s="192">
        <f t="shared" si="401"/>
        <v>0</v>
      </c>
      <c r="IU40" s="286">
        <f t="shared" si="214"/>
        <v>0</v>
      </c>
      <c r="IV40" s="192">
        <f t="shared" si="402"/>
        <v>0</v>
      </c>
      <c r="IW40" s="286">
        <f t="shared" si="214"/>
        <v>0</v>
      </c>
      <c r="IX40" s="192">
        <f t="shared" si="403"/>
        <v>0</v>
      </c>
      <c r="IY40" s="286">
        <f t="shared" si="215"/>
        <v>0</v>
      </c>
      <c r="IZ40" s="192">
        <f t="shared" si="404"/>
        <v>0</v>
      </c>
      <c r="JA40" s="286">
        <f t="shared" si="216"/>
        <v>0</v>
      </c>
      <c r="JB40" s="192">
        <f t="shared" si="405"/>
        <v>0</v>
      </c>
      <c r="JC40" s="286">
        <f t="shared" si="217"/>
        <v>0</v>
      </c>
      <c r="JD40" s="192">
        <f t="shared" si="218"/>
        <v>0</v>
      </c>
      <c r="JE40" s="286">
        <f t="shared" si="219"/>
        <v>0</v>
      </c>
      <c r="JF40" s="192">
        <f t="shared" si="406"/>
        <v>0</v>
      </c>
      <c r="JG40" s="286">
        <f t="shared" si="220"/>
        <v>0</v>
      </c>
      <c r="JH40" s="192">
        <f t="shared" si="221"/>
        <v>0</v>
      </c>
      <c r="JI40" s="286">
        <f t="shared" si="222"/>
        <v>0</v>
      </c>
      <c r="JJ40" s="192">
        <f t="shared" si="407"/>
        <v>0</v>
      </c>
      <c r="JK40" s="286">
        <f t="shared" si="223"/>
        <v>0</v>
      </c>
      <c r="JL40" s="192">
        <f t="shared" si="224"/>
        <v>0</v>
      </c>
      <c r="JM40" s="286">
        <f t="shared" si="225"/>
        <v>0</v>
      </c>
      <c r="JN40" s="192">
        <f t="shared" si="408"/>
        <v>0</v>
      </c>
      <c r="JO40" s="286">
        <f t="shared" si="226"/>
        <v>0</v>
      </c>
      <c r="JP40" s="196">
        <f t="shared" si="227"/>
        <v>0</v>
      </c>
      <c r="JQ40" s="197">
        <f t="shared" si="228"/>
        <v>0</v>
      </c>
      <c r="JS40" s="189"/>
      <c r="JT40" s="190"/>
      <c r="JU40" s="202"/>
      <c r="JV40" s="192">
        <f t="shared" si="229"/>
        <v>0</v>
      </c>
      <c r="JW40" s="193">
        <f t="shared" si="230"/>
        <v>0</v>
      </c>
      <c r="JX40" s="370"/>
      <c r="JY40" s="193">
        <f t="shared" si="231"/>
        <v>0</v>
      </c>
      <c r="JZ40" s="370"/>
      <c r="KA40" s="193">
        <f t="shared" si="231"/>
        <v>0</v>
      </c>
      <c r="KB40" s="370"/>
      <c r="KC40" s="193">
        <f t="shared" si="232"/>
        <v>0</v>
      </c>
      <c r="KD40" s="370"/>
      <c r="KE40" s="193">
        <f t="shared" si="233"/>
        <v>0</v>
      </c>
      <c r="KF40" s="370"/>
      <c r="KG40" s="193">
        <f t="shared" si="234"/>
        <v>0</v>
      </c>
      <c r="KH40" s="370"/>
      <c r="KI40" s="193">
        <f t="shared" si="236"/>
        <v>0</v>
      </c>
      <c r="KJ40" s="370"/>
      <c r="KK40" s="193">
        <f t="shared" si="237"/>
        <v>0</v>
      </c>
      <c r="KL40" s="370"/>
      <c r="KM40" s="193">
        <f t="shared" si="239"/>
        <v>0</v>
      </c>
      <c r="KN40" s="370"/>
      <c r="KO40" s="193">
        <f t="shared" si="240"/>
        <v>0</v>
      </c>
      <c r="KP40" s="370"/>
      <c r="KQ40" s="193">
        <f t="shared" si="242"/>
        <v>0</v>
      </c>
      <c r="KR40" s="370"/>
      <c r="KS40" s="194">
        <f t="shared" si="243"/>
        <v>0</v>
      </c>
      <c r="KT40" s="196">
        <f t="shared" si="244"/>
        <v>0</v>
      </c>
      <c r="KU40" s="197"/>
      <c r="KW40" s="189"/>
      <c r="KX40" s="190"/>
      <c r="KY40" s="198"/>
      <c r="KZ40" s="192">
        <f t="shared" si="271"/>
        <v>0</v>
      </c>
      <c r="LA40" s="193"/>
      <c r="LB40" s="192">
        <f t="shared" si="272"/>
        <v>0</v>
      </c>
      <c r="LC40" s="193">
        <f t="shared" si="246"/>
        <v>0</v>
      </c>
      <c r="LD40" s="192">
        <f t="shared" si="272"/>
        <v>0</v>
      </c>
      <c r="LE40" s="193">
        <f t="shared" si="246"/>
        <v>0</v>
      </c>
      <c r="LF40" s="192">
        <f t="shared" si="272"/>
        <v>0</v>
      </c>
      <c r="LG40" s="193">
        <f t="shared" si="247"/>
        <v>0</v>
      </c>
      <c r="LH40" s="192">
        <f t="shared" si="272"/>
        <v>0</v>
      </c>
      <c r="LI40" s="193">
        <f t="shared" si="248"/>
        <v>0</v>
      </c>
      <c r="LJ40" s="192">
        <f t="shared" si="273"/>
        <v>0</v>
      </c>
      <c r="LK40" s="193">
        <f t="shared" si="249"/>
        <v>0</v>
      </c>
      <c r="LL40" s="192">
        <f t="shared" si="274"/>
        <v>0</v>
      </c>
      <c r="LM40" s="193">
        <f t="shared" si="250"/>
        <v>0</v>
      </c>
      <c r="LN40" s="192">
        <f t="shared" si="275"/>
        <v>0</v>
      </c>
      <c r="LO40" s="193">
        <f t="shared" si="251"/>
        <v>0</v>
      </c>
      <c r="LP40" s="192">
        <f t="shared" si="276"/>
        <v>0</v>
      </c>
      <c r="LQ40" s="193">
        <f t="shared" si="252"/>
        <v>0</v>
      </c>
      <c r="LR40" s="192">
        <f t="shared" si="277"/>
        <v>0</v>
      </c>
      <c r="LS40" s="193">
        <f t="shared" si="253"/>
        <v>0</v>
      </c>
      <c r="LT40" s="192">
        <f t="shared" si="278"/>
        <v>0</v>
      </c>
      <c r="LU40" s="193">
        <f t="shared" si="254"/>
        <v>0</v>
      </c>
      <c r="LV40" s="192">
        <f t="shared" si="279"/>
        <v>0</v>
      </c>
      <c r="LW40" s="193">
        <f t="shared" si="255"/>
        <v>0</v>
      </c>
      <c r="LX40" s="196">
        <f t="shared" si="256"/>
        <v>0</v>
      </c>
      <c r="LY40" s="197">
        <f t="shared" si="257"/>
        <v>0</v>
      </c>
      <c r="MA40" s="204">
        <f t="shared" si="412"/>
        <v>0</v>
      </c>
      <c r="MB40" s="387">
        <f t="shared" si="258"/>
        <v>0</v>
      </c>
      <c r="MC40" s="395">
        <f t="shared" si="413"/>
        <v>153</v>
      </c>
      <c r="MD40" s="387">
        <f t="shared" si="259"/>
        <v>522188.25774193538</v>
      </c>
      <c r="ME40" s="395">
        <f t="shared" si="414"/>
        <v>0</v>
      </c>
      <c r="MF40" s="387">
        <f t="shared" si="259"/>
        <v>0</v>
      </c>
      <c r="MG40" s="395">
        <f t="shared" si="415"/>
        <v>0</v>
      </c>
      <c r="MH40" s="387">
        <f t="shared" si="260"/>
        <v>0</v>
      </c>
      <c r="MI40" s="395">
        <f t="shared" si="416"/>
        <v>153</v>
      </c>
      <c r="MJ40" s="387">
        <f t="shared" si="261"/>
        <v>522188.25774193538</v>
      </c>
      <c r="MK40" s="395">
        <f t="shared" si="417"/>
        <v>0</v>
      </c>
      <c r="ML40" s="387">
        <f t="shared" si="262"/>
        <v>0</v>
      </c>
      <c r="MM40" s="395">
        <f t="shared" si="418"/>
        <v>0</v>
      </c>
      <c r="MN40" s="387">
        <f t="shared" si="263"/>
        <v>0</v>
      </c>
      <c r="MO40" s="395">
        <f t="shared" si="419"/>
        <v>153</v>
      </c>
      <c r="MP40" s="387">
        <f t="shared" si="264"/>
        <v>522188.25774193538</v>
      </c>
      <c r="MQ40" s="395">
        <f t="shared" si="420"/>
        <v>0</v>
      </c>
      <c r="MR40" s="387">
        <f t="shared" si="265"/>
        <v>0</v>
      </c>
      <c r="MS40" s="395">
        <f t="shared" si="421"/>
        <v>0</v>
      </c>
      <c r="MT40" s="387">
        <f t="shared" si="266"/>
        <v>0</v>
      </c>
      <c r="MU40" s="395">
        <f t="shared" si="422"/>
        <v>153</v>
      </c>
      <c r="MV40" s="387">
        <f t="shared" si="267"/>
        <v>522188.25774193538</v>
      </c>
      <c r="MW40" s="395">
        <f t="shared" si="423"/>
        <v>0</v>
      </c>
      <c r="MX40" s="387">
        <f t="shared" si="268"/>
        <v>0</v>
      </c>
      <c r="MY40" s="205">
        <f t="shared" si="269"/>
        <v>612</v>
      </c>
      <c r="MZ40" s="206">
        <f t="shared" si="270"/>
        <v>2088753.0309677415</v>
      </c>
    </row>
    <row r="41" spans="1:364" s="126" customFormat="1" ht="52.95" customHeight="1" x14ac:dyDescent="0.3">
      <c r="A41" s="530" t="s">
        <v>102</v>
      </c>
      <c r="B41" s="207">
        <v>3.01</v>
      </c>
      <c r="C41" s="208" t="s">
        <v>103</v>
      </c>
      <c r="D41" s="209" t="s">
        <v>90</v>
      </c>
      <c r="E41" s="16">
        <v>1</v>
      </c>
      <c r="F41" s="349">
        <v>28364.413364413362</v>
      </c>
      <c r="G41" s="349">
        <f t="shared" si="81"/>
        <v>29546.534058534053</v>
      </c>
      <c r="I41" s="127">
        <v>340</v>
      </c>
      <c r="J41" s="128">
        <v>1</v>
      </c>
      <c r="K41" s="129">
        <f t="shared" si="82"/>
        <v>10045821.579901578</v>
      </c>
      <c r="L41" s="130">
        <f t="shared" si="300"/>
        <v>340</v>
      </c>
      <c r="M41" s="284">
        <f t="shared" si="301"/>
        <v>10045821.579901578</v>
      </c>
      <c r="N41" s="130">
        <f t="shared" si="361"/>
        <v>340</v>
      </c>
      <c r="O41" s="284">
        <f t="shared" si="301"/>
        <v>10045821.579901578</v>
      </c>
      <c r="P41" s="130">
        <f t="shared" si="362"/>
        <v>340</v>
      </c>
      <c r="Q41" s="284">
        <f t="shared" si="424"/>
        <v>10045821.579901578</v>
      </c>
      <c r="R41" s="130">
        <f t="shared" si="363"/>
        <v>340</v>
      </c>
      <c r="S41" s="284">
        <f t="shared" si="86"/>
        <v>10045821.579901578</v>
      </c>
      <c r="T41" s="130">
        <f t="shared" si="364"/>
        <v>340</v>
      </c>
      <c r="U41" s="284">
        <f t="shared" si="87"/>
        <v>10045821.579901578</v>
      </c>
      <c r="V41" s="130">
        <f t="shared" si="409"/>
        <v>340</v>
      </c>
      <c r="W41" s="284">
        <f t="shared" si="88"/>
        <v>10045821.579901578</v>
      </c>
      <c r="X41" s="130">
        <f t="shared" si="305"/>
        <v>340</v>
      </c>
      <c r="Y41" s="284">
        <f t="shared" si="89"/>
        <v>10045821.579901578</v>
      </c>
      <c r="Z41" s="130">
        <f t="shared" si="365"/>
        <v>340</v>
      </c>
      <c r="AA41" s="284">
        <f t="shared" si="90"/>
        <v>10045821.579901578</v>
      </c>
      <c r="AB41" s="130">
        <f t="shared" si="306"/>
        <v>340</v>
      </c>
      <c r="AC41" s="284">
        <f t="shared" si="91"/>
        <v>10045821.579901578</v>
      </c>
      <c r="AD41" s="130">
        <f t="shared" si="366"/>
        <v>340</v>
      </c>
      <c r="AE41" s="284">
        <f t="shared" si="92"/>
        <v>10045821.579901578</v>
      </c>
      <c r="AF41" s="130">
        <f t="shared" si="307"/>
        <v>340</v>
      </c>
      <c r="AG41" s="284">
        <f t="shared" si="308"/>
        <v>10045821.579901578</v>
      </c>
      <c r="AH41" s="130">
        <f t="shared" si="367"/>
        <v>340</v>
      </c>
      <c r="AI41" s="293">
        <f t="shared" si="309"/>
        <v>10045821.579901578</v>
      </c>
      <c r="AJ41" s="210">
        <f t="shared" si="94"/>
        <v>4080</v>
      </c>
      <c r="AK41" s="309">
        <f t="shared" si="95"/>
        <v>120549858.95881894</v>
      </c>
      <c r="AM41" s="132"/>
      <c r="AN41" s="133">
        <v>1</v>
      </c>
      <c r="AO41" s="134">
        <f t="shared" ref="AO41:AO48" si="427">+AM41*G41</f>
        <v>0</v>
      </c>
      <c r="AP41" s="135">
        <f t="shared" si="328"/>
        <v>0</v>
      </c>
      <c r="AQ41" s="320">
        <f t="shared" si="96"/>
        <v>0</v>
      </c>
      <c r="AR41" s="316">
        <f t="shared" si="329"/>
        <v>0</v>
      </c>
      <c r="AS41" s="320">
        <f t="shared" si="96"/>
        <v>0</v>
      </c>
      <c r="AT41" s="316">
        <f t="shared" si="330"/>
        <v>0</v>
      </c>
      <c r="AU41" s="320">
        <f t="shared" si="96"/>
        <v>0</v>
      </c>
      <c r="AV41" s="316">
        <f t="shared" si="331"/>
        <v>0</v>
      </c>
      <c r="AW41" s="320">
        <f t="shared" si="98"/>
        <v>0</v>
      </c>
      <c r="AX41" s="316">
        <f t="shared" si="5"/>
        <v>0</v>
      </c>
      <c r="AY41" s="320">
        <f t="shared" si="99"/>
        <v>0</v>
      </c>
      <c r="AZ41" s="316">
        <f t="shared" si="332"/>
        <v>0</v>
      </c>
      <c r="BA41" s="320">
        <f t="shared" si="100"/>
        <v>0</v>
      </c>
      <c r="BB41" s="316">
        <f t="shared" si="7"/>
        <v>0</v>
      </c>
      <c r="BC41" s="320">
        <f t="shared" si="101"/>
        <v>0</v>
      </c>
      <c r="BD41" s="316">
        <f t="shared" si="333"/>
        <v>0</v>
      </c>
      <c r="BE41" s="320">
        <f t="shared" si="102"/>
        <v>0</v>
      </c>
      <c r="BF41" s="316">
        <f t="shared" si="9"/>
        <v>0</v>
      </c>
      <c r="BG41" s="320">
        <f t="shared" si="103"/>
        <v>0</v>
      </c>
      <c r="BH41" s="316">
        <f t="shared" si="334"/>
        <v>0</v>
      </c>
      <c r="BI41" s="320">
        <f t="shared" si="425"/>
        <v>0</v>
      </c>
      <c r="BJ41" s="316">
        <f t="shared" si="335"/>
        <v>0</v>
      </c>
      <c r="BK41" s="320">
        <f t="shared" si="425"/>
        <v>0</v>
      </c>
      <c r="BL41" s="135">
        <f t="shared" ref="BL41:BL46" si="428">+$AM41*$AN41</f>
        <v>0</v>
      </c>
      <c r="BM41" s="324">
        <f t="shared" si="105"/>
        <v>0</v>
      </c>
      <c r="BN41" s="138">
        <f t="shared" si="106"/>
        <v>0</v>
      </c>
      <c r="BO41" s="328">
        <f t="shared" si="410"/>
        <v>0</v>
      </c>
      <c r="BQ41" s="27"/>
      <c r="BR41" s="28"/>
      <c r="BS41" s="140">
        <f t="shared" si="281"/>
        <v>0</v>
      </c>
      <c r="BT41" s="135">
        <f t="shared" si="280"/>
        <v>0</v>
      </c>
      <c r="BU41" s="331">
        <f t="shared" si="107"/>
        <v>0</v>
      </c>
      <c r="BV41" s="135">
        <f t="shared" si="368"/>
        <v>0</v>
      </c>
      <c r="BW41" s="136">
        <f t="shared" si="108"/>
        <v>0</v>
      </c>
      <c r="BX41" s="135">
        <f t="shared" si="369"/>
        <v>0</v>
      </c>
      <c r="BY41" s="136">
        <f t="shared" si="109"/>
        <v>0</v>
      </c>
      <c r="BZ41" s="135">
        <f t="shared" si="370"/>
        <v>0</v>
      </c>
      <c r="CA41" s="136">
        <f t="shared" si="110"/>
        <v>0</v>
      </c>
      <c r="CB41" s="135">
        <f t="shared" si="371"/>
        <v>0</v>
      </c>
      <c r="CC41" s="136">
        <f t="shared" si="111"/>
        <v>0</v>
      </c>
      <c r="CD41" s="135">
        <f t="shared" si="372"/>
        <v>0</v>
      </c>
      <c r="CE41" s="136">
        <f t="shared" si="112"/>
        <v>0</v>
      </c>
      <c r="CF41" s="135">
        <f t="shared" si="113"/>
        <v>0</v>
      </c>
      <c r="CG41" s="136">
        <f t="shared" si="114"/>
        <v>0</v>
      </c>
      <c r="CH41" s="135">
        <f t="shared" si="373"/>
        <v>0</v>
      </c>
      <c r="CI41" s="136">
        <f t="shared" si="115"/>
        <v>0</v>
      </c>
      <c r="CJ41" s="135">
        <f t="shared" si="116"/>
        <v>0</v>
      </c>
      <c r="CK41" s="136">
        <f t="shared" si="117"/>
        <v>0</v>
      </c>
      <c r="CL41" s="135">
        <f t="shared" si="374"/>
        <v>0</v>
      </c>
      <c r="CM41" s="136">
        <f t="shared" si="118"/>
        <v>0</v>
      </c>
      <c r="CN41" s="135">
        <f t="shared" si="119"/>
        <v>0</v>
      </c>
      <c r="CO41" s="136">
        <f t="shared" si="120"/>
        <v>0</v>
      </c>
      <c r="CP41" s="135">
        <f t="shared" si="375"/>
        <v>0</v>
      </c>
      <c r="CQ41" s="137">
        <f t="shared" ref="CQ41:CQ46" si="429">+CP41*G41</f>
        <v>0</v>
      </c>
      <c r="CR41" s="138">
        <f t="shared" si="121"/>
        <v>0</v>
      </c>
      <c r="CS41" s="139">
        <f t="shared" ref="CS41:CS47" si="430">+CR41*G41</f>
        <v>0</v>
      </c>
      <c r="CT41" s="211"/>
      <c r="CU41" s="27">
        <v>0</v>
      </c>
      <c r="CV41" s="28"/>
      <c r="CW41" s="141">
        <f t="shared" si="299"/>
        <v>0</v>
      </c>
      <c r="CX41" s="135">
        <f t="shared" si="122"/>
        <v>0</v>
      </c>
      <c r="CY41" s="136">
        <f t="shared" si="123"/>
        <v>0</v>
      </c>
      <c r="CZ41" s="135">
        <f t="shared" si="376"/>
        <v>0</v>
      </c>
      <c r="DA41" s="320">
        <f t="shared" si="123"/>
        <v>0</v>
      </c>
      <c r="DB41" s="135">
        <f t="shared" si="377"/>
        <v>0</v>
      </c>
      <c r="DC41" s="320">
        <f t="shared" si="124"/>
        <v>0</v>
      </c>
      <c r="DD41" s="135">
        <f t="shared" si="378"/>
        <v>0</v>
      </c>
      <c r="DE41" s="320">
        <f t="shared" si="125"/>
        <v>0</v>
      </c>
      <c r="DF41" s="135">
        <f t="shared" si="379"/>
        <v>0</v>
      </c>
      <c r="DG41" s="320">
        <f t="shared" si="126"/>
        <v>0</v>
      </c>
      <c r="DH41" s="135">
        <f t="shared" si="380"/>
        <v>0</v>
      </c>
      <c r="DI41" s="320">
        <f t="shared" si="127"/>
        <v>0</v>
      </c>
      <c r="DJ41" s="135">
        <f t="shared" si="128"/>
        <v>0</v>
      </c>
      <c r="DK41" s="320">
        <f t="shared" si="129"/>
        <v>0</v>
      </c>
      <c r="DL41" s="135">
        <f t="shared" si="381"/>
        <v>0</v>
      </c>
      <c r="DM41" s="320">
        <f t="shared" si="130"/>
        <v>0</v>
      </c>
      <c r="DN41" s="135">
        <f t="shared" si="131"/>
        <v>0</v>
      </c>
      <c r="DO41" s="320">
        <f t="shared" si="132"/>
        <v>0</v>
      </c>
      <c r="DP41" s="135">
        <f t="shared" si="382"/>
        <v>0</v>
      </c>
      <c r="DQ41" s="320">
        <f t="shared" si="133"/>
        <v>0</v>
      </c>
      <c r="DR41" s="135">
        <f t="shared" si="134"/>
        <v>0</v>
      </c>
      <c r="DS41" s="320">
        <f t="shared" si="135"/>
        <v>0</v>
      </c>
      <c r="DT41" s="135">
        <f t="shared" si="383"/>
        <v>0</v>
      </c>
      <c r="DU41" s="320">
        <f t="shared" si="136"/>
        <v>0</v>
      </c>
      <c r="DV41" s="138">
        <f t="shared" si="137"/>
        <v>0</v>
      </c>
      <c r="DW41" s="139">
        <f t="shared" ref="DW41:DW48" si="431">+DV41*G41</f>
        <v>0</v>
      </c>
      <c r="DY41" s="144">
        <v>0</v>
      </c>
      <c r="DZ41" s="28"/>
      <c r="EA41" s="141">
        <f t="shared" ref="EA41:EA48" si="432">+G41*DY41</f>
        <v>0</v>
      </c>
      <c r="EB41" s="135">
        <f t="shared" si="384"/>
        <v>0</v>
      </c>
      <c r="EC41" s="136">
        <f t="shared" si="139"/>
        <v>0</v>
      </c>
      <c r="ED41" s="316">
        <f t="shared" si="385"/>
        <v>0</v>
      </c>
      <c r="EE41" s="136">
        <f t="shared" si="139"/>
        <v>0</v>
      </c>
      <c r="EF41" s="135">
        <f t="shared" si="386"/>
        <v>0</v>
      </c>
      <c r="EG41" s="136">
        <f t="shared" si="426"/>
        <v>0</v>
      </c>
      <c r="EH41" s="135">
        <f t="shared" si="387"/>
        <v>0</v>
      </c>
      <c r="EI41" s="136">
        <f t="shared" si="426"/>
        <v>0</v>
      </c>
      <c r="EJ41" s="135">
        <f t="shared" si="388"/>
        <v>0</v>
      </c>
      <c r="EK41" s="136">
        <f t="shared" si="143"/>
        <v>0</v>
      </c>
      <c r="EL41" s="135">
        <f t="shared" si="389"/>
        <v>0</v>
      </c>
      <c r="EM41" s="136">
        <f t="shared" si="144"/>
        <v>0</v>
      </c>
      <c r="EN41" s="135">
        <f t="shared" si="290"/>
        <v>0</v>
      </c>
      <c r="EO41" s="136">
        <f t="shared" si="145"/>
        <v>0</v>
      </c>
      <c r="EP41" s="135">
        <f t="shared" si="390"/>
        <v>0</v>
      </c>
      <c r="EQ41" s="136">
        <f t="shared" si="146"/>
        <v>0</v>
      </c>
      <c r="ER41" s="135">
        <f t="shared" si="292"/>
        <v>0</v>
      </c>
      <c r="ES41" s="136">
        <f t="shared" si="147"/>
        <v>0</v>
      </c>
      <c r="ET41" s="135">
        <f t="shared" si="391"/>
        <v>0</v>
      </c>
      <c r="EU41" s="136">
        <f t="shared" si="148"/>
        <v>0</v>
      </c>
      <c r="EV41" s="135">
        <f t="shared" si="294"/>
        <v>0</v>
      </c>
      <c r="EW41" s="136">
        <f t="shared" si="149"/>
        <v>0</v>
      </c>
      <c r="EX41" s="135">
        <f t="shared" si="392"/>
        <v>0</v>
      </c>
      <c r="EY41" s="136">
        <f t="shared" si="150"/>
        <v>0</v>
      </c>
      <c r="EZ41" s="138">
        <f t="shared" si="151"/>
        <v>0</v>
      </c>
      <c r="FA41" s="139">
        <f t="shared" ref="FA41:FA48" si="433">+EZ41*G41</f>
        <v>0</v>
      </c>
      <c r="FC41" s="132"/>
      <c r="FD41" s="133"/>
      <c r="FE41" s="141">
        <f t="shared" si="296"/>
        <v>0</v>
      </c>
      <c r="FF41" s="135">
        <f t="shared" si="153"/>
        <v>0</v>
      </c>
      <c r="FG41" s="136">
        <f t="shared" si="154"/>
        <v>0</v>
      </c>
      <c r="FH41" s="367">
        <f t="shared" ref="FH41:FH49" si="434">+$FC41*$FD41</f>
        <v>0</v>
      </c>
      <c r="FI41" s="136">
        <f t="shared" si="155"/>
        <v>0</v>
      </c>
      <c r="FJ41" s="367">
        <f t="shared" ref="FJ41:FJ49" si="435">+$FC41*$FD41</f>
        <v>0</v>
      </c>
      <c r="FK41" s="136">
        <f t="shared" si="155"/>
        <v>0</v>
      </c>
      <c r="FL41" s="367">
        <f t="shared" ref="FL41:FL49" si="436">+$FC41*$FD41</f>
        <v>0</v>
      </c>
      <c r="FM41" s="136">
        <f t="shared" si="156"/>
        <v>0</v>
      </c>
      <c r="FN41" s="367">
        <f t="shared" si="396"/>
        <v>0</v>
      </c>
      <c r="FO41" s="136">
        <f t="shared" si="157"/>
        <v>0</v>
      </c>
      <c r="FP41" s="367">
        <f t="shared" ref="FP41:FP49" si="437">+$FC41*$FD41</f>
        <v>0</v>
      </c>
      <c r="FQ41" s="136">
        <f t="shared" si="158"/>
        <v>0</v>
      </c>
      <c r="FR41" s="367">
        <f t="shared" si="159"/>
        <v>0</v>
      </c>
      <c r="FS41" s="136">
        <f t="shared" si="160"/>
        <v>0</v>
      </c>
      <c r="FT41" s="367">
        <f t="shared" ref="FT41:FT49" si="438">+$FC41*$FD41</f>
        <v>0</v>
      </c>
      <c r="FU41" s="136">
        <f t="shared" si="161"/>
        <v>0</v>
      </c>
      <c r="FV41" s="367">
        <f t="shared" si="162"/>
        <v>0</v>
      </c>
      <c r="FW41" s="136">
        <f t="shared" si="163"/>
        <v>0</v>
      </c>
      <c r="FX41" s="367">
        <f t="shared" ref="FX41:FX49" si="439">+$FC41*$FD41</f>
        <v>0</v>
      </c>
      <c r="FY41" s="136">
        <f t="shared" si="164"/>
        <v>0</v>
      </c>
      <c r="FZ41" s="367">
        <f t="shared" si="165"/>
        <v>0</v>
      </c>
      <c r="GA41" s="136">
        <f t="shared" si="166"/>
        <v>0</v>
      </c>
      <c r="GB41" s="367">
        <f t="shared" ref="GB41:GB49" si="440">+$FC41*$FD41</f>
        <v>0</v>
      </c>
      <c r="GC41" s="136">
        <f t="shared" si="167"/>
        <v>0</v>
      </c>
      <c r="GD41" s="138">
        <f t="shared" si="168"/>
        <v>0</v>
      </c>
      <c r="GE41" s="139">
        <f t="shared" si="411"/>
        <v>0</v>
      </c>
      <c r="GG41" s="132">
        <v>0</v>
      </c>
      <c r="GH41" s="133"/>
      <c r="GI41" s="141">
        <f t="shared" si="297"/>
        <v>0</v>
      </c>
      <c r="GJ41" s="135">
        <f t="shared" si="169"/>
        <v>0</v>
      </c>
      <c r="GK41" s="136">
        <f t="shared" si="170"/>
        <v>0</v>
      </c>
      <c r="GL41" s="135">
        <f t="shared" si="169"/>
        <v>0</v>
      </c>
      <c r="GM41" s="136">
        <f t="shared" si="170"/>
        <v>0</v>
      </c>
      <c r="GN41" s="135">
        <f t="shared" si="169"/>
        <v>0</v>
      </c>
      <c r="GO41" s="136">
        <f t="shared" si="171"/>
        <v>0</v>
      </c>
      <c r="GP41" s="135">
        <f t="shared" si="169"/>
        <v>0</v>
      </c>
      <c r="GQ41" s="136">
        <f t="shared" si="172"/>
        <v>0</v>
      </c>
      <c r="GR41" s="135">
        <f t="shared" si="173"/>
        <v>0</v>
      </c>
      <c r="GS41" s="136">
        <f t="shared" si="174"/>
        <v>0</v>
      </c>
      <c r="GT41" s="135">
        <f t="shared" si="175"/>
        <v>0</v>
      </c>
      <c r="GU41" s="136">
        <f t="shared" si="176"/>
        <v>0</v>
      </c>
      <c r="GV41" s="135">
        <f t="shared" si="177"/>
        <v>0</v>
      </c>
      <c r="GW41" s="136">
        <f t="shared" si="178"/>
        <v>0</v>
      </c>
      <c r="GX41" s="135">
        <f t="shared" si="179"/>
        <v>0</v>
      </c>
      <c r="GY41" s="136">
        <f t="shared" si="180"/>
        <v>0</v>
      </c>
      <c r="GZ41" s="135">
        <f t="shared" si="181"/>
        <v>0</v>
      </c>
      <c r="HA41" s="136">
        <f t="shared" si="182"/>
        <v>0</v>
      </c>
      <c r="HB41" s="135">
        <f t="shared" si="183"/>
        <v>0</v>
      </c>
      <c r="HC41" s="136">
        <f t="shared" si="184"/>
        <v>0</v>
      </c>
      <c r="HD41" s="135">
        <f t="shared" si="185"/>
        <v>0</v>
      </c>
      <c r="HE41" s="136">
        <f t="shared" si="186"/>
        <v>0</v>
      </c>
      <c r="HF41" s="135">
        <f t="shared" si="187"/>
        <v>0</v>
      </c>
      <c r="HG41" s="136">
        <f t="shared" si="188"/>
        <v>0</v>
      </c>
      <c r="HH41" s="138">
        <f t="shared" si="189"/>
        <v>0</v>
      </c>
      <c r="HI41" s="139">
        <f t="shared" si="47"/>
        <v>0</v>
      </c>
      <c r="HK41" s="132">
        <v>615.47</v>
      </c>
      <c r="HL41" s="133">
        <v>1</v>
      </c>
      <c r="HM41" s="501">
        <f t="shared" ref="HM41:HM47" si="441">+HL41*HK41*G41</f>
        <v>18185005.317005955</v>
      </c>
      <c r="HN41" s="135">
        <v>0</v>
      </c>
      <c r="HO41" s="320">
        <f t="shared" si="191"/>
        <v>0</v>
      </c>
      <c r="HP41" s="135">
        <v>0</v>
      </c>
      <c r="HQ41" s="136">
        <f t="shared" si="193"/>
        <v>0</v>
      </c>
      <c r="HR41" s="135">
        <f t="shared" si="192"/>
        <v>615.47</v>
      </c>
      <c r="HS41" s="136">
        <f t="shared" si="193"/>
        <v>18185005.317005955</v>
      </c>
      <c r="HT41" s="135">
        <f t="shared" si="192"/>
        <v>615.47</v>
      </c>
      <c r="HU41" s="136">
        <f t="shared" si="194"/>
        <v>18185005.317005955</v>
      </c>
      <c r="HV41" s="135">
        <f t="shared" si="192"/>
        <v>615.47</v>
      </c>
      <c r="HW41" s="136">
        <f t="shared" si="195"/>
        <v>18185005.317005955</v>
      </c>
      <c r="HX41" s="135">
        <f t="shared" si="196"/>
        <v>615.47</v>
      </c>
      <c r="HY41" s="136">
        <f t="shared" si="197"/>
        <v>18185005.317005955</v>
      </c>
      <c r="HZ41" s="135">
        <f t="shared" si="198"/>
        <v>615.47</v>
      </c>
      <c r="IA41" s="136">
        <f t="shared" si="199"/>
        <v>18185005.317005955</v>
      </c>
      <c r="IB41" s="135">
        <f t="shared" si="200"/>
        <v>615.47</v>
      </c>
      <c r="IC41" s="136">
        <f t="shared" si="201"/>
        <v>18185005.317005955</v>
      </c>
      <c r="ID41" s="135">
        <f t="shared" si="202"/>
        <v>615.47</v>
      </c>
      <c r="IE41" s="136">
        <f t="shared" si="203"/>
        <v>18185005.317005955</v>
      </c>
      <c r="IF41" s="135">
        <f t="shared" si="204"/>
        <v>615.47</v>
      </c>
      <c r="IG41" s="136">
        <f t="shared" si="205"/>
        <v>18185005.317005955</v>
      </c>
      <c r="IH41" s="135">
        <f t="shared" si="206"/>
        <v>615.47</v>
      </c>
      <c r="II41" s="136">
        <f t="shared" si="207"/>
        <v>18185005.317005955</v>
      </c>
      <c r="IJ41" s="135">
        <f t="shared" si="208"/>
        <v>615.47</v>
      </c>
      <c r="IK41" s="136">
        <f t="shared" si="209"/>
        <v>18185005.317005955</v>
      </c>
      <c r="IL41" s="138">
        <f t="shared" si="210"/>
        <v>6154.7000000000016</v>
      </c>
      <c r="IM41" s="139">
        <f t="shared" si="211"/>
        <v>181850053.17005959</v>
      </c>
      <c r="IO41" s="132"/>
      <c r="IP41" s="133"/>
      <c r="IQ41" s="141">
        <f t="shared" ref="IQ41:IQ48" si="442">+IO41*G41*IP41</f>
        <v>0</v>
      </c>
      <c r="IR41" s="135">
        <f t="shared" si="212"/>
        <v>0</v>
      </c>
      <c r="IS41" s="136">
        <f t="shared" si="213"/>
        <v>0</v>
      </c>
      <c r="IT41" s="135">
        <f t="shared" si="401"/>
        <v>0</v>
      </c>
      <c r="IU41" s="320">
        <f t="shared" si="214"/>
        <v>0</v>
      </c>
      <c r="IV41" s="135">
        <f t="shared" si="402"/>
        <v>0</v>
      </c>
      <c r="IW41" s="320">
        <f t="shared" si="214"/>
        <v>0</v>
      </c>
      <c r="IX41" s="135">
        <f t="shared" si="403"/>
        <v>0</v>
      </c>
      <c r="IY41" s="320">
        <f t="shared" si="215"/>
        <v>0</v>
      </c>
      <c r="IZ41" s="135">
        <f t="shared" si="404"/>
        <v>0</v>
      </c>
      <c r="JA41" s="320">
        <f t="shared" si="216"/>
        <v>0</v>
      </c>
      <c r="JB41" s="135">
        <f t="shared" si="405"/>
        <v>0</v>
      </c>
      <c r="JC41" s="320">
        <f t="shared" si="217"/>
        <v>0</v>
      </c>
      <c r="JD41" s="135">
        <f t="shared" si="218"/>
        <v>0</v>
      </c>
      <c r="JE41" s="320">
        <f t="shared" si="219"/>
        <v>0</v>
      </c>
      <c r="JF41" s="135">
        <f t="shared" si="406"/>
        <v>0</v>
      </c>
      <c r="JG41" s="320">
        <f t="shared" si="220"/>
        <v>0</v>
      </c>
      <c r="JH41" s="135">
        <f t="shared" si="221"/>
        <v>0</v>
      </c>
      <c r="JI41" s="320">
        <f t="shared" si="222"/>
        <v>0</v>
      </c>
      <c r="JJ41" s="135">
        <f t="shared" si="407"/>
        <v>0</v>
      </c>
      <c r="JK41" s="320">
        <f t="shared" si="223"/>
        <v>0</v>
      </c>
      <c r="JL41" s="135">
        <f t="shared" si="224"/>
        <v>0</v>
      </c>
      <c r="JM41" s="320">
        <f t="shared" si="225"/>
        <v>0</v>
      </c>
      <c r="JN41" s="135">
        <f t="shared" si="408"/>
        <v>0</v>
      </c>
      <c r="JO41" s="320">
        <f t="shared" si="226"/>
        <v>0</v>
      </c>
      <c r="JP41" s="138">
        <f t="shared" si="227"/>
        <v>0</v>
      </c>
      <c r="JQ41" s="139">
        <f t="shared" si="228"/>
        <v>0</v>
      </c>
      <c r="JS41" s="132"/>
      <c r="JT41" s="133">
        <v>1</v>
      </c>
      <c r="JU41" s="141">
        <f t="shared" ref="JU41:JU48" si="443">+JT41*JS41*G41</f>
        <v>0</v>
      </c>
      <c r="JV41" s="135">
        <f t="shared" si="229"/>
        <v>0</v>
      </c>
      <c r="JW41" s="136">
        <f t="shared" si="230"/>
        <v>0</v>
      </c>
      <c r="JX41" s="367"/>
      <c r="JY41" s="136">
        <f t="shared" si="231"/>
        <v>0</v>
      </c>
      <c r="JZ41" s="367"/>
      <c r="KA41" s="136">
        <f t="shared" si="231"/>
        <v>0</v>
      </c>
      <c r="KB41" s="367"/>
      <c r="KC41" s="136">
        <f t="shared" si="232"/>
        <v>0</v>
      </c>
      <c r="KD41" s="367"/>
      <c r="KE41" s="136">
        <f t="shared" si="233"/>
        <v>0</v>
      </c>
      <c r="KF41" s="367"/>
      <c r="KG41" s="136">
        <f t="shared" si="234"/>
        <v>0</v>
      </c>
      <c r="KH41" s="367"/>
      <c r="KI41" s="136">
        <f t="shared" si="236"/>
        <v>0</v>
      </c>
      <c r="KJ41" s="367"/>
      <c r="KK41" s="136">
        <f t="shared" si="237"/>
        <v>0</v>
      </c>
      <c r="KL41" s="367"/>
      <c r="KM41" s="136">
        <f t="shared" si="239"/>
        <v>0</v>
      </c>
      <c r="KN41" s="367"/>
      <c r="KO41" s="136">
        <f t="shared" si="240"/>
        <v>0</v>
      </c>
      <c r="KP41" s="367"/>
      <c r="KQ41" s="136">
        <f t="shared" si="242"/>
        <v>0</v>
      </c>
      <c r="KR41" s="367"/>
      <c r="KS41" s="137">
        <f t="shared" si="243"/>
        <v>0</v>
      </c>
      <c r="KT41" s="138">
        <f t="shared" si="244"/>
        <v>0</v>
      </c>
      <c r="KU41" s="139">
        <f t="shared" ref="KU41:KU48" si="444">+KT41*G41</f>
        <v>0</v>
      </c>
      <c r="KW41" s="132"/>
      <c r="KX41" s="133"/>
      <c r="KY41" s="134"/>
      <c r="KZ41" s="135">
        <f t="shared" si="271"/>
        <v>0</v>
      </c>
      <c r="LA41" s="136"/>
      <c r="LB41" s="135">
        <f t="shared" si="272"/>
        <v>0</v>
      </c>
      <c r="LC41" s="136">
        <f t="shared" si="246"/>
        <v>0</v>
      </c>
      <c r="LD41" s="135">
        <f t="shared" si="272"/>
        <v>0</v>
      </c>
      <c r="LE41" s="136">
        <f t="shared" si="246"/>
        <v>0</v>
      </c>
      <c r="LF41" s="135">
        <f t="shared" si="272"/>
        <v>0</v>
      </c>
      <c r="LG41" s="136">
        <f t="shared" si="247"/>
        <v>0</v>
      </c>
      <c r="LH41" s="135">
        <f t="shared" si="272"/>
        <v>0</v>
      </c>
      <c r="LI41" s="136">
        <f t="shared" si="248"/>
        <v>0</v>
      </c>
      <c r="LJ41" s="135">
        <f t="shared" si="273"/>
        <v>0</v>
      </c>
      <c r="LK41" s="136">
        <f t="shared" si="249"/>
        <v>0</v>
      </c>
      <c r="LL41" s="135">
        <f t="shared" si="274"/>
        <v>0</v>
      </c>
      <c r="LM41" s="136">
        <f t="shared" si="250"/>
        <v>0</v>
      </c>
      <c r="LN41" s="135">
        <f t="shared" si="275"/>
        <v>0</v>
      </c>
      <c r="LO41" s="136">
        <f t="shared" si="251"/>
        <v>0</v>
      </c>
      <c r="LP41" s="135">
        <f t="shared" si="276"/>
        <v>0</v>
      </c>
      <c r="LQ41" s="136">
        <f t="shared" si="252"/>
        <v>0</v>
      </c>
      <c r="LR41" s="135">
        <f t="shared" si="277"/>
        <v>0</v>
      </c>
      <c r="LS41" s="136">
        <f t="shared" si="253"/>
        <v>0</v>
      </c>
      <c r="LT41" s="135">
        <f t="shared" si="278"/>
        <v>0</v>
      </c>
      <c r="LU41" s="136">
        <f t="shared" si="254"/>
        <v>0</v>
      </c>
      <c r="LV41" s="135">
        <f t="shared" si="279"/>
        <v>0</v>
      </c>
      <c r="LW41" s="136">
        <f t="shared" si="255"/>
        <v>0</v>
      </c>
      <c r="LX41" s="138">
        <f t="shared" si="256"/>
        <v>0</v>
      </c>
      <c r="LY41" s="139">
        <f t="shared" si="257"/>
        <v>0</v>
      </c>
      <c r="MA41" s="144">
        <f t="shared" si="412"/>
        <v>340</v>
      </c>
      <c r="MB41" s="385">
        <f t="shared" si="258"/>
        <v>10045821.579901578</v>
      </c>
      <c r="MC41" s="393">
        <f t="shared" si="413"/>
        <v>340</v>
      </c>
      <c r="MD41" s="385">
        <f t="shared" si="259"/>
        <v>10045821.579901578</v>
      </c>
      <c r="ME41" s="393">
        <f t="shared" si="414"/>
        <v>955.47</v>
      </c>
      <c r="MF41" s="385">
        <f t="shared" si="259"/>
        <v>28230826.896907531</v>
      </c>
      <c r="MG41" s="393">
        <f t="shared" si="415"/>
        <v>955.47</v>
      </c>
      <c r="MH41" s="385">
        <f t="shared" si="260"/>
        <v>28230826.896907531</v>
      </c>
      <c r="MI41" s="393">
        <f t="shared" si="416"/>
        <v>955.47</v>
      </c>
      <c r="MJ41" s="385">
        <f t="shared" si="261"/>
        <v>28230826.896907531</v>
      </c>
      <c r="MK41" s="393">
        <f t="shared" si="417"/>
        <v>955.47</v>
      </c>
      <c r="ML41" s="385">
        <f t="shared" si="262"/>
        <v>28230826.896907531</v>
      </c>
      <c r="MM41" s="393">
        <f t="shared" si="418"/>
        <v>955.47</v>
      </c>
      <c r="MN41" s="385">
        <f t="shared" si="263"/>
        <v>28230826.896907531</v>
      </c>
      <c r="MO41" s="393">
        <f t="shared" si="419"/>
        <v>955.47</v>
      </c>
      <c r="MP41" s="385">
        <f t="shared" si="264"/>
        <v>28230826.896907531</v>
      </c>
      <c r="MQ41" s="393">
        <f t="shared" si="420"/>
        <v>955.47</v>
      </c>
      <c r="MR41" s="385">
        <f t="shared" si="265"/>
        <v>28230826.896907531</v>
      </c>
      <c r="MS41" s="393">
        <f t="shared" si="421"/>
        <v>955.47</v>
      </c>
      <c r="MT41" s="385">
        <f t="shared" si="266"/>
        <v>28230826.896907531</v>
      </c>
      <c r="MU41" s="393">
        <f t="shared" si="422"/>
        <v>955.47</v>
      </c>
      <c r="MV41" s="385">
        <f t="shared" si="267"/>
        <v>28230826.896907531</v>
      </c>
      <c r="MW41" s="393">
        <f t="shared" si="423"/>
        <v>955.47</v>
      </c>
      <c r="MX41" s="385">
        <f t="shared" si="268"/>
        <v>28230826.896907531</v>
      </c>
      <c r="MY41" s="145">
        <f t="shared" si="269"/>
        <v>10234.699999999999</v>
      </c>
      <c r="MZ41" s="146">
        <f t="shared" si="270"/>
        <v>302399912.12887841</v>
      </c>
    </row>
    <row r="42" spans="1:364" s="126" customFormat="1" ht="52.8" x14ac:dyDescent="0.3">
      <c r="A42" s="531"/>
      <c r="B42" s="212">
        <v>3.02</v>
      </c>
      <c r="C42" s="213" t="s">
        <v>104</v>
      </c>
      <c r="D42" s="214" t="s">
        <v>25</v>
      </c>
      <c r="E42" s="17">
        <v>1</v>
      </c>
      <c r="F42" s="350">
        <v>151.83890183890182</v>
      </c>
      <c r="G42" s="350">
        <f t="shared" si="81"/>
        <v>158.16696883363548</v>
      </c>
      <c r="I42" s="149">
        <f>16781+367.57+1.29</f>
        <v>17149.86</v>
      </c>
      <c r="J42" s="150">
        <v>1</v>
      </c>
      <c r="K42" s="151">
        <f t="shared" si="82"/>
        <v>2712541.3721212121</v>
      </c>
      <c r="L42" s="152">
        <f t="shared" si="300"/>
        <v>17149.86</v>
      </c>
      <c r="M42" s="285">
        <f t="shared" ref="M42:M106" si="445">+L42*$G42</f>
        <v>2712541.3721212121</v>
      </c>
      <c r="N42" s="152">
        <f t="shared" si="361"/>
        <v>17149.86</v>
      </c>
      <c r="O42" s="285">
        <f t="shared" ref="O42:Q58" si="446">+N42*$G42</f>
        <v>2712541.3721212121</v>
      </c>
      <c r="P42" s="152">
        <f t="shared" si="362"/>
        <v>17149.86</v>
      </c>
      <c r="Q42" s="285">
        <f t="shared" si="446"/>
        <v>2712541.3721212121</v>
      </c>
      <c r="R42" s="152">
        <f t="shared" si="363"/>
        <v>17149.86</v>
      </c>
      <c r="S42" s="285">
        <f t="shared" si="86"/>
        <v>2712541.3721212121</v>
      </c>
      <c r="T42" s="152">
        <f t="shared" si="364"/>
        <v>17149.86</v>
      </c>
      <c r="U42" s="285">
        <f t="shared" si="87"/>
        <v>2712541.3721212121</v>
      </c>
      <c r="V42" s="152">
        <f t="shared" si="409"/>
        <v>17149.86</v>
      </c>
      <c r="W42" s="285">
        <f t="shared" si="88"/>
        <v>2712541.3721212121</v>
      </c>
      <c r="X42" s="152">
        <f t="shared" si="305"/>
        <v>17149.86</v>
      </c>
      <c r="Y42" s="285">
        <f t="shared" si="89"/>
        <v>2712541.3721212121</v>
      </c>
      <c r="Z42" s="152">
        <f t="shared" si="365"/>
        <v>17149.86</v>
      </c>
      <c r="AA42" s="285">
        <f t="shared" si="90"/>
        <v>2712541.3721212121</v>
      </c>
      <c r="AB42" s="152">
        <f t="shared" si="306"/>
        <v>17149.86</v>
      </c>
      <c r="AC42" s="285">
        <f t="shared" si="91"/>
        <v>2712541.3721212121</v>
      </c>
      <c r="AD42" s="152">
        <f t="shared" si="366"/>
        <v>17149.86</v>
      </c>
      <c r="AE42" s="285">
        <f t="shared" si="92"/>
        <v>2712541.3721212121</v>
      </c>
      <c r="AF42" s="152">
        <f t="shared" si="307"/>
        <v>17149.86</v>
      </c>
      <c r="AG42" s="285">
        <f t="shared" si="308"/>
        <v>2712541.3721212121</v>
      </c>
      <c r="AH42" s="152">
        <f t="shared" si="367"/>
        <v>17149.86</v>
      </c>
      <c r="AI42" s="294">
        <f t="shared" si="309"/>
        <v>2712541.3721212121</v>
      </c>
      <c r="AJ42" s="215">
        <f t="shared" si="94"/>
        <v>205798.31999999995</v>
      </c>
      <c r="AK42" s="307">
        <f t="shared" si="95"/>
        <v>32550496.465454534</v>
      </c>
      <c r="AM42" s="149"/>
      <c r="AN42" s="150">
        <v>1</v>
      </c>
      <c r="AO42" s="157">
        <f t="shared" si="427"/>
        <v>0</v>
      </c>
      <c r="AP42" s="152">
        <f t="shared" si="328"/>
        <v>0</v>
      </c>
      <c r="AQ42" s="285">
        <f t="shared" si="96"/>
        <v>0</v>
      </c>
      <c r="AR42" s="317">
        <f t="shared" si="329"/>
        <v>0</v>
      </c>
      <c r="AS42" s="285">
        <f t="shared" si="96"/>
        <v>0</v>
      </c>
      <c r="AT42" s="317">
        <f t="shared" si="330"/>
        <v>0</v>
      </c>
      <c r="AU42" s="285">
        <f t="shared" si="96"/>
        <v>0</v>
      </c>
      <c r="AV42" s="317">
        <f t="shared" si="331"/>
        <v>0</v>
      </c>
      <c r="AW42" s="285">
        <f t="shared" si="98"/>
        <v>0</v>
      </c>
      <c r="AX42" s="317">
        <f t="shared" si="5"/>
        <v>0</v>
      </c>
      <c r="AY42" s="285">
        <f t="shared" si="99"/>
        <v>0</v>
      </c>
      <c r="AZ42" s="317">
        <f t="shared" si="332"/>
        <v>0</v>
      </c>
      <c r="BA42" s="285">
        <f t="shared" si="100"/>
        <v>0</v>
      </c>
      <c r="BB42" s="317">
        <f t="shared" si="7"/>
        <v>0</v>
      </c>
      <c r="BC42" s="285">
        <f t="shared" si="101"/>
        <v>0</v>
      </c>
      <c r="BD42" s="317">
        <f t="shared" si="333"/>
        <v>0</v>
      </c>
      <c r="BE42" s="285">
        <f t="shared" si="102"/>
        <v>0</v>
      </c>
      <c r="BF42" s="317">
        <f t="shared" si="9"/>
        <v>0</v>
      </c>
      <c r="BG42" s="285">
        <f t="shared" si="103"/>
        <v>0</v>
      </c>
      <c r="BH42" s="317">
        <f t="shared" si="334"/>
        <v>0</v>
      </c>
      <c r="BI42" s="285">
        <f t="shared" si="425"/>
        <v>0</v>
      </c>
      <c r="BJ42" s="317">
        <f t="shared" si="335"/>
        <v>0</v>
      </c>
      <c r="BK42" s="285">
        <f t="shared" si="425"/>
        <v>0</v>
      </c>
      <c r="BL42" s="152">
        <f t="shared" si="428"/>
        <v>0</v>
      </c>
      <c r="BM42" s="296">
        <f t="shared" si="105"/>
        <v>0</v>
      </c>
      <c r="BN42" s="158">
        <f t="shared" si="106"/>
        <v>0</v>
      </c>
      <c r="BO42" s="307">
        <f t="shared" si="410"/>
        <v>0</v>
      </c>
      <c r="BQ42" s="24"/>
      <c r="BR42" s="25"/>
      <c r="BS42" s="160">
        <f t="shared" si="281"/>
        <v>0</v>
      </c>
      <c r="BT42" s="152">
        <f t="shared" si="280"/>
        <v>0</v>
      </c>
      <c r="BU42" s="332">
        <f t="shared" si="107"/>
        <v>0</v>
      </c>
      <c r="BV42" s="152">
        <f t="shared" si="368"/>
        <v>0</v>
      </c>
      <c r="BW42" s="153">
        <f t="shared" si="108"/>
        <v>0</v>
      </c>
      <c r="BX42" s="152">
        <f t="shared" si="369"/>
        <v>0</v>
      </c>
      <c r="BY42" s="153">
        <f t="shared" si="109"/>
        <v>0</v>
      </c>
      <c r="BZ42" s="152">
        <f t="shared" si="370"/>
        <v>0</v>
      </c>
      <c r="CA42" s="153">
        <f t="shared" si="110"/>
        <v>0</v>
      </c>
      <c r="CB42" s="152">
        <f t="shared" si="371"/>
        <v>0</v>
      </c>
      <c r="CC42" s="153">
        <f t="shared" si="111"/>
        <v>0</v>
      </c>
      <c r="CD42" s="152">
        <f t="shared" si="372"/>
        <v>0</v>
      </c>
      <c r="CE42" s="153">
        <f t="shared" si="112"/>
        <v>0</v>
      </c>
      <c r="CF42" s="152">
        <f t="shared" si="113"/>
        <v>0</v>
      </c>
      <c r="CG42" s="153">
        <f t="shared" si="114"/>
        <v>0</v>
      </c>
      <c r="CH42" s="152">
        <f t="shared" si="373"/>
        <v>0</v>
      </c>
      <c r="CI42" s="153">
        <f t="shared" si="115"/>
        <v>0</v>
      </c>
      <c r="CJ42" s="152">
        <f t="shared" si="116"/>
        <v>0</v>
      </c>
      <c r="CK42" s="153">
        <f t="shared" si="117"/>
        <v>0</v>
      </c>
      <c r="CL42" s="152">
        <f t="shared" si="374"/>
        <v>0</v>
      </c>
      <c r="CM42" s="153">
        <f t="shared" si="118"/>
        <v>0</v>
      </c>
      <c r="CN42" s="152">
        <f t="shared" si="119"/>
        <v>0</v>
      </c>
      <c r="CO42" s="153">
        <f t="shared" si="120"/>
        <v>0</v>
      </c>
      <c r="CP42" s="152">
        <f t="shared" si="375"/>
        <v>0</v>
      </c>
      <c r="CQ42" s="154">
        <f t="shared" si="429"/>
        <v>0</v>
      </c>
      <c r="CR42" s="158">
        <f t="shared" si="121"/>
        <v>0</v>
      </c>
      <c r="CS42" s="159">
        <f t="shared" si="430"/>
        <v>0</v>
      </c>
      <c r="CU42" s="24">
        <v>0</v>
      </c>
      <c r="CV42" s="25"/>
      <c r="CW42" s="161">
        <f t="shared" si="299"/>
        <v>0</v>
      </c>
      <c r="CX42" s="152">
        <f t="shared" si="122"/>
        <v>0</v>
      </c>
      <c r="CY42" s="153">
        <f t="shared" si="123"/>
        <v>0</v>
      </c>
      <c r="CZ42" s="152">
        <f t="shared" si="376"/>
        <v>0</v>
      </c>
      <c r="DA42" s="285">
        <f t="shared" si="123"/>
        <v>0</v>
      </c>
      <c r="DB42" s="152">
        <f t="shared" si="377"/>
        <v>0</v>
      </c>
      <c r="DC42" s="285">
        <f t="shared" si="124"/>
        <v>0</v>
      </c>
      <c r="DD42" s="152">
        <f t="shared" si="378"/>
        <v>0</v>
      </c>
      <c r="DE42" s="285">
        <f t="shared" si="125"/>
        <v>0</v>
      </c>
      <c r="DF42" s="152">
        <f t="shared" si="379"/>
        <v>0</v>
      </c>
      <c r="DG42" s="285">
        <f t="shared" si="126"/>
        <v>0</v>
      </c>
      <c r="DH42" s="152">
        <f t="shared" si="380"/>
        <v>0</v>
      </c>
      <c r="DI42" s="285">
        <f t="shared" si="127"/>
        <v>0</v>
      </c>
      <c r="DJ42" s="152">
        <f t="shared" si="128"/>
        <v>0</v>
      </c>
      <c r="DK42" s="285">
        <f t="shared" si="129"/>
        <v>0</v>
      </c>
      <c r="DL42" s="152">
        <f t="shared" si="381"/>
        <v>0</v>
      </c>
      <c r="DM42" s="285">
        <f t="shared" si="130"/>
        <v>0</v>
      </c>
      <c r="DN42" s="152">
        <f t="shared" si="131"/>
        <v>0</v>
      </c>
      <c r="DO42" s="285">
        <f t="shared" si="132"/>
        <v>0</v>
      </c>
      <c r="DP42" s="152">
        <f t="shared" si="382"/>
        <v>0</v>
      </c>
      <c r="DQ42" s="285">
        <f t="shared" si="133"/>
        <v>0</v>
      </c>
      <c r="DR42" s="152">
        <f t="shared" si="134"/>
        <v>0</v>
      </c>
      <c r="DS42" s="285">
        <f t="shared" si="135"/>
        <v>0</v>
      </c>
      <c r="DT42" s="152">
        <f t="shared" si="383"/>
        <v>0</v>
      </c>
      <c r="DU42" s="285">
        <f t="shared" si="136"/>
        <v>0</v>
      </c>
      <c r="DV42" s="158">
        <f t="shared" si="137"/>
        <v>0</v>
      </c>
      <c r="DW42" s="159">
        <f t="shared" si="431"/>
        <v>0</v>
      </c>
      <c r="DY42" s="172">
        <f>8974+1045.15+66.29+678.31+421.29+1117.82+304.08</f>
        <v>12606.94</v>
      </c>
      <c r="DZ42" s="25">
        <v>1</v>
      </c>
      <c r="EA42" s="175">
        <f t="shared" si="432"/>
        <v>1994001.4860675125</v>
      </c>
      <c r="EB42" s="169">
        <v>12606.94</v>
      </c>
      <c r="EC42" s="153">
        <f t="shared" si="139"/>
        <v>1994001.4860675125</v>
      </c>
      <c r="ED42" s="317">
        <v>12606.94</v>
      </c>
      <c r="EE42" s="153">
        <f t="shared" si="139"/>
        <v>1994001.4860675125</v>
      </c>
      <c r="EF42" s="169">
        <v>12606.94</v>
      </c>
      <c r="EG42" s="153">
        <f t="shared" si="426"/>
        <v>1994001.4860675125</v>
      </c>
      <c r="EH42" s="169">
        <v>12606.94</v>
      </c>
      <c r="EI42" s="153">
        <f t="shared" si="426"/>
        <v>1994001.4860675125</v>
      </c>
      <c r="EJ42" s="169">
        <v>12606.94</v>
      </c>
      <c r="EK42" s="153">
        <f t="shared" si="143"/>
        <v>1994001.4860675125</v>
      </c>
      <c r="EL42" s="169">
        <v>12606.94</v>
      </c>
      <c r="EM42" s="153">
        <f t="shared" si="144"/>
        <v>1994001.4860675125</v>
      </c>
      <c r="EN42" s="169">
        <v>12606.94</v>
      </c>
      <c r="EO42" s="153">
        <f t="shared" si="145"/>
        <v>1994001.4860675125</v>
      </c>
      <c r="EP42" s="169">
        <v>12606.94</v>
      </c>
      <c r="EQ42" s="153">
        <f t="shared" si="146"/>
        <v>1994001.4860675125</v>
      </c>
      <c r="ER42" s="169">
        <v>12606.94</v>
      </c>
      <c r="ES42" s="153">
        <f t="shared" si="147"/>
        <v>1994001.4860675125</v>
      </c>
      <c r="ET42" s="169">
        <v>12606.94</v>
      </c>
      <c r="EU42" s="153">
        <f t="shared" si="148"/>
        <v>1994001.4860675125</v>
      </c>
      <c r="EV42" s="169">
        <v>12606.94</v>
      </c>
      <c r="EW42" s="153">
        <f t="shared" si="149"/>
        <v>1994001.4860675125</v>
      </c>
      <c r="EX42" s="169">
        <v>12606.94</v>
      </c>
      <c r="EY42" s="153">
        <f t="shared" si="150"/>
        <v>1994001.4860675125</v>
      </c>
      <c r="EZ42" s="158">
        <f t="shared" si="151"/>
        <v>151283.28</v>
      </c>
      <c r="FA42" s="159">
        <f t="shared" si="433"/>
        <v>23928017.832810149</v>
      </c>
      <c r="FC42" s="149"/>
      <c r="FD42" s="150"/>
      <c r="FE42" s="161">
        <f t="shared" si="296"/>
        <v>0</v>
      </c>
      <c r="FF42" s="152">
        <f t="shared" si="153"/>
        <v>0</v>
      </c>
      <c r="FG42" s="153">
        <f t="shared" si="154"/>
        <v>0</v>
      </c>
      <c r="FH42" s="368">
        <f t="shared" si="434"/>
        <v>0</v>
      </c>
      <c r="FI42" s="153">
        <f t="shared" si="155"/>
        <v>0</v>
      </c>
      <c r="FJ42" s="368">
        <f t="shared" si="435"/>
        <v>0</v>
      </c>
      <c r="FK42" s="153">
        <f t="shared" si="155"/>
        <v>0</v>
      </c>
      <c r="FL42" s="368">
        <f t="shared" si="436"/>
        <v>0</v>
      </c>
      <c r="FM42" s="153">
        <f t="shared" si="156"/>
        <v>0</v>
      </c>
      <c r="FN42" s="368">
        <f t="shared" si="396"/>
        <v>0</v>
      </c>
      <c r="FO42" s="153">
        <f t="shared" si="157"/>
        <v>0</v>
      </c>
      <c r="FP42" s="368">
        <f t="shared" si="437"/>
        <v>0</v>
      </c>
      <c r="FQ42" s="153">
        <f t="shared" si="158"/>
        <v>0</v>
      </c>
      <c r="FR42" s="368">
        <f t="shared" si="159"/>
        <v>0</v>
      </c>
      <c r="FS42" s="153">
        <f t="shared" si="160"/>
        <v>0</v>
      </c>
      <c r="FT42" s="368">
        <f t="shared" si="438"/>
        <v>0</v>
      </c>
      <c r="FU42" s="153">
        <f t="shared" si="161"/>
        <v>0</v>
      </c>
      <c r="FV42" s="368">
        <f t="shared" si="162"/>
        <v>0</v>
      </c>
      <c r="FW42" s="153">
        <f t="shared" si="163"/>
        <v>0</v>
      </c>
      <c r="FX42" s="368">
        <f t="shared" si="439"/>
        <v>0</v>
      </c>
      <c r="FY42" s="153">
        <f t="shared" si="164"/>
        <v>0</v>
      </c>
      <c r="FZ42" s="368">
        <f t="shared" si="165"/>
        <v>0</v>
      </c>
      <c r="GA42" s="153">
        <f t="shared" si="166"/>
        <v>0</v>
      </c>
      <c r="GB42" s="368">
        <f t="shared" si="440"/>
        <v>0</v>
      </c>
      <c r="GC42" s="153">
        <f t="shared" si="167"/>
        <v>0</v>
      </c>
      <c r="GD42" s="158">
        <f t="shared" si="168"/>
        <v>0</v>
      </c>
      <c r="GE42" s="159">
        <f t="shared" si="411"/>
        <v>0</v>
      </c>
      <c r="GG42" s="158">
        <v>7674.74</v>
      </c>
      <c r="GH42" s="150">
        <v>1</v>
      </c>
      <c r="GI42" s="161">
        <f t="shared" si="297"/>
        <v>1213890.3623862555</v>
      </c>
      <c r="GJ42" s="152">
        <f t="shared" si="169"/>
        <v>7674.74</v>
      </c>
      <c r="GK42" s="153">
        <f t="shared" si="170"/>
        <v>1213890.3623862555</v>
      </c>
      <c r="GL42" s="152">
        <f t="shared" si="169"/>
        <v>7674.74</v>
      </c>
      <c r="GM42" s="153">
        <f t="shared" si="170"/>
        <v>1213890.3623862555</v>
      </c>
      <c r="GN42" s="152">
        <f t="shared" si="169"/>
        <v>7674.74</v>
      </c>
      <c r="GO42" s="153">
        <f t="shared" si="171"/>
        <v>1213890.3623862555</v>
      </c>
      <c r="GP42" s="152">
        <f t="shared" si="169"/>
        <v>7674.74</v>
      </c>
      <c r="GQ42" s="153">
        <f t="shared" si="172"/>
        <v>1213890.3623862555</v>
      </c>
      <c r="GR42" s="152">
        <f t="shared" si="173"/>
        <v>7674.74</v>
      </c>
      <c r="GS42" s="153">
        <f t="shared" si="174"/>
        <v>1213890.3623862555</v>
      </c>
      <c r="GT42" s="152">
        <f t="shared" si="175"/>
        <v>7674.74</v>
      </c>
      <c r="GU42" s="153">
        <f t="shared" si="176"/>
        <v>1213890.3623862555</v>
      </c>
      <c r="GV42" s="152">
        <f t="shared" si="177"/>
        <v>7674.74</v>
      </c>
      <c r="GW42" s="153">
        <f t="shared" si="178"/>
        <v>1213890.3623862555</v>
      </c>
      <c r="GX42" s="152">
        <f t="shared" si="179"/>
        <v>7674.74</v>
      </c>
      <c r="GY42" s="153">
        <f t="shared" si="180"/>
        <v>1213890.3623862555</v>
      </c>
      <c r="GZ42" s="152">
        <f t="shared" si="181"/>
        <v>7674.74</v>
      </c>
      <c r="HA42" s="153">
        <f t="shared" si="182"/>
        <v>1213890.3623862555</v>
      </c>
      <c r="HB42" s="152">
        <f t="shared" si="183"/>
        <v>7674.74</v>
      </c>
      <c r="HC42" s="153">
        <f t="shared" si="184"/>
        <v>1213890.3623862555</v>
      </c>
      <c r="HD42" s="152">
        <f t="shared" si="185"/>
        <v>7674.74</v>
      </c>
      <c r="HE42" s="153">
        <f t="shared" si="186"/>
        <v>1213890.3623862555</v>
      </c>
      <c r="HF42" s="152">
        <f t="shared" si="187"/>
        <v>7674.74</v>
      </c>
      <c r="HG42" s="153">
        <f t="shared" si="188"/>
        <v>1213890.3623862555</v>
      </c>
      <c r="HH42" s="158">
        <f t="shared" si="189"/>
        <v>92096.88</v>
      </c>
      <c r="HI42" s="159">
        <f t="shared" si="47"/>
        <v>14566684.348635068</v>
      </c>
      <c r="HK42" s="149">
        <v>895.27</v>
      </c>
      <c r="HL42" s="150">
        <v>1</v>
      </c>
      <c r="HM42" s="161">
        <f t="shared" si="441"/>
        <v>141602.14218768882</v>
      </c>
      <c r="HN42" s="152">
        <v>0</v>
      </c>
      <c r="HO42" s="153">
        <f t="shared" si="191"/>
        <v>0</v>
      </c>
      <c r="HP42" s="152">
        <v>0</v>
      </c>
      <c r="HQ42" s="153">
        <f t="shared" si="193"/>
        <v>0</v>
      </c>
      <c r="HR42" s="152">
        <f t="shared" si="192"/>
        <v>895.27</v>
      </c>
      <c r="HS42" s="153">
        <f t="shared" si="193"/>
        <v>141602.14218768882</v>
      </c>
      <c r="HT42" s="152">
        <f t="shared" si="192"/>
        <v>895.27</v>
      </c>
      <c r="HU42" s="153">
        <f t="shared" si="194"/>
        <v>141602.14218768882</v>
      </c>
      <c r="HV42" s="152">
        <f t="shared" si="192"/>
        <v>895.27</v>
      </c>
      <c r="HW42" s="153">
        <f t="shared" si="195"/>
        <v>141602.14218768882</v>
      </c>
      <c r="HX42" s="152">
        <f t="shared" si="196"/>
        <v>895.27</v>
      </c>
      <c r="HY42" s="153">
        <f t="shared" si="197"/>
        <v>141602.14218768882</v>
      </c>
      <c r="HZ42" s="152">
        <f t="shared" si="198"/>
        <v>895.27</v>
      </c>
      <c r="IA42" s="153">
        <f t="shared" si="199"/>
        <v>141602.14218768882</v>
      </c>
      <c r="IB42" s="152">
        <f t="shared" si="200"/>
        <v>895.27</v>
      </c>
      <c r="IC42" s="153">
        <f t="shared" si="201"/>
        <v>141602.14218768882</v>
      </c>
      <c r="ID42" s="152">
        <f t="shared" si="202"/>
        <v>895.27</v>
      </c>
      <c r="IE42" s="153">
        <f t="shared" si="203"/>
        <v>141602.14218768882</v>
      </c>
      <c r="IF42" s="152">
        <f t="shared" si="204"/>
        <v>895.27</v>
      </c>
      <c r="IG42" s="153">
        <f t="shared" si="205"/>
        <v>141602.14218768882</v>
      </c>
      <c r="IH42" s="152">
        <f t="shared" si="206"/>
        <v>895.27</v>
      </c>
      <c r="II42" s="153">
        <f t="shared" si="207"/>
        <v>141602.14218768882</v>
      </c>
      <c r="IJ42" s="152">
        <f t="shared" si="208"/>
        <v>895.27</v>
      </c>
      <c r="IK42" s="153">
        <f t="shared" si="209"/>
        <v>141602.14218768882</v>
      </c>
      <c r="IL42" s="158">
        <f t="shared" si="210"/>
        <v>8952.7000000000025</v>
      </c>
      <c r="IM42" s="159">
        <f t="shared" si="211"/>
        <v>1416021.4218768887</v>
      </c>
      <c r="IO42" s="149">
        <v>1881</v>
      </c>
      <c r="IP42" s="150">
        <v>1</v>
      </c>
      <c r="IQ42" s="161">
        <f t="shared" si="442"/>
        <v>297512.06837606832</v>
      </c>
      <c r="IR42" s="152">
        <f t="shared" si="212"/>
        <v>1881</v>
      </c>
      <c r="IS42" s="153">
        <f t="shared" si="213"/>
        <v>297512.06837606832</v>
      </c>
      <c r="IT42" s="152">
        <f t="shared" si="401"/>
        <v>1881</v>
      </c>
      <c r="IU42" s="285">
        <f t="shared" si="214"/>
        <v>297512.06837606832</v>
      </c>
      <c r="IV42" s="152">
        <f t="shared" si="402"/>
        <v>1881</v>
      </c>
      <c r="IW42" s="285">
        <f t="shared" si="214"/>
        <v>297512.06837606832</v>
      </c>
      <c r="IX42" s="152">
        <f t="shared" si="403"/>
        <v>1881</v>
      </c>
      <c r="IY42" s="285">
        <f t="shared" si="215"/>
        <v>297512.06837606832</v>
      </c>
      <c r="IZ42" s="152">
        <f t="shared" si="404"/>
        <v>1881</v>
      </c>
      <c r="JA42" s="285">
        <f t="shared" si="216"/>
        <v>297512.06837606832</v>
      </c>
      <c r="JB42" s="152">
        <f t="shared" si="405"/>
        <v>1881</v>
      </c>
      <c r="JC42" s="285">
        <f t="shared" si="217"/>
        <v>297512.06837606832</v>
      </c>
      <c r="JD42" s="152">
        <f t="shared" si="218"/>
        <v>1881</v>
      </c>
      <c r="JE42" s="285">
        <f t="shared" si="219"/>
        <v>297512.06837606832</v>
      </c>
      <c r="JF42" s="152">
        <f t="shared" si="406"/>
        <v>1881</v>
      </c>
      <c r="JG42" s="285">
        <f t="shared" si="220"/>
        <v>297512.06837606832</v>
      </c>
      <c r="JH42" s="152">
        <f t="shared" si="221"/>
        <v>1881</v>
      </c>
      <c r="JI42" s="285">
        <f t="shared" si="222"/>
        <v>297512.06837606832</v>
      </c>
      <c r="JJ42" s="152">
        <f t="shared" si="407"/>
        <v>1881</v>
      </c>
      <c r="JK42" s="285">
        <f t="shared" si="223"/>
        <v>297512.06837606832</v>
      </c>
      <c r="JL42" s="152">
        <f t="shared" si="224"/>
        <v>1881</v>
      </c>
      <c r="JM42" s="285">
        <f t="shared" si="225"/>
        <v>297512.06837606832</v>
      </c>
      <c r="JN42" s="152">
        <f t="shared" si="408"/>
        <v>1881</v>
      </c>
      <c r="JO42" s="285">
        <f t="shared" si="226"/>
        <v>297512.06837606832</v>
      </c>
      <c r="JP42" s="158">
        <f t="shared" si="227"/>
        <v>22572</v>
      </c>
      <c r="JQ42" s="159">
        <f t="shared" si="228"/>
        <v>3570144.82051282</v>
      </c>
      <c r="JS42" s="149">
        <v>6580</v>
      </c>
      <c r="JT42" s="150">
        <v>1</v>
      </c>
      <c r="JU42" s="161">
        <f t="shared" si="443"/>
        <v>1040738.6549253215</v>
      </c>
      <c r="JV42" s="152">
        <f t="shared" si="229"/>
        <v>6580</v>
      </c>
      <c r="JW42" s="153">
        <f t="shared" si="230"/>
        <v>1040738.6549253215</v>
      </c>
      <c r="JX42" s="368"/>
      <c r="JY42" s="153">
        <f t="shared" si="231"/>
        <v>0</v>
      </c>
      <c r="JZ42" s="368"/>
      <c r="KA42" s="153">
        <f t="shared" si="231"/>
        <v>0</v>
      </c>
      <c r="KB42" s="368"/>
      <c r="KC42" s="153">
        <f t="shared" si="232"/>
        <v>0</v>
      </c>
      <c r="KD42" s="368"/>
      <c r="KE42" s="153">
        <f t="shared" si="233"/>
        <v>0</v>
      </c>
      <c r="KF42" s="368"/>
      <c r="KG42" s="153">
        <f t="shared" si="234"/>
        <v>0</v>
      </c>
      <c r="KH42" s="368"/>
      <c r="KI42" s="153">
        <f t="shared" si="236"/>
        <v>0</v>
      </c>
      <c r="KJ42" s="368"/>
      <c r="KK42" s="153">
        <f t="shared" si="237"/>
        <v>0</v>
      </c>
      <c r="KL42" s="368"/>
      <c r="KM42" s="153">
        <f t="shared" si="239"/>
        <v>0</v>
      </c>
      <c r="KN42" s="368"/>
      <c r="KO42" s="153">
        <f t="shared" si="240"/>
        <v>0</v>
      </c>
      <c r="KP42" s="368"/>
      <c r="KQ42" s="153">
        <f t="shared" si="242"/>
        <v>0</v>
      </c>
      <c r="KR42" s="368"/>
      <c r="KS42" s="154">
        <f t="shared" si="243"/>
        <v>0</v>
      </c>
      <c r="KT42" s="158">
        <f t="shared" si="244"/>
        <v>6580</v>
      </c>
      <c r="KU42" s="159">
        <f t="shared" si="444"/>
        <v>1040738.6549253215</v>
      </c>
      <c r="KW42" s="149"/>
      <c r="KX42" s="150"/>
      <c r="KY42" s="157"/>
      <c r="KZ42" s="152">
        <f t="shared" si="271"/>
        <v>0</v>
      </c>
      <c r="LA42" s="153"/>
      <c r="LB42" s="152">
        <f t="shared" si="272"/>
        <v>0</v>
      </c>
      <c r="LC42" s="153">
        <f t="shared" si="246"/>
        <v>0</v>
      </c>
      <c r="LD42" s="152">
        <f t="shared" si="272"/>
        <v>0</v>
      </c>
      <c r="LE42" s="153">
        <f t="shared" si="246"/>
        <v>0</v>
      </c>
      <c r="LF42" s="152">
        <f t="shared" si="272"/>
        <v>0</v>
      </c>
      <c r="LG42" s="153">
        <f t="shared" si="247"/>
        <v>0</v>
      </c>
      <c r="LH42" s="152">
        <f t="shared" si="272"/>
        <v>0</v>
      </c>
      <c r="LI42" s="153">
        <f t="shared" si="248"/>
        <v>0</v>
      </c>
      <c r="LJ42" s="152">
        <f t="shared" si="273"/>
        <v>0</v>
      </c>
      <c r="LK42" s="153">
        <f t="shared" si="249"/>
        <v>0</v>
      </c>
      <c r="LL42" s="152">
        <f t="shared" si="274"/>
        <v>0</v>
      </c>
      <c r="LM42" s="153">
        <f t="shared" si="250"/>
        <v>0</v>
      </c>
      <c r="LN42" s="152">
        <f t="shared" si="275"/>
        <v>0</v>
      </c>
      <c r="LO42" s="153">
        <f t="shared" si="251"/>
        <v>0</v>
      </c>
      <c r="LP42" s="152">
        <f t="shared" si="276"/>
        <v>0</v>
      </c>
      <c r="LQ42" s="153">
        <f t="shared" si="252"/>
        <v>0</v>
      </c>
      <c r="LR42" s="152">
        <f t="shared" si="277"/>
        <v>0</v>
      </c>
      <c r="LS42" s="153">
        <f t="shared" si="253"/>
        <v>0</v>
      </c>
      <c r="LT42" s="152">
        <f t="shared" si="278"/>
        <v>0</v>
      </c>
      <c r="LU42" s="153">
        <f t="shared" si="254"/>
        <v>0</v>
      </c>
      <c r="LV42" s="152">
        <f t="shared" si="279"/>
        <v>0</v>
      </c>
      <c r="LW42" s="153">
        <f t="shared" si="255"/>
        <v>0</v>
      </c>
      <c r="LX42" s="158">
        <f t="shared" si="256"/>
        <v>0</v>
      </c>
      <c r="LY42" s="159">
        <f t="shared" si="257"/>
        <v>0</v>
      </c>
      <c r="MA42" s="164">
        <f t="shared" si="412"/>
        <v>45892.54</v>
      </c>
      <c r="MB42" s="386">
        <f t="shared" si="258"/>
        <v>7258683.9438763699</v>
      </c>
      <c r="MC42" s="394">
        <f t="shared" si="413"/>
        <v>39312.54</v>
      </c>
      <c r="MD42" s="386">
        <f t="shared" si="259"/>
        <v>6217945.2889510486</v>
      </c>
      <c r="ME42" s="394">
        <f t="shared" si="414"/>
        <v>40207.81</v>
      </c>
      <c r="MF42" s="386">
        <f t="shared" si="259"/>
        <v>6359547.4311387362</v>
      </c>
      <c r="MG42" s="394">
        <f t="shared" si="415"/>
        <v>40207.81</v>
      </c>
      <c r="MH42" s="386">
        <f t="shared" si="260"/>
        <v>6359547.4311387362</v>
      </c>
      <c r="MI42" s="394">
        <f t="shared" si="416"/>
        <v>40207.81</v>
      </c>
      <c r="MJ42" s="386">
        <f t="shared" si="261"/>
        <v>6359547.4311387362</v>
      </c>
      <c r="MK42" s="394">
        <f t="shared" si="417"/>
        <v>40207.81</v>
      </c>
      <c r="ML42" s="386">
        <f t="shared" si="262"/>
        <v>6359547.4311387362</v>
      </c>
      <c r="MM42" s="394">
        <f t="shared" si="418"/>
        <v>40207.81</v>
      </c>
      <c r="MN42" s="386">
        <f t="shared" si="263"/>
        <v>6359547.4311387362</v>
      </c>
      <c r="MO42" s="394">
        <f t="shared" si="419"/>
        <v>40207.81</v>
      </c>
      <c r="MP42" s="386">
        <f t="shared" si="264"/>
        <v>6359547.4311387362</v>
      </c>
      <c r="MQ42" s="394">
        <f t="shared" si="420"/>
        <v>40207.81</v>
      </c>
      <c r="MR42" s="386">
        <f t="shared" si="265"/>
        <v>6359547.4311387362</v>
      </c>
      <c r="MS42" s="394">
        <f t="shared" si="421"/>
        <v>40207.81</v>
      </c>
      <c r="MT42" s="386">
        <f t="shared" si="266"/>
        <v>6359547.4311387362</v>
      </c>
      <c r="MU42" s="394">
        <f t="shared" si="422"/>
        <v>40207.81</v>
      </c>
      <c r="MV42" s="386">
        <f t="shared" si="267"/>
        <v>6359547.4311387362</v>
      </c>
      <c r="MW42" s="394">
        <f t="shared" si="423"/>
        <v>40207.81</v>
      </c>
      <c r="MX42" s="386">
        <f t="shared" si="268"/>
        <v>6359547.4311387362</v>
      </c>
      <c r="MY42" s="165">
        <f t="shared" si="269"/>
        <v>487283.18</v>
      </c>
      <c r="MZ42" s="166">
        <f t="shared" si="270"/>
        <v>77072103.544214785</v>
      </c>
    </row>
    <row r="43" spans="1:364" s="126" customFormat="1" ht="52.8" x14ac:dyDescent="0.3">
      <c r="A43" s="531"/>
      <c r="B43" s="212">
        <v>3.03</v>
      </c>
      <c r="C43" s="213" t="s">
        <v>105</v>
      </c>
      <c r="D43" s="214" t="s">
        <v>25</v>
      </c>
      <c r="E43" s="17">
        <v>1</v>
      </c>
      <c r="F43" s="350">
        <v>1206.7793317793316</v>
      </c>
      <c r="G43" s="350">
        <f t="shared" si="81"/>
        <v>1257.0732970732968</v>
      </c>
      <c r="I43" s="149">
        <f>16781+367.57+1.29</f>
        <v>17149.86</v>
      </c>
      <c r="J43" s="150">
        <v>1</v>
      </c>
      <c r="K43" s="151">
        <f t="shared" si="82"/>
        <v>21558631.054545451</v>
      </c>
      <c r="L43" s="152">
        <f t="shared" si="300"/>
        <v>17149.86</v>
      </c>
      <c r="M43" s="285">
        <f t="shared" si="445"/>
        <v>21558631.054545451</v>
      </c>
      <c r="N43" s="152">
        <f t="shared" si="361"/>
        <v>17149.86</v>
      </c>
      <c r="O43" s="285">
        <f t="shared" si="446"/>
        <v>21558631.054545451</v>
      </c>
      <c r="P43" s="152">
        <f t="shared" si="362"/>
        <v>17149.86</v>
      </c>
      <c r="Q43" s="285">
        <f t="shared" si="446"/>
        <v>21558631.054545451</v>
      </c>
      <c r="R43" s="152">
        <f t="shared" si="363"/>
        <v>17149.86</v>
      </c>
      <c r="S43" s="285">
        <f t="shared" si="86"/>
        <v>21558631.054545451</v>
      </c>
      <c r="T43" s="152">
        <f t="shared" si="364"/>
        <v>17149.86</v>
      </c>
      <c r="U43" s="285">
        <f t="shared" si="87"/>
        <v>21558631.054545451</v>
      </c>
      <c r="V43" s="152">
        <f t="shared" si="409"/>
        <v>17149.86</v>
      </c>
      <c r="W43" s="285">
        <f t="shared" si="88"/>
        <v>21558631.054545451</v>
      </c>
      <c r="X43" s="152">
        <f t="shared" si="305"/>
        <v>17149.86</v>
      </c>
      <c r="Y43" s="285">
        <f t="shared" si="89"/>
        <v>21558631.054545451</v>
      </c>
      <c r="Z43" s="152">
        <f t="shared" si="365"/>
        <v>17149.86</v>
      </c>
      <c r="AA43" s="285">
        <f t="shared" si="90"/>
        <v>21558631.054545451</v>
      </c>
      <c r="AB43" s="152">
        <f t="shared" si="306"/>
        <v>17149.86</v>
      </c>
      <c r="AC43" s="285">
        <f t="shared" si="91"/>
        <v>21558631.054545451</v>
      </c>
      <c r="AD43" s="152">
        <f t="shared" si="366"/>
        <v>17149.86</v>
      </c>
      <c r="AE43" s="285">
        <f t="shared" si="92"/>
        <v>21558631.054545451</v>
      </c>
      <c r="AF43" s="152">
        <f t="shared" si="307"/>
        <v>17149.86</v>
      </c>
      <c r="AG43" s="285">
        <f t="shared" si="308"/>
        <v>21558631.054545451</v>
      </c>
      <c r="AH43" s="152">
        <f t="shared" si="367"/>
        <v>17149.86</v>
      </c>
      <c r="AI43" s="294">
        <f t="shared" si="309"/>
        <v>21558631.054545451</v>
      </c>
      <c r="AJ43" s="215">
        <f t="shared" si="94"/>
        <v>205798.31999999995</v>
      </c>
      <c r="AK43" s="307">
        <f t="shared" si="95"/>
        <v>258703572.65454534</v>
      </c>
      <c r="AM43" s="149">
        <v>0</v>
      </c>
      <c r="AN43" s="150">
        <v>1</v>
      </c>
      <c r="AO43" s="157">
        <f t="shared" si="427"/>
        <v>0</v>
      </c>
      <c r="AP43" s="152">
        <f t="shared" si="328"/>
        <v>0</v>
      </c>
      <c r="AQ43" s="285">
        <f t="shared" si="96"/>
        <v>0</v>
      </c>
      <c r="AR43" s="317">
        <f t="shared" si="329"/>
        <v>0</v>
      </c>
      <c r="AS43" s="285">
        <f t="shared" si="96"/>
        <v>0</v>
      </c>
      <c r="AT43" s="317">
        <f t="shared" si="330"/>
        <v>0</v>
      </c>
      <c r="AU43" s="285">
        <f t="shared" si="96"/>
        <v>0</v>
      </c>
      <c r="AV43" s="317">
        <f t="shared" si="331"/>
        <v>0</v>
      </c>
      <c r="AW43" s="285">
        <f t="shared" si="98"/>
        <v>0</v>
      </c>
      <c r="AX43" s="317">
        <f t="shared" si="5"/>
        <v>0</v>
      </c>
      <c r="AY43" s="285">
        <f t="shared" si="99"/>
        <v>0</v>
      </c>
      <c r="AZ43" s="317">
        <f t="shared" si="332"/>
        <v>0</v>
      </c>
      <c r="BA43" s="285">
        <f t="shared" si="100"/>
        <v>0</v>
      </c>
      <c r="BB43" s="317">
        <f t="shared" si="7"/>
        <v>0</v>
      </c>
      <c r="BC43" s="285">
        <f t="shared" si="101"/>
        <v>0</v>
      </c>
      <c r="BD43" s="317">
        <f t="shared" si="333"/>
        <v>0</v>
      </c>
      <c r="BE43" s="285">
        <f t="shared" si="102"/>
        <v>0</v>
      </c>
      <c r="BF43" s="317">
        <f t="shared" si="9"/>
        <v>0</v>
      </c>
      <c r="BG43" s="285">
        <f t="shared" si="103"/>
        <v>0</v>
      </c>
      <c r="BH43" s="317">
        <f t="shared" si="334"/>
        <v>0</v>
      </c>
      <c r="BI43" s="285">
        <f t="shared" si="425"/>
        <v>0</v>
      </c>
      <c r="BJ43" s="317">
        <f t="shared" si="335"/>
        <v>0</v>
      </c>
      <c r="BK43" s="285">
        <f t="shared" si="425"/>
        <v>0</v>
      </c>
      <c r="BL43" s="152">
        <f t="shared" si="428"/>
        <v>0</v>
      </c>
      <c r="BM43" s="296">
        <f t="shared" si="105"/>
        <v>0</v>
      </c>
      <c r="BN43" s="158">
        <f t="shared" si="106"/>
        <v>0</v>
      </c>
      <c r="BO43" s="307">
        <f t="shared" si="410"/>
        <v>0</v>
      </c>
      <c r="BQ43" s="24">
        <v>3852</v>
      </c>
      <c r="BR43" s="25">
        <v>1</v>
      </c>
      <c r="BS43" s="160">
        <f t="shared" si="281"/>
        <v>4842246.340326339</v>
      </c>
      <c r="BT43" s="152">
        <f t="shared" si="280"/>
        <v>3852</v>
      </c>
      <c r="BU43" s="332">
        <f t="shared" si="107"/>
        <v>4842246.340326339</v>
      </c>
      <c r="BV43" s="152">
        <f t="shared" si="368"/>
        <v>3852</v>
      </c>
      <c r="BW43" s="153">
        <f t="shared" si="108"/>
        <v>4842246.340326339</v>
      </c>
      <c r="BX43" s="152">
        <f t="shared" si="369"/>
        <v>3852</v>
      </c>
      <c r="BY43" s="153">
        <f t="shared" si="109"/>
        <v>4842246.340326339</v>
      </c>
      <c r="BZ43" s="152">
        <f t="shared" si="370"/>
        <v>3852</v>
      </c>
      <c r="CA43" s="153">
        <f t="shared" si="110"/>
        <v>4842246.340326339</v>
      </c>
      <c r="CB43" s="152">
        <f t="shared" si="371"/>
        <v>3852</v>
      </c>
      <c r="CC43" s="153">
        <f t="shared" si="111"/>
        <v>4842246.340326339</v>
      </c>
      <c r="CD43" s="152">
        <f t="shared" si="372"/>
        <v>3852</v>
      </c>
      <c r="CE43" s="153">
        <f t="shared" si="112"/>
        <v>4842246.340326339</v>
      </c>
      <c r="CF43" s="152">
        <f t="shared" si="113"/>
        <v>3852</v>
      </c>
      <c r="CG43" s="153">
        <f t="shared" si="114"/>
        <v>4842246.340326339</v>
      </c>
      <c r="CH43" s="152">
        <f t="shared" si="373"/>
        <v>3852</v>
      </c>
      <c r="CI43" s="153">
        <f t="shared" si="115"/>
        <v>4842246.340326339</v>
      </c>
      <c r="CJ43" s="152">
        <f t="shared" si="116"/>
        <v>3852</v>
      </c>
      <c r="CK43" s="153">
        <f t="shared" si="117"/>
        <v>4842246.340326339</v>
      </c>
      <c r="CL43" s="152">
        <f t="shared" si="374"/>
        <v>3852</v>
      </c>
      <c r="CM43" s="153">
        <f t="shared" si="118"/>
        <v>4842246.340326339</v>
      </c>
      <c r="CN43" s="152">
        <f t="shared" si="119"/>
        <v>3852</v>
      </c>
      <c r="CO43" s="153">
        <f t="shared" si="120"/>
        <v>4842246.340326339</v>
      </c>
      <c r="CP43" s="152">
        <f t="shared" si="375"/>
        <v>3852</v>
      </c>
      <c r="CQ43" s="154">
        <f t="shared" si="429"/>
        <v>4842246.340326339</v>
      </c>
      <c r="CR43" s="158">
        <f t="shared" si="121"/>
        <v>46224</v>
      </c>
      <c r="CS43" s="159">
        <f t="shared" si="430"/>
        <v>58106956.083916068</v>
      </c>
      <c r="CU43" s="24">
        <v>3555</v>
      </c>
      <c r="CV43" s="25">
        <v>1</v>
      </c>
      <c r="CW43" s="161">
        <f t="shared" si="299"/>
        <v>4468895.57109557</v>
      </c>
      <c r="CX43" s="152">
        <f t="shared" si="122"/>
        <v>3555</v>
      </c>
      <c r="CY43" s="153">
        <f t="shared" si="123"/>
        <v>4468895.57109557</v>
      </c>
      <c r="CZ43" s="152">
        <f t="shared" si="376"/>
        <v>3555</v>
      </c>
      <c r="DA43" s="285">
        <f t="shared" si="123"/>
        <v>4468895.57109557</v>
      </c>
      <c r="DB43" s="152">
        <f t="shared" si="377"/>
        <v>3555</v>
      </c>
      <c r="DC43" s="285">
        <f t="shared" si="124"/>
        <v>4468895.57109557</v>
      </c>
      <c r="DD43" s="152">
        <f t="shared" si="378"/>
        <v>3555</v>
      </c>
      <c r="DE43" s="285">
        <f t="shared" si="125"/>
        <v>4468895.57109557</v>
      </c>
      <c r="DF43" s="152">
        <f t="shared" si="379"/>
        <v>3555</v>
      </c>
      <c r="DG43" s="285">
        <f t="shared" si="126"/>
        <v>4468895.57109557</v>
      </c>
      <c r="DH43" s="152">
        <f t="shared" si="380"/>
        <v>3555</v>
      </c>
      <c r="DI43" s="285">
        <f t="shared" si="127"/>
        <v>4468895.57109557</v>
      </c>
      <c r="DJ43" s="152">
        <f t="shared" si="128"/>
        <v>3555</v>
      </c>
      <c r="DK43" s="285">
        <f t="shared" si="129"/>
        <v>4468895.57109557</v>
      </c>
      <c r="DL43" s="152">
        <f t="shared" si="381"/>
        <v>3555</v>
      </c>
      <c r="DM43" s="285">
        <f t="shared" si="130"/>
        <v>4468895.57109557</v>
      </c>
      <c r="DN43" s="152">
        <f t="shared" si="131"/>
        <v>3555</v>
      </c>
      <c r="DO43" s="285">
        <f t="shared" si="132"/>
        <v>4468895.57109557</v>
      </c>
      <c r="DP43" s="152">
        <f t="shared" si="382"/>
        <v>3555</v>
      </c>
      <c r="DQ43" s="285">
        <f t="shared" si="133"/>
        <v>4468895.57109557</v>
      </c>
      <c r="DR43" s="152">
        <f t="shared" si="134"/>
        <v>3555</v>
      </c>
      <c r="DS43" s="285">
        <f t="shared" si="135"/>
        <v>4468895.57109557</v>
      </c>
      <c r="DT43" s="152">
        <f t="shared" si="383"/>
        <v>3555</v>
      </c>
      <c r="DU43" s="285">
        <f t="shared" si="136"/>
        <v>4468895.57109557</v>
      </c>
      <c r="DV43" s="158">
        <f t="shared" si="137"/>
        <v>42660</v>
      </c>
      <c r="DW43" s="159">
        <f t="shared" si="431"/>
        <v>53626746.853146844</v>
      </c>
      <c r="DY43" s="172">
        <f>8974+1045.15+66.29+678.31+421.29+1117.82+304.08</f>
        <v>12606.94</v>
      </c>
      <c r="DZ43" s="25">
        <v>1</v>
      </c>
      <c r="EA43" s="175">
        <f t="shared" si="432"/>
        <v>15847847.631805228</v>
      </c>
      <c r="EB43" s="169">
        <v>12606.94</v>
      </c>
      <c r="EC43" s="153">
        <f t="shared" si="139"/>
        <v>15847847.631805228</v>
      </c>
      <c r="ED43" s="317">
        <v>12606.94</v>
      </c>
      <c r="EE43" s="153">
        <f t="shared" si="139"/>
        <v>15847847.631805228</v>
      </c>
      <c r="EF43" s="169">
        <v>12606.94</v>
      </c>
      <c r="EG43" s="153">
        <f t="shared" si="426"/>
        <v>15847847.631805228</v>
      </c>
      <c r="EH43" s="169">
        <v>12606.94</v>
      </c>
      <c r="EI43" s="153">
        <f t="shared" si="426"/>
        <v>15847847.631805228</v>
      </c>
      <c r="EJ43" s="169">
        <v>12606.94</v>
      </c>
      <c r="EK43" s="153">
        <f t="shared" si="143"/>
        <v>15847847.631805228</v>
      </c>
      <c r="EL43" s="169">
        <v>12606.94</v>
      </c>
      <c r="EM43" s="153">
        <f t="shared" si="144"/>
        <v>15847847.631805228</v>
      </c>
      <c r="EN43" s="169">
        <v>12606.94</v>
      </c>
      <c r="EO43" s="153">
        <f t="shared" si="145"/>
        <v>15847847.631805228</v>
      </c>
      <c r="EP43" s="169">
        <v>12606.94</v>
      </c>
      <c r="EQ43" s="153">
        <f t="shared" si="146"/>
        <v>15847847.631805228</v>
      </c>
      <c r="ER43" s="169">
        <v>12606.94</v>
      </c>
      <c r="ES43" s="153">
        <f t="shared" si="147"/>
        <v>15847847.631805228</v>
      </c>
      <c r="ET43" s="169">
        <v>12606.94</v>
      </c>
      <c r="EU43" s="153">
        <f t="shared" si="148"/>
        <v>15847847.631805228</v>
      </c>
      <c r="EV43" s="169">
        <v>12606.94</v>
      </c>
      <c r="EW43" s="153">
        <f t="shared" si="149"/>
        <v>15847847.631805228</v>
      </c>
      <c r="EX43" s="169">
        <v>12606.94</v>
      </c>
      <c r="EY43" s="153">
        <f t="shared" si="150"/>
        <v>15847847.631805228</v>
      </c>
      <c r="EZ43" s="158">
        <f t="shared" si="151"/>
        <v>151283.28</v>
      </c>
      <c r="FA43" s="159">
        <f t="shared" si="433"/>
        <v>190174171.58166274</v>
      </c>
      <c r="FC43" s="149">
        <f>6726.14+3377+163+749.6+588.58+2.56+52.56</f>
        <v>11659.439999999999</v>
      </c>
      <c r="FD43" s="150">
        <v>1</v>
      </c>
      <c r="FE43" s="161">
        <f t="shared" si="296"/>
        <v>14656770.682828277</v>
      </c>
      <c r="FF43" s="152">
        <f t="shared" si="153"/>
        <v>11659.439999999999</v>
      </c>
      <c r="FG43" s="153">
        <f t="shared" si="154"/>
        <v>14656770.682828277</v>
      </c>
      <c r="FH43" s="368">
        <f t="shared" si="434"/>
        <v>11659.439999999999</v>
      </c>
      <c r="FI43" s="153">
        <f t="shared" si="155"/>
        <v>14656770.682828277</v>
      </c>
      <c r="FJ43" s="368">
        <f t="shared" si="435"/>
        <v>11659.439999999999</v>
      </c>
      <c r="FK43" s="153">
        <f t="shared" si="155"/>
        <v>14656770.682828277</v>
      </c>
      <c r="FL43" s="368">
        <f t="shared" si="436"/>
        <v>11659.439999999999</v>
      </c>
      <c r="FM43" s="153">
        <f t="shared" si="156"/>
        <v>14656770.682828277</v>
      </c>
      <c r="FN43" s="368">
        <f t="shared" si="396"/>
        <v>11659.439999999999</v>
      </c>
      <c r="FO43" s="153">
        <f t="shared" si="157"/>
        <v>14656770.682828277</v>
      </c>
      <c r="FP43" s="368">
        <f t="shared" si="437"/>
        <v>11659.439999999999</v>
      </c>
      <c r="FQ43" s="153">
        <f t="shared" si="158"/>
        <v>14656770.682828277</v>
      </c>
      <c r="FR43" s="368">
        <f t="shared" si="159"/>
        <v>11659.439999999999</v>
      </c>
      <c r="FS43" s="153">
        <f t="shared" si="160"/>
        <v>14656770.682828277</v>
      </c>
      <c r="FT43" s="368">
        <f t="shared" si="438"/>
        <v>11659.439999999999</v>
      </c>
      <c r="FU43" s="153">
        <f t="shared" si="161"/>
        <v>14656770.682828277</v>
      </c>
      <c r="FV43" s="368">
        <f t="shared" si="162"/>
        <v>11659.439999999999</v>
      </c>
      <c r="FW43" s="153">
        <f t="shared" si="163"/>
        <v>14656770.682828277</v>
      </c>
      <c r="FX43" s="368">
        <f t="shared" si="439"/>
        <v>11659.439999999999</v>
      </c>
      <c r="FY43" s="153">
        <f t="shared" si="164"/>
        <v>14656770.682828277</v>
      </c>
      <c r="FZ43" s="368">
        <f t="shared" si="165"/>
        <v>11659.439999999999</v>
      </c>
      <c r="GA43" s="153">
        <f t="shared" si="166"/>
        <v>14656770.682828277</v>
      </c>
      <c r="GB43" s="368">
        <f t="shared" si="440"/>
        <v>11659.439999999999</v>
      </c>
      <c r="GC43" s="153">
        <f t="shared" si="167"/>
        <v>14656770.682828277</v>
      </c>
      <c r="GD43" s="158">
        <f t="shared" si="168"/>
        <v>139913.28</v>
      </c>
      <c r="GE43" s="159">
        <f t="shared" si="411"/>
        <v>175881248.19393936</v>
      </c>
      <c r="GG43" s="158">
        <v>8568.0499999999993</v>
      </c>
      <c r="GH43" s="150">
        <v>1</v>
      </c>
      <c r="GI43" s="161">
        <f t="shared" si="297"/>
        <v>10770666.862988859</v>
      </c>
      <c r="GJ43" s="152">
        <f t="shared" si="169"/>
        <v>8568.0499999999993</v>
      </c>
      <c r="GK43" s="153">
        <f t="shared" si="170"/>
        <v>10770666.862988859</v>
      </c>
      <c r="GL43" s="152">
        <f t="shared" si="169"/>
        <v>8568.0499999999993</v>
      </c>
      <c r="GM43" s="153">
        <f t="shared" si="170"/>
        <v>10770666.862988859</v>
      </c>
      <c r="GN43" s="152">
        <f t="shared" si="169"/>
        <v>8568.0499999999993</v>
      </c>
      <c r="GO43" s="153">
        <f t="shared" si="171"/>
        <v>10770666.862988859</v>
      </c>
      <c r="GP43" s="152">
        <f t="shared" si="169"/>
        <v>8568.0499999999993</v>
      </c>
      <c r="GQ43" s="153">
        <f t="shared" si="172"/>
        <v>10770666.862988859</v>
      </c>
      <c r="GR43" s="152">
        <f t="shared" si="173"/>
        <v>8568.0499999999993</v>
      </c>
      <c r="GS43" s="153">
        <f t="shared" si="174"/>
        <v>10770666.862988859</v>
      </c>
      <c r="GT43" s="152">
        <f t="shared" si="175"/>
        <v>8568.0499999999993</v>
      </c>
      <c r="GU43" s="153">
        <f t="shared" si="176"/>
        <v>10770666.862988859</v>
      </c>
      <c r="GV43" s="152">
        <f t="shared" si="177"/>
        <v>8568.0499999999993</v>
      </c>
      <c r="GW43" s="153">
        <f t="shared" si="178"/>
        <v>10770666.862988859</v>
      </c>
      <c r="GX43" s="152">
        <f t="shared" si="179"/>
        <v>8568.0499999999993</v>
      </c>
      <c r="GY43" s="153">
        <f t="shared" si="180"/>
        <v>10770666.862988859</v>
      </c>
      <c r="GZ43" s="152">
        <f t="shared" si="181"/>
        <v>8568.0499999999993</v>
      </c>
      <c r="HA43" s="153">
        <f t="shared" si="182"/>
        <v>10770666.862988859</v>
      </c>
      <c r="HB43" s="152">
        <f t="shared" si="183"/>
        <v>8568.0499999999993</v>
      </c>
      <c r="HC43" s="153">
        <f t="shared" si="184"/>
        <v>10770666.862988859</v>
      </c>
      <c r="HD43" s="152">
        <f t="shared" si="185"/>
        <v>8568.0499999999993</v>
      </c>
      <c r="HE43" s="153">
        <f t="shared" si="186"/>
        <v>10770666.862988859</v>
      </c>
      <c r="HF43" s="152">
        <f t="shared" si="187"/>
        <v>8568.0499999999993</v>
      </c>
      <c r="HG43" s="153">
        <f t="shared" si="188"/>
        <v>10770666.862988859</v>
      </c>
      <c r="HH43" s="158">
        <f t="shared" si="189"/>
        <v>102816.60000000002</v>
      </c>
      <c r="HI43" s="159">
        <f t="shared" si="47"/>
        <v>129248002.35586636</v>
      </c>
      <c r="HK43" s="149">
        <v>3943.35</v>
      </c>
      <c r="HL43" s="150">
        <v>1</v>
      </c>
      <c r="HM43" s="161">
        <f t="shared" si="441"/>
        <v>4957079.9860139843</v>
      </c>
      <c r="HN43" s="152">
        <v>0</v>
      </c>
      <c r="HO43" s="153">
        <f t="shared" si="191"/>
        <v>0</v>
      </c>
      <c r="HP43" s="152">
        <v>0</v>
      </c>
      <c r="HQ43" s="153">
        <f t="shared" si="193"/>
        <v>0</v>
      </c>
      <c r="HR43" s="152">
        <f t="shared" si="192"/>
        <v>3943.35</v>
      </c>
      <c r="HS43" s="153">
        <f t="shared" si="193"/>
        <v>4957079.9860139843</v>
      </c>
      <c r="HT43" s="152">
        <f t="shared" si="192"/>
        <v>3943.35</v>
      </c>
      <c r="HU43" s="153">
        <f t="shared" si="194"/>
        <v>4957079.9860139843</v>
      </c>
      <c r="HV43" s="152">
        <f t="shared" si="192"/>
        <v>3943.35</v>
      </c>
      <c r="HW43" s="153">
        <f t="shared" si="195"/>
        <v>4957079.9860139843</v>
      </c>
      <c r="HX43" s="152">
        <f t="shared" si="196"/>
        <v>3943.35</v>
      </c>
      <c r="HY43" s="153">
        <f t="shared" si="197"/>
        <v>4957079.9860139843</v>
      </c>
      <c r="HZ43" s="152">
        <f t="shared" si="198"/>
        <v>3943.35</v>
      </c>
      <c r="IA43" s="153">
        <f t="shared" si="199"/>
        <v>4957079.9860139843</v>
      </c>
      <c r="IB43" s="152">
        <f t="shared" si="200"/>
        <v>3943.35</v>
      </c>
      <c r="IC43" s="153">
        <f t="shared" si="201"/>
        <v>4957079.9860139843</v>
      </c>
      <c r="ID43" s="152">
        <f t="shared" si="202"/>
        <v>3943.35</v>
      </c>
      <c r="IE43" s="153">
        <f t="shared" si="203"/>
        <v>4957079.9860139843</v>
      </c>
      <c r="IF43" s="152">
        <f t="shared" si="204"/>
        <v>3943.35</v>
      </c>
      <c r="IG43" s="153">
        <f t="shared" si="205"/>
        <v>4957079.9860139843</v>
      </c>
      <c r="IH43" s="152">
        <f t="shared" si="206"/>
        <v>3943.35</v>
      </c>
      <c r="II43" s="153">
        <f t="shared" si="207"/>
        <v>4957079.9860139843</v>
      </c>
      <c r="IJ43" s="152">
        <f t="shared" si="208"/>
        <v>3943.35</v>
      </c>
      <c r="IK43" s="153">
        <f t="shared" si="209"/>
        <v>4957079.9860139843</v>
      </c>
      <c r="IL43" s="158">
        <f t="shared" si="210"/>
        <v>39433.499999999993</v>
      </c>
      <c r="IM43" s="159">
        <f t="shared" si="211"/>
        <v>49570799.860139839</v>
      </c>
      <c r="IO43" s="149">
        <v>1881</v>
      </c>
      <c r="IP43" s="150">
        <v>1</v>
      </c>
      <c r="IQ43" s="161">
        <f t="shared" si="442"/>
        <v>2364554.8717948711</v>
      </c>
      <c r="IR43" s="152">
        <f t="shared" si="212"/>
        <v>1881</v>
      </c>
      <c r="IS43" s="153">
        <f t="shared" si="213"/>
        <v>2364554.8717948711</v>
      </c>
      <c r="IT43" s="152">
        <f t="shared" si="401"/>
        <v>1881</v>
      </c>
      <c r="IU43" s="285">
        <f t="shared" si="214"/>
        <v>2364554.8717948711</v>
      </c>
      <c r="IV43" s="152">
        <f t="shared" si="402"/>
        <v>1881</v>
      </c>
      <c r="IW43" s="285">
        <f t="shared" si="214"/>
        <v>2364554.8717948711</v>
      </c>
      <c r="IX43" s="152">
        <f t="shared" si="403"/>
        <v>1881</v>
      </c>
      <c r="IY43" s="285">
        <f t="shared" si="215"/>
        <v>2364554.8717948711</v>
      </c>
      <c r="IZ43" s="152">
        <f t="shared" si="404"/>
        <v>1881</v>
      </c>
      <c r="JA43" s="285">
        <f t="shared" si="216"/>
        <v>2364554.8717948711</v>
      </c>
      <c r="JB43" s="152">
        <f t="shared" si="405"/>
        <v>1881</v>
      </c>
      <c r="JC43" s="285">
        <f t="shared" si="217"/>
        <v>2364554.8717948711</v>
      </c>
      <c r="JD43" s="152">
        <f t="shared" si="218"/>
        <v>1881</v>
      </c>
      <c r="JE43" s="285">
        <f t="shared" si="219"/>
        <v>2364554.8717948711</v>
      </c>
      <c r="JF43" s="152">
        <f t="shared" si="406"/>
        <v>1881</v>
      </c>
      <c r="JG43" s="285">
        <f t="shared" si="220"/>
        <v>2364554.8717948711</v>
      </c>
      <c r="JH43" s="152">
        <f t="shared" si="221"/>
        <v>1881</v>
      </c>
      <c r="JI43" s="285">
        <f t="shared" si="222"/>
        <v>2364554.8717948711</v>
      </c>
      <c r="JJ43" s="152">
        <f t="shared" si="407"/>
        <v>1881</v>
      </c>
      <c r="JK43" s="285">
        <f t="shared" si="223"/>
        <v>2364554.8717948711</v>
      </c>
      <c r="JL43" s="152">
        <f t="shared" si="224"/>
        <v>1881</v>
      </c>
      <c r="JM43" s="285">
        <f t="shared" si="225"/>
        <v>2364554.8717948711</v>
      </c>
      <c r="JN43" s="152">
        <f t="shared" si="408"/>
        <v>1881</v>
      </c>
      <c r="JO43" s="285">
        <f t="shared" si="226"/>
        <v>2364554.8717948711</v>
      </c>
      <c r="JP43" s="158">
        <f t="shared" si="227"/>
        <v>22572</v>
      </c>
      <c r="JQ43" s="159">
        <f t="shared" si="228"/>
        <v>28374658.461538456</v>
      </c>
      <c r="JS43" s="149">
        <v>6580</v>
      </c>
      <c r="JT43" s="150">
        <v>1</v>
      </c>
      <c r="JU43" s="161">
        <f t="shared" si="443"/>
        <v>8271542.2947422927</v>
      </c>
      <c r="JV43" s="152">
        <f t="shared" si="229"/>
        <v>6580</v>
      </c>
      <c r="JW43" s="153">
        <f t="shared" si="230"/>
        <v>8271542.2947422927</v>
      </c>
      <c r="JX43" s="368"/>
      <c r="JY43" s="153">
        <f t="shared" si="231"/>
        <v>0</v>
      </c>
      <c r="JZ43" s="368"/>
      <c r="KA43" s="153">
        <f t="shared" si="231"/>
        <v>0</v>
      </c>
      <c r="KB43" s="368"/>
      <c r="KC43" s="153">
        <f t="shared" si="232"/>
        <v>0</v>
      </c>
      <c r="KD43" s="368"/>
      <c r="KE43" s="153">
        <f t="shared" si="233"/>
        <v>0</v>
      </c>
      <c r="KF43" s="368"/>
      <c r="KG43" s="153">
        <f t="shared" si="234"/>
        <v>0</v>
      </c>
      <c r="KH43" s="368"/>
      <c r="KI43" s="153">
        <f t="shared" si="236"/>
        <v>0</v>
      </c>
      <c r="KJ43" s="368"/>
      <c r="KK43" s="153">
        <f t="shared" si="237"/>
        <v>0</v>
      </c>
      <c r="KL43" s="368"/>
      <c r="KM43" s="153">
        <f t="shared" si="239"/>
        <v>0</v>
      </c>
      <c r="KN43" s="368"/>
      <c r="KO43" s="153">
        <f t="shared" si="240"/>
        <v>0</v>
      </c>
      <c r="KP43" s="368"/>
      <c r="KQ43" s="153">
        <f t="shared" si="242"/>
        <v>0</v>
      </c>
      <c r="KR43" s="368"/>
      <c r="KS43" s="154">
        <f t="shared" si="243"/>
        <v>0</v>
      </c>
      <c r="KT43" s="158">
        <f t="shared" si="244"/>
        <v>6580</v>
      </c>
      <c r="KU43" s="159">
        <f t="shared" si="444"/>
        <v>8271542.2947422927</v>
      </c>
      <c r="KW43" s="149"/>
      <c r="KX43" s="150"/>
      <c r="KY43" s="157"/>
      <c r="KZ43" s="152">
        <f t="shared" si="271"/>
        <v>0</v>
      </c>
      <c r="LA43" s="153"/>
      <c r="LB43" s="152">
        <f t="shared" si="272"/>
        <v>0</v>
      </c>
      <c r="LC43" s="153">
        <f t="shared" si="246"/>
        <v>0</v>
      </c>
      <c r="LD43" s="152">
        <f t="shared" si="272"/>
        <v>0</v>
      </c>
      <c r="LE43" s="153">
        <f t="shared" si="246"/>
        <v>0</v>
      </c>
      <c r="LF43" s="152">
        <f t="shared" si="272"/>
        <v>0</v>
      </c>
      <c r="LG43" s="153">
        <f t="shared" si="247"/>
        <v>0</v>
      </c>
      <c r="LH43" s="152">
        <f t="shared" si="272"/>
        <v>0</v>
      </c>
      <c r="LI43" s="153">
        <f t="shared" si="248"/>
        <v>0</v>
      </c>
      <c r="LJ43" s="152">
        <f t="shared" si="273"/>
        <v>0</v>
      </c>
      <c r="LK43" s="153">
        <f t="shared" si="249"/>
        <v>0</v>
      </c>
      <c r="LL43" s="152">
        <f t="shared" si="274"/>
        <v>0</v>
      </c>
      <c r="LM43" s="153">
        <f t="shared" si="250"/>
        <v>0</v>
      </c>
      <c r="LN43" s="152">
        <f t="shared" si="275"/>
        <v>0</v>
      </c>
      <c r="LO43" s="153">
        <f t="shared" si="251"/>
        <v>0</v>
      </c>
      <c r="LP43" s="152">
        <f t="shared" si="276"/>
        <v>0</v>
      </c>
      <c r="LQ43" s="153">
        <f t="shared" si="252"/>
        <v>0</v>
      </c>
      <c r="LR43" s="152">
        <f t="shared" si="277"/>
        <v>0</v>
      </c>
      <c r="LS43" s="153">
        <f t="shared" si="253"/>
        <v>0</v>
      </c>
      <c r="LT43" s="152">
        <f t="shared" si="278"/>
        <v>0</v>
      </c>
      <c r="LU43" s="153">
        <f t="shared" si="254"/>
        <v>0</v>
      </c>
      <c r="LV43" s="152">
        <f t="shared" si="279"/>
        <v>0</v>
      </c>
      <c r="LW43" s="153">
        <f t="shared" si="255"/>
        <v>0</v>
      </c>
      <c r="LX43" s="158">
        <f t="shared" si="256"/>
        <v>0</v>
      </c>
      <c r="LY43" s="159">
        <f t="shared" si="257"/>
        <v>0</v>
      </c>
      <c r="MA43" s="164">
        <f t="shared" si="412"/>
        <v>65852.290000000008</v>
      </c>
      <c r="MB43" s="386">
        <f t="shared" si="258"/>
        <v>82781155.310126901</v>
      </c>
      <c r="MC43" s="394">
        <f t="shared" si="413"/>
        <v>59272.290000000008</v>
      </c>
      <c r="MD43" s="386">
        <f t="shared" si="259"/>
        <v>74509613.015384614</v>
      </c>
      <c r="ME43" s="394">
        <f t="shared" si="414"/>
        <v>63215.640000000007</v>
      </c>
      <c r="MF43" s="386">
        <f t="shared" si="259"/>
        <v>79466693.001398593</v>
      </c>
      <c r="MG43" s="394">
        <f t="shared" si="415"/>
        <v>63215.640000000007</v>
      </c>
      <c r="MH43" s="386">
        <f t="shared" si="260"/>
        <v>79466693.001398593</v>
      </c>
      <c r="MI43" s="394">
        <f t="shared" si="416"/>
        <v>63215.640000000007</v>
      </c>
      <c r="MJ43" s="386">
        <f t="shared" si="261"/>
        <v>79466693.001398593</v>
      </c>
      <c r="MK43" s="394">
        <f t="shared" si="417"/>
        <v>63215.640000000007</v>
      </c>
      <c r="ML43" s="386">
        <f t="shared" si="262"/>
        <v>79466693.001398593</v>
      </c>
      <c r="MM43" s="394">
        <f t="shared" si="418"/>
        <v>63215.640000000007</v>
      </c>
      <c r="MN43" s="386">
        <f t="shared" si="263"/>
        <v>79466693.001398593</v>
      </c>
      <c r="MO43" s="394">
        <f t="shared" si="419"/>
        <v>63215.640000000007</v>
      </c>
      <c r="MP43" s="386">
        <f t="shared" si="264"/>
        <v>79466693.001398593</v>
      </c>
      <c r="MQ43" s="394">
        <f t="shared" si="420"/>
        <v>63215.640000000007</v>
      </c>
      <c r="MR43" s="386">
        <f t="shared" si="265"/>
        <v>79466693.001398593</v>
      </c>
      <c r="MS43" s="394">
        <f t="shared" si="421"/>
        <v>63215.640000000007</v>
      </c>
      <c r="MT43" s="386">
        <f t="shared" si="266"/>
        <v>79466693.001398593</v>
      </c>
      <c r="MU43" s="394">
        <f t="shared" si="422"/>
        <v>63215.640000000007</v>
      </c>
      <c r="MV43" s="386">
        <f t="shared" si="267"/>
        <v>79466693.001398593</v>
      </c>
      <c r="MW43" s="394">
        <f t="shared" si="423"/>
        <v>63215.640000000007</v>
      </c>
      <c r="MX43" s="386">
        <f t="shared" si="268"/>
        <v>79466693.001398593</v>
      </c>
      <c r="MY43" s="165">
        <f t="shared" si="269"/>
        <v>757280.9800000001</v>
      </c>
      <c r="MZ43" s="166">
        <f t="shared" si="270"/>
        <v>951957698.33949745</v>
      </c>
    </row>
    <row r="44" spans="1:364" s="126" customFormat="1" ht="39.6" x14ac:dyDescent="0.3">
      <c r="A44" s="531"/>
      <c r="B44" s="212">
        <v>3.04</v>
      </c>
      <c r="C44" s="213" t="s">
        <v>106</v>
      </c>
      <c r="D44" s="214" t="s">
        <v>28</v>
      </c>
      <c r="E44" s="17">
        <v>1</v>
      </c>
      <c r="F44" s="350">
        <v>499.7086247086246</v>
      </c>
      <c r="G44" s="350">
        <f t="shared" si="81"/>
        <v>520.53457653457644</v>
      </c>
      <c r="I44" s="149">
        <f>16781+367.57+1.29</f>
        <v>17149.86</v>
      </c>
      <c r="J44" s="150">
        <v>1</v>
      </c>
      <c r="K44" s="151">
        <f t="shared" si="82"/>
        <v>8927095.1127272714</v>
      </c>
      <c r="L44" s="152">
        <f t="shared" si="300"/>
        <v>17149.86</v>
      </c>
      <c r="M44" s="285">
        <f t="shared" si="445"/>
        <v>8927095.1127272714</v>
      </c>
      <c r="N44" s="152">
        <f t="shared" si="361"/>
        <v>17149.86</v>
      </c>
      <c r="O44" s="285">
        <f t="shared" si="446"/>
        <v>8927095.1127272714</v>
      </c>
      <c r="P44" s="152">
        <f t="shared" si="362"/>
        <v>17149.86</v>
      </c>
      <c r="Q44" s="285">
        <f t="shared" si="446"/>
        <v>8927095.1127272714</v>
      </c>
      <c r="R44" s="152">
        <f t="shared" si="363"/>
        <v>17149.86</v>
      </c>
      <c r="S44" s="285">
        <f t="shared" si="86"/>
        <v>8927095.1127272714</v>
      </c>
      <c r="T44" s="152">
        <f t="shared" si="364"/>
        <v>17149.86</v>
      </c>
      <c r="U44" s="285">
        <f t="shared" si="87"/>
        <v>8927095.1127272714</v>
      </c>
      <c r="V44" s="152">
        <f t="shared" si="409"/>
        <v>17149.86</v>
      </c>
      <c r="W44" s="285">
        <f t="shared" si="88"/>
        <v>8927095.1127272714</v>
      </c>
      <c r="X44" s="152">
        <f t="shared" si="305"/>
        <v>17149.86</v>
      </c>
      <c r="Y44" s="285">
        <f t="shared" si="89"/>
        <v>8927095.1127272714</v>
      </c>
      <c r="Z44" s="152">
        <f t="shared" si="365"/>
        <v>17149.86</v>
      </c>
      <c r="AA44" s="285">
        <f t="shared" si="90"/>
        <v>8927095.1127272714</v>
      </c>
      <c r="AB44" s="152">
        <f t="shared" si="306"/>
        <v>17149.86</v>
      </c>
      <c r="AC44" s="285">
        <f t="shared" si="91"/>
        <v>8927095.1127272714</v>
      </c>
      <c r="AD44" s="152">
        <f t="shared" si="366"/>
        <v>17149.86</v>
      </c>
      <c r="AE44" s="285">
        <f t="shared" si="92"/>
        <v>8927095.1127272714</v>
      </c>
      <c r="AF44" s="152">
        <f t="shared" si="307"/>
        <v>17149.86</v>
      </c>
      <c r="AG44" s="285">
        <f t="shared" si="308"/>
        <v>8927095.1127272714</v>
      </c>
      <c r="AH44" s="152">
        <f t="shared" si="367"/>
        <v>17149.86</v>
      </c>
      <c r="AI44" s="294">
        <f t="shared" si="309"/>
        <v>8927095.1127272714</v>
      </c>
      <c r="AJ44" s="215">
        <f t="shared" si="94"/>
        <v>205798.31999999995</v>
      </c>
      <c r="AK44" s="307">
        <f t="shared" si="95"/>
        <v>107125141.35272723</v>
      </c>
      <c r="AM44" s="149">
        <v>0</v>
      </c>
      <c r="AN44" s="150">
        <v>1</v>
      </c>
      <c r="AO44" s="157">
        <f t="shared" si="427"/>
        <v>0</v>
      </c>
      <c r="AP44" s="152">
        <f t="shared" si="328"/>
        <v>0</v>
      </c>
      <c r="AQ44" s="285">
        <f t="shared" si="96"/>
        <v>0</v>
      </c>
      <c r="AR44" s="317">
        <f t="shared" si="329"/>
        <v>0</v>
      </c>
      <c r="AS44" s="285">
        <f t="shared" si="96"/>
        <v>0</v>
      </c>
      <c r="AT44" s="317">
        <f t="shared" si="330"/>
        <v>0</v>
      </c>
      <c r="AU44" s="285">
        <f t="shared" si="96"/>
        <v>0</v>
      </c>
      <c r="AV44" s="317">
        <f t="shared" si="331"/>
        <v>0</v>
      </c>
      <c r="AW44" s="285">
        <f t="shared" si="98"/>
        <v>0</v>
      </c>
      <c r="AX44" s="317">
        <f t="shared" si="5"/>
        <v>0</v>
      </c>
      <c r="AY44" s="285">
        <f t="shared" si="99"/>
        <v>0</v>
      </c>
      <c r="AZ44" s="317">
        <f t="shared" si="332"/>
        <v>0</v>
      </c>
      <c r="BA44" s="285">
        <f t="shared" si="100"/>
        <v>0</v>
      </c>
      <c r="BB44" s="317">
        <f t="shared" si="7"/>
        <v>0</v>
      </c>
      <c r="BC44" s="285">
        <f t="shared" si="101"/>
        <v>0</v>
      </c>
      <c r="BD44" s="317">
        <f t="shared" si="333"/>
        <v>0</v>
      </c>
      <c r="BE44" s="285">
        <f t="shared" si="102"/>
        <v>0</v>
      </c>
      <c r="BF44" s="317">
        <f t="shared" si="9"/>
        <v>0</v>
      </c>
      <c r="BG44" s="285">
        <f t="shared" si="103"/>
        <v>0</v>
      </c>
      <c r="BH44" s="317">
        <f t="shared" si="334"/>
        <v>0</v>
      </c>
      <c r="BI44" s="285">
        <f t="shared" si="425"/>
        <v>0</v>
      </c>
      <c r="BJ44" s="317">
        <f t="shared" si="335"/>
        <v>0</v>
      </c>
      <c r="BK44" s="285">
        <f t="shared" si="425"/>
        <v>0</v>
      </c>
      <c r="BL44" s="152">
        <f t="shared" si="428"/>
        <v>0</v>
      </c>
      <c r="BM44" s="296">
        <f t="shared" si="105"/>
        <v>0</v>
      </c>
      <c r="BN44" s="158">
        <f t="shared" si="106"/>
        <v>0</v>
      </c>
      <c r="BO44" s="307">
        <f t="shared" si="410"/>
        <v>0</v>
      </c>
      <c r="BQ44" s="26">
        <v>3852</v>
      </c>
      <c r="BR44" s="25">
        <v>2</v>
      </c>
      <c r="BS44" s="174">
        <f t="shared" si="281"/>
        <v>4010198.3776223771</v>
      </c>
      <c r="BT44" s="152">
        <f t="shared" si="280"/>
        <v>7704</v>
      </c>
      <c r="BU44" s="332">
        <f t="shared" si="107"/>
        <v>4010198.3776223771</v>
      </c>
      <c r="BV44" s="152">
        <f t="shared" si="368"/>
        <v>7704</v>
      </c>
      <c r="BW44" s="153">
        <f t="shared" si="108"/>
        <v>4010198.3776223771</v>
      </c>
      <c r="BX44" s="152">
        <f t="shared" si="369"/>
        <v>7704</v>
      </c>
      <c r="BY44" s="153">
        <f t="shared" si="109"/>
        <v>4010198.3776223771</v>
      </c>
      <c r="BZ44" s="152">
        <f t="shared" si="370"/>
        <v>7704</v>
      </c>
      <c r="CA44" s="153">
        <f t="shared" si="110"/>
        <v>4010198.3776223771</v>
      </c>
      <c r="CB44" s="152">
        <f t="shared" si="371"/>
        <v>7704</v>
      </c>
      <c r="CC44" s="153">
        <f t="shared" si="111"/>
        <v>4010198.3776223771</v>
      </c>
      <c r="CD44" s="152">
        <f t="shared" si="372"/>
        <v>7704</v>
      </c>
      <c r="CE44" s="153">
        <f t="shared" si="112"/>
        <v>4010198.3776223771</v>
      </c>
      <c r="CF44" s="152">
        <f t="shared" si="113"/>
        <v>7704</v>
      </c>
      <c r="CG44" s="153">
        <f t="shared" si="114"/>
        <v>4010198.3776223771</v>
      </c>
      <c r="CH44" s="152">
        <f t="shared" si="373"/>
        <v>7704</v>
      </c>
      <c r="CI44" s="153">
        <f t="shared" si="115"/>
        <v>4010198.3776223771</v>
      </c>
      <c r="CJ44" s="152">
        <f t="shared" si="116"/>
        <v>7704</v>
      </c>
      <c r="CK44" s="153">
        <f t="shared" si="117"/>
        <v>4010198.3776223771</v>
      </c>
      <c r="CL44" s="152">
        <f t="shared" si="374"/>
        <v>7704</v>
      </c>
      <c r="CM44" s="153">
        <f t="shared" si="118"/>
        <v>4010198.3776223771</v>
      </c>
      <c r="CN44" s="152">
        <f t="shared" si="119"/>
        <v>7704</v>
      </c>
      <c r="CO44" s="153">
        <f t="shared" si="120"/>
        <v>4010198.3776223771</v>
      </c>
      <c r="CP44" s="152">
        <f t="shared" si="375"/>
        <v>7704</v>
      </c>
      <c r="CQ44" s="154">
        <f t="shared" si="429"/>
        <v>4010198.3776223771</v>
      </c>
      <c r="CR44" s="158">
        <f t="shared" si="121"/>
        <v>92448</v>
      </c>
      <c r="CS44" s="159">
        <f t="shared" si="430"/>
        <v>48122380.531468526</v>
      </c>
      <c r="CU44" s="26">
        <f>+CU43</f>
        <v>3555</v>
      </c>
      <c r="CV44" s="25">
        <v>2</v>
      </c>
      <c r="CW44" s="175">
        <f t="shared" si="299"/>
        <v>3701000.8391608386</v>
      </c>
      <c r="CX44" s="152">
        <f t="shared" si="122"/>
        <v>7110</v>
      </c>
      <c r="CY44" s="153">
        <f t="shared" si="123"/>
        <v>3701000.8391608386</v>
      </c>
      <c r="CZ44" s="152">
        <f t="shared" si="376"/>
        <v>7110</v>
      </c>
      <c r="DA44" s="285">
        <f t="shared" si="123"/>
        <v>3701000.8391608386</v>
      </c>
      <c r="DB44" s="152">
        <f t="shared" si="377"/>
        <v>7110</v>
      </c>
      <c r="DC44" s="285">
        <f t="shared" si="124"/>
        <v>3701000.8391608386</v>
      </c>
      <c r="DD44" s="152">
        <f t="shared" si="378"/>
        <v>7110</v>
      </c>
      <c r="DE44" s="285">
        <f t="shared" si="125"/>
        <v>3701000.8391608386</v>
      </c>
      <c r="DF44" s="152">
        <f t="shared" si="379"/>
        <v>7110</v>
      </c>
      <c r="DG44" s="285">
        <f t="shared" si="126"/>
        <v>3701000.8391608386</v>
      </c>
      <c r="DH44" s="152">
        <f t="shared" si="380"/>
        <v>7110</v>
      </c>
      <c r="DI44" s="285">
        <f t="shared" si="127"/>
        <v>3701000.8391608386</v>
      </c>
      <c r="DJ44" s="152">
        <f t="shared" si="128"/>
        <v>7110</v>
      </c>
      <c r="DK44" s="285">
        <f t="shared" si="129"/>
        <v>3701000.8391608386</v>
      </c>
      <c r="DL44" s="152">
        <f t="shared" si="381"/>
        <v>7110</v>
      </c>
      <c r="DM44" s="285">
        <f t="shared" si="130"/>
        <v>3701000.8391608386</v>
      </c>
      <c r="DN44" s="152">
        <f t="shared" si="131"/>
        <v>7110</v>
      </c>
      <c r="DO44" s="285">
        <f t="shared" si="132"/>
        <v>3701000.8391608386</v>
      </c>
      <c r="DP44" s="152">
        <f t="shared" si="382"/>
        <v>7110</v>
      </c>
      <c r="DQ44" s="285">
        <f t="shared" si="133"/>
        <v>3701000.8391608386</v>
      </c>
      <c r="DR44" s="152">
        <f t="shared" si="134"/>
        <v>7110</v>
      </c>
      <c r="DS44" s="285">
        <f t="shared" si="135"/>
        <v>3701000.8391608386</v>
      </c>
      <c r="DT44" s="152">
        <f t="shared" si="383"/>
        <v>7110</v>
      </c>
      <c r="DU44" s="285">
        <f t="shared" si="136"/>
        <v>3701000.8391608386</v>
      </c>
      <c r="DV44" s="158">
        <f t="shared" si="137"/>
        <v>85320</v>
      </c>
      <c r="DW44" s="159">
        <f t="shared" si="431"/>
        <v>44412010.069930062</v>
      </c>
      <c r="DY44" s="172">
        <f>8974+1045.15+66.29+678.31+421.29+1117.82+304.08</f>
        <v>12606.94</v>
      </c>
      <c r="DZ44" s="25">
        <v>1</v>
      </c>
      <c r="EA44" s="175">
        <f t="shared" si="432"/>
        <v>6562348.1742968131</v>
      </c>
      <c r="EB44" s="169">
        <v>12606.94</v>
      </c>
      <c r="EC44" s="153">
        <f t="shared" si="139"/>
        <v>6562348.1742968131</v>
      </c>
      <c r="ED44" s="317">
        <v>12606.94</v>
      </c>
      <c r="EE44" s="153">
        <f t="shared" si="139"/>
        <v>6562348.1742968131</v>
      </c>
      <c r="EF44" s="169">
        <v>12606.94</v>
      </c>
      <c r="EG44" s="153">
        <f t="shared" si="426"/>
        <v>6562348.1742968131</v>
      </c>
      <c r="EH44" s="169">
        <v>12606.94</v>
      </c>
      <c r="EI44" s="153">
        <f t="shared" si="426"/>
        <v>6562348.1742968131</v>
      </c>
      <c r="EJ44" s="169">
        <v>12606.94</v>
      </c>
      <c r="EK44" s="153">
        <f t="shared" si="143"/>
        <v>6562348.1742968131</v>
      </c>
      <c r="EL44" s="169">
        <v>12606.94</v>
      </c>
      <c r="EM44" s="153">
        <f t="shared" si="144"/>
        <v>6562348.1742968131</v>
      </c>
      <c r="EN44" s="169">
        <v>12606.94</v>
      </c>
      <c r="EO44" s="153">
        <f t="shared" si="145"/>
        <v>6562348.1742968131</v>
      </c>
      <c r="EP44" s="169">
        <v>12606.94</v>
      </c>
      <c r="EQ44" s="153">
        <f t="shared" si="146"/>
        <v>6562348.1742968131</v>
      </c>
      <c r="ER44" s="169">
        <v>12606.94</v>
      </c>
      <c r="ES44" s="153">
        <f t="shared" si="147"/>
        <v>6562348.1742968131</v>
      </c>
      <c r="ET44" s="169">
        <v>12606.94</v>
      </c>
      <c r="EU44" s="153">
        <f t="shared" si="148"/>
        <v>6562348.1742968131</v>
      </c>
      <c r="EV44" s="169">
        <v>12606.94</v>
      </c>
      <c r="EW44" s="153">
        <f t="shared" si="149"/>
        <v>6562348.1742968131</v>
      </c>
      <c r="EX44" s="169">
        <v>12606.94</v>
      </c>
      <c r="EY44" s="153">
        <f t="shared" si="150"/>
        <v>6562348.1742968131</v>
      </c>
      <c r="EZ44" s="158">
        <f t="shared" si="151"/>
        <v>151283.28</v>
      </c>
      <c r="FA44" s="159">
        <f t="shared" si="433"/>
        <v>78748178.091561764</v>
      </c>
      <c r="FC44" s="149">
        <f>6726.14+3377+865+749.6</f>
        <v>11717.74</v>
      </c>
      <c r="FD44" s="150">
        <v>1</v>
      </c>
      <c r="FE44" s="161">
        <f t="shared" si="296"/>
        <v>6099488.8288422674</v>
      </c>
      <c r="FF44" s="152">
        <f t="shared" si="153"/>
        <v>11717.74</v>
      </c>
      <c r="FG44" s="153">
        <f t="shared" si="154"/>
        <v>6099488.8288422674</v>
      </c>
      <c r="FH44" s="368">
        <f t="shared" si="434"/>
        <v>11717.74</v>
      </c>
      <c r="FI44" s="153">
        <f t="shared" si="155"/>
        <v>6099488.8288422674</v>
      </c>
      <c r="FJ44" s="368">
        <f t="shared" si="435"/>
        <v>11717.74</v>
      </c>
      <c r="FK44" s="153">
        <f t="shared" si="155"/>
        <v>6099488.8288422674</v>
      </c>
      <c r="FL44" s="368">
        <f t="shared" si="436"/>
        <v>11717.74</v>
      </c>
      <c r="FM44" s="153">
        <f t="shared" si="156"/>
        <v>6099488.8288422674</v>
      </c>
      <c r="FN44" s="368">
        <f t="shared" si="396"/>
        <v>11717.74</v>
      </c>
      <c r="FO44" s="153">
        <f t="shared" si="157"/>
        <v>6099488.8288422674</v>
      </c>
      <c r="FP44" s="368">
        <f t="shared" si="437"/>
        <v>11717.74</v>
      </c>
      <c r="FQ44" s="153">
        <f t="shared" si="158"/>
        <v>6099488.8288422674</v>
      </c>
      <c r="FR44" s="368">
        <f t="shared" si="159"/>
        <v>11717.74</v>
      </c>
      <c r="FS44" s="153">
        <f t="shared" si="160"/>
        <v>6099488.8288422674</v>
      </c>
      <c r="FT44" s="368">
        <f t="shared" si="438"/>
        <v>11717.74</v>
      </c>
      <c r="FU44" s="153">
        <f t="shared" si="161"/>
        <v>6099488.8288422674</v>
      </c>
      <c r="FV44" s="368">
        <f t="shared" si="162"/>
        <v>11717.74</v>
      </c>
      <c r="FW44" s="153">
        <f t="shared" si="163"/>
        <v>6099488.8288422674</v>
      </c>
      <c r="FX44" s="368">
        <f t="shared" si="439"/>
        <v>11717.74</v>
      </c>
      <c r="FY44" s="153">
        <f t="shared" si="164"/>
        <v>6099488.8288422674</v>
      </c>
      <c r="FZ44" s="368">
        <f t="shared" si="165"/>
        <v>11717.74</v>
      </c>
      <c r="GA44" s="153">
        <f t="shared" si="166"/>
        <v>6099488.8288422674</v>
      </c>
      <c r="GB44" s="368">
        <f t="shared" si="440"/>
        <v>11717.74</v>
      </c>
      <c r="GC44" s="153">
        <f t="shared" si="167"/>
        <v>6099488.8288422674</v>
      </c>
      <c r="GD44" s="158">
        <f t="shared" si="168"/>
        <v>140612.88000000003</v>
      </c>
      <c r="GE44" s="159">
        <f t="shared" si="411"/>
        <v>73193865.946107224</v>
      </c>
      <c r="GG44" s="158">
        <v>2983.1</v>
      </c>
      <c r="GH44" s="150">
        <v>1</v>
      </c>
      <c r="GI44" s="161">
        <f t="shared" si="297"/>
        <v>1552806.6952602949</v>
      </c>
      <c r="GJ44" s="152">
        <f t="shared" si="169"/>
        <v>2983.1</v>
      </c>
      <c r="GK44" s="153">
        <f t="shared" si="170"/>
        <v>1552806.6952602949</v>
      </c>
      <c r="GL44" s="152">
        <f t="shared" si="169"/>
        <v>2983.1</v>
      </c>
      <c r="GM44" s="153">
        <f t="shared" si="170"/>
        <v>1552806.6952602949</v>
      </c>
      <c r="GN44" s="152">
        <f t="shared" si="169"/>
        <v>2983.1</v>
      </c>
      <c r="GO44" s="153">
        <f t="shared" si="171"/>
        <v>1552806.6952602949</v>
      </c>
      <c r="GP44" s="152">
        <f t="shared" si="169"/>
        <v>2983.1</v>
      </c>
      <c r="GQ44" s="153">
        <f t="shared" si="172"/>
        <v>1552806.6952602949</v>
      </c>
      <c r="GR44" s="152">
        <f t="shared" si="173"/>
        <v>2983.1</v>
      </c>
      <c r="GS44" s="153">
        <f t="shared" si="174"/>
        <v>1552806.6952602949</v>
      </c>
      <c r="GT44" s="152">
        <f t="shared" si="175"/>
        <v>2983.1</v>
      </c>
      <c r="GU44" s="153">
        <f t="shared" si="176"/>
        <v>1552806.6952602949</v>
      </c>
      <c r="GV44" s="152">
        <f t="shared" si="177"/>
        <v>2983.1</v>
      </c>
      <c r="GW44" s="153">
        <f t="shared" si="178"/>
        <v>1552806.6952602949</v>
      </c>
      <c r="GX44" s="152">
        <f t="shared" si="179"/>
        <v>2983.1</v>
      </c>
      <c r="GY44" s="153">
        <f t="shared" si="180"/>
        <v>1552806.6952602949</v>
      </c>
      <c r="GZ44" s="152">
        <f t="shared" si="181"/>
        <v>2983.1</v>
      </c>
      <c r="HA44" s="153">
        <f t="shared" si="182"/>
        <v>1552806.6952602949</v>
      </c>
      <c r="HB44" s="152">
        <f t="shared" si="183"/>
        <v>2983.1</v>
      </c>
      <c r="HC44" s="153">
        <f t="shared" si="184"/>
        <v>1552806.6952602949</v>
      </c>
      <c r="HD44" s="152">
        <f t="shared" si="185"/>
        <v>2983.1</v>
      </c>
      <c r="HE44" s="153">
        <f t="shared" si="186"/>
        <v>1552806.6952602949</v>
      </c>
      <c r="HF44" s="152">
        <f t="shared" si="187"/>
        <v>2983.1</v>
      </c>
      <c r="HG44" s="153">
        <f t="shared" si="188"/>
        <v>1552806.6952602949</v>
      </c>
      <c r="HH44" s="158">
        <f t="shared" si="189"/>
        <v>35797.19999999999</v>
      </c>
      <c r="HI44" s="159">
        <f t="shared" si="47"/>
        <v>18633680.343123533</v>
      </c>
      <c r="HK44" s="149">
        <f>+HK43+1555.5</f>
        <v>5498.85</v>
      </c>
      <c r="HL44" s="150">
        <v>1</v>
      </c>
      <c r="HM44" s="161">
        <f t="shared" si="441"/>
        <v>2862341.556177156</v>
      </c>
      <c r="HN44" s="152">
        <v>0</v>
      </c>
      <c r="HO44" s="153">
        <f t="shared" si="191"/>
        <v>0</v>
      </c>
      <c r="HP44" s="152">
        <v>0</v>
      </c>
      <c r="HQ44" s="153">
        <f t="shared" si="193"/>
        <v>0</v>
      </c>
      <c r="HR44" s="152">
        <f t="shared" si="192"/>
        <v>5498.85</v>
      </c>
      <c r="HS44" s="153">
        <f t="shared" si="193"/>
        <v>2862341.556177156</v>
      </c>
      <c r="HT44" s="152">
        <f t="shared" si="192"/>
        <v>5498.85</v>
      </c>
      <c r="HU44" s="153">
        <f t="shared" si="194"/>
        <v>2862341.556177156</v>
      </c>
      <c r="HV44" s="152">
        <f t="shared" si="192"/>
        <v>5498.85</v>
      </c>
      <c r="HW44" s="153">
        <f t="shared" si="195"/>
        <v>2862341.556177156</v>
      </c>
      <c r="HX44" s="152">
        <f t="shared" si="196"/>
        <v>5498.85</v>
      </c>
      <c r="HY44" s="153">
        <f t="shared" si="197"/>
        <v>2862341.556177156</v>
      </c>
      <c r="HZ44" s="152">
        <f t="shared" si="198"/>
        <v>5498.85</v>
      </c>
      <c r="IA44" s="153">
        <f t="shared" si="199"/>
        <v>2862341.556177156</v>
      </c>
      <c r="IB44" s="152">
        <f t="shared" si="200"/>
        <v>5498.85</v>
      </c>
      <c r="IC44" s="153">
        <f t="shared" si="201"/>
        <v>2862341.556177156</v>
      </c>
      <c r="ID44" s="152">
        <f t="shared" si="202"/>
        <v>5498.85</v>
      </c>
      <c r="IE44" s="153">
        <f t="shared" si="203"/>
        <v>2862341.556177156</v>
      </c>
      <c r="IF44" s="152">
        <f t="shared" si="204"/>
        <v>5498.85</v>
      </c>
      <c r="IG44" s="153">
        <f t="shared" si="205"/>
        <v>2862341.556177156</v>
      </c>
      <c r="IH44" s="152">
        <f t="shared" si="206"/>
        <v>5498.85</v>
      </c>
      <c r="II44" s="153">
        <f t="shared" si="207"/>
        <v>2862341.556177156</v>
      </c>
      <c r="IJ44" s="152">
        <f t="shared" si="208"/>
        <v>5498.85</v>
      </c>
      <c r="IK44" s="153">
        <f t="shared" si="209"/>
        <v>2862341.556177156</v>
      </c>
      <c r="IL44" s="158">
        <f t="shared" si="210"/>
        <v>54988.499999999993</v>
      </c>
      <c r="IM44" s="159">
        <f t="shared" si="211"/>
        <v>28623415.561771553</v>
      </c>
      <c r="IO44" s="149">
        <v>1881</v>
      </c>
      <c r="IP44" s="150">
        <v>1</v>
      </c>
      <c r="IQ44" s="161">
        <f t="shared" si="442"/>
        <v>979125.53846153826</v>
      </c>
      <c r="IR44" s="152">
        <f t="shared" si="212"/>
        <v>1881</v>
      </c>
      <c r="IS44" s="153">
        <f t="shared" si="213"/>
        <v>979125.53846153826</v>
      </c>
      <c r="IT44" s="152">
        <f t="shared" si="401"/>
        <v>1881</v>
      </c>
      <c r="IU44" s="285">
        <f t="shared" si="214"/>
        <v>979125.53846153826</v>
      </c>
      <c r="IV44" s="152">
        <f t="shared" si="402"/>
        <v>1881</v>
      </c>
      <c r="IW44" s="285">
        <f t="shared" si="214"/>
        <v>979125.53846153826</v>
      </c>
      <c r="IX44" s="152">
        <f t="shared" si="403"/>
        <v>1881</v>
      </c>
      <c r="IY44" s="285">
        <f t="shared" si="215"/>
        <v>979125.53846153826</v>
      </c>
      <c r="IZ44" s="152">
        <f t="shared" si="404"/>
        <v>1881</v>
      </c>
      <c r="JA44" s="285">
        <f t="shared" si="216"/>
        <v>979125.53846153826</v>
      </c>
      <c r="JB44" s="152">
        <f t="shared" si="405"/>
        <v>1881</v>
      </c>
      <c r="JC44" s="285">
        <f t="shared" si="217"/>
        <v>979125.53846153826</v>
      </c>
      <c r="JD44" s="152">
        <f t="shared" si="218"/>
        <v>1881</v>
      </c>
      <c r="JE44" s="285">
        <f t="shared" si="219"/>
        <v>979125.53846153826</v>
      </c>
      <c r="JF44" s="152">
        <f t="shared" si="406"/>
        <v>1881</v>
      </c>
      <c r="JG44" s="285">
        <f t="shared" si="220"/>
        <v>979125.53846153826</v>
      </c>
      <c r="JH44" s="152">
        <f t="shared" si="221"/>
        <v>1881</v>
      </c>
      <c r="JI44" s="285">
        <f t="shared" si="222"/>
        <v>979125.53846153826</v>
      </c>
      <c r="JJ44" s="152">
        <f t="shared" si="407"/>
        <v>1881</v>
      </c>
      <c r="JK44" s="285">
        <f t="shared" si="223"/>
        <v>979125.53846153826</v>
      </c>
      <c r="JL44" s="152">
        <f t="shared" si="224"/>
        <v>1881</v>
      </c>
      <c r="JM44" s="285">
        <f t="shared" si="225"/>
        <v>979125.53846153826</v>
      </c>
      <c r="JN44" s="152">
        <f t="shared" si="408"/>
        <v>1881</v>
      </c>
      <c r="JO44" s="285">
        <f t="shared" si="226"/>
        <v>979125.53846153826</v>
      </c>
      <c r="JP44" s="158">
        <f t="shared" si="227"/>
        <v>22572</v>
      </c>
      <c r="JQ44" s="159">
        <f t="shared" si="228"/>
        <v>11749506.46153846</v>
      </c>
      <c r="JS44" s="149">
        <f>6580-1430</f>
        <v>5150</v>
      </c>
      <c r="JT44" s="150">
        <v>1</v>
      </c>
      <c r="JU44" s="161">
        <f t="shared" si="443"/>
        <v>2680753.0691530686</v>
      </c>
      <c r="JV44" s="152">
        <f t="shared" si="229"/>
        <v>5150</v>
      </c>
      <c r="JW44" s="153">
        <f t="shared" si="230"/>
        <v>2680753.0691530686</v>
      </c>
      <c r="JX44" s="368"/>
      <c r="JY44" s="153">
        <f t="shared" si="231"/>
        <v>0</v>
      </c>
      <c r="JZ44" s="368"/>
      <c r="KA44" s="153">
        <f t="shared" si="231"/>
        <v>0</v>
      </c>
      <c r="KB44" s="368"/>
      <c r="KC44" s="153">
        <f t="shared" si="232"/>
        <v>0</v>
      </c>
      <c r="KD44" s="368"/>
      <c r="KE44" s="153">
        <f t="shared" si="233"/>
        <v>0</v>
      </c>
      <c r="KF44" s="368"/>
      <c r="KG44" s="153">
        <f t="shared" si="234"/>
        <v>0</v>
      </c>
      <c r="KH44" s="368"/>
      <c r="KI44" s="153">
        <f t="shared" si="236"/>
        <v>0</v>
      </c>
      <c r="KJ44" s="368"/>
      <c r="KK44" s="153">
        <f t="shared" si="237"/>
        <v>0</v>
      </c>
      <c r="KL44" s="368"/>
      <c r="KM44" s="153">
        <f t="shared" si="239"/>
        <v>0</v>
      </c>
      <c r="KN44" s="368"/>
      <c r="KO44" s="153">
        <f t="shared" si="240"/>
        <v>0</v>
      </c>
      <c r="KP44" s="368"/>
      <c r="KQ44" s="153">
        <f t="shared" si="242"/>
        <v>0</v>
      </c>
      <c r="KR44" s="368"/>
      <c r="KS44" s="154">
        <f t="shared" si="243"/>
        <v>0</v>
      </c>
      <c r="KT44" s="158">
        <f t="shared" si="244"/>
        <v>5150</v>
      </c>
      <c r="KU44" s="159">
        <f t="shared" si="444"/>
        <v>2680753.0691530686</v>
      </c>
      <c r="KW44" s="149"/>
      <c r="KX44" s="150"/>
      <c r="KY44" s="157"/>
      <c r="KZ44" s="152">
        <f t="shared" si="271"/>
        <v>0</v>
      </c>
      <c r="LA44" s="153"/>
      <c r="LB44" s="152">
        <f t="shared" si="272"/>
        <v>0</v>
      </c>
      <c r="LC44" s="153">
        <f t="shared" si="246"/>
        <v>0</v>
      </c>
      <c r="LD44" s="152">
        <f t="shared" si="272"/>
        <v>0</v>
      </c>
      <c r="LE44" s="153">
        <f t="shared" si="246"/>
        <v>0</v>
      </c>
      <c r="LF44" s="152">
        <f t="shared" si="272"/>
        <v>0</v>
      </c>
      <c r="LG44" s="153">
        <f t="shared" si="247"/>
        <v>0</v>
      </c>
      <c r="LH44" s="152">
        <f t="shared" si="272"/>
        <v>0</v>
      </c>
      <c r="LI44" s="153">
        <f t="shared" si="248"/>
        <v>0</v>
      </c>
      <c r="LJ44" s="152">
        <f t="shared" si="273"/>
        <v>0</v>
      </c>
      <c r="LK44" s="153">
        <f t="shared" si="249"/>
        <v>0</v>
      </c>
      <c r="LL44" s="152">
        <f t="shared" si="274"/>
        <v>0</v>
      </c>
      <c r="LM44" s="153">
        <f t="shared" si="250"/>
        <v>0</v>
      </c>
      <c r="LN44" s="152">
        <f t="shared" si="275"/>
        <v>0</v>
      </c>
      <c r="LO44" s="153">
        <f t="shared" si="251"/>
        <v>0</v>
      </c>
      <c r="LP44" s="152">
        <f t="shared" si="276"/>
        <v>0</v>
      </c>
      <c r="LQ44" s="153">
        <f t="shared" si="252"/>
        <v>0</v>
      </c>
      <c r="LR44" s="152">
        <f t="shared" si="277"/>
        <v>0</v>
      </c>
      <c r="LS44" s="153">
        <f t="shared" si="253"/>
        <v>0</v>
      </c>
      <c r="LT44" s="152">
        <f t="shared" si="278"/>
        <v>0</v>
      </c>
      <c r="LU44" s="153">
        <f t="shared" si="254"/>
        <v>0</v>
      </c>
      <c r="LV44" s="152">
        <f t="shared" si="279"/>
        <v>0</v>
      </c>
      <c r="LW44" s="153">
        <f t="shared" si="255"/>
        <v>0</v>
      </c>
      <c r="LX44" s="158">
        <f t="shared" si="256"/>
        <v>0</v>
      </c>
      <c r="LY44" s="159">
        <f t="shared" si="257"/>
        <v>0</v>
      </c>
      <c r="MA44" s="164">
        <f t="shared" si="412"/>
        <v>66302.64</v>
      </c>
      <c r="MB44" s="386">
        <f t="shared" si="258"/>
        <v>34512816.635524467</v>
      </c>
      <c r="MC44" s="394">
        <f t="shared" si="413"/>
        <v>61152.639999999999</v>
      </c>
      <c r="MD44" s="386">
        <f t="shared" si="259"/>
        <v>31832063.5663714</v>
      </c>
      <c r="ME44" s="394">
        <f t="shared" si="414"/>
        <v>66651.489999999991</v>
      </c>
      <c r="MF44" s="386">
        <f t="shared" si="259"/>
        <v>34694405.12254855</v>
      </c>
      <c r="MG44" s="394">
        <f t="shared" si="415"/>
        <v>66651.489999999991</v>
      </c>
      <c r="MH44" s="386">
        <f t="shared" si="260"/>
        <v>34694405.12254855</v>
      </c>
      <c r="MI44" s="394">
        <f t="shared" si="416"/>
        <v>66651.489999999991</v>
      </c>
      <c r="MJ44" s="386">
        <f t="shared" si="261"/>
        <v>34694405.12254855</v>
      </c>
      <c r="MK44" s="394">
        <f t="shared" si="417"/>
        <v>66651.489999999991</v>
      </c>
      <c r="ML44" s="386">
        <f t="shared" si="262"/>
        <v>34694405.12254855</v>
      </c>
      <c r="MM44" s="394">
        <f t="shared" si="418"/>
        <v>66651.489999999991</v>
      </c>
      <c r="MN44" s="386">
        <f t="shared" si="263"/>
        <v>34694405.12254855</v>
      </c>
      <c r="MO44" s="394">
        <f t="shared" si="419"/>
        <v>66651.489999999991</v>
      </c>
      <c r="MP44" s="386">
        <f t="shared" si="264"/>
        <v>34694405.12254855</v>
      </c>
      <c r="MQ44" s="394">
        <f t="shared" si="420"/>
        <v>66651.489999999991</v>
      </c>
      <c r="MR44" s="386">
        <f t="shared" si="265"/>
        <v>34694405.12254855</v>
      </c>
      <c r="MS44" s="394">
        <f t="shared" si="421"/>
        <v>66651.489999999991</v>
      </c>
      <c r="MT44" s="386">
        <f t="shared" si="266"/>
        <v>34694405.12254855</v>
      </c>
      <c r="MU44" s="394">
        <f t="shared" si="422"/>
        <v>66651.489999999991</v>
      </c>
      <c r="MV44" s="386">
        <f t="shared" si="267"/>
        <v>34694405.12254855</v>
      </c>
      <c r="MW44" s="394">
        <f t="shared" si="423"/>
        <v>66651.489999999991</v>
      </c>
      <c r="MX44" s="386">
        <f t="shared" si="268"/>
        <v>34694405.12254855</v>
      </c>
      <c r="MY44" s="165">
        <f t="shared" si="269"/>
        <v>793970.17999999993</v>
      </c>
      <c r="MZ44" s="166">
        <f t="shared" si="270"/>
        <v>413288931.4273814</v>
      </c>
    </row>
    <row r="45" spans="1:364" s="126" customFormat="1" ht="26.4" x14ac:dyDescent="0.3">
      <c r="A45" s="531"/>
      <c r="B45" s="212">
        <v>3.05</v>
      </c>
      <c r="C45" s="213" t="s">
        <v>107</v>
      </c>
      <c r="D45" s="214" t="s">
        <v>25</v>
      </c>
      <c r="E45" s="17">
        <v>1</v>
      </c>
      <c r="F45" s="350">
        <v>139.37451437451435</v>
      </c>
      <c r="G45" s="350">
        <f t="shared" si="81"/>
        <v>145.18311318311314</v>
      </c>
      <c r="I45" s="149">
        <f>16781+367.57+1.29</f>
        <v>17149.86</v>
      </c>
      <c r="J45" s="150">
        <v>1</v>
      </c>
      <c r="K45" s="151">
        <f t="shared" si="82"/>
        <v>2489870.0654545445</v>
      </c>
      <c r="L45" s="152">
        <f t="shared" si="300"/>
        <v>17149.86</v>
      </c>
      <c r="M45" s="285">
        <f t="shared" si="445"/>
        <v>2489870.0654545445</v>
      </c>
      <c r="N45" s="152">
        <f t="shared" si="361"/>
        <v>17149.86</v>
      </c>
      <c r="O45" s="285">
        <f t="shared" si="446"/>
        <v>2489870.0654545445</v>
      </c>
      <c r="P45" s="152">
        <f t="shared" si="362"/>
        <v>17149.86</v>
      </c>
      <c r="Q45" s="285">
        <f t="shared" si="446"/>
        <v>2489870.0654545445</v>
      </c>
      <c r="R45" s="152">
        <f t="shared" si="363"/>
        <v>17149.86</v>
      </c>
      <c r="S45" s="285">
        <f t="shared" si="86"/>
        <v>2489870.0654545445</v>
      </c>
      <c r="T45" s="152">
        <f t="shared" si="364"/>
        <v>17149.86</v>
      </c>
      <c r="U45" s="285">
        <f t="shared" si="87"/>
        <v>2489870.0654545445</v>
      </c>
      <c r="V45" s="152">
        <f t="shared" si="409"/>
        <v>17149.86</v>
      </c>
      <c r="W45" s="285">
        <f t="shared" si="88"/>
        <v>2489870.0654545445</v>
      </c>
      <c r="X45" s="152">
        <f t="shared" si="305"/>
        <v>17149.86</v>
      </c>
      <c r="Y45" s="285">
        <f t="shared" si="89"/>
        <v>2489870.0654545445</v>
      </c>
      <c r="Z45" s="152">
        <f t="shared" si="365"/>
        <v>17149.86</v>
      </c>
      <c r="AA45" s="285">
        <f t="shared" si="90"/>
        <v>2489870.0654545445</v>
      </c>
      <c r="AB45" s="152">
        <f t="shared" si="306"/>
        <v>17149.86</v>
      </c>
      <c r="AC45" s="285">
        <f t="shared" si="91"/>
        <v>2489870.0654545445</v>
      </c>
      <c r="AD45" s="152">
        <f t="shared" si="366"/>
        <v>17149.86</v>
      </c>
      <c r="AE45" s="285">
        <f t="shared" si="92"/>
        <v>2489870.0654545445</v>
      </c>
      <c r="AF45" s="152">
        <f t="shared" si="307"/>
        <v>17149.86</v>
      </c>
      <c r="AG45" s="285">
        <f t="shared" si="308"/>
        <v>2489870.0654545445</v>
      </c>
      <c r="AH45" s="152">
        <f t="shared" si="367"/>
        <v>17149.86</v>
      </c>
      <c r="AI45" s="294">
        <f t="shared" si="309"/>
        <v>2489870.0654545445</v>
      </c>
      <c r="AJ45" s="215">
        <f t="shared" si="94"/>
        <v>205798.31999999995</v>
      </c>
      <c r="AK45" s="307">
        <f t="shared" si="95"/>
        <v>29878440.785454527</v>
      </c>
      <c r="AM45" s="149">
        <v>0</v>
      </c>
      <c r="AN45" s="150">
        <v>1</v>
      </c>
      <c r="AO45" s="157">
        <f t="shared" si="427"/>
        <v>0</v>
      </c>
      <c r="AP45" s="152">
        <f t="shared" si="328"/>
        <v>0</v>
      </c>
      <c r="AQ45" s="285">
        <f t="shared" si="96"/>
        <v>0</v>
      </c>
      <c r="AR45" s="317">
        <f t="shared" si="329"/>
        <v>0</v>
      </c>
      <c r="AS45" s="285">
        <f t="shared" si="96"/>
        <v>0</v>
      </c>
      <c r="AT45" s="317">
        <f t="shared" si="330"/>
        <v>0</v>
      </c>
      <c r="AU45" s="285">
        <f t="shared" si="96"/>
        <v>0</v>
      </c>
      <c r="AV45" s="317">
        <f t="shared" si="331"/>
        <v>0</v>
      </c>
      <c r="AW45" s="285">
        <f t="shared" si="98"/>
        <v>0</v>
      </c>
      <c r="AX45" s="317">
        <f t="shared" si="5"/>
        <v>0</v>
      </c>
      <c r="AY45" s="285">
        <f t="shared" si="99"/>
        <v>0</v>
      </c>
      <c r="AZ45" s="317">
        <f t="shared" si="332"/>
        <v>0</v>
      </c>
      <c r="BA45" s="285">
        <f t="shared" si="100"/>
        <v>0</v>
      </c>
      <c r="BB45" s="317">
        <f t="shared" si="7"/>
        <v>0</v>
      </c>
      <c r="BC45" s="285">
        <f t="shared" si="101"/>
        <v>0</v>
      </c>
      <c r="BD45" s="317">
        <f t="shared" si="333"/>
        <v>0</v>
      </c>
      <c r="BE45" s="285">
        <f t="shared" si="102"/>
        <v>0</v>
      </c>
      <c r="BF45" s="317">
        <f t="shared" si="9"/>
        <v>0</v>
      </c>
      <c r="BG45" s="285">
        <f t="shared" si="103"/>
        <v>0</v>
      </c>
      <c r="BH45" s="317">
        <f t="shared" si="334"/>
        <v>0</v>
      </c>
      <c r="BI45" s="285">
        <f t="shared" si="425"/>
        <v>0</v>
      </c>
      <c r="BJ45" s="317">
        <f t="shared" si="335"/>
        <v>0</v>
      </c>
      <c r="BK45" s="285">
        <f t="shared" si="425"/>
        <v>0</v>
      </c>
      <c r="BL45" s="152">
        <f t="shared" si="428"/>
        <v>0</v>
      </c>
      <c r="BM45" s="296">
        <f t="shared" si="105"/>
        <v>0</v>
      </c>
      <c r="BN45" s="158">
        <f t="shared" si="106"/>
        <v>0</v>
      </c>
      <c r="BO45" s="307">
        <f t="shared" si="410"/>
        <v>0</v>
      </c>
      <c r="BQ45" s="24">
        <v>0</v>
      </c>
      <c r="BR45" s="25"/>
      <c r="BS45" s="160">
        <f t="shared" si="281"/>
        <v>0</v>
      </c>
      <c r="BT45" s="152">
        <f t="shared" si="280"/>
        <v>0</v>
      </c>
      <c r="BU45" s="332">
        <f t="shared" si="107"/>
        <v>0</v>
      </c>
      <c r="BV45" s="152">
        <f t="shared" si="368"/>
        <v>0</v>
      </c>
      <c r="BW45" s="153">
        <f t="shared" si="108"/>
        <v>0</v>
      </c>
      <c r="BX45" s="152">
        <f t="shared" si="369"/>
        <v>0</v>
      </c>
      <c r="BY45" s="153">
        <f t="shared" si="109"/>
        <v>0</v>
      </c>
      <c r="BZ45" s="152">
        <f t="shared" si="370"/>
        <v>0</v>
      </c>
      <c r="CA45" s="153">
        <f t="shared" si="110"/>
        <v>0</v>
      </c>
      <c r="CB45" s="152">
        <f t="shared" si="371"/>
        <v>0</v>
      </c>
      <c r="CC45" s="153">
        <f t="shared" si="111"/>
        <v>0</v>
      </c>
      <c r="CD45" s="152">
        <f t="shared" si="372"/>
        <v>0</v>
      </c>
      <c r="CE45" s="153">
        <f t="shared" si="112"/>
        <v>0</v>
      </c>
      <c r="CF45" s="152">
        <f t="shared" si="113"/>
        <v>0</v>
      </c>
      <c r="CG45" s="153">
        <f t="shared" si="114"/>
        <v>0</v>
      </c>
      <c r="CH45" s="152">
        <f t="shared" si="373"/>
        <v>0</v>
      </c>
      <c r="CI45" s="153">
        <f t="shared" si="115"/>
        <v>0</v>
      </c>
      <c r="CJ45" s="152">
        <f t="shared" si="116"/>
        <v>0</v>
      </c>
      <c r="CK45" s="153">
        <f t="shared" si="117"/>
        <v>0</v>
      </c>
      <c r="CL45" s="152">
        <f t="shared" si="374"/>
        <v>0</v>
      </c>
      <c r="CM45" s="153">
        <f t="shared" si="118"/>
        <v>0</v>
      </c>
      <c r="CN45" s="152">
        <f t="shared" si="119"/>
        <v>0</v>
      </c>
      <c r="CO45" s="153">
        <f t="shared" si="120"/>
        <v>0</v>
      </c>
      <c r="CP45" s="152">
        <f t="shared" si="375"/>
        <v>0</v>
      </c>
      <c r="CQ45" s="154">
        <f t="shared" si="429"/>
        <v>0</v>
      </c>
      <c r="CR45" s="158">
        <f t="shared" si="121"/>
        <v>0</v>
      </c>
      <c r="CS45" s="159">
        <f t="shared" si="430"/>
        <v>0</v>
      </c>
      <c r="CU45" s="24">
        <v>0</v>
      </c>
      <c r="CV45" s="25"/>
      <c r="CW45" s="161">
        <f t="shared" si="299"/>
        <v>0</v>
      </c>
      <c r="CX45" s="152">
        <f t="shared" si="122"/>
        <v>0</v>
      </c>
      <c r="CY45" s="153">
        <f t="shared" si="123"/>
        <v>0</v>
      </c>
      <c r="CZ45" s="152">
        <f t="shared" si="376"/>
        <v>0</v>
      </c>
      <c r="DA45" s="285">
        <f t="shared" si="123"/>
        <v>0</v>
      </c>
      <c r="DB45" s="152">
        <f t="shared" si="377"/>
        <v>0</v>
      </c>
      <c r="DC45" s="285">
        <f t="shared" si="124"/>
        <v>0</v>
      </c>
      <c r="DD45" s="152">
        <f t="shared" si="378"/>
        <v>0</v>
      </c>
      <c r="DE45" s="285">
        <f t="shared" si="125"/>
        <v>0</v>
      </c>
      <c r="DF45" s="152">
        <f t="shared" si="379"/>
        <v>0</v>
      </c>
      <c r="DG45" s="285">
        <f t="shared" si="126"/>
        <v>0</v>
      </c>
      <c r="DH45" s="152">
        <f t="shared" si="380"/>
        <v>0</v>
      </c>
      <c r="DI45" s="285">
        <f t="shared" si="127"/>
        <v>0</v>
      </c>
      <c r="DJ45" s="152">
        <f t="shared" si="128"/>
        <v>0</v>
      </c>
      <c r="DK45" s="285">
        <f t="shared" si="129"/>
        <v>0</v>
      </c>
      <c r="DL45" s="152">
        <f t="shared" si="381"/>
        <v>0</v>
      </c>
      <c r="DM45" s="285">
        <f t="shared" si="130"/>
        <v>0</v>
      </c>
      <c r="DN45" s="152">
        <f t="shared" si="131"/>
        <v>0</v>
      </c>
      <c r="DO45" s="285">
        <f t="shared" si="132"/>
        <v>0</v>
      </c>
      <c r="DP45" s="152">
        <f t="shared" si="382"/>
        <v>0</v>
      </c>
      <c r="DQ45" s="285">
        <f t="shared" si="133"/>
        <v>0</v>
      </c>
      <c r="DR45" s="152">
        <f t="shared" si="134"/>
        <v>0</v>
      </c>
      <c r="DS45" s="285">
        <f t="shared" si="135"/>
        <v>0</v>
      </c>
      <c r="DT45" s="152">
        <f t="shared" si="383"/>
        <v>0</v>
      </c>
      <c r="DU45" s="285">
        <f t="shared" si="136"/>
        <v>0</v>
      </c>
      <c r="DV45" s="158">
        <f t="shared" si="137"/>
        <v>0</v>
      </c>
      <c r="DW45" s="159">
        <f t="shared" si="431"/>
        <v>0</v>
      </c>
      <c r="DY45" s="172">
        <f>8974+1045.15+66.29+678.31+421.29+1117.82+304.08</f>
        <v>12606.94</v>
      </c>
      <c r="DZ45" s="25">
        <v>1</v>
      </c>
      <c r="EA45" s="175">
        <f t="shared" si="432"/>
        <v>1830314.7969127165</v>
      </c>
      <c r="EB45" s="169">
        <v>12606.94</v>
      </c>
      <c r="EC45" s="153">
        <f t="shared" si="139"/>
        <v>1830314.7969127165</v>
      </c>
      <c r="ED45" s="317">
        <v>12606.94</v>
      </c>
      <c r="EE45" s="153">
        <f t="shared" si="139"/>
        <v>1830314.7969127165</v>
      </c>
      <c r="EF45" s="169">
        <v>12606.94</v>
      </c>
      <c r="EG45" s="153">
        <f t="shared" si="426"/>
        <v>1830314.7969127165</v>
      </c>
      <c r="EH45" s="169">
        <v>12606.94</v>
      </c>
      <c r="EI45" s="153">
        <f t="shared" si="426"/>
        <v>1830314.7969127165</v>
      </c>
      <c r="EJ45" s="169">
        <v>12606.94</v>
      </c>
      <c r="EK45" s="153">
        <f t="shared" si="143"/>
        <v>1830314.7969127165</v>
      </c>
      <c r="EL45" s="169">
        <v>12606.94</v>
      </c>
      <c r="EM45" s="153">
        <f t="shared" si="144"/>
        <v>1830314.7969127165</v>
      </c>
      <c r="EN45" s="169">
        <v>12606.94</v>
      </c>
      <c r="EO45" s="153">
        <f t="shared" si="145"/>
        <v>1830314.7969127165</v>
      </c>
      <c r="EP45" s="169">
        <v>12606.94</v>
      </c>
      <c r="EQ45" s="153">
        <f t="shared" si="146"/>
        <v>1830314.7969127165</v>
      </c>
      <c r="ER45" s="169">
        <v>12606.94</v>
      </c>
      <c r="ES45" s="153">
        <f t="shared" si="147"/>
        <v>1830314.7969127165</v>
      </c>
      <c r="ET45" s="169">
        <v>12606.94</v>
      </c>
      <c r="EU45" s="153">
        <f t="shared" si="148"/>
        <v>1830314.7969127165</v>
      </c>
      <c r="EV45" s="169">
        <v>12606.94</v>
      </c>
      <c r="EW45" s="153">
        <f t="shared" si="149"/>
        <v>1830314.7969127165</v>
      </c>
      <c r="EX45" s="169">
        <v>12606.94</v>
      </c>
      <c r="EY45" s="153">
        <f t="shared" si="150"/>
        <v>1830314.7969127165</v>
      </c>
      <c r="EZ45" s="158">
        <f t="shared" si="151"/>
        <v>151283.28</v>
      </c>
      <c r="FA45" s="159">
        <f t="shared" si="433"/>
        <v>21963777.562952597</v>
      </c>
      <c r="FC45" s="149"/>
      <c r="FD45" s="150"/>
      <c r="FE45" s="161">
        <f t="shared" si="296"/>
        <v>0</v>
      </c>
      <c r="FF45" s="152">
        <f t="shared" si="153"/>
        <v>0</v>
      </c>
      <c r="FG45" s="153">
        <f t="shared" si="154"/>
        <v>0</v>
      </c>
      <c r="FH45" s="368">
        <f t="shared" si="434"/>
        <v>0</v>
      </c>
      <c r="FI45" s="153">
        <f t="shared" si="155"/>
        <v>0</v>
      </c>
      <c r="FJ45" s="368">
        <f t="shared" si="435"/>
        <v>0</v>
      </c>
      <c r="FK45" s="153">
        <f t="shared" si="155"/>
        <v>0</v>
      </c>
      <c r="FL45" s="368">
        <f t="shared" si="436"/>
        <v>0</v>
      </c>
      <c r="FM45" s="153">
        <f t="shared" si="156"/>
        <v>0</v>
      </c>
      <c r="FN45" s="368">
        <f t="shared" si="396"/>
        <v>0</v>
      </c>
      <c r="FO45" s="153">
        <f t="shared" si="157"/>
        <v>0</v>
      </c>
      <c r="FP45" s="368">
        <f t="shared" si="437"/>
        <v>0</v>
      </c>
      <c r="FQ45" s="153">
        <f t="shared" si="158"/>
        <v>0</v>
      </c>
      <c r="FR45" s="368">
        <f t="shared" si="159"/>
        <v>0</v>
      </c>
      <c r="FS45" s="153">
        <f t="shared" si="160"/>
        <v>0</v>
      </c>
      <c r="FT45" s="368">
        <f t="shared" si="438"/>
        <v>0</v>
      </c>
      <c r="FU45" s="153">
        <f t="shared" si="161"/>
        <v>0</v>
      </c>
      <c r="FV45" s="368">
        <f t="shared" si="162"/>
        <v>0</v>
      </c>
      <c r="FW45" s="153">
        <f t="shared" si="163"/>
        <v>0</v>
      </c>
      <c r="FX45" s="368">
        <f t="shared" si="439"/>
        <v>0</v>
      </c>
      <c r="FY45" s="153">
        <f t="shared" si="164"/>
        <v>0</v>
      </c>
      <c r="FZ45" s="368">
        <f t="shared" si="165"/>
        <v>0</v>
      </c>
      <c r="GA45" s="153">
        <f t="shared" si="166"/>
        <v>0</v>
      </c>
      <c r="GB45" s="368">
        <f t="shared" si="440"/>
        <v>0</v>
      </c>
      <c r="GC45" s="153">
        <f t="shared" si="167"/>
        <v>0</v>
      </c>
      <c r="GD45" s="158">
        <f t="shared" si="168"/>
        <v>0</v>
      </c>
      <c r="GE45" s="159">
        <f t="shared" si="411"/>
        <v>0</v>
      </c>
      <c r="GG45" s="149">
        <v>0</v>
      </c>
      <c r="GH45" s="150"/>
      <c r="GI45" s="161">
        <f t="shared" si="297"/>
        <v>0</v>
      </c>
      <c r="GJ45" s="152">
        <f t="shared" si="169"/>
        <v>0</v>
      </c>
      <c r="GK45" s="153">
        <f t="shared" si="170"/>
        <v>0</v>
      </c>
      <c r="GL45" s="152">
        <f t="shared" si="169"/>
        <v>0</v>
      </c>
      <c r="GM45" s="153">
        <f t="shared" si="170"/>
        <v>0</v>
      </c>
      <c r="GN45" s="152">
        <f t="shared" si="169"/>
        <v>0</v>
      </c>
      <c r="GO45" s="153">
        <f t="shared" si="171"/>
        <v>0</v>
      </c>
      <c r="GP45" s="152">
        <f t="shared" si="169"/>
        <v>0</v>
      </c>
      <c r="GQ45" s="153">
        <f t="shared" si="172"/>
        <v>0</v>
      </c>
      <c r="GR45" s="152">
        <f t="shared" si="173"/>
        <v>0</v>
      </c>
      <c r="GS45" s="153">
        <f t="shared" si="174"/>
        <v>0</v>
      </c>
      <c r="GT45" s="152">
        <f t="shared" si="175"/>
        <v>0</v>
      </c>
      <c r="GU45" s="153">
        <f t="shared" si="176"/>
        <v>0</v>
      </c>
      <c r="GV45" s="152">
        <f t="shared" si="177"/>
        <v>0</v>
      </c>
      <c r="GW45" s="153">
        <f t="shared" si="178"/>
        <v>0</v>
      </c>
      <c r="GX45" s="152">
        <f t="shared" si="179"/>
        <v>0</v>
      </c>
      <c r="GY45" s="153">
        <f t="shared" si="180"/>
        <v>0</v>
      </c>
      <c r="GZ45" s="152">
        <f t="shared" si="181"/>
        <v>0</v>
      </c>
      <c r="HA45" s="153">
        <f t="shared" si="182"/>
        <v>0</v>
      </c>
      <c r="HB45" s="152">
        <f t="shared" si="183"/>
        <v>0</v>
      </c>
      <c r="HC45" s="153">
        <f t="shared" si="184"/>
        <v>0</v>
      </c>
      <c r="HD45" s="152">
        <f t="shared" si="185"/>
        <v>0</v>
      </c>
      <c r="HE45" s="153">
        <f t="shared" si="186"/>
        <v>0</v>
      </c>
      <c r="HF45" s="152">
        <f t="shared" si="187"/>
        <v>0</v>
      </c>
      <c r="HG45" s="153">
        <f t="shared" si="188"/>
        <v>0</v>
      </c>
      <c r="HH45" s="158">
        <f t="shared" si="189"/>
        <v>0</v>
      </c>
      <c r="HI45" s="159">
        <f t="shared" si="47"/>
        <v>0</v>
      </c>
      <c r="HK45" s="149">
        <f>+HK42</f>
        <v>895.27</v>
      </c>
      <c r="HL45" s="150">
        <v>1</v>
      </c>
      <c r="HM45" s="161">
        <f t="shared" si="441"/>
        <v>129978.0857394457</v>
      </c>
      <c r="HN45" s="152">
        <v>0</v>
      </c>
      <c r="HO45" s="153">
        <f t="shared" si="191"/>
        <v>0</v>
      </c>
      <c r="HP45" s="152">
        <v>0</v>
      </c>
      <c r="HQ45" s="153">
        <f t="shared" si="193"/>
        <v>0</v>
      </c>
      <c r="HR45" s="152">
        <f t="shared" si="192"/>
        <v>895.27</v>
      </c>
      <c r="HS45" s="153">
        <f t="shared" si="193"/>
        <v>129978.0857394457</v>
      </c>
      <c r="HT45" s="152">
        <f t="shared" si="192"/>
        <v>895.27</v>
      </c>
      <c r="HU45" s="153">
        <f t="shared" si="194"/>
        <v>129978.0857394457</v>
      </c>
      <c r="HV45" s="152">
        <f t="shared" si="192"/>
        <v>895.27</v>
      </c>
      <c r="HW45" s="153">
        <f t="shared" si="195"/>
        <v>129978.0857394457</v>
      </c>
      <c r="HX45" s="152">
        <f t="shared" si="196"/>
        <v>895.27</v>
      </c>
      <c r="HY45" s="153">
        <f t="shared" si="197"/>
        <v>129978.0857394457</v>
      </c>
      <c r="HZ45" s="152">
        <f t="shared" si="198"/>
        <v>895.27</v>
      </c>
      <c r="IA45" s="153">
        <f t="shared" si="199"/>
        <v>129978.0857394457</v>
      </c>
      <c r="IB45" s="152">
        <f t="shared" si="200"/>
        <v>895.27</v>
      </c>
      <c r="IC45" s="153">
        <f t="shared" si="201"/>
        <v>129978.0857394457</v>
      </c>
      <c r="ID45" s="152">
        <f t="shared" si="202"/>
        <v>895.27</v>
      </c>
      <c r="IE45" s="153">
        <f t="shared" si="203"/>
        <v>129978.0857394457</v>
      </c>
      <c r="IF45" s="152">
        <f t="shared" si="204"/>
        <v>895.27</v>
      </c>
      <c r="IG45" s="153">
        <f t="shared" si="205"/>
        <v>129978.0857394457</v>
      </c>
      <c r="IH45" s="152">
        <f t="shared" si="206"/>
        <v>895.27</v>
      </c>
      <c r="II45" s="153">
        <f t="shared" si="207"/>
        <v>129978.0857394457</v>
      </c>
      <c r="IJ45" s="152">
        <f t="shared" si="208"/>
        <v>895.27</v>
      </c>
      <c r="IK45" s="153">
        <f t="shared" si="209"/>
        <v>129978.0857394457</v>
      </c>
      <c r="IL45" s="158">
        <f t="shared" si="210"/>
        <v>8952.7000000000025</v>
      </c>
      <c r="IM45" s="159">
        <f t="shared" si="211"/>
        <v>1299780.8573944573</v>
      </c>
      <c r="IO45" s="149">
        <v>1881</v>
      </c>
      <c r="IP45" s="150">
        <v>1</v>
      </c>
      <c r="IQ45" s="161">
        <f t="shared" si="442"/>
        <v>273089.43589743582</v>
      </c>
      <c r="IR45" s="152">
        <f t="shared" si="212"/>
        <v>1881</v>
      </c>
      <c r="IS45" s="153">
        <f t="shared" si="213"/>
        <v>273089.43589743582</v>
      </c>
      <c r="IT45" s="152">
        <f t="shared" si="401"/>
        <v>1881</v>
      </c>
      <c r="IU45" s="285">
        <f t="shared" si="214"/>
        <v>273089.43589743582</v>
      </c>
      <c r="IV45" s="152">
        <f t="shared" si="402"/>
        <v>1881</v>
      </c>
      <c r="IW45" s="285">
        <f t="shared" si="214"/>
        <v>273089.43589743582</v>
      </c>
      <c r="IX45" s="152">
        <f t="shared" si="403"/>
        <v>1881</v>
      </c>
      <c r="IY45" s="285">
        <f t="shared" si="215"/>
        <v>273089.43589743582</v>
      </c>
      <c r="IZ45" s="152">
        <f t="shared" si="404"/>
        <v>1881</v>
      </c>
      <c r="JA45" s="285">
        <f t="shared" si="216"/>
        <v>273089.43589743582</v>
      </c>
      <c r="JB45" s="152">
        <f t="shared" si="405"/>
        <v>1881</v>
      </c>
      <c r="JC45" s="285">
        <f t="shared" si="217"/>
        <v>273089.43589743582</v>
      </c>
      <c r="JD45" s="152">
        <f t="shared" si="218"/>
        <v>1881</v>
      </c>
      <c r="JE45" s="285">
        <f t="shared" si="219"/>
        <v>273089.43589743582</v>
      </c>
      <c r="JF45" s="152">
        <f t="shared" si="406"/>
        <v>1881</v>
      </c>
      <c r="JG45" s="285">
        <f t="shared" si="220"/>
        <v>273089.43589743582</v>
      </c>
      <c r="JH45" s="152">
        <f t="shared" si="221"/>
        <v>1881</v>
      </c>
      <c r="JI45" s="285">
        <f t="shared" si="222"/>
        <v>273089.43589743582</v>
      </c>
      <c r="JJ45" s="152">
        <f t="shared" si="407"/>
        <v>1881</v>
      </c>
      <c r="JK45" s="285">
        <f t="shared" si="223"/>
        <v>273089.43589743582</v>
      </c>
      <c r="JL45" s="152">
        <f t="shared" si="224"/>
        <v>1881</v>
      </c>
      <c r="JM45" s="285">
        <f t="shared" si="225"/>
        <v>273089.43589743582</v>
      </c>
      <c r="JN45" s="152">
        <f t="shared" si="408"/>
        <v>1881</v>
      </c>
      <c r="JO45" s="285">
        <f t="shared" si="226"/>
        <v>273089.43589743582</v>
      </c>
      <c r="JP45" s="158">
        <f t="shared" si="227"/>
        <v>22572</v>
      </c>
      <c r="JQ45" s="159">
        <f t="shared" si="228"/>
        <v>3277073.2307692296</v>
      </c>
      <c r="JS45" s="149">
        <v>6580</v>
      </c>
      <c r="JT45" s="150">
        <v>1</v>
      </c>
      <c r="JU45" s="161">
        <f t="shared" si="443"/>
        <v>955304.88474488445</v>
      </c>
      <c r="JV45" s="152">
        <f t="shared" si="229"/>
        <v>6580</v>
      </c>
      <c r="JW45" s="153">
        <f t="shared" si="230"/>
        <v>955304.88474488445</v>
      </c>
      <c r="JX45" s="368"/>
      <c r="JY45" s="153">
        <f t="shared" si="231"/>
        <v>0</v>
      </c>
      <c r="JZ45" s="368"/>
      <c r="KA45" s="153">
        <f t="shared" si="231"/>
        <v>0</v>
      </c>
      <c r="KB45" s="368"/>
      <c r="KC45" s="153">
        <f t="shared" si="232"/>
        <v>0</v>
      </c>
      <c r="KD45" s="368"/>
      <c r="KE45" s="153">
        <f t="shared" si="233"/>
        <v>0</v>
      </c>
      <c r="KF45" s="368"/>
      <c r="KG45" s="153">
        <f t="shared" si="234"/>
        <v>0</v>
      </c>
      <c r="KH45" s="368"/>
      <c r="KI45" s="153">
        <f t="shared" si="236"/>
        <v>0</v>
      </c>
      <c r="KJ45" s="368"/>
      <c r="KK45" s="153">
        <f t="shared" si="237"/>
        <v>0</v>
      </c>
      <c r="KL45" s="368"/>
      <c r="KM45" s="153">
        <f t="shared" si="239"/>
        <v>0</v>
      </c>
      <c r="KN45" s="368"/>
      <c r="KO45" s="153">
        <f t="shared" si="240"/>
        <v>0</v>
      </c>
      <c r="KP45" s="368"/>
      <c r="KQ45" s="153">
        <f t="shared" si="242"/>
        <v>0</v>
      </c>
      <c r="KR45" s="368"/>
      <c r="KS45" s="154">
        <f t="shared" si="243"/>
        <v>0</v>
      </c>
      <c r="KT45" s="158">
        <f t="shared" si="244"/>
        <v>6580</v>
      </c>
      <c r="KU45" s="159">
        <f t="shared" si="444"/>
        <v>955304.88474488445</v>
      </c>
      <c r="KW45" s="149"/>
      <c r="KX45" s="150"/>
      <c r="KY45" s="157"/>
      <c r="KZ45" s="152">
        <f t="shared" si="271"/>
        <v>0</v>
      </c>
      <c r="LA45" s="153"/>
      <c r="LB45" s="152">
        <f t="shared" si="272"/>
        <v>0</v>
      </c>
      <c r="LC45" s="153">
        <f t="shared" si="246"/>
        <v>0</v>
      </c>
      <c r="LD45" s="152">
        <f t="shared" si="272"/>
        <v>0</v>
      </c>
      <c r="LE45" s="153">
        <f t="shared" si="246"/>
        <v>0</v>
      </c>
      <c r="LF45" s="152">
        <f t="shared" si="272"/>
        <v>0</v>
      </c>
      <c r="LG45" s="153">
        <f t="shared" si="247"/>
        <v>0</v>
      </c>
      <c r="LH45" s="152">
        <f t="shared" si="272"/>
        <v>0</v>
      </c>
      <c r="LI45" s="153">
        <f t="shared" si="248"/>
        <v>0</v>
      </c>
      <c r="LJ45" s="152">
        <f t="shared" si="273"/>
        <v>0</v>
      </c>
      <c r="LK45" s="153">
        <f t="shared" si="249"/>
        <v>0</v>
      </c>
      <c r="LL45" s="152">
        <f t="shared" si="274"/>
        <v>0</v>
      </c>
      <c r="LM45" s="153">
        <f t="shared" si="250"/>
        <v>0</v>
      </c>
      <c r="LN45" s="152">
        <f t="shared" si="275"/>
        <v>0</v>
      </c>
      <c r="LO45" s="153">
        <f t="shared" si="251"/>
        <v>0</v>
      </c>
      <c r="LP45" s="152">
        <f t="shared" si="276"/>
        <v>0</v>
      </c>
      <c r="LQ45" s="153">
        <f t="shared" si="252"/>
        <v>0</v>
      </c>
      <c r="LR45" s="152">
        <f t="shared" si="277"/>
        <v>0</v>
      </c>
      <c r="LS45" s="153">
        <f t="shared" si="253"/>
        <v>0</v>
      </c>
      <c r="LT45" s="152">
        <f t="shared" si="278"/>
        <v>0</v>
      </c>
      <c r="LU45" s="153">
        <f t="shared" si="254"/>
        <v>0</v>
      </c>
      <c r="LV45" s="152">
        <f t="shared" si="279"/>
        <v>0</v>
      </c>
      <c r="LW45" s="153">
        <f t="shared" si="255"/>
        <v>0</v>
      </c>
      <c r="LX45" s="158">
        <f t="shared" si="256"/>
        <v>0</v>
      </c>
      <c r="LY45" s="159">
        <f t="shared" si="257"/>
        <v>0</v>
      </c>
      <c r="MA45" s="164">
        <f t="shared" si="412"/>
        <v>38217.800000000003</v>
      </c>
      <c r="MB45" s="386">
        <f t="shared" si="258"/>
        <v>5548579.1830095816</v>
      </c>
      <c r="MC45" s="394">
        <f t="shared" si="413"/>
        <v>31637.800000000003</v>
      </c>
      <c r="MD45" s="386">
        <f t="shared" si="259"/>
        <v>4593274.2982646972</v>
      </c>
      <c r="ME45" s="394">
        <f t="shared" si="414"/>
        <v>32533.070000000003</v>
      </c>
      <c r="MF45" s="386">
        <f t="shared" si="259"/>
        <v>4723252.3840041431</v>
      </c>
      <c r="MG45" s="394">
        <f t="shared" si="415"/>
        <v>32533.070000000003</v>
      </c>
      <c r="MH45" s="386">
        <f t="shared" si="260"/>
        <v>4723252.3840041431</v>
      </c>
      <c r="MI45" s="394">
        <f t="shared" si="416"/>
        <v>32533.070000000003</v>
      </c>
      <c r="MJ45" s="386">
        <f t="shared" si="261"/>
        <v>4723252.3840041431</v>
      </c>
      <c r="MK45" s="394">
        <f t="shared" si="417"/>
        <v>32533.070000000003</v>
      </c>
      <c r="ML45" s="386">
        <f t="shared" si="262"/>
        <v>4723252.3840041431</v>
      </c>
      <c r="MM45" s="394">
        <f t="shared" si="418"/>
        <v>32533.070000000003</v>
      </c>
      <c r="MN45" s="386">
        <f t="shared" si="263"/>
        <v>4723252.3840041431</v>
      </c>
      <c r="MO45" s="394">
        <f t="shared" si="419"/>
        <v>32533.070000000003</v>
      </c>
      <c r="MP45" s="386">
        <f t="shared" si="264"/>
        <v>4723252.3840041431</v>
      </c>
      <c r="MQ45" s="394">
        <f t="shared" si="420"/>
        <v>32533.070000000003</v>
      </c>
      <c r="MR45" s="386">
        <f t="shared" si="265"/>
        <v>4723252.3840041431</v>
      </c>
      <c r="MS45" s="394">
        <f t="shared" si="421"/>
        <v>32533.070000000003</v>
      </c>
      <c r="MT45" s="386">
        <f t="shared" si="266"/>
        <v>4723252.3840041431</v>
      </c>
      <c r="MU45" s="394">
        <f t="shared" si="422"/>
        <v>32533.070000000003</v>
      </c>
      <c r="MV45" s="386">
        <f t="shared" si="267"/>
        <v>4723252.3840041431</v>
      </c>
      <c r="MW45" s="394">
        <f t="shared" si="423"/>
        <v>32533.070000000003</v>
      </c>
      <c r="MX45" s="386">
        <f t="shared" si="268"/>
        <v>4723252.3840041431</v>
      </c>
      <c r="MY45" s="165">
        <f t="shared" si="269"/>
        <v>395186.30000000005</v>
      </c>
      <c r="MZ45" s="166">
        <f t="shared" si="270"/>
        <v>57374377.321315706</v>
      </c>
    </row>
    <row r="46" spans="1:364" s="126" customFormat="1" ht="26.4" x14ac:dyDescent="0.3">
      <c r="A46" s="531"/>
      <c r="B46" s="212">
        <v>3.06</v>
      </c>
      <c r="C46" s="213" t="s">
        <v>108</v>
      </c>
      <c r="D46" s="214" t="s">
        <v>28</v>
      </c>
      <c r="E46" s="17">
        <v>1</v>
      </c>
      <c r="F46" s="350">
        <v>19770.517077798861</v>
      </c>
      <c r="G46" s="350">
        <f t="shared" si="81"/>
        <v>20594.476913345981</v>
      </c>
      <c r="I46" s="149">
        <v>2384</v>
      </c>
      <c r="J46" s="150">
        <v>0.5</v>
      </c>
      <c r="K46" s="151">
        <f t="shared" si="82"/>
        <v>24548616.480708409</v>
      </c>
      <c r="L46" s="152">
        <f t="shared" si="300"/>
        <v>1192</v>
      </c>
      <c r="M46" s="285">
        <f t="shared" si="445"/>
        <v>24548616.480708409</v>
      </c>
      <c r="N46" s="152">
        <f t="shared" si="361"/>
        <v>1192</v>
      </c>
      <c r="O46" s="285">
        <f t="shared" si="446"/>
        <v>24548616.480708409</v>
      </c>
      <c r="P46" s="152">
        <f t="shared" si="362"/>
        <v>1192</v>
      </c>
      <c r="Q46" s="285">
        <f t="shared" si="446"/>
        <v>24548616.480708409</v>
      </c>
      <c r="R46" s="152">
        <f t="shared" si="363"/>
        <v>1192</v>
      </c>
      <c r="S46" s="285">
        <f t="shared" si="86"/>
        <v>24548616.480708409</v>
      </c>
      <c r="T46" s="152">
        <f t="shared" si="364"/>
        <v>1192</v>
      </c>
      <c r="U46" s="285">
        <f t="shared" si="87"/>
        <v>24548616.480708409</v>
      </c>
      <c r="V46" s="152">
        <f t="shared" si="409"/>
        <v>1192</v>
      </c>
      <c r="W46" s="285">
        <f t="shared" si="88"/>
        <v>24548616.480708409</v>
      </c>
      <c r="X46" s="152">
        <f t="shared" si="305"/>
        <v>1192</v>
      </c>
      <c r="Y46" s="285">
        <f t="shared" si="89"/>
        <v>24548616.480708409</v>
      </c>
      <c r="Z46" s="152">
        <f t="shared" si="365"/>
        <v>1192</v>
      </c>
      <c r="AA46" s="285">
        <f t="shared" si="90"/>
        <v>24548616.480708409</v>
      </c>
      <c r="AB46" s="152">
        <f t="shared" si="306"/>
        <v>1192</v>
      </c>
      <c r="AC46" s="285">
        <f t="shared" si="91"/>
        <v>24548616.480708409</v>
      </c>
      <c r="AD46" s="152">
        <f t="shared" si="366"/>
        <v>1192</v>
      </c>
      <c r="AE46" s="285">
        <f t="shared" si="92"/>
        <v>24548616.480708409</v>
      </c>
      <c r="AF46" s="152">
        <f t="shared" si="307"/>
        <v>1192</v>
      </c>
      <c r="AG46" s="285">
        <f t="shared" si="308"/>
        <v>24548616.480708409</v>
      </c>
      <c r="AH46" s="152">
        <f t="shared" si="367"/>
        <v>1192</v>
      </c>
      <c r="AI46" s="294">
        <f t="shared" si="309"/>
        <v>24548616.480708409</v>
      </c>
      <c r="AJ46" s="215">
        <f t="shared" si="94"/>
        <v>14304</v>
      </c>
      <c r="AK46" s="307">
        <f t="shared" si="95"/>
        <v>294583397.76850092</v>
      </c>
      <c r="AM46" s="149">
        <v>0</v>
      </c>
      <c r="AN46" s="150">
        <v>1</v>
      </c>
      <c r="AO46" s="157">
        <f t="shared" si="427"/>
        <v>0</v>
      </c>
      <c r="AP46" s="152">
        <f t="shared" si="328"/>
        <v>0</v>
      </c>
      <c r="AQ46" s="285">
        <f t="shared" si="96"/>
        <v>0</v>
      </c>
      <c r="AR46" s="317">
        <f t="shared" si="329"/>
        <v>0</v>
      </c>
      <c r="AS46" s="285">
        <f t="shared" si="96"/>
        <v>0</v>
      </c>
      <c r="AT46" s="317">
        <f t="shared" si="330"/>
        <v>0</v>
      </c>
      <c r="AU46" s="285">
        <f t="shared" si="96"/>
        <v>0</v>
      </c>
      <c r="AV46" s="317">
        <f t="shared" si="331"/>
        <v>0</v>
      </c>
      <c r="AW46" s="285">
        <f t="shared" si="98"/>
        <v>0</v>
      </c>
      <c r="AX46" s="317">
        <f t="shared" si="5"/>
        <v>0</v>
      </c>
      <c r="AY46" s="285">
        <f t="shared" si="99"/>
        <v>0</v>
      </c>
      <c r="AZ46" s="317">
        <f t="shared" si="332"/>
        <v>0</v>
      </c>
      <c r="BA46" s="285">
        <f t="shared" si="100"/>
        <v>0</v>
      </c>
      <c r="BB46" s="317">
        <f t="shared" si="7"/>
        <v>0</v>
      </c>
      <c r="BC46" s="285">
        <f t="shared" si="101"/>
        <v>0</v>
      </c>
      <c r="BD46" s="317">
        <f t="shared" si="333"/>
        <v>0</v>
      </c>
      <c r="BE46" s="285">
        <f t="shared" si="102"/>
        <v>0</v>
      </c>
      <c r="BF46" s="317">
        <f t="shared" si="9"/>
        <v>0</v>
      </c>
      <c r="BG46" s="285">
        <f t="shared" si="103"/>
        <v>0</v>
      </c>
      <c r="BH46" s="317">
        <f t="shared" si="334"/>
        <v>0</v>
      </c>
      <c r="BI46" s="285">
        <f t="shared" si="425"/>
        <v>0</v>
      </c>
      <c r="BJ46" s="317">
        <f t="shared" si="335"/>
        <v>0</v>
      </c>
      <c r="BK46" s="285">
        <f t="shared" si="425"/>
        <v>0</v>
      </c>
      <c r="BL46" s="152">
        <f t="shared" si="428"/>
        <v>0</v>
      </c>
      <c r="BM46" s="296">
        <f t="shared" si="105"/>
        <v>0</v>
      </c>
      <c r="BN46" s="158">
        <f t="shared" si="106"/>
        <v>0</v>
      </c>
      <c r="BO46" s="307">
        <f t="shared" si="410"/>
        <v>0</v>
      </c>
      <c r="BQ46" s="24">
        <v>0</v>
      </c>
      <c r="BR46" s="25"/>
      <c r="BS46" s="160">
        <f t="shared" si="281"/>
        <v>0</v>
      </c>
      <c r="BT46" s="152">
        <f t="shared" si="280"/>
        <v>0</v>
      </c>
      <c r="BU46" s="332">
        <f t="shared" si="107"/>
        <v>0</v>
      </c>
      <c r="BV46" s="152">
        <f t="shared" si="368"/>
        <v>0</v>
      </c>
      <c r="BW46" s="153">
        <f t="shared" si="108"/>
        <v>0</v>
      </c>
      <c r="BX46" s="152">
        <f t="shared" si="369"/>
        <v>0</v>
      </c>
      <c r="BY46" s="153">
        <f t="shared" si="109"/>
        <v>0</v>
      </c>
      <c r="BZ46" s="152">
        <f t="shared" si="370"/>
        <v>0</v>
      </c>
      <c r="CA46" s="153">
        <f t="shared" si="110"/>
        <v>0</v>
      </c>
      <c r="CB46" s="152">
        <f t="shared" si="371"/>
        <v>0</v>
      </c>
      <c r="CC46" s="153">
        <f t="shared" si="111"/>
        <v>0</v>
      </c>
      <c r="CD46" s="152">
        <f t="shared" si="372"/>
        <v>0</v>
      </c>
      <c r="CE46" s="153">
        <f t="shared" si="112"/>
        <v>0</v>
      </c>
      <c r="CF46" s="152">
        <f t="shared" si="113"/>
        <v>0</v>
      </c>
      <c r="CG46" s="153">
        <f t="shared" si="114"/>
        <v>0</v>
      </c>
      <c r="CH46" s="152">
        <f t="shared" si="373"/>
        <v>0</v>
      </c>
      <c r="CI46" s="153">
        <f t="shared" si="115"/>
        <v>0</v>
      </c>
      <c r="CJ46" s="152">
        <f t="shared" si="116"/>
        <v>0</v>
      </c>
      <c r="CK46" s="153">
        <f t="shared" si="117"/>
        <v>0</v>
      </c>
      <c r="CL46" s="152">
        <f t="shared" si="374"/>
        <v>0</v>
      </c>
      <c r="CM46" s="153">
        <f t="shared" si="118"/>
        <v>0</v>
      </c>
      <c r="CN46" s="152">
        <f t="shared" si="119"/>
        <v>0</v>
      </c>
      <c r="CO46" s="153">
        <f t="shared" si="120"/>
        <v>0</v>
      </c>
      <c r="CP46" s="152">
        <f t="shared" si="375"/>
        <v>0</v>
      </c>
      <c r="CQ46" s="154">
        <f t="shared" si="429"/>
        <v>0</v>
      </c>
      <c r="CR46" s="158">
        <f t="shared" si="121"/>
        <v>0</v>
      </c>
      <c r="CS46" s="159">
        <f t="shared" si="430"/>
        <v>0</v>
      </c>
      <c r="CU46" s="24">
        <v>0</v>
      </c>
      <c r="CV46" s="25"/>
      <c r="CW46" s="161">
        <f t="shared" si="299"/>
        <v>0</v>
      </c>
      <c r="CX46" s="152">
        <f t="shared" si="122"/>
        <v>0</v>
      </c>
      <c r="CY46" s="153">
        <f t="shared" si="123"/>
        <v>0</v>
      </c>
      <c r="CZ46" s="152">
        <f t="shared" si="376"/>
        <v>0</v>
      </c>
      <c r="DA46" s="285">
        <f t="shared" si="123"/>
        <v>0</v>
      </c>
      <c r="DB46" s="152">
        <f t="shared" si="377"/>
        <v>0</v>
      </c>
      <c r="DC46" s="285">
        <f t="shared" si="124"/>
        <v>0</v>
      </c>
      <c r="DD46" s="152">
        <f t="shared" si="378"/>
        <v>0</v>
      </c>
      <c r="DE46" s="285">
        <f t="shared" si="125"/>
        <v>0</v>
      </c>
      <c r="DF46" s="152">
        <f t="shared" si="379"/>
        <v>0</v>
      </c>
      <c r="DG46" s="285">
        <f t="shared" si="126"/>
        <v>0</v>
      </c>
      <c r="DH46" s="152">
        <f t="shared" si="380"/>
        <v>0</v>
      </c>
      <c r="DI46" s="285">
        <f t="shared" si="127"/>
        <v>0</v>
      </c>
      <c r="DJ46" s="152">
        <f t="shared" si="128"/>
        <v>0</v>
      </c>
      <c r="DK46" s="285">
        <f t="shared" si="129"/>
        <v>0</v>
      </c>
      <c r="DL46" s="152">
        <f t="shared" si="381"/>
        <v>0</v>
      </c>
      <c r="DM46" s="285">
        <f t="shared" si="130"/>
        <v>0</v>
      </c>
      <c r="DN46" s="152">
        <f t="shared" si="131"/>
        <v>0</v>
      </c>
      <c r="DO46" s="285">
        <f t="shared" si="132"/>
        <v>0</v>
      </c>
      <c r="DP46" s="152">
        <f t="shared" si="382"/>
        <v>0</v>
      </c>
      <c r="DQ46" s="285">
        <f t="shared" si="133"/>
        <v>0</v>
      </c>
      <c r="DR46" s="152">
        <f t="shared" si="134"/>
        <v>0</v>
      </c>
      <c r="DS46" s="285">
        <f t="shared" si="135"/>
        <v>0</v>
      </c>
      <c r="DT46" s="152">
        <f t="shared" si="383"/>
        <v>0</v>
      </c>
      <c r="DU46" s="285">
        <f t="shared" si="136"/>
        <v>0</v>
      </c>
      <c r="DV46" s="158">
        <f t="shared" si="137"/>
        <v>0</v>
      </c>
      <c r="DW46" s="159">
        <f t="shared" si="431"/>
        <v>0</v>
      </c>
      <c r="DY46" s="164">
        <v>0</v>
      </c>
      <c r="DZ46" s="25"/>
      <c r="EA46" s="161">
        <f t="shared" si="432"/>
        <v>0</v>
      </c>
      <c r="EB46" s="152">
        <f t="shared" si="384"/>
        <v>0</v>
      </c>
      <c r="EC46" s="153">
        <f t="shared" si="139"/>
        <v>0</v>
      </c>
      <c r="ED46" s="317">
        <f t="shared" si="385"/>
        <v>0</v>
      </c>
      <c r="EE46" s="153">
        <f t="shared" si="139"/>
        <v>0</v>
      </c>
      <c r="EF46" s="152">
        <f t="shared" si="386"/>
        <v>0</v>
      </c>
      <c r="EG46" s="153">
        <f t="shared" si="426"/>
        <v>0</v>
      </c>
      <c r="EH46" s="152">
        <f t="shared" si="387"/>
        <v>0</v>
      </c>
      <c r="EI46" s="153">
        <f t="shared" si="426"/>
        <v>0</v>
      </c>
      <c r="EJ46" s="152">
        <f t="shared" si="388"/>
        <v>0</v>
      </c>
      <c r="EK46" s="153">
        <f t="shared" si="143"/>
        <v>0</v>
      </c>
      <c r="EL46" s="152">
        <f t="shared" si="389"/>
        <v>0</v>
      </c>
      <c r="EM46" s="153">
        <f t="shared" si="144"/>
        <v>0</v>
      </c>
      <c r="EN46" s="152">
        <f t="shared" si="290"/>
        <v>0</v>
      </c>
      <c r="EO46" s="153">
        <f t="shared" si="145"/>
        <v>0</v>
      </c>
      <c r="EP46" s="152">
        <f t="shared" si="390"/>
        <v>0</v>
      </c>
      <c r="EQ46" s="153">
        <f t="shared" si="146"/>
        <v>0</v>
      </c>
      <c r="ER46" s="152">
        <f t="shared" si="292"/>
        <v>0</v>
      </c>
      <c r="ES46" s="153">
        <f t="shared" si="147"/>
        <v>0</v>
      </c>
      <c r="ET46" s="152">
        <f t="shared" si="391"/>
        <v>0</v>
      </c>
      <c r="EU46" s="153">
        <f t="shared" si="148"/>
        <v>0</v>
      </c>
      <c r="EV46" s="152">
        <f t="shared" si="294"/>
        <v>0</v>
      </c>
      <c r="EW46" s="153">
        <f t="shared" si="149"/>
        <v>0</v>
      </c>
      <c r="EX46" s="152">
        <f t="shared" si="392"/>
        <v>0</v>
      </c>
      <c r="EY46" s="153">
        <f t="shared" si="150"/>
        <v>0</v>
      </c>
      <c r="EZ46" s="158">
        <f t="shared" si="151"/>
        <v>0</v>
      </c>
      <c r="FA46" s="159">
        <f t="shared" si="433"/>
        <v>0</v>
      </c>
      <c r="FC46" s="149">
        <v>6726.14</v>
      </c>
      <c r="FD46" s="150">
        <v>0.5</v>
      </c>
      <c r="FE46" s="161">
        <f t="shared" si="296"/>
        <v>69260667.472966477</v>
      </c>
      <c r="FF46" s="152">
        <f t="shared" si="153"/>
        <v>3363.07</v>
      </c>
      <c r="FG46" s="153">
        <f t="shared" si="154"/>
        <v>69260667.472966477</v>
      </c>
      <c r="FH46" s="368">
        <f t="shared" si="434"/>
        <v>3363.07</v>
      </c>
      <c r="FI46" s="153">
        <f t="shared" si="155"/>
        <v>69260667.472966477</v>
      </c>
      <c r="FJ46" s="368">
        <f t="shared" si="435"/>
        <v>3363.07</v>
      </c>
      <c r="FK46" s="153">
        <f t="shared" si="155"/>
        <v>69260667.472966477</v>
      </c>
      <c r="FL46" s="368">
        <f t="shared" si="436"/>
        <v>3363.07</v>
      </c>
      <c r="FM46" s="153">
        <f t="shared" si="156"/>
        <v>69260667.472966477</v>
      </c>
      <c r="FN46" s="368">
        <f t="shared" si="396"/>
        <v>3363.07</v>
      </c>
      <c r="FO46" s="153">
        <f t="shared" si="157"/>
        <v>69260667.472966477</v>
      </c>
      <c r="FP46" s="368">
        <f t="shared" si="437"/>
        <v>3363.07</v>
      </c>
      <c r="FQ46" s="153">
        <f t="shared" si="158"/>
        <v>69260667.472966477</v>
      </c>
      <c r="FR46" s="368">
        <f t="shared" si="159"/>
        <v>3363.07</v>
      </c>
      <c r="FS46" s="153">
        <f t="shared" si="160"/>
        <v>69260667.472966477</v>
      </c>
      <c r="FT46" s="368">
        <f t="shared" si="438"/>
        <v>3363.07</v>
      </c>
      <c r="FU46" s="153">
        <f t="shared" si="161"/>
        <v>69260667.472966477</v>
      </c>
      <c r="FV46" s="368">
        <f t="shared" si="162"/>
        <v>3363.07</v>
      </c>
      <c r="FW46" s="153">
        <f t="shared" si="163"/>
        <v>69260667.472966477</v>
      </c>
      <c r="FX46" s="368">
        <f t="shared" si="439"/>
        <v>3363.07</v>
      </c>
      <c r="FY46" s="153">
        <f t="shared" si="164"/>
        <v>69260667.472966477</v>
      </c>
      <c r="FZ46" s="368">
        <f t="shared" si="165"/>
        <v>3363.07</v>
      </c>
      <c r="GA46" s="153">
        <f t="shared" si="166"/>
        <v>69260667.472966477</v>
      </c>
      <c r="GB46" s="368">
        <f t="shared" si="440"/>
        <v>3363.07</v>
      </c>
      <c r="GC46" s="153">
        <f t="shared" si="167"/>
        <v>69260667.472966477</v>
      </c>
      <c r="GD46" s="158">
        <f t="shared" si="168"/>
        <v>40356.840000000004</v>
      </c>
      <c r="GE46" s="159">
        <f t="shared" si="411"/>
        <v>831128009.67559767</v>
      </c>
      <c r="GG46" s="149">
        <v>0</v>
      </c>
      <c r="GH46" s="150"/>
      <c r="GI46" s="161">
        <f t="shared" si="297"/>
        <v>0</v>
      </c>
      <c r="GJ46" s="152">
        <f t="shared" si="169"/>
        <v>0</v>
      </c>
      <c r="GK46" s="153">
        <f t="shared" si="170"/>
        <v>0</v>
      </c>
      <c r="GL46" s="152">
        <f t="shared" si="169"/>
        <v>0</v>
      </c>
      <c r="GM46" s="153">
        <f t="shared" si="170"/>
        <v>0</v>
      </c>
      <c r="GN46" s="152">
        <f t="shared" si="169"/>
        <v>0</v>
      </c>
      <c r="GO46" s="153">
        <f t="shared" si="171"/>
        <v>0</v>
      </c>
      <c r="GP46" s="152">
        <f t="shared" si="169"/>
        <v>0</v>
      </c>
      <c r="GQ46" s="153">
        <f t="shared" si="172"/>
        <v>0</v>
      </c>
      <c r="GR46" s="152">
        <f t="shared" si="173"/>
        <v>0</v>
      </c>
      <c r="GS46" s="153">
        <f t="shared" si="174"/>
        <v>0</v>
      </c>
      <c r="GT46" s="152">
        <f t="shared" si="175"/>
        <v>0</v>
      </c>
      <c r="GU46" s="153">
        <f t="shared" si="176"/>
        <v>0</v>
      </c>
      <c r="GV46" s="152">
        <f t="shared" si="177"/>
        <v>0</v>
      </c>
      <c r="GW46" s="153">
        <f t="shared" si="178"/>
        <v>0</v>
      </c>
      <c r="GX46" s="152">
        <f t="shared" si="179"/>
        <v>0</v>
      </c>
      <c r="GY46" s="153">
        <f t="shared" si="180"/>
        <v>0</v>
      </c>
      <c r="GZ46" s="152">
        <f t="shared" si="181"/>
        <v>0</v>
      </c>
      <c r="HA46" s="153">
        <f t="shared" si="182"/>
        <v>0</v>
      </c>
      <c r="HB46" s="152">
        <f t="shared" si="183"/>
        <v>0</v>
      </c>
      <c r="HC46" s="153">
        <f t="shared" si="184"/>
        <v>0</v>
      </c>
      <c r="HD46" s="152">
        <f t="shared" si="185"/>
        <v>0</v>
      </c>
      <c r="HE46" s="153">
        <f t="shared" si="186"/>
        <v>0</v>
      </c>
      <c r="HF46" s="152">
        <f t="shared" si="187"/>
        <v>0</v>
      </c>
      <c r="HG46" s="153">
        <f t="shared" si="188"/>
        <v>0</v>
      </c>
      <c r="HH46" s="158">
        <f t="shared" si="189"/>
        <v>0</v>
      </c>
      <c r="HI46" s="159">
        <f t="shared" si="47"/>
        <v>0</v>
      </c>
      <c r="HK46" s="149">
        <v>0</v>
      </c>
      <c r="HL46" s="150"/>
      <c r="HM46" s="161">
        <f t="shared" si="441"/>
        <v>0</v>
      </c>
      <c r="HN46" s="152">
        <f t="shared" si="190"/>
        <v>0</v>
      </c>
      <c r="HO46" s="153">
        <f t="shared" si="191"/>
        <v>0</v>
      </c>
      <c r="HP46" s="152">
        <f t="shared" si="192"/>
        <v>0</v>
      </c>
      <c r="HQ46" s="153">
        <f t="shared" si="193"/>
        <v>0</v>
      </c>
      <c r="HR46" s="152">
        <f t="shared" si="192"/>
        <v>0</v>
      </c>
      <c r="HS46" s="153">
        <f t="shared" si="193"/>
        <v>0</v>
      </c>
      <c r="HT46" s="152">
        <f t="shared" si="192"/>
        <v>0</v>
      </c>
      <c r="HU46" s="153">
        <f t="shared" si="194"/>
        <v>0</v>
      </c>
      <c r="HV46" s="152">
        <f t="shared" si="192"/>
        <v>0</v>
      </c>
      <c r="HW46" s="153">
        <f t="shared" si="195"/>
        <v>0</v>
      </c>
      <c r="HX46" s="152">
        <f t="shared" si="196"/>
        <v>0</v>
      </c>
      <c r="HY46" s="153">
        <f t="shared" si="197"/>
        <v>0</v>
      </c>
      <c r="HZ46" s="152">
        <f t="shared" si="198"/>
        <v>0</v>
      </c>
      <c r="IA46" s="153">
        <f t="shared" si="199"/>
        <v>0</v>
      </c>
      <c r="IB46" s="152">
        <f t="shared" si="200"/>
        <v>0</v>
      </c>
      <c r="IC46" s="153">
        <f t="shared" si="201"/>
        <v>0</v>
      </c>
      <c r="ID46" s="152">
        <f t="shared" si="202"/>
        <v>0</v>
      </c>
      <c r="IE46" s="153">
        <f t="shared" si="203"/>
        <v>0</v>
      </c>
      <c r="IF46" s="152">
        <f t="shared" si="204"/>
        <v>0</v>
      </c>
      <c r="IG46" s="153">
        <f t="shared" si="205"/>
        <v>0</v>
      </c>
      <c r="IH46" s="152">
        <f t="shared" si="206"/>
        <v>0</v>
      </c>
      <c r="II46" s="153">
        <f t="shared" si="207"/>
        <v>0</v>
      </c>
      <c r="IJ46" s="152">
        <f t="shared" si="208"/>
        <v>0</v>
      </c>
      <c r="IK46" s="153">
        <f t="shared" si="209"/>
        <v>0</v>
      </c>
      <c r="IL46" s="158">
        <f t="shared" si="210"/>
        <v>0</v>
      </c>
      <c r="IM46" s="159">
        <f t="shared" si="211"/>
        <v>0</v>
      </c>
      <c r="IO46" s="149">
        <v>0</v>
      </c>
      <c r="IP46" s="150"/>
      <c r="IQ46" s="161">
        <f t="shared" si="442"/>
        <v>0</v>
      </c>
      <c r="IR46" s="152">
        <f t="shared" si="212"/>
        <v>0</v>
      </c>
      <c r="IS46" s="153">
        <f t="shared" si="213"/>
        <v>0</v>
      </c>
      <c r="IT46" s="152">
        <f t="shared" si="401"/>
        <v>0</v>
      </c>
      <c r="IU46" s="285">
        <f t="shared" si="214"/>
        <v>0</v>
      </c>
      <c r="IV46" s="152">
        <f t="shared" si="402"/>
        <v>0</v>
      </c>
      <c r="IW46" s="285">
        <f t="shared" si="214"/>
        <v>0</v>
      </c>
      <c r="IX46" s="152">
        <f t="shared" si="403"/>
        <v>0</v>
      </c>
      <c r="IY46" s="285">
        <f t="shared" si="215"/>
        <v>0</v>
      </c>
      <c r="IZ46" s="152">
        <f t="shared" si="404"/>
        <v>0</v>
      </c>
      <c r="JA46" s="285">
        <f t="shared" si="216"/>
        <v>0</v>
      </c>
      <c r="JB46" s="152">
        <f t="shared" si="405"/>
        <v>0</v>
      </c>
      <c r="JC46" s="285">
        <f t="shared" si="217"/>
        <v>0</v>
      </c>
      <c r="JD46" s="152">
        <f t="shared" si="218"/>
        <v>0</v>
      </c>
      <c r="JE46" s="285">
        <f t="shared" si="219"/>
        <v>0</v>
      </c>
      <c r="JF46" s="152">
        <f t="shared" si="406"/>
        <v>0</v>
      </c>
      <c r="JG46" s="285">
        <f t="shared" si="220"/>
        <v>0</v>
      </c>
      <c r="JH46" s="152">
        <f t="shared" si="221"/>
        <v>0</v>
      </c>
      <c r="JI46" s="285">
        <f t="shared" si="222"/>
        <v>0</v>
      </c>
      <c r="JJ46" s="152">
        <f t="shared" si="407"/>
        <v>0</v>
      </c>
      <c r="JK46" s="285">
        <f t="shared" si="223"/>
        <v>0</v>
      </c>
      <c r="JL46" s="152">
        <f t="shared" si="224"/>
        <v>0</v>
      </c>
      <c r="JM46" s="285">
        <f t="shared" si="225"/>
        <v>0</v>
      </c>
      <c r="JN46" s="152">
        <f t="shared" si="408"/>
        <v>0</v>
      </c>
      <c r="JO46" s="285">
        <f t="shared" si="226"/>
        <v>0</v>
      </c>
      <c r="JP46" s="158">
        <f t="shared" si="227"/>
        <v>0</v>
      </c>
      <c r="JQ46" s="159">
        <f t="shared" si="228"/>
        <v>0</v>
      </c>
      <c r="JS46" s="149">
        <v>0</v>
      </c>
      <c r="JT46" s="150"/>
      <c r="JU46" s="161">
        <f t="shared" si="443"/>
        <v>0</v>
      </c>
      <c r="JV46" s="152">
        <f t="shared" si="229"/>
        <v>0</v>
      </c>
      <c r="JW46" s="153">
        <f t="shared" si="230"/>
        <v>0</v>
      </c>
      <c r="JX46" s="368"/>
      <c r="JY46" s="153">
        <f t="shared" si="231"/>
        <v>0</v>
      </c>
      <c r="JZ46" s="368"/>
      <c r="KA46" s="153">
        <f t="shared" si="231"/>
        <v>0</v>
      </c>
      <c r="KB46" s="368"/>
      <c r="KC46" s="153">
        <f t="shared" si="232"/>
        <v>0</v>
      </c>
      <c r="KD46" s="368"/>
      <c r="KE46" s="153">
        <f t="shared" si="233"/>
        <v>0</v>
      </c>
      <c r="KF46" s="368"/>
      <c r="KG46" s="153">
        <f t="shared" si="234"/>
        <v>0</v>
      </c>
      <c r="KH46" s="368"/>
      <c r="KI46" s="153">
        <f t="shared" si="236"/>
        <v>0</v>
      </c>
      <c r="KJ46" s="368"/>
      <c r="KK46" s="153">
        <f t="shared" si="237"/>
        <v>0</v>
      </c>
      <c r="KL46" s="368"/>
      <c r="KM46" s="153">
        <f t="shared" si="239"/>
        <v>0</v>
      </c>
      <c r="KN46" s="368"/>
      <c r="KO46" s="153">
        <f t="shared" si="240"/>
        <v>0</v>
      </c>
      <c r="KP46" s="368"/>
      <c r="KQ46" s="153">
        <f t="shared" si="242"/>
        <v>0</v>
      </c>
      <c r="KR46" s="368"/>
      <c r="KS46" s="154">
        <f t="shared" si="243"/>
        <v>0</v>
      </c>
      <c r="KT46" s="158">
        <f t="shared" si="244"/>
        <v>0</v>
      </c>
      <c r="KU46" s="159">
        <f t="shared" si="444"/>
        <v>0</v>
      </c>
      <c r="KW46" s="149"/>
      <c r="KX46" s="150"/>
      <c r="KY46" s="157"/>
      <c r="KZ46" s="152">
        <f t="shared" si="271"/>
        <v>0</v>
      </c>
      <c r="LA46" s="153"/>
      <c r="LB46" s="152">
        <f t="shared" si="272"/>
        <v>0</v>
      </c>
      <c r="LC46" s="153">
        <f t="shared" si="246"/>
        <v>0</v>
      </c>
      <c r="LD46" s="152">
        <f t="shared" si="272"/>
        <v>0</v>
      </c>
      <c r="LE46" s="153">
        <f t="shared" si="246"/>
        <v>0</v>
      </c>
      <c r="LF46" s="152">
        <f t="shared" si="272"/>
        <v>0</v>
      </c>
      <c r="LG46" s="153">
        <f t="shared" si="247"/>
        <v>0</v>
      </c>
      <c r="LH46" s="152">
        <f t="shared" si="272"/>
        <v>0</v>
      </c>
      <c r="LI46" s="153">
        <f t="shared" si="248"/>
        <v>0</v>
      </c>
      <c r="LJ46" s="152">
        <f t="shared" si="273"/>
        <v>0</v>
      </c>
      <c r="LK46" s="153">
        <f t="shared" si="249"/>
        <v>0</v>
      </c>
      <c r="LL46" s="152">
        <f t="shared" si="274"/>
        <v>0</v>
      </c>
      <c r="LM46" s="153">
        <f t="shared" si="250"/>
        <v>0</v>
      </c>
      <c r="LN46" s="152">
        <f t="shared" si="275"/>
        <v>0</v>
      </c>
      <c r="LO46" s="153">
        <f t="shared" si="251"/>
        <v>0</v>
      </c>
      <c r="LP46" s="152">
        <f t="shared" si="276"/>
        <v>0</v>
      </c>
      <c r="LQ46" s="153">
        <f t="shared" si="252"/>
        <v>0</v>
      </c>
      <c r="LR46" s="152">
        <f t="shared" si="277"/>
        <v>0</v>
      </c>
      <c r="LS46" s="153">
        <f t="shared" si="253"/>
        <v>0</v>
      </c>
      <c r="LT46" s="152">
        <f t="shared" si="278"/>
        <v>0</v>
      </c>
      <c r="LU46" s="153">
        <f t="shared" si="254"/>
        <v>0</v>
      </c>
      <c r="LV46" s="152">
        <f t="shared" si="279"/>
        <v>0</v>
      </c>
      <c r="LW46" s="153">
        <f t="shared" si="255"/>
        <v>0</v>
      </c>
      <c r="LX46" s="158">
        <f t="shared" si="256"/>
        <v>0</v>
      </c>
      <c r="LY46" s="159">
        <f t="shared" si="257"/>
        <v>0</v>
      </c>
      <c r="MA46" s="164">
        <f t="shared" si="412"/>
        <v>4555.07</v>
      </c>
      <c r="MB46" s="386">
        <f t="shared" si="258"/>
        <v>93809283.953674868</v>
      </c>
      <c r="MC46" s="394">
        <f t="shared" si="413"/>
        <v>4555.07</v>
      </c>
      <c r="MD46" s="386">
        <f t="shared" si="259"/>
        <v>93809283.953674868</v>
      </c>
      <c r="ME46" s="394">
        <f t="shared" si="414"/>
        <v>4555.07</v>
      </c>
      <c r="MF46" s="386">
        <f t="shared" si="259"/>
        <v>93809283.953674868</v>
      </c>
      <c r="MG46" s="394">
        <f t="shared" si="415"/>
        <v>4555.07</v>
      </c>
      <c r="MH46" s="386">
        <f t="shared" si="260"/>
        <v>93809283.953674868</v>
      </c>
      <c r="MI46" s="394">
        <f t="shared" si="416"/>
        <v>4555.07</v>
      </c>
      <c r="MJ46" s="386">
        <f t="shared" si="261"/>
        <v>93809283.953674868</v>
      </c>
      <c r="MK46" s="394">
        <f t="shared" si="417"/>
        <v>4555.07</v>
      </c>
      <c r="ML46" s="386">
        <f t="shared" si="262"/>
        <v>93809283.953674868</v>
      </c>
      <c r="MM46" s="394">
        <f t="shared" si="418"/>
        <v>4555.07</v>
      </c>
      <c r="MN46" s="386">
        <f t="shared" si="263"/>
        <v>93809283.953674868</v>
      </c>
      <c r="MO46" s="394">
        <f t="shared" si="419"/>
        <v>4555.07</v>
      </c>
      <c r="MP46" s="386">
        <f t="shared" si="264"/>
        <v>93809283.953674868</v>
      </c>
      <c r="MQ46" s="394">
        <f t="shared" si="420"/>
        <v>4555.07</v>
      </c>
      <c r="MR46" s="386">
        <f t="shared" si="265"/>
        <v>93809283.953674868</v>
      </c>
      <c r="MS46" s="394">
        <f t="shared" si="421"/>
        <v>4555.07</v>
      </c>
      <c r="MT46" s="386">
        <f t="shared" si="266"/>
        <v>93809283.953674868</v>
      </c>
      <c r="MU46" s="394">
        <f t="shared" si="422"/>
        <v>4555.07</v>
      </c>
      <c r="MV46" s="386">
        <f t="shared" si="267"/>
        <v>93809283.953674868</v>
      </c>
      <c r="MW46" s="394">
        <f t="shared" si="423"/>
        <v>4555.07</v>
      </c>
      <c r="MX46" s="386">
        <f t="shared" si="268"/>
        <v>93809283.953674868</v>
      </c>
      <c r="MY46" s="165">
        <f t="shared" si="269"/>
        <v>54660.84</v>
      </c>
      <c r="MZ46" s="166">
        <f t="shared" si="270"/>
        <v>1125711407.4440985</v>
      </c>
    </row>
    <row r="47" spans="1:364" s="126" customFormat="1" ht="52.8" x14ac:dyDescent="0.3">
      <c r="A47" s="531"/>
      <c r="B47" s="212">
        <v>3.07</v>
      </c>
      <c r="C47" s="213" t="s">
        <v>109</v>
      </c>
      <c r="D47" s="214" t="s">
        <v>110</v>
      </c>
      <c r="E47" s="17">
        <v>1</v>
      </c>
      <c r="F47" s="350">
        <v>796272.48725094867</v>
      </c>
      <c r="G47" s="350">
        <f t="shared" si="81"/>
        <v>829458.09110056912</v>
      </c>
      <c r="I47" s="149">
        <v>22</v>
      </c>
      <c r="J47" s="150">
        <v>1</v>
      </c>
      <c r="K47" s="216">
        <f t="shared" si="82"/>
        <v>18248078.004212521</v>
      </c>
      <c r="L47" s="152">
        <f t="shared" si="300"/>
        <v>22</v>
      </c>
      <c r="M47" s="285">
        <f t="shared" si="445"/>
        <v>18248078.004212521</v>
      </c>
      <c r="N47" s="152">
        <f t="shared" si="361"/>
        <v>22</v>
      </c>
      <c r="O47" s="285">
        <f t="shared" si="446"/>
        <v>18248078.004212521</v>
      </c>
      <c r="P47" s="152">
        <f t="shared" si="362"/>
        <v>22</v>
      </c>
      <c r="Q47" s="285">
        <f t="shared" si="446"/>
        <v>18248078.004212521</v>
      </c>
      <c r="R47" s="152">
        <f t="shared" si="363"/>
        <v>22</v>
      </c>
      <c r="S47" s="285">
        <f t="shared" si="86"/>
        <v>18248078.004212521</v>
      </c>
      <c r="T47" s="152">
        <f t="shared" si="364"/>
        <v>22</v>
      </c>
      <c r="U47" s="285">
        <f t="shared" si="87"/>
        <v>18248078.004212521</v>
      </c>
      <c r="V47" s="152">
        <f t="shared" si="409"/>
        <v>22</v>
      </c>
      <c r="W47" s="285">
        <f t="shared" si="88"/>
        <v>18248078.004212521</v>
      </c>
      <c r="X47" s="152">
        <f t="shared" si="305"/>
        <v>22</v>
      </c>
      <c r="Y47" s="285">
        <f t="shared" si="89"/>
        <v>18248078.004212521</v>
      </c>
      <c r="Z47" s="152">
        <f t="shared" si="365"/>
        <v>22</v>
      </c>
      <c r="AA47" s="285">
        <f t="shared" si="90"/>
        <v>18248078.004212521</v>
      </c>
      <c r="AB47" s="152">
        <f t="shared" si="306"/>
        <v>22</v>
      </c>
      <c r="AC47" s="285">
        <f t="shared" si="91"/>
        <v>18248078.004212521</v>
      </c>
      <c r="AD47" s="152">
        <f t="shared" si="366"/>
        <v>22</v>
      </c>
      <c r="AE47" s="285">
        <f t="shared" si="92"/>
        <v>18248078.004212521</v>
      </c>
      <c r="AF47" s="152">
        <f t="shared" si="307"/>
        <v>22</v>
      </c>
      <c r="AG47" s="285">
        <f t="shared" si="308"/>
        <v>18248078.004212521</v>
      </c>
      <c r="AH47" s="152">
        <f t="shared" si="367"/>
        <v>22</v>
      </c>
      <c r="AI47" s="296">
        <f t="shared" si="309"/>
        <v>18248078.004212521</v>
      </c>
      <c r="AJ47" s="215">
        <f t="shared" si="94"/>
        <v>264</v>
      </c>
      <c r="AK47" s="307">
        <f t="shared" si="95"/>
        <v>218976936.05055025</v>
      </c>
      <c r="AM47" s="149">
        <v>0</v>
      </c>
      <c r="AN47" s="150"/>
      <c r="AO47" s="157">
        <f t="shared" si="427"/>
        <v>0</v>
      </c>
      <c r="AP47" s="152">
        <f t="shared" si="328"/>
        <v>0</v>
      </c>
      <c r="AQ47" s="285">
        <f t="shared" si="96"/>
        <v>0</v>
      </c>
      <c r="AR47" s="317">
        <f t="shared" si="329"/>
        <v>0</v>
      </c>
      <c r="AS47" s="285">
        <f t="shared" si="96"/>
        <v>0</v>
      </c>
      <c r="AT47" s="317">
        <f t="shared" si="330"/>
        <v>0</v>
      </c>
      <c r="AU47" s="285">
        <f t="shared" si="96"/>
        <v>0</v>
      </c>
      <c r="AV47" s="317">
        <f t="shared" si="331"/>
        <v>0</v>
      </c>
      <c r="AW47" s="285">
        <f t="shared" si="98"/>
        <v>0</v>
      </c>
      <c r="AX47" s="317">
        <f t="shared" si="5"/>
        <v>0</v>
      </c>
      <c r="AY47" s="285">
        <f t="shared" si="99"/>
        <v>0</v>
      </c>
      <c r="AZ47" s="317">
        <f t="shared" si="332"/>
        <v>0</v>
      </c>
      <c r="BA47" s="285">
        <f t="shared" si="100"/>
        <v>0</v>
      </c>
      <c r="BB47" s="317">
        <f t="shared" si="7"/>
        <v>0</v>
      </c>
      <c r="BC47" s="285">
        <f t="shared" si="101"/>
        <v>0</v>
      </c>
      <c r="BD47" s="317">
        <f t="shared" si="333"/>
        <v>0</v>
      </c>
      <c r="BE47" s="285">
        <f t="shared" si="102"/>
        <v>0</v>
      </c>
      <c r="BF47" s="317">
        <f t="shared" si="9"/>
        <v>0</v>
      </c>
      <c r="BG47" s="285">
        <f t="shared" si="103"/>
        <v>0</v>
      </c>
      <c r="BH47" s="317">
        <f t="shared" si="334"/>
        <v>0</v>
      </c>
      <c r="BI47" s="285">
        <f t="shared" si="425"/>
        <v>0</v>
      </c>
      <c r="BJ47" s="317">
        <f t="shared" si="335"/>
        <v>0</v>
      </c>
      <c r="BK47" s="285">
        <f t="shared" si="425"/>
        <v>0</v>
      </c>
      <c r="BL47" s="152"/>
      <c r="BM47" s="296">
        <f t="shared" si="105"/>
        <v>0</v>
      </c>
      <c r="BN47" s="158">
        <f t="shared" si="106"/>
        <v>0</v>
      </c>
      <c r="BO47" s="307">
        <f t="shared" si="410"/>
        <v>0</v>
      </c>
      <c r="BQ47" s="24">
        <v>8</v>
      </c>
      <c r="BR47" s="25">
        <v>1</v>
      </c>
      <c r="BS47" s="160">
        <f t="shared" si="281"/>
        <v>6635664.7288045529</v>
      </c>
      <c r="BT47" s="152">
        <f t="shared" si="280"/>
        <v>8</v>
      </c>
      <c r="BU47" s="332">
        <f t="shared" si="107"/>
        <v>6635664.7288045529</v>
      </c>
      <c r="BV47" s="152">
        <f t="shared" si="368"/>
        <v>8</v>
      </c>
      <c r="BW47" s="153">
        <f t="shared" si="108"/>
        <v>6635664.7288045529</v>
      </c>
      <c r="BX47" s="152">
        <f t="shared" si="369"/>
        <v>8</v>
      </c>
      <c r="BY47" s="153">
        <f t="shared" si="109"/>
        <v>6635664.7288045529</v>
      </c>
      <c r="BZ47" s="152">
        <f t="shared" si="370"/>
        <v>8</v>
      </c>
      <c r="CA47" s="153">
        <f t="shared" si="110"/>
        <v>6635664.7288045529</v>
      </c>
      <c r="CB47" s="152">
        <f t="shared" si="371"/>
        <v>8</v>
      </c>
      <c r="CC47" s="153">
        <f t="shared" si="111"/>
        <v>6635664.7288045529</v>
      </c>
      <c r="CD47" s="152">
        <f t="shared" si="372"/>
        <v>8</v>
      </c>
      <c r="CE47" s="153">
        <f t="shared" si="112"/>
        <v>6635664.7288045529</v>
      </c>
      <c r="CF47" s="152">
        <f t="shared" si="113"/>
        <v>8</v>
      </c>
      <c r="CG47" s="153">
        <f t="shared" si="114"/>
        <v>6635664.7288045529</v>
      </c>
      <c r="CH47" s="152">
        <f t="shared" si="373"/>
        <v>8</v>
      </c>
      <c r="CI47" s="153">
        <f t="shared" si="115"/>
        <v>6635664.7288045529</v>
      </c>
      <c r="CJ47" s="152">
        <f t="shared" si="116"/>
        <v>8</v>
      </c>
      <c r="CK47" s="153">
        <f t="shared" si="117"/>
        <v>6635664.7288045529</v>
      </c>
      <c r="CL47" s="152">
        <f t="shared" si="374"/>
        <v>8</v>
      </c>
      <c r="CM47" s="153">
        <f t="shared" si="118"/>
        <v>6635664.7288045529</v>
      </c>
      <c r="CN47" s="152">
        <f t="shared" si="119"/>
        <v>8</v>
      </c>
      <c r="CO47" s="153">
        <f t="shared" si="120"/>
        <v>6635664.7288045529</v>
      </c>
      <c r="CP47" s="152">
        <f t="shared" si="375"/>
        <v>8</v>
      </c>
      <c r="CQ47" s="154">
        <f>+CP47*$G47</f>
        <v>6635664.7288045529</v>
      </c>
      <c r="CR47" s="158">
        <f t="shared" si="121"/>
        <v>96</v>
      </c>
      <c r="CS47" s="159">
        <f t="shared" si="430"/>
        <v>79627976.745654643</v>
      </c>
      <c r="CU47" s="24">
        <v>8</v>
      </c>
      <c r="CV47" s="25">
        <v>1</v>
      </c>
      <c r="CW47" s="161">
        <f t="shared" si="299"/>
        <v>6635664.7288045529</v>
      </c>
      <c r="CX47" s="152">
        <f t="shared" si="122"/>
        <v>8</v>
      </c>
      <c r="CY47" s="153">
        <f t="shared" si="123"/>
        <v>6635664.7288045529</v>
      </c>
      <c r="CZ47" s="152">
        <f t="shared" si="376"/>
        <v>8</v>
      </c>
      <c r="DA47" s="285">
        <f t="shared" si="123"/>
        <v>6635664.7288045529</v>
      </c>
      <c r="DB47" s="152">
        <f t="shared" si="377"/>
        <v>8</v>
      </c>
      <c r="DC47" s="285">
        <f t="shared" si="124"/>
        <v>6635664.7288045529</v>
      </c>
      <c r="DD47" s="152">
        <f t="shared" si="378"/>
        <v>8</v>
      </c>
      <c r="DE47" s="285">
        <f t="shared" si="125"/>
        <v>6635664.7288045529</v>
      </c>
      <c r="DF47" s="152">
        <f t="shared" si="379"/>
        <v>8</v>
      </c>
      <c r="DG47" s="285">
        <f t="shared" si="126"/>
        <v>6635664.7288045529</v>
      </c>
      <c r="DH47" s="152">
        <f t="shared" si="380"/>
        <v>8</v>
      </c>
      <c r="DI47" s="285">
        <f t="shared" si="127"/>
        <v>6635664.7288045529</v>
      </c>
      <c r="DJ47" s="152">
        <f t="shared" si="128"/>
        <v>8</v>
      </c>
      <c r="DK47" s="285">
        <f t="shared" si="129"/>
        <v>6635664.7288045529</v>
      </c>
      <c r="DL47" s="152">
        <f t="shared" si="381"/>
        <v>8</v>
      </c>
      <c r="DM47" s="285">
        <f t="shared" si="130"/>
        <v>6635664.7288045529</v>
      </c>
      <c r="DN47" s="152">
        <f t="shared" si="131"/>
        <v>8</v>
      </c>
      <c r="DO47" s="285">
        <f t="shared" si="132"/>
        <v>6635664.7288045529</v>
      </c>
      <c r="DP47" s="152">
        <f t="shared" si="382"/>
        <v>8</v>
      </c>
      <c r="DQ47" s="285">
        <f t="shared" si="133"/>
        <v>6635664.7288045529</v>
      </c>
      <c r="DR47" s="152">
        <f t="shared" si="134"/>
        <v>8</v>
      </c>
      <c r="DS47" s="285">
        <f t="shared" si="135"/>
        <v>6635664.7288045529</v>
      </c>
      <c r="DT47" s="152">
        <f t="shared" si="383"/>
        <v>8</v>
      </c>
      <c r="DU47" s="285">
        <f t="shared" si="136"/>
        <v>6635664.7288045529</v>
      </c>
      <c r="DV47" s="158">
        <f t="shared" si="137"/>
        <v>96</v>
      </c>
      <c r="DW47" s="159">
        <f t="shared" si="431"/>
        <v>79627976.745654643</v>
      </c>
      <c r="DY47" s="164">
        <v>0</v>
      </c>
      <c r="DZ47" s="25"/>
      <c r="EA47" s="161">
        <f t="shared" si="432"/>
        <v>0</v>
      </c>
      <c r="EB47" s="152">
        <f t="shared" si="384"/>
        <v>0</v>
      </c>
      <c r="EC47" s="153">
        <f t="shared" si="139"/>
        <v>0</v>
      </c>
      <c r="ED47" s="317">
        <f t="shared" si="385"/>
        <v>0</v>
      </c>
      <c r="EE47" s="153">
        <f t="shared" si="139"/>
        <v>0</v>
      </c>
      <c r="EF47" s="152">
        <f t="shared" si="386"/>
        <v>0</v>
      </c>
      <c r="EG47" s="153">
        <f t="shared" si="426"/>
        <v>0</v>
      </c>
      <c r="EH47" s="152">
        <f t="shared" si="387"/>
        <v>0</v>
      </c>
      <c r="EI47" s="153">
        <f t="shared" si="426"/>
        <v>0</v>
      </c>
      <c r="EJ47" s="152">
        <f t="shared" si="388"/>
        <v>0</v>
      </c>
      <c r="EK47" s="153">
        <f t="shared" si="143"/>
        <v>0</v>
      </c>
      <c r="EL47" s="152">
        <f t="shared" si="389"/>
        <v>0</v>
      </c>
      <c r="EM47" s="153">
        <f t="shared" si="144"/>
        <v>0</v>
      </c>
      <c r="EN47" s="152">
        <f t="shared" si="290"/>
        <v>0</v>
      </c>
      <c r="EO47" s="153">
        <f t="shared" si="145"/>
        <v>0</v>
      </c>
      <c r="EP47" s="152">
        <f t="shared" si="390"/>
        <v>0</v>
      </c>
      <c r="EQ47" s="153">
        <f t="shared" si="146"/>
        <v>0</v>
      </c>
      <c r="ER47" s="152">
        <f t="shared" si="292"/>
        <v>0</v>
      </c>
      <c r="ES47" s="153">
        <f t="shared" si="147"/>
        <v>0</v>
      </c>
      <c r="ET47" s="152">
        <f t="shared" si="391"/>
        <v>0</v>
      </c>
      <c r="EU47" s="153">
        <f t="shared" si="148"/>
        <v>0</v>
      </c>
      <c r="EV47" s="152">
        <f t="shared" si="294"/>
        <v>0</v>
      </c>
      <c r="EW47" s="153">
        <f t="shared" si="149"/>
        <v>0</v>
      </c>
      <c r="EX47" s="152">
        <f t="shared" si="392"/>
        <v>0</v>
      </c>
      <c r="EY47" s="153">
        <f t="shared" si="150"/>
        <v>0</v>
      </c>
      <c r="EZ47" s="158">
        <f t="shared" si="151"/>
        <v>0</v>
      </c>
      <c r="FA47" s="159">
        <f t="shared" si="433"/>
        <v>0</v>
      </c>
      <c r="FC47" s="149">
        <f>23+8</f>
        <v>31</v>
      </c>
      <c r="FD47" s="150">
        <v>1</v>
      </c>
      <c r="FE47" s="161">
        <f t="shared" si="296"/>
        <v>25713200.824117642</v>
      </c>
      <c r="FF47" s="152">
        <f t="shared" si="153"/>
        <v>31</v>
      </c>
      <c r="FG47" s="153">
        <f t="shared" si="154"/>
        <v>25713200.824117642</v>
      </c>
      <c r="FH47" s="368">
        <f t="shared" si="434"/>
        <v>31</v>
      </c>
      <c r="FI47" s="153">
        <f t="shared" si="155"/>
        <v>25713200.824117642</v>
      </c>
      <c r="FJ47" s="368">
        <f t="shared" si="435"/>
        <v>31</v>
      </c>
      <c r="FK47" s="153">
        <f t="shared" si="155"/>
        <v>25713200.824117642</v>
      </c>
      <c r="FL47" s="368">
        <f t="shared" si="436"/>
        <v>31</v>
      </c>
      <c r="FM47" s="153">
        <f t="shared" si="156"/>
        <v>25713200.824117642</v>
      </c>
      <c r="FN47" s="368">
        <f t="shared" si="396"/>
        <v>31</v>
      </c>
      <c r="FO47" s="153">
        <f t="shared" si="157"/>
        <v>25713200.824117642</v>
      </c>
      <c r="FP47" s="368">
        <f t="shared" si="437"/>
        <v>31</v>
      </c>
      <c r="FQ47" s="153">
        <f t="shared" si="158"/>
        <v>25713200.824117642</v>
      </c>
      <c r="FR47" s="368">
        <f t="shared" si="159"/>
        <v>31</v>
      </c>
      <c r="FS47" s="153">
        <f t="shared" si="160"/>
        <v>25713200.824117642</v>
      </c>
      <c r="FT47" s="368">
        <f t="shared" si="438"/>
        <v>31</v>
      </c>
      <c r="FU47" s="153">
        <f t="shared" si="161"/>
        <v>25713200.824117642</v>
      </c>
      <c r="FV47" s="368">
        <f t="shared" si="162"/>
        <v>31</v>
      </c>
      <c r="FW47" s="153">
        <f t="shared" si="163"/>
        <v>25713200.824117642</v>
      </c>
      <c r="FX47" s="368">
        <f t="shared" si="439"/>
        <v>31</v>
      </c>
      <c r="FY47" s="153">
        <f t="shared" si="164"/>
        <v>25713200.824117642</v>
      </c>
      <c r="FZ47" s="368">
        <f t="shared" si="165"/>
        <v>31</v>
      </c>
      <c r="GA47" s="153">
        <f t="shared" si="166"/>
        <v>25713200.824117642</v>
      </c>
      <c r="GB47" s="368">
        <f t="shared" si="440"/>
        <v>31</v>
      </c>
      <c r="GC47" s="153">
        <f t="shared" si="167"/>
        <v>25713200.824117642</v>
      </c>
      <c r="GD47" s="158">
        <f t="shared" si="168"/>
        <v>372</v>
      </c>
      <c r="GE47" s="159">
        <f t="shared" si="411"/>
        <v>308558409.88941169</v>
      </c>
      <c r="GG47" s="158">
        <v>7</v>
      </c>
      <c r="GH47" s="150">
        <v>1</v>
      </c>
      <c r="GI47" s="161">
        <f t="shared" si="297"/>
        <v>5806206.637703984</v>
      </c>
      <c r="GJ47" s="152">
        <f t="shared" si="169"/>
        <v>7</v>
      </c>
      <c r="GK47" s="153">
        <f t="shared" si="170"/>
        <v>5806206.637703984</v>
      </c>
      <c r="GL47" s="152">
        <f t="shared" si="169"/>
        <v>7</v>
      </c>
      <c r="GM47" s="153">
        <f t="shared" si="170"/>
        <v>5806206.637703984</v>
      </c>
      <c r="GN47" s="152">
        <f t="shared" si="169"/>
        <v>7</v>
      </c>
      <c r="GO47" s="153">
        <f t="shared" si="171"/>
        <v>5806206.637703984</v>
      </c>
      <c r="GP47" s="152">
        <f t="shared" si="169"/>
        <v>7</v>
      </c>
      <c r="GQ47" s="153">
        <f t="shared" si="172"/>
        <v>5806206.637703984</v>
      </c>
      <c r="GR47" s="152">
        <f t="shared" si="173"/>
        <v>7</v>
      </c>
      <c r="GS47" s="153">
        <f t="shared" si="174"/>
        <v>5806206.637703984</v>
      </c>
      <c r="GT47" s="152">
        <f t="shared" si="175"/>
        <v>7</v>
      </c>
      <c r="GU47" s="153">
        <f t="shared" si="176"/>
        <v>5806206.637703984</v>
      </c>
      <c r="GV47" s="152">
        <f t="shared" si="177"/>
        <v>7</v>
      </c>
      <c r="GW47" s="153">
        <f t="shared" si="178"/>
        <v>5806206.637703984</v>
      </c>
      <c r="GX47" s="152">
        <f t="shared" si="179"/>
        <v>7</v>
      </c>
      <c r="GY47" s="153">
        <f t="shared" si="180"/>
        <v>5806206.637703984</v>
      </c>
      <c r="GZ47" s="152">
        <f t="shared" si="181"/>
        <v>7</v>
      </c>
      <c r="HA47" s="153">
        <f t="shared" si="182"/>
        <v>5806206.637703984</v>
      </c>
      <c r="HB47" s="152">
        <f t="shared" si="183"/>
        <v>7</v>
      </c>
      <c r="HC47" s="153">
        <f t="shared" si="184"/>
        <v>5806206.637703984</v>
      </c>
      <c r="HD47" s="152">
        <f t="shared" si="185"/>
        <v>7</v>
      </c>
      <c r="HE47" s="153">
        <f t="shared" si="186"/>
        <v>5806206.637703984</v>
      </c>
      <c r="HF47" s="152">
        <f t="shared" si="187"/>
        <v>7</v>
      </c>
      <c r="HG47" s="153">
        <f t="shared" si="188"/>
        <v>5806206.637703984</v>
      </c>
      <c r="HH47" s="158">
        <f t="shared" si="189"/>
        <v>84</v>
      </c>
      <c r="HI47" s="159">
        <f t="shared" si="47"/>
        <v>69674479.652447805</v>
      </c>
      <c r="HK47" s="149">
        <v>54</v>
      </c>
      <c r="HL47" s="150">
        <v>1</v>
      </c>
      <c r="HM47" s="161">
        <f t="shared" si="441"/>
        <v>44790736.919430733</v>
      </c>
      <c r="HN47" s="152">
        <v>0</v>
      </c>
      <c r="HO47" s="153">
        <f t="shared" si="191"/>
        <v>0</v>
      </c>
      <c r="HP47" s="152">
        <v>0</v>
      </c>
      <c r="HQ47" s="153">
        <f t="shared" si="193"/>
        <v>0</v>
      </c>
      <c r="HR47" s="152">
        <f t="shared" si="192"/>
        <v>54</v>
      </c>
      <c r="HS47" s="153">
        <f t="shared" si="193"/>
        <v>44790736.919430733</v>
      </c>
      <c r="HT47" s="152">
        <f t="shared" si="192"/>
        <v>54</v>
      </c>
      <c r="HU47" s="153">
        <f t="shared" si="194"/>
        <v>44790736.919430733</v>
      </c>
      <c r="HV47" s="152">
        <f t="shared" si="192"/>
        <v>54</v>
      </c>
      <c r="HW47" s="153">
        <f t="shared" si="195"/>
        <v>44790736.919430733</v>
      </c>
      <c r="HX47" s="152">
        <f t="shared" si="196"/>
        <v>54</v>
      </c>
      <c r="HY47" s="153">
        <f t="shared" si="197"/>
        <v>44790736.919430733</v>
      </c>
      <c r="HZ47" s="152">
        <f t="shared" si="198"/>
        <v>54</v>
      </c>
      <c r="IA47" s="153">
        <f t="shared" si="199"/>
        <v>44790736.919430733</v>
      </c>
      <c r="IB47" s="152">
        <f t="shared" si="200"/>
        <v>54</v>
      </c>
      <c r="IC47" s="153">
        <f t="shared" si="201"/>
        <v>44790736.919430733</v>
      </c>
      <c r="ID47" s="152">
        <f t="shared" si="202"/>
        <v>54</v>
      </c>
      <c r="IE47" s="153">
        <f t="shared" si="203"/>
        <v>44790736.919430733</v>
      </c>
      <c r="IF47" s="152">
        <f t="shared" si="204"/>
        <v>54</v>
      </c>
      <c r="IG47" s="153">
        <f t="shared" si="205"/>
        <v>44790736.919430733</v>
      </c>
      <c r="IH47" s="152">
        <f t="shared" si="206"/>
        <v>54</v>
      </c>
      <c r="II47" s="153">
        <f t="shared" si="207"/>
        <v>44790736.919430733</v>
      </c>
      <c r="IJ47" s="152">
        <f t="shared" si="208"/>
        <v>54</v>
      </c>
      <c r="IK47" s="153">
        <f t="shared" si="209"/>
        <v>44790736.919430733</v>
      </c>
      <c r="IL47" s="158">
        <f t="shared" si="210"/>
        <v>540</v>
      </c>
      <c r="IM47" s="159">
        <f t="shared" si="211"/>
        <v>447907369.19430733</v>
      </c>
      <c r="IO47" s="149">
        <v>0</v>
      </c>
      <c r="IP47" s="150"/>
      <c r="IQ47" s="161">
        <f t="shared" si="442"/>
        <v>0</v>
      </c>
      <c r="IR47" s="152">
        <f t="shared" si="212"/>
        <v>0</v>
      </c>
      <c r="IS47" s="153">
        <f t="shared" si="213"/>
        <v>0</v>
      </c>
      <c r="IT47" s="152">
        <f t="shared" si="401"/>
        <v>0</v>
      </c>
      <c r="IU47" s="285">
        <f t="shared" si="214"/>
        <v>0</v>
      </c>
      <c r="IV47" s="152">
        <f t="shared" si="402"/>
        <v>0</v>
      </c>
      <c r="IW47" s="285">
        <f t="shared" si="214"/>
        <v>0</v>
      </c>
      <c r="IX47" s="152">
        <f t="shared" si="403"/>
        <v>0</v>
      </c>
      <c r="IY47" s="285">
        <f t="shared" si="215"/>
        <v>0</v>
      </c>
      <c r="IZ47" s="152">
        <f t="shared" si="404"/>
        <v>0</v>
      </c>
      <c r="JA47" s="285">
        <f t="shared" si="216"/>
        <v>0</v>
      </c>
      <c r="JB47" s="152">
        <f t="shared" si="405"/>
        <v>0</v>
      </c>
      <c r="JC47" s="285">
        <f t="shared" si="217"/>
        <v>0</v>
      </c>
      <c r="JD47" s="152">
        <f t="shared" si="218"/>
        <v>0</v>
      </c>
      <c r="JE47" s="285">
        <f t="shared" si="219"/>
        <v>0</v>
      </c>
      <c r="JF47" s="152">
        <f t="shared" si="406"/>
        <v>0</v>
      </c>
      <c r="JG47" s="285">
        <f t="shared" si="220"/>
        <v>0</v>
      </c>
      <c r="JH47" s="152">
        <f t="shared" si="221"/>
        <v>0</v>
      </c>
      <c r="JI47" s="285">
        <f t="shared" si="222"/>
        <v>0</v>
      </c>
      <c r="JJ47" s="152">
        <f t="shared" si="407"/>
        <v>0</v>
      </c>
      <c r="JK47" s="285">
        <f t="shared" si="223"/>
        <v>0</v>
      </c>
      <c r="JL47" s="152">
        <f t="shared" si="224"/>
        <v>0</v>
      </c>
      <c r="JM47" s="285">
        <f t="shared" si="225"/>
        <v>0</v>
      </c>
      <c r="JN47" s="152">
        <f t="shared" si="408"/>
        <v>0</v>
      </c>
      <c r="JO47" s="285">
        <f t="shared" si="226"/>
        <v>0</v>
      </c>
      <c r="JP47" s="158">
        <f t="shared" si="227"/>
        <v>0</v>
      </c>
      <c r="JQ47" s="159">
        <f t="shared" si="228"/>
        <v>0</v>
      </c>
      <c r="JS47" s="149">
        <v>0</v>
      </c>
      <c r="JT47" s="150"/>
      <c r="JU47" s="161">
        <f t="shared" si="443"/>
        <v>0</v>
      </c>
      <c r="JV47" s="152">
        <f t="shared" si="229"/>
        <v>0</v>
      </c>
      <c r="JW47" s="153">
        <f t="shared" si="230"/>
        <v>0</v>
      </c>
      <c r="JX47" s="368"/>
      <c r="JY47" s="153">
        <f t="shared" si="231"/>
        <v>0</v>
      </c>
      <c r="JZ47" s="368"/>
      <c r="KA47" s="153">
        <f t="shared" si="231"/>
        <v>0</v>
      </c>
      <c r="KB47" s="368"/>
      <c r="KC47" s="153">
        <f t="shared" si="232"/>
        <v>0</v>
      </c>
      <c r="KD47" s="368"/>
      <c r="KE47" s="153">
        <f t="shared" si="233"/>
        <v>0</v>
      </c>
      <c r="KF47" s="368"/>
      <c r="KG47" s="153">
        <f t="shared" si="234"/>
        <v>0</v>
      </c>
      <c r="KH47" s="368"/>
      <c r="KI47" s="153">
        <f t="shared" si="236"/>
        <v>0</v>
      </c>
      <c r="KJ47" s="368"/>
      <c r="KK47" s="153">
        <f t="shared" si="237"/>
        <v>0</v>
      </c>
      <c r="KL47" s="368"/>
      <c r="KM47" s="153">
        <f t="shared" si="239"/>
        <v>0</v>
      </c>
      <c r="KN47" s="368"/>
      <c r="KO47" s="153">
        <f t="shared" si="240"/>
        <v>0</v>
      </c>
      <c r="KP47" s="368"/>
      <c r="KQ47" s="153">
        <f t="shared" si="242"/>
        <v>0</v>
      </c>
      <c r="KR47" s="368"/>
      <c r="KS47" s="154">
        <f t="shared" si="243"/>
        <v>0</v>
      </c>
      <c r="KT47" s="158">
        <f t="shared" si="244"/>
        <v>0</v>
      </c>
      <c r="KU47" s="159">
        <f t="shared" si="444"/>
        <v>0</v>
      </c>
      <c r="KW47" s="149"/>
      <c r="KX47" s="150"/>
      <c r="KY47" s="157"/>
      <c r="KZ47" s="152">
        <f t="shared" si="271"/>
        <v>0</v>
      </c>
      <c r="LA47" s="153"/>
      <c r="LB47" s="152">
        <f t="shared" si="272"/>
        <v>0</v>
      </c>
      <c r="LC47" s="153">
        <f t="shared" si="246"/>
        <v>0</v>
      </c>
      <c r="LD47" s="152">
        <f t="shared" si="272"/>
        <v>0</v>
      </c>
      <c r="LE47" s="153">
        <f t="shared" si="246"/>
        <v>0</v>
      </c>
      <c r="LF47" s="152">
        <f t="shared" si="272"/>
        <v>0</v>
      </c>
      <c r="LG47" s="153">
        <f t="shared" si="247"/>
        <v>0</v>
      </c>
      <c r="LH47" s="152">
        <f t="shared" si="272"/>
        <v>0</v>
      </c>
      <c r="LI47" s="153">
        <f t="shared" si="248"/>
        <v>0</v>
      </c>
      <c r="LJ47" s="152">
        <f t="shared" si="273"/>
        <v>0</v>
      </c>
      <c r="LK47" s="153">
        <f t="shared" si="249"/>
        <v>0</v>
      </c>
      <c r="LL47" s="152">
        <f t="shared" si="274"/>
        <v>0</v>
      </c>
      <c r="LM47" s="153">
        <f t="shared" si="250"/>
        <v>0</v>
      </c>
      <c r="LN47" s="152">
        <f t="shared" si="275"/>
        <v>0</v>
      </c>
      <c r="LO47" s="153">
        <f t="shared" si="251"/>
        <v>0</v>
      </c>
      <c r="LP47" s="152">
        <f t="shared" si="276"/>
        <v>0</v>
      </c>
      <c r="LQ47" s="153">
        <f t="shared" si="252"/>
        <v>0</v>
      </c>
      <c r="LR47" s="152">
        <f t="shared" si="277"/>
        <v>0</v>
      </c>
      <c r="LS47" s="153">
        <f t="shared" si="253"/>
        <v>0</v>
      </c>
      <c r="LT47" s="152">
        <f t="shared" si="278"/>
        <v>0</v>
      </c>
      <c r="LU47" s="153">
        <f t="shared" si="254"/>
        <v>0</v>
      </c>
      <c r="LV47" s="152">
        <f t="shared" si="279"/>
        <v>0</v>
      </c>
      <c r="LW47" s="153">
        <f t="shared" si="255"/>
        <v>0</v>
      </c>
      <c r="LX47" s="158">
        <f t="shared" si="256"/>
        <v>0</v>
      </c>
      <c r="LY47" s="159">
        <f t="shared" si="257"/>
        <v>0</v>
      </c>
      <c r="MA47" s="164">
        <f t="shared" si="412"/>
        <v>76</v>
      </c>
      <c r="MB47" s="386">
        <f t="shared" si="258"/>
        <v>63038814.923643254</v>
      </c>
      <c r="MC47" s="394">
        <f t="shared" si="413"/>
        <v>76</v>
      </c>
      <c r="MD47" s="386">
        <f t="shared" si="259"/>
        <v>63038814.923643254</v>
      </c>
      <c r="ME47" s="394">
        <f t="shared" si="414"/>
        <v>130</v>
      </c>
      <c r="MF47" s="386">
        <f t="shared" si="259"/>
        <v>107829551.84307398</v>
      </c>
      <c r="MG47" s="394">
        <f t="shared" si="415"/>
        <v>130</v>
      </c>
      <c r="MH47" s="386">
        <f t="shared" si="260"/>
        <v>107829551.84307398</v>
      </c>
      <c r="MI47" s="394">
        <f t="shared" si="416"/>
        <v>130</v>
      </c>
      <c r="MJ47" s="386">
        <f t="shared" si="261"/>
        <v>107829551.84307398</v>
      </c>
      <c r="MK47" s="394">
        <f t="shared" si="417"/>
        <v>130</v>
      </c>
      <c r="ML47" s="386">
        <f t="shared" si="262"/>
        <v>107829551.84307398</v>
      </c>
      <c r="MM47" s="394">
        <f t="shared" si="418"/>
        <v>130</v>
      </c>
      <c r="MN47" s="386">
        <f t="shared" si="263"/>
        <v>107829551.84307398</v>
      </c>
      <c r="MO47" s="394">
        <f t="shared" si="419"/>
        <v>130</v>
      </c>
      <c r="MP47" s="386">
        <f t="shared" si="264"/>
        <v>107829551.84307398</v>
      </c>
      <c r="MQ47" s="394">
        <f t="shared" si="420"/>
        <v>130</v>
      </c>
      <c r="MR47" s="386">
        <f t="shared" si="265"/>
        <v>107829551.84307398</v>
      </c>
      <c r="MS47" s="394">
        <f t="shared" si="421"/>
        <v>130</v>
      </c>
      <c r="MT47" s="386">
        <f t="shared" si="266"/>
        <v>107829551.84307398</v>
      </c>
      <c r="MU47" s="394">
        <f t="shared" si="422"/>
        <v>130</v>
      </c>
      <c r="MV47" s="386">
        <f t="shared" si="267"/>
        <v>107829551.84307398</v>
      </c>
      <c r="MW47" s="394">
        <f t="shared" si="423"/>
        <v>130</v>
      </c>
      <c r="MX47" s="386">
        <f t="shared" si="268"/>
        <v>107829551.84307398</v>
      </c>
      <c r="MY47" s="165">
        <f t="shared" si="269"/>
        <v>1452</v>
      </c>
      <c r="MZ47" s="166">
        <f t="shared" si="270"/>
        <v>1204373148.2780263</v>
      </c>
    </row>
    <row r="48" spans="1:364" s="126" customFormat="1" ht="52.8" x14ac:dyDescent="0.3">
      <c r="A48" s="531"/>
      <c r="B48" s="212">
        <v>3.08</v>
      </c>
      <c r="C48" s="213" t="s">
        <v>111</v>
      </c>
      <c r="D48" s="214" t="s">
        <v>90</v>
      </c>
      <c r="E48" s="17">
        <v>1</v>
      </c>
      <c r="F48" s="350">
        <v>9031.2203510436429</v>
      </c>
      <c r="G48" s="350">
        <f t="shared" si="81"/>
        <v>9407.6072106261854</v>
      </c>
      <c r="I48" s="217"/>
      <c r="J48" s="218"/>
      <c r="K48" s="151">
        <f t="shared" si="82"/>
        <v>0</v>
      </c>
      <c r="L48" s="152">
        <f t="shared" si="300"/>
        <v>0</v>
      </c>
      <c r="M48" s="285">
        <f t="shared" si="445"/>
        <v>0</v>
      </c>
      <c r="N48" s="152">
        <f t="shared" si="361"/>
        <v>0</v>
      </c>
      <c r="O48" s="285">
        <f t="shared" si="446"/>
        <v>0</v>
      </c>
      <c r="P48" s="152">
        <f t="shared" si="362"/>
        <v>0</v>
      </c>
      <c r="Q48" s="285">
        <f t="shared" si="446"/>
        <v>0</v>
      </c>
      <c r="R48" s="152">
        <f t="shared" si="363"/>
        <v>0</v>
      </c>
      <c r="S48" s="285">
        <f t="shared" si="86"/>
        <v>0</v>
      </c>
      <c r="T48" s="152">
        <f t="shared" si="364"/>
        <v>0</v>
      </c>
      <c r="U48" s="285">
        <f t="shared" si="87"/>
        <v>0</v>
      </c>
      <c r="V48" s="152">
        <f t="shared" si="409"/>
        <v>0</v>
      </c>
      <c r="W48" s="285">
        <f t="shared" si="88"/>
        <v>0</v>
      </c>
      <c r="X48" s="152">
        <f t="shared" si="305"/>
        <v>0</v>
      </c>
      <c r="Y48" s="285">
        <f t="shared" si="89"/>
        <v>0</v>
      </c>
      <c r="Z48" s="152">
        <f t="shared" si="365"/>
        <v>0</v>
      </c>
      <c r="AA48" s="285">
        <f t="shared" si="90"/>
        <v>0</v>
      </c>
      <c r="AB48" s="152">
        <f t="shared" si="306"/>
        <v>0</v>
      </c>
      <c r="AC48" s="285">
        <f t="shared" si="91"/>
        <v>0</v>
      </c>
      <c r="AD48" s="152">
        <f t="shared" si="366"/>
        <v>0</v>
      </c>
      <c r="AE48" s="285">
        <f t="shared" si="92"/>
        <v>0</v>
      </c>
      <c r="AF48" s="152">
        <f t="shared" si="307"/>
        <v>0</v>
      </c>
      <c r="AG48" s="285">
        <f t="shared" si="308"/>
        <v>0</v>
      </c>
      <c r="AH48" s="152">
        <f t="shared" si="367"/>
        <v>0</v>
      </c>
      <c r="AI48" s="294">
        <f t="shared" si="309"/>
        <v>0</v>
      </c>
      <c r="AJ48" s="215">
        <f t="shared" si="94"/>
        <v>0</v>
      </c>
      <c r="AK48" s="307">
        <f t="shared" si="95"/>
        <v>0</v>
      </c>
      <c r="AM48" s="217">
        <v>0</v>
      </c>
      <c r="AN48" s="218"/>
      <c r="AO48" s="151">
        <f t="shared" si="427"/>
        <v>0</v>
      </c>
      <c r="AP48" s="152">
        <f t="shared" si="328"/>
        <v>0</v>
      </c>
      <c r="AQ48" s="285">
        <f t="shared" si="96"/>
        <v>0</v>
      </c>
      <c r="AR48" s="317">
        <f t="shared" si="329"/>
        <v>0</v>
      </c>
      <c r="AS48" s="285">
        <f t="shared" si="96"/>
        <v>0</v>
      </c>
      <c r="AT48" s="317">
        <f t="shared" si="330"/>
        <v>0</v>
      </c>
      <c r="AU48" s="285">
        <f t="shared" si="96"/>
        <v>0</v>
      </c>
      <c r="AV48" s="317">
        <f t="shared" si="331"/>
        <v>0</v>
      </c>
      <c r="AW48" s="285">
        <f t="shared" si="98"/>
        <v>0</v>
      </c>
      <c r="AX48" s="317">
        <f t="shared" si="5"/>
        <v>0</v>
      </c>
      <c r="AY48" s="285">
        <f t="shared" si="99"/>
        <v>0</v>
      </c>
      <c r="AZ48" s="317">
        <f t="shared" si="332"/>
        <v>0</v>
      </c>
      <c r="BA48" s="285">
        <f t="shared" si="100"/>
        <v>0</v>
      </c>
      <c r="BB48" s="317">
        <f t="shared" si="7"/>
        <v>0</v>
      </c>
      <c r="BC48" s="285">
        <f t="shared" si="101"/>
        <v>0</v>
      </c>
      <c r="BD48" s="317">
        <f t="shared" si="333"/>
        <v>0</v>
      </c>
      <c r="BE48" s="285">
        <f t="shared" si="102"/>
        <v>0</v>
      </c>
      <c r="BF48" s="317">
        <f t="shared" si="9"/>
        <v>0</v>
      </c>
      <c r="BG48" s="285">
        <f t="shared" si="103"/>
        <v>0</v>
      </c>
      <c r="BH48" s="317">
        <f t="shared" si="334"/>
        <v>0</v>
      </c>
      <c r="BI48" s="285">
        <f t="shared" si="425"/>
        <v>0</v>
      </c>
      <c r="BJ48" s="317">
        <f t="shared" si="335"/>
        <v>0</v>
      </c>
      <c r="BK48" s="285">
        <f t="shared" si="425"/>
        <v>0</v>
      </c>
      <c r="BL48" s="152"/>
      <c r="BM48" s="294">
        <f t="shared" si="105"/>
        <v>0</v>
      </c>
      <c r="BN48" s="215">
        <f t="shared" si="106"/>
        <v>0</v>
      </c>
      <c r="BO48" s="307">
        <f t="shared" si="410"/>
        <v>0</v>
      </c>
      <c r="BQ48" s="217">
        <v>0</v>
      </c>
      <c r="BR48" s="218"/>
      <c r="BS48" s="151"/>
      <c r="BT48" s="152">
        <f t="shared" si="280"/>
        <v>0</v>
      </c>
      <c r="BU48" s="332">
        <f t="shared" si="107"/>
        <v>0</v>
      </c>
      <c r="BV48" s="152">
        <f t="shared" si="368"/>
        <v>0</v>
      </c>
      <c r="BW48" s="153">
        <f t="shared" si="108"/>
        <v>0</v>
      </c>
      <c r="BX48" s="152">
        <f t="shared" si="369"/>
        <v>0</v>
      </c>
      <c r="BY48" s="153">
        <f t="shared" si="109"/>
        <v>0</v>
      </c>
      <c r="BZ48" s="152">
        <f t="shared" si="370"/>
        <v>0</v>
      </c>
      <c r="CA48" s="153">
        <f t="shared" si="110"/>
        <v>0</v>
      </c>
      <c r="CB48" s="152">
        <f t="shared" si="371"/>
        <v>0</v>
      </c>
      <c r="CC48" s="153">
        <f t="shared" si="111"/>
        <v>0</v>
      </c>
      <c r="CD48" s="152">
        <f t="shared" si="372"/>
        <v>0</v>
      </c>
      <c r="CE48" s="153">
        <f t="shared" si="112"/>
        <v>0</v>
      </c>
      <c r="CF48" s="152">
        <f t="shared" si="113"/>
        <v>0</v>
      </c>
      <c r="CG48" s="153">
        <f t="shared" si="114"/>
        <v>0</v>
      </c>
      <c r="CH48" s="152">
        <f t="shared" si="373"/>
        <v>0</v>
      </c>
      <c r="CI48" s="153">
        <f t="shared" si="115"/>
        <v>0</v>
      </c>
      <c r="CJ48" s="152">
        <f t="shared" si="116"/>
        <v>0</v>
      </c>
      <c r="CK48" s="153">
        <f t="shared" si="117"/>
        <v>0</v>
      </c>
      <c r="CL48" s="152">
        <f t="shared" si="374"/>
        <v>0</v>
      </c>
      <c r="CM48" s="153">
        <f t="shared" si="118"/>
        <v>0</v>
      </c>
      <c r="CN48" s="152">
        <f t="shared" si="119"/>
        <v>0</v>
      </c>
      <c r="CO48" s="153">
        <f t="shared" si="120"/>
        <v>0</v>
      </c>
      <c r="CP48" s="152">
        <f t="shared" si="375"/>
        <v>0</v>
      </c>
      <c r="CQ48" s="155"/>
      <c r="CR48" s="215">
        <f t="shared" si="121"/>
        <v>0</v>
      </c>
      <c r="CS48" s="159"/>
      <c r="CU48" s="217">
        <v>0</v>
      </c>
      <c r="CV48" s="218"/>
      <c r="CW48" s="151">
        <f t="shared" si="299"/>
        <v>0</v>
      </c>
      <c r="CX48" s="152">
        <f t="shared" si="122"/>
        <v>0</v>
      </c>
      <c r="CY48" s="153">
        <f t="shared" si="123"/>
        <v>0</v>
      </c>
      <c r="CZ48" s="152">
        <f t="shared" si="376"/>
        <v>0</v>
      </c>
      <c r="DA48" s="285">
        <f t="shared" si="123"/>
        <v>0</v>
      </c>
      <c r="DB48" s="152">
        <f t="shared" si="377"/>
        <v>0</v>
      </c>
      <c r="DC48" s="285">
        <f t="shared" si="124"/>
        <v>0</v>
      </c>
      <c r="DD48" s="152">
        <f t="shared" si="378"/>
        <v>0</v>
      </c>
      <c r="DE48" s="285">
        <f t="shared" si="125"/>
        <v>0</v>
      </c>
      <c r="DF48" s="152">
        <f t="shared" si="379"/>
        <v>0</v>
      </c>
      <c r="DG48" s="285">
        <f t="shared" si="126"/>
        <v>0</v>
      </c>
      <c r="DH48" s="152">
        <f t="shared" si="380"/>
        <v>0</v>
      </c>
      <c r="DI48" s="285">
        <f t="shared" si="127"/>
        <v>0</v>
      </c>
      <c r="DJ48" s="152">
        <f t="shared" si="128"/>
        <v>0</v>
      </c>
      <c r="DK48" s="285">
        <f t="shared" si="129"/>
        <v>0</v>
      </c>
      <c r="DL48" s="152">
        <f t="shared" si="381"/>
        <v>0</v>
      </c>
      <c r="DM48" s="285">
        <f t="shared" si="130"/>
        <v>0</v>
      </c>
      <c r="DN48" s="152">
        <f t="shared" si="131"/>
        <v>0</v>
      </c>
      <c r="DO48" s="285">
        <f t="shared" si="132"/>
        <v>0</v>
      </c>
      <c r="DP48" s="152">
        <f t="shared" si="382"/>
        <v>0</v>
      </c>
      <c r="DQ48" s="285">
        <f t="shared" si="133"/>
        <v>0</v>
      </c>
      <c r="DR48" s="152">
        <f t="shared" si="134"/>
        <v>0</v>
      </c>
      <c r="DS48" s="285">
        <f t="shared" si="135"/>
        <v>0</v>
      </c>
      <c r="DT48" s="152">
        <f t="shared" si="383"/>
        <v>0</v>
      </c>
      <c r="DU48" s="285">
        <f t="shared" si="136"/>
        <v>0</v>
      </c>
      <c r="DV48" s="215">
        <f t="shared" si="137"/>
        <v>0</v>
      </c>
      <c r="DW48" s="159">
        <f t="shared" si="431"/>
        <v>0</v>
      </c>
      <c r="DY48" s="217">
        <v>0</v>
      </c>
      <c r="DZ48" s="218"/>
      <c r="EA48" s="151">
        <f t="shared" si="432"/>
        <v>0</v>
      </c>
      <c r="EB48" s="152">
        <f t="shared" si="384"/>
        <v>0</v>
      </c>
      <c r="EC48" s="153">
        <f t="shared" si="139"/>
        <v>0</v>
      </c>
      <c r="ED48" s="317">
        <f t="shared" si="385"/>
        <v>0</v>
      </c>
      <c r="EE48" s="153">
        <f t="shared" si="139"/>
        <v>0</v>
      </c>
      <c r="EF48" s="152">
        <f t="shared" si="386"/>
        <v>0</v>
      </c>
      <c r="EG48" s="153">
        <f t="shared" si="426"/>
        <v>0</v>
      </c>
      <c r="EH48" s="152">
        <f t="shared" si="387"/>
        <v>0</v>
      </c>
      <c r="EI48" s="153">
        <f t="shared" si="426"/>
        <v>0</v>
      </c>
      <c r="EJ48" s="152">
        <f t="shared" si="388"/>
        <v>0</v>
      </c>
      <c r="EK48" s="153">
        <f t="shared" si="143"/>
        <v>0</v>
      </c>
      <c r="EL48" s="152">
        <f t="shared" si="389"/>
        <v>0</v>
      </c>
      <c r="EM48" s="153">
        <f t="shared" si="144"/>
        <v>0</v>
      </c>
      <c r="EN48" s="152">
        <f t="shared" si="290"/>
        <v>0</v>
      </c>
      <c r="EO48" s="153">
        <f t="shared" si="145"/>
        <v>0</v>
      </c>
      <c r="EP48" s="152">
        <f t="shared" si="390"/>
        <v>0</v>
      </c>
      <c r="EQ48" s="153">
        <f t="shared" si="146"/>
        <v>0</v>
      </c>
      <c r="ER48" s="152">
        <f t="shared" si="292"/>
        <v>0</v>
      </c>
      <c r="ES48" s="153">
        <f t="shared" si="147"/>
        <v>0</v>
      </c>
      <c r="ET48" s="152">
        <f t="shared" si="391"/>
        <v>0</v>
      </c>
      <c r="EU48" s="153">
        <f t="shared" si="148"/>
        <v>0</v>
      </c>
      <c r="EV48" s="152">
        <f t="shared" si="294"/>
        <v>0</v>
      </c>
      <c r="EW48" s="153">
        <f t="shared" si="149"/>
        <v>0</v>
      </c>
      <c r="EX48" s="152">
        <f t="shared" si="392"/>
        <v>0</v>
      </c>
      <c r="EY48" s="153">
        <f t="shared" si="150"/>
        <v>0</v>
      </c>
      <c r="EZ48" s="215">
        <f t="shared" si="151"/>
        <v>0</v>
      </c>
      <c r="FA48" s="159">
        <f t="shared" si="433"/>
        <v>0</v>
      </c>
      <c r="FC48" s="217">
        <v>865</v>
      </c>
      <c r="FD48" s="218">
        <v>1</v>
      </c>
      <c r="FE48" s="151">
        <f t="shared" si="296"/>
        <v>8137580.2371916501</v>
      </c>
      <c r="FF48" s="152">
        <f t="shared" si="153"/>
        <v>865</v>
      </c>
      <c r="FG48" s="153">
        <f t="shared" si="154"/>
        <v>8137580.2371916501</v>
      </c>
      <c r="FH48" s="368">
        <f t="shared" si="434"/>
        <v>865</v>
      </c>
      <c r="FI48" s="153">
        <f t="shared" si="155"/>
        <v>8137580.2371916501</v>
      </c>
      <c r="FJ48" s="368">
        <f t="shared" si="435"/>
        <v>865</v>
      </c>
      <c r="FK48" s="153">
        <f t="shared" si="155"/>
        <v>8137580.2371916501</v>
      </c>
      <c r="FL48" s="368">
        <f t="shared" si="436"/>
        <v>865</v>
      </c>
      <c r="FM48" s="153">
        <f t="shared" si="156"/>
        <v>8137580.2371916501</v>
      </c>
      <c r="FN48" s="368">
        <f t="shared" si="396"/>
        <v>865</v>
      </c>
      <c r="FO48" s="153">
        <f t="shared" si="157"/>
        <v>8137580.2371916501</v>
      </c>
      <c r="FP48" s="368">
        <f t="shared" si="437"/>
        <v>865</v>
      </c>
      <c r="FQ48" s="153">
        <f t="shared" si="158"/>
        <v>8137580.2371916501</v>
      </c>
      <c r="FR48" s="368">
        <f t="shared" si="159"/>
        <v>865</v>
      </c>
      <c r="FS48" s="153">
        <f t="shared" si="160"/>
        <v>8137580.2371916501</v>
      </c>
      <c r="FT48" s="368">
        <f t="shared" si="438"/>
        <v>865</v>
      </c>
      <c r="FU48" s="153">
        <f t="shared" si="161"/>
        <v>8137580.2371916501</v>
      </c>
      <c r="FV48" s="368">
        <f t="shared" si="162"/>
        <v>865</v>
      </c>
      <c r="FW48" s="153">
        <f t="shared" si="163"/>
        <v>8137580.2371916501</v>
      </c>
      <c r="FX48" s="368">
        <f t="shared" si="439"/>
        <v>865</v>
      </c>
      <c r="FY48" s="153">
        <f t="shared" si="164"/>
        <v>8137580.2371916501</v>
      </c>
      <c r="FZ48" s="368">
        <f t="shared" si="165"/>
        <v>865</v>
      </c>
      <c r="GA48" s="153">
        <f t="shared" si="166"/>
        <v>8137580.2371916501</v>
      </c>
      <c r="GB48" s="368">
        <f t="shared" si="440"/>
        <v>865</v>
      </c>
      <c r="GC48" s="153">
        <f t="shared" si="167"/>
        <v>8137580.2371916501</v>
      </c>
      <c r="GD48" s="215">
        <f t="shared" si="168"/>
        <v>10380</v>
      </c>
      <c r="GE48" s="159">
        <f t="shared" si="411"/>
        <v>97650962.846299797</v>
      </c>
      <c r="GG48" s="158">
        <v>0</v>
      </c>
      <c r="GH48" s="218"/>
      <c r="GI48" s="151">
        <f t="shared" si="297"/>
        <v>0</v>
      </c>
      <c r="GJ48" s="152">
        <f t="shared" si="169"/>
        <v>0</v>
      </c>
      <c r="GK48" s="153">
        <f t="shared" si="170"/>
        <v>0</v>
      </c>
      <c r="GL48" s="152">
        <f t="shared" si="169"/>
        <v>0</v>
      </c>
      <c r="GM48" s="153">
        <f t="shared" si="170"/>
        <v>0</v>
      </c>
      <c r="GN48" s="152">
        <f t="shared" si="169"/>
        <v>0</v>
      </c>
      <c r="GO48" s="153">
        <f t="shared" si="171"/>
        <v>0</v>
      </c>
      <c r="GP48" s="152">
        <f t="shared" si="169"/>
        <v>0</v>
      </c>
      <c r="GQ48" s="153">
        <f t="shared" si="172"/>
        <v>0</v>
      </c>
      <c r="GR48" s="152">
        <f t="shared" si="173"/>
        <v>0</v>
      </c>
      <c r="GS48" s="153">
        <f t="shared" si="174"/>
        <v>0</v>
      </c>
      <c r="GT48" s="152">
        <f t="shared" si="175"/>
        <v>0</v>
      </c>
      <c r="GU48" s="153">
        <f t="shared" si="176"/>
        <v>0</v>
      </c>
      <c r="GV48" s="152">
        <f t="shared" si="177"/>
        <v>0</v>
      </c>
      <c r="GW48" s="153">
        <f t="shared" si="178"/>
        <v>0</v>
      </c>
      <c r="GX48" s="152">
        <f t="shared" si="179"/>
        <v>0</v>
      </c>
      <c r="GY48" s="153">
        <f t="shared" si="180"/>
        <v>0</v>
      </c>
      <c r="GZ48" s="152">
        <f t="shared" si="181"/>
        <v>0</v>
      </c>
      <c r="HA48" s="153">
        <f t="shared" si="182"/>
        <v>0</v>
      </c>
      <c r="HB48" s="152">
        <f t="shared" si="183"/>
        <v>0</v>
      </c>
      <c r="HC48" s="153">
        <f t="shared" si="184"/>
        <v>0</v>
      </c>
      <c r="HD48" s="152">
        <f t="shared" si="185"/>
        <v>0</v>
      </c>
      <c r="HE48" s="153">
        <f t="shared" si="186"/>
        <v>0</v>
      </c>
      <c r="HF48" s="152">
        <f t="shared" si="187"/>
        <v>0</v>
      </c>
      <c r="HG48" s="153">
        <f t="shared" si="188"/>
        <v>0</v>
      </c>
      <c r="HH48" s="215">
        <f t="shared" si="189"/>
        <v>0</v>
      </c>
      <c r="HI48" s="159">
        <f t="shared" si="47"/>
        <v>0</v>
      </c>
      <c r="HK48" s="217">
        <v>0</v>
      </c>
      <c r="HL48" s="218"/>
      <c r="HM48" s="151"/>
      <c r="HN48" s="219">
        <f t="shared" si="190"/>
        <v>0</v>
      </c>
      <c r="HO48" s="153">
        <f t="shared" si="191"/>
        <v>0</v>
      </c>
      <c r="HP48" s="152">
        <f t="shared" si="192"/>
        <v>0</v>
      </c>
      <c r="HQ48" s="153">
        <f t="shared" si="193"/>
        <v>0</v>
      </c>
      <c r="HR48" s="152">
        <f t="shared" si="192"/>
        <v>0</v>
      </c>
      <c r="HS48" s="153">
        <f t="shared" si="193"/>
        <v>0</v>
      </c>
      <c r="HT48" s="152">
        <f t="shared" si="192"/>
        <v>0</v>
      </c>
      <c r="HU48" s="153">
        <f t="shared" si="194"/>
        <v>0</v>
      </c>
      <c r="HV48" s="152">
        <f t="shared" si="192"/>
        <v>0</v>
      </c>
      <c r="HW48" s="153">
        <f t="shared" si="195"/>
        <v>0</v>
      </c>
      <c r="HX48" s="152">
        <f t="shared" si="196"/>
        <v>0</v>
      </c>
      <c r="HY48" s="153">
        <f t="shared" si="197"/>
        <v>0</v>
      </c>
      <c r="HZ48" s="152">
        <f t="shared" si="198"/>
        <v>0</v>
      </c>
      <c r="IA48" s="153">
        <f t="shared" si="199"/>
        <v>0</v>
      </c>
      <c r="IB48" s="152">
        <f t="shared" si="200"/>
        <v>0</v>
      </c>
      <c r="IC48" s="153">
        <f t="shared" si="201"/>
        <v>0</v>
      </c>
      <c r="ID48" s="152">
        <f t="shared" si="202"/>
        <v>0</v>
      </c>
      <c r="IE48" s="153">
        <f t="shared" si="203"/>
        <v>0</v>
      </c>
      <c r="IF48" s="152">
        <f t="shared" si="204"/>
        <v>0</v>
      </c>
      <c r="IG48" s="153">
        <f t="shared" si="205"/>
        <v>0</v>
      </c>
      <c r="IH48" s="152">
        <f t="shared" si="206"/>
        <v>0</v>
      </c>
      <c r="II48" s="153">
        <f t="shared" si="207"/>
        <v>0</v>
      </c>
      <c r="IJ48" s="152">
        <f t="shared" si="208"/>
        <v>0</v>
      </c>
      <c r="IK48" s="153">
        <f t="shared" si="209"/>
        <v>0</v>
      </c>
      <c r="IL48" s="215">
        <f t="shared" si="210"/>
        <v>0</v>
      </c>
      <c r="IM48" s="159">
        <f t="shared" si="211"/>
        <v>0</v>
      </c>
      <c r="IO48" s="217">
        <v>0</v>
      </c>
      <c r="IP48" s="218"/>
      <c r="IQ48" s="151">
        <f t="shared" si="442"/>
        <v>0</v>
      </c>
      <c r="IR48" s="152">
        <f t="shared" si="212"/>
        <v>0</v>
      </c>
      <c r="IS48" s="153">
        <f t="shared" si="213"/>
        <v>0</v>
      </c>
      <c r="IT48" s="152">
        <f t="shared" si="401"/>
        <v>0</v>
      </c>
      <c r="IU48" s="285">
        <f t="shared" si="214"/>
        <v>0</v>
      </c>
      <c r="IV48" s="152">
        <f t="shared" si="402"/>
        <v>0</v>
      </c>
      <c r="IW48" s="285">
        <f t="shared" si="214"/>
        <v>0</v>
      </c>
      <c r="IX48" s="152">
        <f t="shared" si="403"/>
        <v>0</v>
      </c>
      <c r="IY48" s="285">
        <f t="shared" si="215"/>
        <v>0</v>
      </c>
      <c r="IZ48" s="152">
        <f t="shared" si="404"/>
        <v>0</v>
      </c>
      <c r="JA48" s="285">
        <f t="shared" si="216"/>
        <v>0</v>
      </c>
      <c r="JB48" s="152">
        <f t="shared" si="405"/>
        <v>0</v>
      </c>
      <c r="JC48" s="285">
        <f t="shared" si="217"/>
        <v>0</v>
      </c>
      <c r="JD48" s="152">
        <f t="shared" si="218"/>
        <v>0</v>
      </c>
      <c r="JE48" s="285">
        <f t="shared" si="219"/>
        <v>0</v>
      </c>
      <c r="JF48" s="152">
        <f t="shared" si="406"/>
        <v>0</v>
      </c>
      <c r="JG48" s="285">
        <f t="shared" si="220"/>
        <v>0</v>
      </c>
      <c r="JH48" s="152">
        <f t="shared" si="221"/>
        <v>0</v>
      </c>
      <c r="JI48" s="285">
        <f t="shared" si="222"/>
        <v>0</v>
      </c>
      <c r="JJ48" s="152">
        <f t="shared" si="407"/>
        <v>0</v>
      </c>
      <c r="JK48" s="285">
        <f t="shared" si="223"/>
        <v>0</v>
      </c>
      <c r="JL48" s="152">
        <f t="shared" si="224"/>
        <v>0</v>
      </c>
      <c r="JM48" s="285">
        <f t="shared" si="225"/>
        <v>0</v>
      </c>
      <c r="JN48" s="152">
        <f t="shared" si="408"/>
        <v>0</v>
      </c>
      <c r="JO48" s="285">
        <f t="shared" si="226"/>
        <v>0</v>
      </c>
      <c r="JP48" s="215">
        <f t="shared" si="227"/>
        <v>0</v>
      </c>
      <c r="JQ48" s="159">
        <f t="shared" si="228"/>
        <v>0</v>
      </c>
      <c r="JS48" s="217">
        <v>0</v>
      </c>
      <c r="JT48" s="218"/>
      <c r="JU48" s="151">
        <f t="shared" si="443"/>
        <v>0</v>
      </c>
      <c r="JV48" s="152">
        <f t="shared" si="229"/>
        <v>0</v>
      </c>
      <c r="JW48" s="153">
        <f t="shared" si="230"/>
        <v>0</v>
      </c>
      <c r="JX48" s="368"/>
      <c r="JY48" s="153">
        <f t="shared" si="231"/>
        <v>0</v>
      </c>
      <c r="JZ48" s="368"/>
      <c r="KA48" s="153">
        <f t="shared" si="231"/>
        <v>0</v>
      </c>
      <c r="KB48" s="368"/>
      <c r="KC48" s="153">
        <f t="shared" si="232"/>
        <v>0</v>
      </c>
      <c r="KD48" s="368"/>
      <c r="KE48" s="153">
        <f t="shared" si="233"/>
        <v>0</v>
      </c>
      <c r="KF48" s="368"/>
      <c r="KG48" s="153">
        <f t="shared" si="234"/>
        <v>0</v>
      </c>
      <c r="KH48" s="368"/>
      <c r="KI48" s="153">
        <f t="shared" si="236"/>
        <v>0</v>
      </c>
      <c r="KJ48" s="368"/>
      <c r="KK48" s="153">
        <f t="shared" si="237"/>
        <v>0</v>
      </c>
      <c r="KL48" s="368"/>
      <c r="KM48" s="153">
        <f t="shared" si="239"/>
        <v>0</v>
      </c>
      <c r="KN48" s="368"/>
      <c r="KO48" s="153">
        <f t="shared" si="240"/>
        <v>0</v>
      </c>
      <c r="KP48" s="368"/>
      <c r="KQ48" s="153">
        <f t="shared" si="242"/>
        <v>0</v>
      </c>
      <c r="KR48" s="368"/>
      <c r="KS48" s="154">
        <f t="shared" si="243"/>
        <v>0</v>
      </c>
      <c r="KT48" s="215">
        <f t="shared" si="244"/>
        <v>0</v>
      </c>
      <c r="KU48" s="159">
        <f t="shared" si="444"/>
        <v>0</v>
      </c>
      <c r="KW48" s="217"/>
      <c r="KX48" s="218"/>
      <c r="KY48" s="151"/>
      <c r="KZ48" s="152">
        <f t="shared" si="271"/>
        <v>0</v>
      </c>
      <c r="LA48" s="153"/>
      <c r="LB48" s="152">
        <f t="shared" si="272"/>
        <v>0</v>
      </c>
      <c r="LC48" s="153">
        <f t="shared" si="246"/>
        <v>0</v>
      </c>
      <c r="LD48" s="152">
        <f t="shared" si="272"/>
        <v>0</v>
      </c>
      <c r="LE48" s="153">
        <f t="shared" si="246"/>
        <v>0</v>
      </c>
      <c r="LF48" s="152">
        <f t="shared" si="272"/>
        <v>0</v>
      </c>
      <c r="LG48" s="153">
        <f t="shared" si="247"/>
        <v>0</v>
      </c>
      <c r="LH48" s="152">
        <f t="shared" si="272"/>
        <v>0</v>
      </c>
      <c r="LI48" s="153">
        <f t="shared" si="248"/>
        <v>0</v>
      </c>
      <c r="LJ48" s="152">
        <f t="shared" si="273"/>
        <v>0</v>
      </c>
      <c r="LK48" s="153">
        <f t="shared" si="249"/>
        <v>0</v>
      </c>
      <c r="LL48" s="152">
        <f t="shared" si="274"/>
        <v>0</v>
      </c>
      <c r="LM48" s="153">
        <f t="shared" si="250"/>
        <v>0</v>
      </c>
      <c r="LN48" s="152">
        <f t="shared" si="275"/>
        <v>0</v>
      </c>
      <c r="LO48" s="153">
        <f t="shared" si="251"/>
        <v>0</v>
      </c>
      <c r="LP48" s="152">
        <f t="shared" si="276"/>
        <v>0</v>
      </c>
      <c r="LQ48" s="153">
        <f t="shared" si="252"/>
        <v>0</v>
      </c>
      <c r="LR48" s="152">
        <f t="shared" si="277"/>
        <v>0</v>
      </c>
      <c r="LS48" s="153">
        <f t="shared" si="253"/>
        <v>0</v>
      </c>
      <c r="LT48" s="152">
        <f t="shared" si="278"/>
        <v>0</v>
      </c>
      <c r="LU48" s="153">
        <f t="shared" si="254"/>
        <v>0</v>
      </c>
      <c r="LV48" s="152">
        <f t="shared" si="279"/>
        <v>0</v>
      </c>
      <c r="LW48" s="153">
        <f t="shared" si="255"/>
        <v>0</v>
      </c>
      <c r="LX48" s="215">
        <f t="shared" si="256"/>
        <v>0</v>
      </c>
      <c r="LY48" s="159">
        <f t="shared" si="257"/>
        <v>0</v>
      </c>
      <c r="MA48" s="164">
        <f t="shared" si="412"/>
        <v>865</v>
      </c>
      <c r="MB48" s="386">
        <f t="shared" si="258"/>
        <v>8137580.2371916501</v>
      </c>
      <c r="MC48" s="394">
        <f t="shared" si="413"/>
        <v>865</v>
      </c>
      <c r="MD48" s="386">
        <f t="shared" si="259"/>
        <v>8137580.2371916501</v>
      </c>
      <c r="ME48" s="394">
        <f t="shared" si="414"/>
        <v>865</v>
      </c>
      <c r="MF48" s="386">
        <f t="shared" si="259"/>
        <v>8137580.2371916501</v>
      </c>
      <c r="MG48" s="394">
        <f t="shared" si="415"/>
        <v>865</v>
      </c>
      <c r="MH48" s="386">
        <f t="shared" si="260"/>
        <v>8137580.2371916501</v>
      </c>
      <c r="MI48" s="394">
        <f t="shared" si="416"/>
        <v>865</v>
      </c>
      <c r="MJ48" s="386">
        <f t="shared" si="261"/>
        <v>8137580.2371916501</v>
      </c>
      <c r="MK48" s="394">
        <f t="shared" si="417"/>
        <v>865</v>
      </c>
      <c r="ML48" s="386">
        <f t="shared" si="262"/>
        <v>8137580.2371916501</v>
      </c>
      <c r="MM48" s="394">
        <f t="shared" si="418"/>
        <v>865</v>
      </c>
      <c r="MN48" s="386">
        <f t="shared" si="263"/>
        <v>8137580.2371916501</v>
      </c>
      <c r="MO48" s="394">
        <f t="shared" si="419"/>
        <v>865</v>
      </c>
      <c r="MP48" s="386">
        <f t="shared" si="264"/>
        <v>8137580.2371916501</v>
      </c>
      <c r="MQ48" s="394">
        <f t="shared" si="420"/>
        <v>865</v>
      </c>
      <c r="MR48" s="386">
        <f t="shared" si="265"/>
        <v>8137580.2371916501</v>
      </c>
      <c r="MS48" s="394">
        <f t="shared" si="421"/>
        <v>865</v>
      </c>
      <c r="MT48" s="386">
        <f t="shared" si="266"/>
        <v>8137580.2371916501</v>
      </c>
      <c r="MU48" s="394">
        <f t="shared" si="422"/>
        <v>865</v>
      </c>
      <c r="MV48" s="386">
        <f t="shared" si="267"/>
        <v>8137580.2371916501</v>
      </c>
      <c r="MW48" s="394">
        <f t="shared" si="423"/>
        <v>865</v>
      </c>
      <c r="MX48" s="386">
        <f t="shared" si="268"/>
        <v>8137580.2371916501</v>
      </c>
      <c r="MY48" s="164">
        <f t="shared" si="269"/>
        <v>10380</v>
      </c>
      <c r="MZ48" s="166">
        <f t="shared" si="270"/>
        <v>97650962.846299797</v>
      </c>
    </row>
    <row r="49" spans="1:364" s="126" customFormat="1" ht="75.599999999999994" customHeight="1" x14ac:dyDescent="0.3">
      <c r="A49" s="531"/>
      <c r="B49" s="212">
        <v>3.09</v>
      </c>
      <c r="C49" s="213" t="s">
        <v>112</v>
      </c>
      <c r="D49" s="214" t="s">
        <v>65</v>
      </c>
      <c r="E49" s="17">
        <v>2</v>
      </c>
      <c r="F49" s="350">
        <v>4941985.8870967738</v>
      </c>
      <c r="G49" s="350">
        <f t="shared" si="81"/>
        <v>5147949.0322580636</v>
      </c>
      <c r="I49" s="217"/>
      <c r="J49" s="218"/>
      <c r="K49" s="151">
        <f t="shared" si="82"/>
        <v>0</v>
      </c>
      <c r="L49" s="152"/>
      <c r="M49" s="285">
        <f t="shared" si="445"/>
        <v>0</v>
      </c>
      <c r="N49" s="152">
        <f t="shared" si="361"/>
        <v>0</v>
      </c>
      <c r="O49" s="285">
        <f t="shared" si="446"/>
        <v>0</v>
      </c>
      <c r="P49" s="152">
        <f t="shared" si="362"/>
        <v>0</v>
      </c>
      <c r="Q49" s="285">
        <f t="shared" si="446"/>
        <v>0</v>
      </c>
      <c r="R49" s="152">
        <f t="shared" si="363"/>
        <v>0</v>
      </c>
      <c r="S49" s="285">
        <f t="shared" si="86"/>
        <v>0</v>
      </c>
      <c r="T49" s="152">
        <f t="shared" si="364"/>
        <v>0</v>
      </c>
      <c r="U49" s="285">
        <f t="shared" si="87"/>
        <v>0</v>
      </c>
      <c r="V49" s="152">
        <f t="shared" si="409"/>
        <v>0</v>
      </c>
      <c r="W49" s="285">
        <f t="shared" si="88"/>
        <v>0</v>
      </c>
      <c r="X49" s="152">
        <f t="shared" si="305"/>
        <v>0</v>
      </c>
      <c r="Y49" s="285">
        <f t="shared" si="89"/>
        <v>0</v>
      </c>
      <c r="Z49" s="152">
        <f t="shared" si="365"/>
        <v>0</v>
      </c>
      <c r="AA49" s="285">
        <f t="shared" si="90"/>
        <v>0</v>
      </c>
      <c r="AB49" s="152">
        <f t="shared" si="306"/>
        <v>0</v>
      </c>
      <c r="AC49" s="285">
        <f t="shared" si="91"/>
        <v>0</v>
      </c>
      <c r="AD49" s="152">
        <f t="shared" si="366"/>
        <v>0</v>
      </c>
      <c r="AE49" s="285">
        <f t="shared" si="92"/>
        <v>0</v>
      </c>
      <c r="AF49" s="152">
        <f t="shared" si="307"/>
        <v>0</v>
      </c>
      <c r="AG49" s="285">
        <f t="shared" si="308"/>
        <v>0</v>
      </c>
      <c r="AH49" s="152">
        <f t="shared" si="367"/>
        <v>0</v>
      </c>
      <c r="AI49" s="294">
        <f t="shared" si="309"/>
        <v>0</v>
      </c>
      <c r="AJ49" s="215">
        <f t="shared" si="94"/>
        <v>0</v>
      </c>
      <c r="AK49" s="307">
        <f t="shared" si="95"/>
        <v>0</v>
      </c>
      <c r="AM49" s="217"/>
      <c r="AN49" s="218"/>
      <c r="AO49" s="151"/>
      <c r="AP49" s="152">
        <f t="shared" si="328"/>
        <v>0</v>
      </c>
      <c r="AQ49" s="285">
        <f t="shared" si="96"/>
        <v>0</v>
      </c>
      <c r="AR49" s="317">
        <f t="shared" si="329"/>
        <v>0</v>
      </c>
      <c r="AS49" s="285">
        <f t="shared" si="96"/>
        <v>0</v>
      </c>
      <c r="AT49" s="317">
        <f t="shared" si="330"/>
        <v>0</v>
      </c>
      <c r="AU49" s="285">
        <f t="shared" si="96"/>
        <v>0</v>
      </c>
      <c r="AV49" s="317">
        <f t="shared" si="331"/>
        <v>0</v>
      </c>
      <c r="AW49" s="285">
        <f t="shared" si="98"/>
        <v>0</v>
      </c>
      <c r="AX49" s="317">
        <f t="shared" si="5"/>
        <v>0</v>
      </c>
      <c r="AY49" s="285">
        <f t="shared" si="99"/>
        <v>0</v>
      </c>
      <c r="AZ49" s="317">
        <f t="shared" si="332"/>
        <v>0</v>
      </c>
      <c r="BA49" s="285">
        <f t="shared" si="100"/>
        <v>0</v>
      </c>
      <c r="BB49" s="317">
        <f t="shared" si="7"/>
        <v>0</v>
      </c>
      <c r="BC49" s="285">
        <f t="shared" si="101"/>
        <v>0</v>
      </c>
      <c r="BD49" s="317">
        <f t="shared" si="333"/>
        <v>0</v>
      </c>
      <c r="BE49" s="285">
        <f t="shared" si="102"/>
        <v>0</v>
      </c>
      <c r="BF49" s="317">
        <f t="shared" si="9"/>
        <v>0</v>
      </c>
      <c r="BG49" s="285">
        <f t="shared" si="103"/>
        <v>0</v>
      </c>
      <c r="BH49" s="317">
        <f t="shared" si="334"/>
        <v>0</v>
      </c>
      <c r="BI49" s="285">
        <f t="shared" si="425"/>
        <v>0</v>
      </c>
      <c r="BJ49" s="317">
        <f t="shared" si="335"/>
        <v>0</v>
      </c>
      <c r="BK49" s="285">
        <f t="shared" si="425"/>
        <v>0</v>
      </c>
      <c r="BL49" s="152"/>
      <c r="BM49" s="294">
        <f t="shared" si="105"/>
        <v>0</v>
      </c>
      <c r="BN49" s="215">
        <f t="shared" si="106"/>
        <v>0</v>
      </c>
      <c r="BO49" s="307">
        <f t="shared" si="410"/>
        <v>0</v>
      </c>
      <c r="BQ49" s="217"/>
      <c r="BR49" s="218"/>
      <c r="BS49" s="151"/>
      <c r="BT49" s="152">
        <f t="shared" si="280"/>
        <v>0</v>
      </c>
      <c r="BU49" s="332">
        <f t="shared" si="107"/>
        <v>0</v>
      </c>
      <c r="BV49" s="152">
        <f t="shared" si="368"/>
        <v>0</v>
      </c>
      <c r="BW49" s="153">
        <f t="shared" si="108"/>
        <v>0</v>
      </c>
      <c r="BX49" s="152">
        <f t="shared" si="369"/>
        <v>0</v>
      </c>
      <c r="BY49" s="153">
        <f t="shared" si="109"/>
        <v>0</v>
      </c>
      <c r="BZ49" s="152">
        <f t="shared" si="370"/>
        <v>0</v>
      </c>
      <c r="CA49" s="153">
        <f t="shared" si="110"/>
        <v>0</v>
      </c>
      <c r="CB49" s="152">
        <f t="shared" si="371"/>
        <v>0</v>
      </c>
      <c r="CC49" s="153">
        <f t="shared" si="111"/>
        <v>0</v>
      </c>
      <c r="CD49" s="152">
        <f t="shared" si="372"/>
        <v>0</v>
      </c>
      <c r="CE49" s="153">
        <f t="shared" si="112"/>
        <v>0</v>
      </c>
      <c r="CF49" s="152">
        <f t="shared" si="113"/>
        <v>0</v>
      </c>
      <c r="CG49" s="153">
        <f t="shared" si="114"/>
        <v>0</v>
      </c>
      <c r="CH49" s="152">
        <f t="shared" si="373"/>
        <v>0</v>
      </c>
      <c r="CI49" s="153">
        <f t="shared" si="115"/>
        <v>0</v>
      </c>
      <c r="CJ49" s="152">
        <f t="shared" si="116"/>
        <v>0</v>
      </c>
      <c r="CK49" s="153">
        <f t="shared" si="117"/>
        <v>0</v>
      </c>
      <c r="CL49" s="152">
        <f t="shared" si="374"/>
        <v>0</v>
      </c>
      <c r="CM49" s="153">
        <f t="shared" si="118"/>
        <v>0</v>
      </c>
      <c r="CN49" s="152">
        <f t="shared" si="119"/>
        <v>0</v>
      </c>
      <c r="CO49" s="153">
        <f t="shared" si="120"/>
        <v>0</v>
      </c>
      <c r="CP49" s="152">
        <f t="shared" si="375"/>
        <v>0</v>
      </c>
      <c r="CQ49" s="155"/>
      <c r="CR49" s="215">
        <f t="shared" si="121"/>
        <v>0</v>
      </c>
      <c r="CS49" s="159"/>
      <c r="CU49" s="217"/>
      <c r="CV49" s="218"/>
      <c r="CW49" s="151"/>
      <c r="CX49" s="152">
        <f t="shared" si="122"/>
        <v>0</v>
      </c>
      <c r="CY49" s="153">
        <f t="shared" si="123"/>
        <v>0</v>
      </c>
      <c r="CZ49" s="152">
        <f t="shared" si="376"/>
        <v>0</v>
      </c>
      <c r="DA49" s="285">
        <f t="shared" si="123"/>
        <v>0</v>
      </c>
      <c r="DB49" s="152">
        <f t="shared" si="377"/>
        <v>0</v>
      </c>
      <c r="DC49" s="285">
        <f t="shared" si="124"/>
        <v>0</v>
      </c>
      <c r="DD49" s="152">
        <f t="shared" si="378"/>
        <v>0</v>
      </c>
      <c r="DE49" s="285">
        <f t="shared" si="125"/>
        <v>0</v>
      </c>
      <c r="DF49" s="152">
        <f t="shared" si="379"/>
        <v>0</v>
      </c>
      <c r="DG49" s="285">
        <f t="shared" si="126"/>
        <v>0</v>
      </c>
      <c r="DH49" s="152">
        <f t="shared" si="380"/>
        <v>0</v>
      </c>
      <c r="DI49" s="285">
        <f t="shared" si="127"/>
        <v>0</v>
      </c>
      <c r="DJ49" s="152">
        <f t="shared" si="128"/>
        <v>0</v>
      </c>
      <c r="DK49" s="285">
        <f t="shared" si="129"/>
        <v>0</v>
      </c>
      <c r="DL49" s="152">
        <f t="shared" si="381"/>
        <v>0</v>
      </c>
      <c r="DM49" s="285">
        <f t="shared" si="130"/>
        <v>0</v>
      </c>
      <c r="DN49" s="152">
        <f t="shared" si="131"/>
        <v>0</v>
      </c>
      <c r="DO49" s="285">
        <f t="shared" si="132"/>
        <v>0</v>
      </c>
      <c r="DP49" s="152">
        <f t="shared" si="382"/>
        <v>0</v>
      </c>
      <c r="DQ49" s="285">
        <f t="shared" si="133"/>
        <v>0</v>
      </c>
      <c r="DR49" s="152">
        <f t="shared" si="134"/>
        <v>0</v>
      </c>
      <c r="DS49" s="285">
        <f t="shared" si="135"/>
        <v>0</v>
      </c>
      <c r="DT49" s="152">
        <f t="shared" si="383"/>
        <v>0</v>
      </c>
      <c r="DU49" s="285">
        <f t="shared" si="136"/>
        <v>0</v>
      </c>
      <c r="DV49" s="215">
        <f t="shared" si="137"/>
        <v>0</v>
      </c>
      <c r="DW49" s="159"/>
      <c r="DY49" s="217"/>
      <c r="DZ49" s="218"/>
      <c r="EA49" s="151"/>
      <c r="EB49" s="152">
        <f t="shared" si="384"/>
        <v>0</v>
      </c>
      <c r="EC49" s="153">
        <f t="shared" si="139"/>
        <v>0</v>
      </c>
      <c r="ED49" s="317">
        <f t="shared" si="385"/>
        <v>0</v>
      </c>
      <c r="EE49" s="153">
        <f t="shared" si="139"/>
        <v>0</v>
      </c>
      <c r="EF49" s="152">
        <f t="shared" si="386"/>
        <v>0</v>
      </c>
      <c r="EG49" s="153">
        <f t="shared" si="426"/>
        <v>0</v>
      </c>
      <c r="EH49" s="152">
        <f t="shared" si="387"/>
        <v>0</v>
      </c>
      <c r="EI49" s="153">
        <f t="shared" si="426"/>
        <v>0</v>
      </c>
      <c r="EJ49" s="152">
        <f t="shared" si="388"/>
        <v>0</v>
      </c>
      <c r="EK49" s="153">
        <f t="shared" si="143"/>
        <v>0</v>
      </c>
      <c r="EL49" s="152">
        <f t="shared" si="389"/>
        <v>0</v>
      </c>
      <c r="EM49" s="153">
        <f t="shared" si="144"/>
        <v>0</v>
      </c>
      <c r="EN49" s="152">
        <f t="shared" si="290"/>
        <v>0</v>
      </c>
      <c r="EO49" s="153">
        <f t="shared" si="145"/>
        <v>0</v>
      </c>
      <c r="EP49" s="152">
        <f t="shared" si="390"/>
        <v>0</v>
      </c>
      <c r="EQ49" s="153">
        <f t="shared" si="146"/>
        <v>0</v>
      </c>
      <c r="ER49" s="152">
        <f t="shared" si="292"/>
        <v>0</v>
      </c>
      <c r="ES49" s="153">
        <f t="shared" si="147"/>
        <v>0</v>
      </c>
      <c r="ET49" s="152">
        <f t="shared" si="391"/>
        <v>0</v>
      </c>
      <c r="EU49" s="153">
        <f t="shared" si="148"/>
        <v>0</v>
      </c>
      <c r="EV49" s="152">
        <f t="shared" si="294"/>
        <v>0</v>
      </c>
      <c r="EW49" s="153">
        <f t="shared" si="149"/>
        <v>0</v>
      </c>
      <c r="EX49" s="152">
        <f t="shared" si="392"/>
        <v>0</v>
      </c>
      <c r="EY49" s="153">
        <f t="shared" si="150"/>
        <v>0</v>
      </c>
      <c r="EZ49" s="215">
        <f t="shared" si="151"/>
        <v>0</v>
      </c>
      <c r="FA49" s="159"/>
      <c r="FC49" s="217">
        <v>1</v>
      </c>
      <c r="FD49" s="218">
        <v>1</v>
      </c>
      <c r="FE49" s="151">
        <f>+G49</f>
        <v>5147949.0322580636</v>
      </c>
      <c r="FF49" s="152">
        <f t="shared" si="153"/>
        <v>1</v>
      </c>
      <c r="FG49" s="153">
        <f t="shared" si="154"/>
        <v>5147949.0322580636</v>
      </c>
      <c r="FH49" s="368">
        <f t="shared" si="434"/>
        <v>1</v>
      </c>
      <c r="FI49" s="153">
        <f t="shared" si="155"/>
        <v>5147949.0322580636</v>
      </c>
      <c r="FJ49" s="368">
        <f t="shared" si="435"/>
        <v>1</v>
      </c>
      <c r="FK49" s="153">
        <f t="shared" si="155"/>
        <v>5147949.0322580636</v>
      </c>
      <c r="FL49" s="368">
        <f t="shared" si="436"/>
        <v>1</v>
      </c>
      <c r="FM49" s="153">
        <f t="shared" si="156"/>
        <v>5147949.0322580636</v>
      </c>
      <c r="FN49" s="368">
        <f t="shared" si="396"/>
        <v>1</v>
      </c>
      <c r="FO49" s="153">
        <f t="shared" si="157"/>
        <v>5147949.0322580636</v>
      </c>
      <c r="FP49" s="368">
        <f t="shared" si="437"/>
        <v>1</v>
      </c>
      <c r="FQ49" s="153">
        <f t="shared" si="158"/>
        <v>5147949.0322580636</v>
      </c>
      <c r="FR49" s="368">
        <f t="shared" si="159"/>
        <v>1</v>
      </c>
      <c r="FS49" s="153">
        <f t="shared" si="160"/>
        <v>5147949.0322580636</v>
      </c>
      <c r="FT49" s="368">
        <f t="shared" si="438"/>
        <v>1</v>
      </c>
      <c r="FU49" s="153">
        <f t="shared" si="161"/>
        <v>5147949.0322580636</v>
      </c>
      <c r="FV49" s="368">
        <f t="shared" si="162"/>
        <v>1</v>
      </c>
      <c r="FW49" s="153">
        <f t="shared" si="163"/>
        <v>5147949.0322580636</v>
      </c>
      <c r="FX49" s="368">
        <f t="shared" si="439"/>
        <v>1</v>
      </c>
      <c r="FY49" s="153">
        <f t="shared" si="164"/>
        <v>5147949.0322580636</v>
      </c>
      <c r="FZ49" s="368">
        <f t="shared" si="165"/>
        <v>1</v>
      </c>
      <c r="GA49" s="153">
        <f t="shared" si="166"/>
        <v>5147949.0322580636</v>
      </c>
      <c r="GB49" s="368">
        <f t="shared" si="440"/>
        <v>1</v>
      </c>
      <c r="GC49" s="153">
        <f t="shared" si="167"/>
        <v>5147949.0322580636</v>
      </c>
      <c r="GD49" s="215">
        <f t="shared" si="168"/>
        <v>12</v>
      </c>
      <c r="GE49" s="159">
        <f t="shared" si="411"/>
        <v>61775388.387096763</v>
      </c>
      <c r="GG49" s="158"/>
      <c r="GH49" s="218"/>
      <c r="GI49" s="151"/>
      <c r="GJ49" s="152">
        <f t="shared" si="169"/>
        <v>0</v>
      </c>
      <c r="GK49" s="153">
        <f t="shared" si="170"/>
        <v>0</v>
      </c>
      <c r="GL49" s="152">
        <f t="shared" si="169"/>
        <v>0</v>
      </c>
      <c r="GM49" s="153">
        <f t="shared" si="170"/>
        <v>0</v>
      </c>
      <c r="GN49" s="152">
        <f t="shared" si="169"/>
        <v>0</v>
      </c>
      <c r="GO49" s="153">
        <f t="shared" si="171"/>
        <v>0</v>
      </c>
      <c r="GP49" s="152">
        <f t="shared" si="169"/>
        <v>0</v>
      </c>
      <c r="GQ49" s="153">
        <f t="shared" si="172"/>
        <v>0</v>
      </c>
      <c r="GR49" s="152">
        <f t="shared" si="173"/>
        <v>0</v>
      </c>
      <c r="GS49" s="153">
        <f t="shared" si="174"/>
        <v>0</v>
      </c>
      <c r="GT49" s="152">
        <f t="shared" si="175"/>
        <v>0</v>
      </c>
      <c r="GU49" s="153">
        <f t="shared" si="176"/>
        <v>0</v>
      </c>
      <c r="GV49" s="152">
        <f t="shared" si="177"/>
        <v>0</v>
      </c>
      <c r="GW49" s="153">
        <f t="shared" si="178"/>
        <v>0</v>
      </c>
      <c r="GX49" s="152">
        <f t="shared" si="179"/>
        <v>0</v>
      </c>
      <c r="GY49" s="153">
        <f t="shared" si="180"/>
        <v>0</v>
      </c>
      <c r="GZ49" s="152">
        <f t="shared" si="181"/>
        <v>0</v>
      </c>
      <c r="HA49" s="153">
        <f t="shared" si="182"/>
        <v>0</v>
      </c>
      <c r="HB49" s="152">
        <f t="shared" si="183"/>
        <v>0</v>
      </c>
      <c r="HC49" s="153">
        <f t="shared" si="184"/>
        <v>0</v>
      </c>
      <c r="HD49" s="152">
        <f t="shared" si="185"/>
        <v>0</v>
      </c>
      <c r="HE49" s="153">
        <f t="shared" si="186"/>
        <v>0</v>
      </c>
      <c r="HF49" s="152">
        <f t="shared" si="187"/>
        <v>0</v>
      </c>
      <c r="HG49" s="153">
        <f t="shared" si="188"/>
        <v>0</v>
      </c>
      <c r="HH49" s="215">
        <f t="shared" si="189"/>
        <v>0</v>
      </c>
      <c r="HI49" s="159">
        <f t="shared" ref="HI49:HI50" si="447">+HH49*G49</f>
        <v>0</v>
      </c>
      <c r="HK49" s="217">
        <v>0</v>
      </c>
      <c r="HL49" s="218"/>
      <c r="HM49" s="151"/>
      <c r="HN49" s="219">
        <f t="shared" si="190"/>
        <v>0</v>
      </c>
      <c r="HO49" s="153">
        <f t="shared" si="191"/>
        <v>0</v>
      </c>
      <c r="HP49" s="152">
        <f t="shared" si="192"/>
        <v>0</v>
      </c>
      <c r="HQ49" s="153">
        <f t="shared" si="193"/>
        <v>0</v>
      </c>
      <c r="HR49" s="152">
        <f t="shared" si="192"/>
        <v>0</v>
      </c>
      <c r="HS49" s="153">
        <f t="shared" si="193"/>
        <v>0</v>
      </c>
      <c r="HT49" s="152">
        <f t="shared" si="192"/>
        <v>0</v>
      </c>
      <c r="HU49" s="153">
        <f t="shared" si="194"/>
        <v>0</v>
      </c>
      <c r="HV49" s="152">
        <f t="shared" si="192"/>
        <v>0</v>
      </c>
      <c r="HW49" s="153">
        <f t="shared" si="195"/>
        <v>0</v>
      </c>
      <c r="HX49" s="152">
        <f t="shared" si="196"/>
        <v>0</v>
      </c>
      <c r="HY49" s="153">
        <f t="shared" si="197"/>
        <v>0</v>
      </c>
      <c r="HZ49" s="152">
        <f t="shared" si="198"/>
        <v>0</v>
      </c>
      <c r="IA49" s="153">
        <f t="shared" si="199"/>
        <v>0</v>
      </c>
      <c r="IB49" s="152">
        <f t="shared" si="200"/>
        <v>0</v>
      </c>
      <c r="IC49" s="153">
        <f t="shared" si="201"/>
        <v>0</v>
      </c>
      <c r="ID49" s="152">
        <f t="shared" si="202"/>
        <v>0</v>
      </c>
      <c r="IE49" s="153">
        <f t="shared" si="203"/>
        <v>0</v>
      </c>
      <c r="IF49" s="152">
        <f t="shared" si="204"/>
        <v>0</v>
      </c>
      <c r="IG49" s="153">
        <f t="shared" si="205"/>
        <v>0</v>
      </c>
      <c r="IH49" s="152">
        <f t="shared" si="206"/>
        <v>0</v>
      </c>
      <c r="II49" s="153">
        <f t="shared" si="207"/>
        <v>0</v>
      </c>
      <c r="IJ49" s="152">
        <f t="shared" si="208"/>
        <v>0</v>
      </c>
      <c r="IK49" s="153">
        <f t="shared" si="209"/>
        <v>0</v>
      </c>
      <c r="IL49" s="215">
        <f t="shared" si="210"/>
        <v>0</v>
      </c>
      <c r="IM49" s="159">
        <f t="shared" si="211"/>
        <v>0</v>
      </c>
      <c r="IO49" s="217"/>
      <c r="IP49" s="218"/>
      <c r="IQ49" s="151"/>
      <c r="IR49" s="152">
        <f t="shared" si="212"/>
        <v>0</v>
      </c>
      <c r="IS49" s="153">
        <f t="shared" si="213"/>
        <v>0</v>
      </c>
      <c r="IT49" s="152">
        <f t="shared" si="401"/>
        <v>0</v>
      </c>
      <c r="IU49" s="285">
        <f t="shared" si="214"/>
        <v>0</v>
      </c>
      <c r="IV49" s="152">
        <f t="shared" si="402"/>
        <v>0</v>
      </c>
      <c r="IW49" s="285">
        <f t="shared" si="214"/>
        <v>0</v>
      </c>
      <c r="IX49" s="152">
        <f t="shared" si="403"/>
        <v>0</v>
      </c>
      <c r="IY49" s="285">
        <f t="shared" si="215"/>
        <v>0</v>
      </c>
      <c r="IZ49" s="152">
        <f t="shared" si="404"/>
        <v>0</v>
      </c>
      <c r="JA49" s="285">
        <f t="shared" si="216"/>
        <v>0</v>
      </c>
      <c r="JB49" s="152">
        <f t="shared" si="405"/>
        <v>0</v>
      </c>
      <c r="JC49" s="285">
        <f t="shared" si="217"/>
        <v>0</v>
      </c>
      <c r="JD49" s="152">
        <f t="shared" si="218"/>
        <v>0</v>
      </c>
      <c r="JE49" s="285">
        <f t="shared" si="219"/>
        <v>0</v>
      </c>
      <c r="JF49" s="152">
        <f t="shared" si="406"/>
        <v>0</v>
      </c>
      <c r="JG49" s="285">
        <f t="shared" si="220"/>
        <v>0</v>
      </c>
      <c r="JH49" s="152">
        <f t="shared" si="221"/>
        <v>0</v>
      </c>
      <c r="JI49" s="285">
        <f t="shared" si="222"/>
        <v>0</v>
      </c>
      <c r="JJ49" s="152">
        <f t="shared" si="407"/>
        <v>0</v>
      </c>
      <c r="JK49" s="285">
        <f t="shared" si="223"/>
        <v>0</v>
      </c>
      <c r="JL49" s="152">
        <f t="shared" si="224"/>
        <v>0</v>
      </c>
      <c r="JM49" s="285">
        <f t="shared" si="225"/>
        <v>0</v>
      </c>
      <c r="JN49" s="152">
        <f t="shared" si="408"/>
        <v>0</v>
      </c>
      <c r="JO49" s="285">
        <f t="shared" si="226"/>
        <v>0</v>
      </c>
      <c r="JP49" s="215">
        <f t="shared" si="227"/>
        <v>0</v>
      </c>
      <c r="JQ49" s="159">
        <f t="shared" si="228"/>
        <v>0</v>
      </c>
      <c r="JS49" s="217"/>
      <c r="JT49" s="218"/>
      <c r="JU49" s="151"/>
      <c r="JV49" s="152">
        <f t="shared" si="229"/>
        <v>0</v>
      </c>
      <c r="JW49" s="153">
        <f t="shared" si="230"/>
        <v>0</v>
      </c>
      <c r="JX49" s="368"/>
      <c r="JY49" s="153">
        <f t="shared" si="231"/>
        <v>0</v>
      </c>
      <c r="JZ49" s="368"/>
      <c r="KA49" s="153">
        <f t="shared" si="231"/>
        <v>0</v>
      </c>
      <c r="KB49" s="368"/>
      <c r="KC49" s="153">
        <f t="shared" si="232"/>
        <v>0</v>
      </c>
      <c r="KD49" s="368"/>
      <c r="KE49" s="153">
        <f t="shared" si="233"/>
        <v>0</v>
      </c>
      <c r="KF49" s="368"/>
      <c r="KG49" s="153">
        <f t="shared" si="234"/>
        <v>0</v>
      </c>
      <c r="KH49" s="368"/>
      <c r="KI49" s="153">
        <f t="shared" si="236"/>
        <v>0</v>
      </c>
      <c r="KJ49" s="368"/>
      <c r="KK49" s="153">
        <f t="shared" si="237"/>
        <v>0</v>
      </c>
      <c r="KL49" s="368"/>
      <c r="KM49" s="153">
        <f t="shared" si="239"/>
        <v>0</v>
      </c>
      <c r="KN49" s="368"/>
      <c r="KO49" s="153">
        <f t="shared" si="240"/>
        <v>0</v>
      </c>
      <c r="KP49" s="368"/>
      <c r="KQ49" s="153">
        <f t="shared" si="242"/>
        <v>0</v>
      </c>
      <c r="KR49" s="368"/>
      <c r="KS49" s="154">
        <f t="shared" si="243"/>
        <v>0</v>
      </c>
      <c r="KT49" s="215">
        <f t="shared" si="244"/>
        <v>0</v>
      </c>
      <c r="KU49" s="159"/>
      <c r="KW49" s="217"/>
      <c r="KX49" s="218"/>
      <c r="KY49" s="151"/>
      <c r="KZ49" s="152">
        <f t="shared" si="271"/>
        <v>0</v>
      </c>
      <c r="LA49" s="153"/>
      <c r="LB49" s="152">
        <f t="shared" si="272"/>
        <v>0</v>
      </c>
      <c r="LC49" s="153">
        <f t="shared" si="246"/>
        <v>0</v>
      </c>
      <c r="LD49" s="152">
        <f t="shared" si="272"/>
        <v>0</v>
      </c>
      <c r="LE49" s="153">
        <f t="shared" si="246"/>
        <v>0</v>
      </c>
      <c r="LF49" s="152">
        <f t="shared" si="272"/>
        <v>0</v>
      </c>
      <c r="LG49" s="153">
        <f t="shared" si="247"/>
        <v>0</v>
      </c>
      <c r="LH49" s="152">
        <f t="shared" si="272"/>
        <v>0</v>
      </c>
      <c r="LI49" s="153">
        <f t="shared" si="248"/>
        <v>0</v>
      </c>
      <c r="LJ49" s="152">
        <f t="shared" si="273"/>
        <v>0</v>
      </c>
      <c r="LK49" s="153">
        <f t="shared" si="249"/>
        <v>0</v>
      </c>
      <c r="LL49" s="152">
        <f t="shared" si="274"/>
        <v>0</v>
      </c>
      <c r="LM49" s="153">
        <f t="shared" si="250"/>
        <v>0</v>
      </c>
      <c r="LN49" s="152">
        <f t="shared" si="275"/>
        <v>0</v>
      </c>
      <c r="LO49" s="153">
        <f t="shared" si="251"/>
        <v>0</v>
      </c>
      <c r="LP49" s="152">
        <f t="shared" si="276"/>
        <v>0</v>
      </c>
      <c r="LQ49" s="153">
        <f t="shared" si="252"/>
        <v>0</v>
      </c>
      <c r="LR49" s="152">
        <f t="shared" si="277"/>
        <v>0</v>
      </c>
      <c r="LS49" s="153">
        <f t="shared" si="253"/>
        <v>0</v>
      </c>
      <c r="LT49" s="152">
        <f t="shared" si="278"/>
        <v>0</v>
      </c>
      <c r="LU49" s="153">
        <f t="shared" si="254"/>
        <v>0</v>
      </c>
      <c r="LV49" s="152">
        <f t="shared" si="279"/>
        <v>0</v>
      </c>
      <c r="LW49" s="153">
        <f t="shared" si="255"/>
        <v>0</v>
      </c>
      <c r="LX49" s="215">
        <f t="shared" si="256"/>
        <v>0</v>
      </c>
      <c r="LY49" s="159">
        <f t="shared" si="257"/>
        <v>0</v>
      </c>
      <c r="MA49" s="164">
        <f t="shared" si="412"/>
        <v>1</v>
      </c>
      <c r="MB49" s="386">
        <f t="shared" si="258"/>
        <v>5147949.0322580636</v>
      </c>
      <c r="MC49" s="394">
        <f t="shared" si="413"/>
        <v>1</v>
      </c>
      <c r="MD49" s="386">
        <f t="shared" si="259"/>
        <v>5147949.0322580636</v>
      </c>
      <c r="ME49" s="394">
        <f t="shared" si="414"/>
        <v>1</v>
      </c>
      <c r="MF49" s="386">
        <f t="shared" si="259"/>
        <v>5147949.0322580636</v>
      </c>
      <c r="MG49" s="394">
        <f t="shared" si="415"/>
        <v>1</v>
      </c>
      <c r="MH49" s="386">
        <f t="shared" si="260"/>
        <v>5147949.0322580636</v>
      </c>
      <c r="MI49" s="394">
        <f t="shared" si="416"/>
        <v>1</v>
      </c>
      <c r="MJ49" s="386">
        <f t="shared" si="261"/>
        <v>5147949.0322580636</v>
      </c>
      <c r="MK49" s="394">
        <f t="shared" si="417"/>
        <v>1</v>
      </c>
      <c r="ML49" s="386">
        <f t="shared" si="262"/>
        <v>5147949.0322580636</v>
      </c>
      <c r="MM49" s="394">
        <f t="shared" si="418"/>
        <v>1</v>
      </c>
      <c r="MN49" s="386">
        <f t="shared" si="263"/>
        <v>5147949.0322580636</v>
      </c>
      <c r="MO49" s="394">
        <f t="shared" si="419"/>
        <v>1</v>
      </c>
      <c r="MP49" s="386">
        <f t="shared" si="264"/>
        <v>5147949.0322580636</v>
      </c>
      <c r="MQ49" s="394">
        <f t="shared" si="420"/>
        <v>1</v>
      </c>
      <c r="MR49" s="386">
        <f t="shared" si="265"/>
        <v>5147949.0322580636</v>
      </c>
      <c r="MS49" s="394">
        <f t="shared" si="421"/>
        <v>1</v>
      </c>
      <c r="MT49" s="386">
        <f t="shared" si="266"/>
        <v>5147949.0322580636</v>
      </c>
      <c r="MU49" s="394">
        <f t="shared" si="422"/>
        <v>1</v>
      </c>
      <c r="MV49" s="386">
        <f t="shared" si="267"/>
        <v>5147949.0322580636</v>
      </c>
      <c r="MW49" s="394">
        <f t="shared" si="423"/>
        <v>1</v>
      </c>
      <c r="MX49" s="386">
        <f t="shared" si="268"/>
        <v>5147949.0322580636</v>
      </c>
      <c r="MY49" s="164">
        <f t="shared" si="269"/>
        <v>12</v>
      </c>
      <c r="MZ49" s="166">
        <f t="shared" si="270"/>
        <v>61775388.387096763</v>
      </c>
    </row>
    <row r="50" spans="1:364" s="126" customFormat="1" ht="165.6" customHeight="1" x14ac:dyDescent="0.3">
      <c r="A50" s="531"/>
      <c r="B50" s="212">
        <v>3.1</v>
      </c>
      <c r="C50" s="213" t="s">
        <v>283</v>
      </c>
      <c r="D50" s="214" t="s">
        <v>34</v>
      </c>
      <c r="E50" s="17">
        <v>1</v>
      </c>
      <c r="F50" s="350">
        <v>3929177.968347515</v>
      </c>
      <c r="G50" s="350">
        <f t="shared" si="81"/>
        <v>4092931.1377712167</v>
      </c>
      <c r="I50" s="217">
        <v>2</v>
      </c>
      <c r="J50" s="218">
        <v>0.5</v>
      </c>
      <c r="K50" s="151">
        <f t="shared" si="82"/>
        <v>4092931.1377712167</v>
      </c>
      <c r="L50" s="152">
        <v>0</v>
      </c>
      <c r="M50" s="285">
        <f t="shared" si="445"/>
        <v>0</v>
      </c>
      <c r="N50" s="152">
        <v>2</v>
      </c>
      <c r="O50" s="285">
        <f t="shared" si="446"/>
        <v>8185862.2755424334</v>
      </c>
      <c r="P50" s="152">
        <v>0</v>
      </c>
      <c r="Q50" s="285">
        <f t="shared" si="446"/>
        <v>0</v>
      </c>
      <c r="R50" s="152">
        <v>0</v>
      </c>
      <c r="S50" s="285">
        <f t="shared" si="86"/>
        <v>0</v>
      </c>
      <c r="T50" s="152">
        <v>2</v>
      </c>
      <c r="U50" s="285">
        <f t="shared" si="87"/>
        <v>8185862.2755424334</v>
      </c>
      <c r="V50" s="152">
        <v>0</v>
      </c>
      <c r="W50" s="285">
        <f t="shared" si="88"/>
        <v>0</v>
      </c>
      <c r="X50" s="152">
        <v>0</v>
      </c>
      <c r="Y50" s="285">
        <f t="shared" si="89"/>
        <v>0</v>
      </c>
      <c r="Z50" s="152">
        <v>2</v>
      </c>
      <c r="AA50" s="285">
        <f t="shared" si="90"/>
        <v>8185862.2755424334</v>
      </c>
      <c r="AB50" s="152">
        <v>0</v>
      </c>
      <c r="AC50" s="285">
        <f t="shared" si="91"/>
        <v>0</v>
      </c>
      <c r="AD50" s="152">
        <v>0</v>
      </c>
      <c r="AE50" s="285">
        <f t="shared" si="92"/>
        <v>0</v>
      </c>
      <c r="AF50" s="152">
        <v>2</v>
      </c>
      <c r="AG50" s="285">
        <f t="shared" si="308"/>
        <v>8185862.2755424334</v>
      </c>
      <c r="AH50" s="152">
        <v>0</v>
      </c>
      <c r="AI50" s="294">
        <f t="shared" si="309"/>
        <v>0</v>
      </c>
      <c r="AJ50" s="215">
        <f t="shared" si="94"/>
        <v>8</v>
      </c>
      <c r="AK50" s="307">
        <f t="shared" si="95"/>
        <v>32743449.102169733</v>
      </c>
      <c r="AM50" s="217"/>
      <c r="AN50" s="218"/>
      <c r="AO50" s="151"/>
      <c r="AP50" s="152">
        <f t="shared" si="328"/>
        <v>0</v>
      </c>
      <c r="AQ50" s="285">
        <f t="shared" si="96"/>
        <v>0</v>
      </c>
      <c r="AR50" s="317">
        <f t="shared" si="329"/>
        <v>0</v>
      </c>
      <c r="AS50" s="285">
        <f t="shared" si="96"/>
        <v>0</v>
      </c>
      <c r="AT50" s="317">
        <f t="shared" si="330"/>
        <v>0</v>
      </c>
      <c r="AU50" s="285">
        <f t="shared" si="96"/>
        <v>0</v>
      </c>
      <c r="AV50" s="317">
        <f t="shared" si="331"/>
        <v>0</v>
      </c>
      <c r="AW50" s="285">
        <f t="shared" si="98"/>
        <v>0</v>
      </c>
      <c r="AX50" s="317">
        <f t="shared" si="5"/>
        <v>0</v>
      </c>
      <c r="AY50" s="285">
        <f t="shared" si="99"/>
        <v>0</v>
      </c>
      <c r="AZ50" s="317">
        <f t="shared" si="332"/>
        <v>0</v>
      </c>
      <c r="BA50" s="285">
        <f t="shared" si="100"/>
        <v>0</v>
      </c>
      <c r="BB50" s="317">
        <f t="shared" si="7"/>
        <v>0</v>
      </c>
      <c r="BC50" s="285">
        <f t="shared" si="101"/>
        <v>0</v>
      </c>
      <c r="BD50" s="317">
        <f t="shared" si="333"/>
        <v>0</v>
      </c>
      <c r="BE50" s="285">
        <f t="shared" si="102"/>
        <v>0</v>
      </c>
      <c r="BF50" s="317">
        <f t="shared" si="9"/>
        <v>0</v>
      </c>
      <c r="BG50" s="285">
        <f t="shared" si="103"/>
        <v>0</v>
      </c>
      <c r="BH50" s="317">
        <f t="shared" si="334"/>
        <v>0</v>
      </c>
      <c r="BI50" s="285">
        <f t="shared" si="425"/>
        <v>0</v>
      </c>
      <c r="BJ50" s="317">
        <f t="shared" si="335"/>
        <v>0</v>
      </c>
      <c r="BK50" s="285">
        <f t="shared" si="425"/>
        <v>0</v>
      </c>
      <c r="BL50" s="152"/>
      <c r="BM50" s="294">
        <f t="shared" si="105"/>
        <v>0</v>
      </c>
      <c r="BN50" s="215">
        <f t="shared" si="106"/>
        <v>0</v>
      </c>
      <c r="BO50" s="307">
        <f t="shared" si="410"/>
        <v>0</v>
      </c>
      <c r="BQ50" s="217">
        <v>4</v>
      </c>
      <c r="BR50" s="218">
        <v>1</v>
      </c>
      <c r="BS50" s="151">
        <f>+BQ50*BR50*G50</f>
        <v>16371724.551084867</v>
      </c>
      <c r="BT50" s="152">
        <v>4</v>
      </c>
      <c r="BU50" s="332">
        <f t="shared" si="107"/>
        <v>16371724.551084867</v>
      </c>
      <c r="BV50" s="152"/>
      <c r="BW50" s="153">
        <f t="shared" si="108"/>
        <v>0</v>
      </c>
      <c r="BX50" s="152"/>
      <c r="BY50" s="153">
        <f t="shared" si="109"/>
        <v>0</v>
      </c>
      <c r="BZ50" s="152">
        <v>4</v>
      </c>
      <c r="CA50" s="153">
        <f t="shared" si="110"/>
        <v>16371724.551084867</v>
      </c>
      <c r="CB50" s="152"/>
      <c r="CC50" s="153">
        <f t="shared" si="111"/>
        <v>0</v>
      </c>
      <c r="CD50" s="152"/>
      <c r="CE50" s="153">
        <f t="shared" si="112"/>
        <v>0</v>
      </c>
      <c r="CF50" s="152">
        <v>4</v>
      </c>
      <c r="CG50" s="153">
        <f t="shared" si="114"/>
        <v>16371724.551084867</v>
      </c>
      <c r="CH50" s="152"/>
      <c r="CI50" s="153">
        <f t="shared" si="115"/>
        <v>0</v>
      </c>
      <c r="CJ50" s="152"/>
      <c r="CK50" s="153">
        <f t="shared" si="117"/>
        <v>0</v>
      </c>
      <c r="CL50" s="152">
        <v>4</v>
      </c>
      <c r="CM50" s="153">
        <f t="shared" si="118"/>
        <v>16371724.551084867</v>
      </c>
      <c r="CN50" s="152"/>
      <c r="CO50" s="153">
        <f t="shared" si="120"/>
        <v>0</v>
      </c>
      <c r="CP50" s="152"/>
      <c r="CQ50" s="155">
        <f>+CP50*G50</f>
        <v>0</v>
      </c>
      <c r="CR50" s="215">
        <f t="shared" si="121"/>
        <v>16</v>
      </c>
      <c r="CS50" s="159">
        <f t="shared" ref="CS50:CS82" si="448">+CR50*G50</f>
        <v>65486898.204339467</v>
      </c>
      <c r="CU50" s="217">
        <v>2</v>
      </c>
      <c r="CV50" s="218">
        <v>1</v>
      </c>
      <c r="CW50" s="151">
        <f>+CV50*CU50*G50</f>
        <v>8185862.2755424334</v>
      </c>
      <c r="CX50" s="152">
        <v>2</v>
      </c>
      <c r="CY50" s="153">
        <f t="shared" si="123"/>
        <v>8185862.2755424334</v>
      </c>
      <c r="CZ50" s="152"/>
      <c r="DA50" s="285">
        <f t="shared" si="123"/>
        <v>0</v>
      </c>
      <c r="DB50" s="152"/>
      <c r="DC50" s="285">
        <f t="shared" si="124"/>
        <v>0</v>
      </c>
      <c r="DD50" s="152">
        <v>2</v>
      </c>
      <c r="DE50" s="285">
        <f t="shared" si="125"/>
        <v>8185862.2755424334</v>
      </c>
      <c r="DF50" s="152"/>
      <c r="DG50" s="285">
        <f t="shared" si="126"/>
        <v>0</v>
      </c>
      <c r="DH50" s="152"/>
      <c r="DI50" s="285">
        <f t="shared" si="127"/>
        <v>0</v>
      </c>
      <c r="DJ50" s="152">
        <v>2</v>
      </c>
      <c r="DK50" s="285">
        <f t="shared" si="129"/>
        <v>8185862.2755424334</v>
      </c>
      <c r="DL50" s="152"/>
      <c r="DM50" s="285">
        <f t="shared" si="130"/>
        <v>0</v>
      </c>
      <c r="DN50" s="152"/>
      <c r="DO50" s="285">
        <f t="shared" si="132"/>
        <v>0</v>
      </c>
      <c r="DP50" s="152">
        <v>2</v>
      </c>
      <c r="DQ50" s="285">
        <f t="shared" si="133"/>
        <v>8185862.2755424334</v>
      </c>
      <c r="DR50" s="152"/>
      <c r="DS50" s="285">
        <f t="shared" si="135"/>
        <v>0</v>
      </c>
      <c r="DT50" s="152"/>
      <c r="DU50" s="285">
        <f t="shared" si="136"/>
        <v>0</v>
      </c>
      <c r="DV50" s="215">
        <f t="shared" si="137"/>
        <v>8</v>
      </c>
      <c r="DW50" s="159">
        <f t="shared" ref="DW50:DW82" si="449">+DV50*G50</f>
        <v>32743449.102169733</v>
      </c>
      <c r="DY50" s="217"/>
      <c r="DZ50" s="218"/>
      <c r="EA50" s="151"/>
      <c r="EB50" s="152">
        <f t="shared" si="384"/>
        <v>0</v>
      </c>
      <c r="EC50" s="153">
        <f t="shared" si="139"/>
        <v>0</v>
      </c>
      <c r="ED50" s="317">
        <f t="shared" si="385"/>
        <v>0</v>
      </c>
      <c r="EE50" s="153">
        <f t="shared" si="139"/>
        <v>0</v>
      </c>
      <c r="EF50" s="152">
        <f t="shared" si="386"/>
        <v>0</v>
      </c>
      <c r="EG50" s="153">
        <f t="shared" si="426"/>
        <v>0</v>
      </c>
      <c r="EH50" s="152">
        <f t="shared" si="387"/>
        <v>0</v>
      </c>
      <c r="EI50" s="153">
        <f t="shared" si="426"/>
        <v>0</v>
      </c>
      <c r="EJ50" s="152">
        <f t="shared" si="388"/>
        <v>0</v>
      </c>
      <c r="EK50" s="153">
        <f t="shared" si="143"/>
        <v>0</v>
      </c>
      <c r="EL50" s="152">
        <f t="shared" si="389"/>
        <v>0</v>
      </c>
      <c r="EM50" s="153">
        <f t="shared" si="144"/>
        <v>0</v>
      </c>
      <c r="EN50" s="152">
        <f t="shared" si="290"/>
        <v>0</v>
      </c>
      <c r="EO50" s="153">
        <f t="shared" si="145"/>
        <v>0</v>
      </c>
      <c r="EP50" s="152">
        <f t="shared" si="390"/>
        <v>0</v>
      </c>
      <c r="EQ50" s="153">
        <f t="shared" si="146"/>
        <v>0</v>
      </c>
      <c r="ER50" s="152">
        <f t="shared" si="292"/>
        <v>0</v>
      </c>
      <c r="ES50" s="153">
        <f t="shared" si="147"/>
        <v>0</v>
      </c>
      <c r="ET50" s="152">
        <f t="shared" si="391"/>
        <v>0</v>
      </c>
      <c r="EU50" s="153">
        <f t="shared" si="148"/>
        <v>0</v>
      </c>
      <c r="EV50" s="152">
        <f t="shared" si="294"/>
        <v>0</v>
      </c>
      <c r="EW50" s="153">
        <f t="shared" si="149"/>
        <v>0</v>
      </c>
      <c r="EX50" s="152">
        <f t="shared" si="392"/>
        <v>0</v>
      </c>
      <c r="EY50" s="153">
        <f t="shared" si="150"/>
        <v>0</v>
      </c>
      <c r="EZ50" s="215">
        <f t="shared" si="151"/>
        <v>0</v>
      </c>
      <c r="FA50" s="159"/>
      <c r="FC50" s="217">
        <v>7</v>
      </c>
      <c r="FD50" s="218">
        <v>1</v>
      </c>
      <c r="FE50" s="151">
        <f>+FD50*FC50*G50</f>
        <v>28650517.964398518</v>
      </c>
      <c r="FF50" s="152">
        <v>2</v>
      </c>
      <c r="FG50" s="153">
        <f t="shared" si="154"/>
        <v>8185862.2755424334</v>
      </c>
      <c r="FH50" s="368">
        <v>1</v>
      </c>
      <c r="FI50" s="153">
        <f t="shared" si="155"/>
        <v>4092931.1377712167</v>
      </c>
      <c r="FJ50" s="368">
        <v>2</v>
      </c>
      <c r="FK50" s="153">
        <f t="shared" si="155"/>
        <v>8185862.2755424334</v>
      </c>
      <c r="FL50" s="368">
        <v>2</v>
      </c>
      <c r="FM50" s="153">
        <f t="shared" si="156"/>
        <v>8185862.2755424334</v>
      </c>
      <c r="FN50" s="368">
        <v>2</v>
      </c>
      <c r="FO50" s="153">
        <f t="shared" si="157"/>
        <v>8185862.2755424334</v>
      </c>
      <c r="FP50" s="368">
        <v>1</v>
      </c>
      <c r="FQ50" s="153">
        <f t="shared" si="158"/>
        <v>4092931.1377712167</v>
      </c>
      <c r="FR50" s="368">
        <v>2</v>
      </c>
      <c r="FS50" s="153">
        <f t="shared" si="160"/>
        <v>8185862.2755424334</v>
      </c>
      <c r="FT50" s="368">
        <v>2</v>
      </c>
      <c r="FU50" s="153">
        <f t="shared" si="161"/>
        <v>8185862.2755424334</v>
      </c>
      <c r="FV50" s="368">
        <v>2</v>
      </c>
      <c r="FW50" s="153">
        <f t="shared" si="163"/>
        <v>8185862.2755424334</v>
      </c>
      <c r="FX50" s="368">
        <v>1</v>
      </c>
      <c r="FY50" s="153">
        <f t="shared" si="164"/>
        <v>4092931.1377712167</v>
      </c>
      <c r="FZ50" s="368">
        <v>2</v>
      </c>
      <c r="GA50" s="153">
        <f t="shared" si="166"/>
        <v>8185862.2755424334</v>
      </c>
      <c r="GB50" s="368">
        <v>2</v>
      </c>
      <c r="GC50" s="153">
        <f t="shared" si="167"/>
        <v>8185862.2755424334</v>
      </c>
      <c r="GD50" s="215">
        <f t="shared" si="168"/>
        <v>21</v>
      </c>
      <c r="GE50" s="159">
        <f t="shared" si="411"/>
        <v>85951553.893195555</v>
      </c>
      <c r="GG50" s="217">
        <v>5</v>
      </c>
      <c r="GH50" s="218"/>
      <c r="GI50" s="151">
        <f>+GG50*G50</f>
        <v>20464655.688856084</v>
      </c>
      <c r="GJ50" s="152">
        <v>1</v>
      </c>
      <c r="GK50" s="153">
        <f t="shared" si="170"/>
        <v>4092931.1377712167</v>
      </c>
      <c r="GL50" s="152">
        <v>2</v>
      </c>
      <c r="GM50" s="153">
        <f t="shared" si="170"/>
        <v>8185862.2755424334</v>
      </c>
      <c r="GN50" s="152">
        <v>2</v>
      </c>
      <c r="GO50" s="153">
        <f t="shared" si="171"/>
        <v>8185862.2755424334</v>
      </c>
      <c r="GP50" s="152">
        <f t="shared" si="169"/>
        <v>0</v>
      </c>
      <c r="GQ50" s="153">
        <f t="shared" si="172"/>
        <v>0</v>
      </c>
      <c r="GR50" s="152">
        <f t="shared" si="173"/>
        <v>0</v>
      </c>
      <c r="GS50" s="153">
        <f t="shared" si="174"/>
        <v>0</v>
      </c>
      <c r="GT50" s="152">
        <v>2</v>
      </c>
      <c r="GU50" s="153">
        <f t="shared" si="176"/>
        <v>8185862.2755424334</v>
      </c>
      <c r="GV50" s="152">
        <v>2</v>
      </c>
      <c r="GW50" s="153">
        <f t="shared" si="178"/>
        <v>8185862.2755424334</v>
      </c>
      <c r="GX50" s="152">
        <v>1</v>
      </c>
      <c r="GY50" s="153">
        <f t="shared" si="180"/>
        <v>4092931.1377712167</v>
      </c>
      <c r="GZ50" s="152">
        <f t="shared" si="181"/>
        <v>0</v>
      </c>
      <c r="HA50" s="153">
        <f t="shared" si="182"/>
        <v>0</v>
      </c>
      <c r="HB50" s="152">
        <v>2</v>
      </c>
      <c r="HC50" s="153">
        <f t="shared" si="184"/>
        <v>8185862.2755424334</v>
      </c>
      <c r="HD50" s="152">
        <v>2</v>
      </c>
      <c r="HE50" s="153">
        <f t="shared" si="186"/>
        <v>8185862.2755424334</v>
      </c>
      <c r="HF50" s="152">
        <f t="shared" si="187"/>
        <v>0</v>
      </c>
      <c r="HG50" s="153">
        <f t="shared" si="188"/>
        <v>0</v>
      </c>
      <c r="HH50" s="215">
        <f t="shared" si="189"/>
        <v>14</v>
      </c>
      <c r="HI50" s="159">
        <f t="shared" si="447"/>
        <v>57301035.928797036</v>
      </c>
      <c r="HK50" s="217">
        <v>5</v>
      </c>
      <c r="HL50" s="218"/>
      <c r="HM50" s="151">
        <f>+G50</f>
        <v>4092931.1377712167</v>
      </c>
      <c r="HN50" s="219">
        <f t="shared" si="190"/>
        <v>0</v>
      </c>
      <c r="HO50" s="153"/>
      <c r="HP50" s="152">
        <f t="shared" si="192"/>
        <v>0</v>
      </c>
      <c r="HQ50" s="153">
        <f t="shared" si="193"/>
        <v>0</v>
      </c>
      <c r="HR50" s="152">
        <f t="shared" si="192"/>
        <v>0</v>
      </c>
      <c r="HS50" s="153">
        <f t="shared" si="193"/>
        <v>0</v>
      </c>
      <c r="HT50" s="152">
        <f t="shared" si="192"/>
        <v>0</v>
      </c>
      <c r="HU50" s="153">
        <f t="shared" si="194"/>
        <v>0</v>
      </c>
      <c r="HV50" s="152">
        <v>2</v>
      </c>
      <c r="HW50" s="153">
        <f t="shared" si="195"/>
        <v>8185862.2755424334</v>
      </c>
      <c r="HX50" s="152">
        <v>2</v>
      </c>
      <c r="HY50" s="153">
        <f t="shared" si="197"/>
        <v>8185862.2755424334</v>
      </c>
      <c r="HZ50" s="152">
        <v>1</v>
      </c>
      <c r="IA50" s="153">
        <f t="shared" si="199"/>
        <v>4092931.1377712167</v>
      </c>
      <c r="IB50" s="152">
        <v>2</v>
      </c>
      <c r="IC50" s="153">
        <f t="shared" si="201"/>
        <v>8185862.2755424334</v>
      </c>
      <c r="ID50" s="152">
        <v>2</v>
      </c>
      <c r="IE50" s="153">
        <f t="shared" si="203"/>
        <v>8185862.2755424334</v>
      </c>
      <c r="IF50" s="152"/>
      <c r="IG50" s="153">
        <f t="shared" si="205"/>
        <v>0</v>
      </c>
      <c r="IH50" s="152">
        <v>2</v>
      </c>
      <c r="II50" s="153">
        <f t="shared" si="207"/>
        <v>8185862.2755424334</v>
      </c>
      <c r="IJ50" s="152">
        <v>3</v>
      </c>
      <c r="IK50" s="153">
        <f t="shared" si="209"/>
        <v>12278793.41331365</v>
      </c>
      <c r="IL50" s="215">
        <f t="shared" si="210"/>
        <v>14</v>
      </c>
      <c r="IM50" s="159">
        <f t="shared" si="211"/>
        <v>57301035.928797036</v>
      </c>
      <c r="IO50" s="217"/>
      <c r="IP50" s="218"/>
      <c r="IQ50" s="151"/>
      <c r="IR50" s="152">
        <f t="shared" si="212"/>
        <v>0</v>
      </c>
      <c r="IS50" s="153">
        <f t="shared" si="213"/>
        <v>0</v>
      </c>
      <c r="IT50" s="152">
        <f t="shared" si="401"/>
        <v>0</v>
      </c>
      <c r="IU50" s="285">
        <f t="shared" si="214"/>
        <v>0</v>
      </c>
      <c r="IV50" s="152">
        <f t="shared" si="402"/>
        <v>0</v>
      </c>
      <c r="IW50" s="285">
        <f t="shared" si="214"/>
        <v>0</v>
      </c>
      <c r="IX50" s="152">
        <f t="shared" si="403"/>
        <v>0</v>
      </c>
      <c r="IY50" s="285">
        <f t="shared" si="215"/>
        <v>0</v>
      </c>
      <c r="IZ50" s="152">
        <f t="shared" si="404"/>
        <v>0</v>
      </c>
      <c r="JA50" s="285">
        <f t="shared" si="216"/>
        <v>0</v>
      </c>
      <c r="JB50" s="152">
        <f t="shared" si="405"/>
        <v>0</v>
      </c>
      <c r="JC50" s="285">
        <f t="shared" si="217"/>
        <v>0</v>
      </c>
      <c r="JD50" s="152">
        <f t="shared" si="218"/>
        <v>0</v>
      </c>
      <c r="JE50" s="285">
        <f t="shared" si="219"/>
        <v>0</v>
      </c>
      <c r="JF50" s="152">
        <f t="shared" si="406"/>
        <v>0</v>
      </c>
      <c r="JG50" s="285">
        <f t="shared" si="220"/>
        <v>0</v>
      </c>
      <c r="JH50" s="152">
        <f t="shared" si="221"/>
        <v>0</v>
      </c>
      <c r="JI50" s="285">
        <f t="shared" si="222"/>
        <v>0</v>
      </c>
      <c r="JJ50" s="152">
        <f t="shared" si="407"/>
        <v>0</v>
      </c>
      <c r="JK50" s="285">
        <f t="shared" si="223"/>
        <v>0</v>
      </c>
      <c r="JL50" s="152">
        <f t="shared" si="224"/>
        <v>0</v>
      </c>
      <c r="JM50" s="285">
        <f t="shared" si="225"/>
        <v>0</v>
      </c>
      <c r="JN50" s="152">
        <f t="shared" si="408"/>
        <v>0</v>
      </c>
      <c r="JO50" s="285">
        <f t="shared" si="226"/>
        <v>0</v>
      </c>
      <c r="JP50" s="215">
        <f t="shared" si="227"/>
        <v>0</v>
      </c>
      <c r="JQ50" s="159">
        <f t="shared" si="228"/>
        <v>0</v>
      </c>
      <c r="JS50" s="217"/>
      <c r="JT50" s="218"/>
      <c r="JU50" s="151"/>
      <c r="JV50" s="152">
        <f t="shared" si="229"/>
        <v>0</v>
      </c>
      <c r="JW50" s="153">
        <f t="shared" si="230"/>
        <v>0</v>
      </c>
      <c r="JX50" s="368"/>
      <c r="JY50" s="153">
        <f t="shared" si="231"/>
        <v>0</v>
      </c>
      <c r="JZ50" s="368"/>
      <c r="KA50" s="153">
        <f t="shared" si="231"/>
        <v>0</v>
      </c>
      <c r="KB50" s="368"/>
      <c r="KC50" s="153">
        <f t="shared" si="232"/>
        <v>0</v>
      </c>
      <c r="KD50" s="368"/>
      <c r="KE50" s="153">
        <f t="shared" si="233"/>
        <v>0</v>
      </c>
      <c r="KF50" s="368"/>
      <c r="KG50" s="153">
        <f t="shared" si="234"/>
        <v>0</v>
      </c>
      <c r="KH50" s="368"/>
      <c r="KI50" s="153">
        <f t="shared" si="236"/>
        <v>0</v>
      </c>
      <c r="KJ50" s="368"/>
      <c r="KK50" s="153">
        <f t="shared" si="237"/>
        <v>0</v>
      </c>
      <c r="KL50" s="368"/>
      <c r="KM50" s="153">
        <f t="shared" si="239"/>
        <v>0</v>
      </c>
      <c r="KN50" s="368"/>
      <c r="KO50" s="153">
        <f t="shared" si="240"/>
        <v>0</v>
      </c>
      <c r="KP50" s="368"/>
      <c r="KQ50" s="153">
        <f t="shared" si="242"/>
        <v>0</v>
      </c>
      <c r="KR50" s="368"/>
      <c r="KS50" s="154">
        <f t="shared" si="243"/>
        <v>0</v>
      </c>
      <c r="KT50" s="215">
        <f t="shared" si="244"/>
        <v>0</v>
      </c>
      <c r="KU50" s="159"/>
      <c r="KW50" s="217"/>
      <c r="KX50" s="218"/>
      <c r="KY50" s="151"/>
      <c r="KZ50" s="152">
        <f t="shared" si="271"/>
        <v>0</v>
      </c>
      <c r="LA50" s="153"/>
      <c r="LB50" s="152">
        <f t="shared" si="272"/>
        <v>0</v>
      </c>
      <c r="LC50" s="153">
        <f t="shared" si="246"/>
        <v>0</v>
      </c>
      <c r="LD50" s="152">
        <f t="shared" si="272"/>
        <v>0</v>
      </c>
      <c r="LE50" s="153">
        <f t="shared" si="246"/>
        <v>0</v>
      </c>
      <c r="LF50" s="152">
        <f t="shared" si="272"/>
        <v>0</v>
      </c>
      <c r="LG50" s="153">
        <f t="shared" si="247"/>
        <v>0</v>
      </c>
      <c r="LH50" s="152">
        <f t="shared" si="272"/>
        <v>0</v>
      </c>
      <c r="LI50" s="153">
        <f t="shared" si="248"/>
        <v>0</v>
      </c>
      <c r="LJ50" s="152">
        <f t="shared" si="273"/>
        <v>0</v>
      </c>
      <c r="LK50" s="153">
        <f t="shared" si="249"/>
        <v>0</v>
      </c>
      <c r="LL50" s="152">
        <f t="shared" si="274"/>
        <v>0</v>
      </c>
      <c r="LM50" s="153">
        <f t="shared" si="250"/>
        <v>0</v>
      </c>
      <c r="LN50" s="152">
        <f t="shared" si="275"/>
        <v>0</v>
      </c>
      <c r="LO50" s="153">
        <f t="shared" si="251"/>
        <v>0</v>
      </c>
      <c r="LP50" s="152">
        <f t="shared" si="276"/>
        <v>0</v>
      </c>
      <c r="LQ50" s="153">
        <f t="shared" si="252"/>
        <v>0</v>
      </c>
      <c r="LR50" s="152">
        <f t="shared" si="277"/>
        <v>0</v>
      </c>
      <c r="LS50" s="153">
        <f t="shared" si="253"/>
        <v>0</v>
      </c>
      <c r="LT50" s="152">
        <f t="shared" si="278"/>
        <v>0</v>
      </c>
      <c r="LU50" s="153">
        <f t="shared" si="254"/>
        <v>0</v>
      </c>
      <c r="LV50" s="152">
        <f t="shared" si="279"/>
        <v>0</v>
      </c>
      <c r="LW50" s="153">
        <f t="shared" si="255"/>
        <v>0</v>
      </c>
      <c r="LX50" s="215">
        <f t="shared" si="256"/>
        <v>0</v>
      </c>
      <c r="LY50" s="159">
        <f t="shared" si="257"/>
        <v>0</v>
      </c>
      <c r="MA50" s="164">
        <f t="shared" si="412"/>
        <v>9</v>
      </c>
      <c r="MB50" s="386">
        <f t="shared" si="258"/>
        <v>36836380.239940949</v>
      </c>
      <c r="MC50" s="394">
        <f t="shared" si="413"/>
        <v>5</v>
      </c>
      <c r="MD50" s="386">
        <f t="shared" si="259"/>
        <v>20464655.688856084</v>
      </c>
      <c r="ME50" s="394">
        <f t="shared" si="414"/>
        <v>4</v>
      </c>
      <c r="MF50" s="386">
        <f t="shared" si="259"/>
        <v>16371724.551084867</v>
      </c>
      <c r="MG50" s="394">
        <f t="shared" si="415"/>
        <v>8</v>
      </c>
      <c r="MH50" s="386">
        <f t="shared" si="260"/>
        <v>32743449.102169733</v>
      </c>
      <c r="MI50" s="394">
        <f t="shared" si="416"/>
        <v>6</v>
      </c>
      <c r="MJ50" s="386">
        <f t="shared" si="261"/>
        <v>24557586.826627299</v>
      </c>
      <c r="MK50" s="394">
        <f t="shared" si="417"/>
        <v>5</v>
      </c>
      <c r="ML50" s="386">
        <f t="shared" si="262"/>
        <v>20464655.688856084</v>
      </c>
      <c r="MM50" s="394">
        <f t="shared" si="418"/>
        <v>11</v>
      </c>
      <c r="MN50" s="386">
        <f t="shared" si="263"/>
        <v>45022242.515483387</v>
      </c>
      <c r="MO50" s="394">
        <f t="shared" si="419"/>
        <v>7</v>
      </c>
      <c r="MP50" s="386">
        <f t="shared" si="264"/>
        <v>28650517.964398518</v>
      </c>
      <c r="MQ50" s="394">
        <f t="shared" si="420"/>
        <v>4</v>
      </c>
      <c r="MR50" s="386">
        <f t="shared" si="265"/>
        <v>16371724.551084867</v>
      </c>
      <c r="MS50" s="394">
        <f t="shared" si="421"/>
        <v>9</v>
      </c>
      <c r="MT50" s="386">
        <f t="shared" si="266"/>
        <v>36836380.239940949</v>
      </c>
      <c r="MU50" s="394">
        <f t="shared" si="422"/>
        <v>8</v>
      </c>
      <c r="MV50" s="386">
        <f t="shared" si="267"/>
        <v>32743449.102169733</v>
      </c>
      <c r="MW50" s="394">
        <f t="shared" si="423"/>
        <v>5</v>
      </c>
      <c r="MX50" s="386">
        <f t="shared" si="268"/>
        <v>20464655.688856084</v>
      </c>
      <c r="MY50" s="164">
        <f t="shared" si="269"/>
        <v>81</v>
      </c>
      <c r="MZ50" s="166">
        <f t="shared" si="270"/>
        <v>331527422.15946853</v>
      </c>
    </row>
    <row r="51" spans="1:364" s="126" customFormat="1" ht="39.6" x14ac:dyDescent="0.3">
      <c r="A51" s="531"/>
      <c r="B51" s="220">
        <v>3.11</v>
      </c>
      <c r="C51" s="221" t="s">
        <v>113</v>
      </c>
      <c r="D51" s="222" t="s">
        <v>28</v>
      </c>
      <c r="E51" s="35">
        <v>35</v>
      </c>
      <c r="F51" s="351">
        <v>70644.95220588235</v>
      </c>
      <c r="G51" s="351">
        <f t="shared" si="81"/>
        <v>73589.164690196078</v>
      </c>
      <c r="I51" s="223"/>
      <c r="J51" s="224"/>
      <c r="K51" s="225">
        <f t="shared" si="82"/>
        <v>0</v>
      </c>
      <c r="L51" s="184"/>
      <c r="M51" s="287">
        <f t="shared" si="445"/>
        <v>0</v>
      </c>
      <c r="N51" s="184">
        <f t="shared" ref="N51:AB85" si="450">+$I51*$J51</f>
        <v>0</v>
      </c>
      <c r="O51" s="287">
        <f t="shared" si="446"/>
        <v>0</v>
      </c>
      <c r="P51" s="184">
        <f t="shared" ref="P51:P84" si="451">+$I51*$J51</f>
        <v>0</v>
      </c>
      <c r="Q51" s="287">
        <f t="shared" si="446"/>
        <v>0</v>
      </c>
      <c r="R51" s="184">
        <f t="shared" ref="R51:R84" si="452">+$I51*$J51</f>
        <v>0</v>
      </c>
      <c r="S51" s="287">
        <f t="shared" si="86"/>
        <v>0</v>
      </c>
      <c r="T51" s="184">
        <f t="shared" ref="T51:T84" si="453">+$I51*$J51</f>
        <v>0</v>
      </c>
      <c r="U51" s="287">
        <f t="shared" si="87"/>
        <v>0</v>
      </c>
      <c r="V51" s="184">
        <f t="shared" si="409"/>
        <v>0</v>
      </c>
      <c r="W51" s="287">
        <f t="shared" si="88"/>
        <v>0</v>
      </c>
      <c r="X51" s="184">
        <f t="shared" si="305"/>
        <v>0</v>
      </c>
      <c r="Y51" s="287">
        <f t="shared" si="89"/>
        <v>0</v>
      </c>
      <c r="Z51" s="184">
        <f t="shared" ref="Z51:Z84" si="454">+$I51*$J51</f>
        <v>0</v>
      </c>
      <c r="AA51" s="287">
        <f t="shared" si="90"/>
        <v>0</v>
      </c>
      <c r="AB51" s="184">
        <f t="shared" si="306"/>
        <v>0</v>
      </c>
      <c r="AC51" s="287">
        <f t="shared" si="91"/>
        <v>0</v>
      </c>
      <c r="AD51" s="184">
        <f t="shared" ref="AD51:AF85" si="455">+$I51*$J51</f>
        <v>0</v>
      </c>
      <c r="AE51" s="287">
        <f t="shared" si="92"/>
        <v>0</v>
      </c>
      <c r="AF51" s="184">
        <f t="shared" si="307"/>
        <v>0</v>
      </c>
      <c r="AG51" s="287">
        <f t="shared" si="308"/>
        <v>0</v>
      </c>
      <c r="AH51" s="184">
        <f t="shared" ref="AH51:AH110" si="456">+$I51*$J51</f>
        <v>0</v>
      </c>
      <c r="AI51" s="297">
        <f t="shared" si="309"/>
        <v>0</v>
      </c>
      <c r="AJ51" s="227">
        <f t="shared" si="94"/>
        <v>0</v>
      </c>
      <c r="AK51" s="310">
        <f t="shared" si="95"/>
        <v>0</v>
      </c>
      <c r="AM51" s="223"/>
      <c r="AN51" s="224"/>
      <c r="AO51" s="225"/>
      <c r="AP51" s="184">
        <f t="shared" si="328"/>
        <v>0</v>
      </c>
      <c r="AQ51" s="287">
        <f t="shared" si="96"/>
        <v>0</v>
      </c>
      <c r="AR51" s="319">
        <f t="shared" si="329"/>
        <v>0</v>
      </c>
      <c r="AS51" s="287">
        <f t="shared" si="96"/>
        <v>0</v>
      </c>
      <c r="AT51" s="319">
        <f t="shared" si="330"/>
        <v>0</v>
      </c>
      <c r="AU51" s="287">
        <f t="shared" si="96"/>
        <v>0</v>
      </c>
      <c r="AV51" s="319">
        <f t="shared" si="331"/>
        <v>0</v>
      </c>
      <c r="AW51" s="287">
        <f t="shared" si="98"/>
        <v>0</v>
      </c>
      <c r="AX51" s="319">
        <f t="shared" si="5"/>
        <v>0</v>
      </c>
      <c r="AY51" s="287">
        <f t="shared" si="99"/>
        <v>0</v>
      </c>
      <c r="AZ51" s="319">
        <f t="shared" si="332"/>
        <v>0</v>
      </c>
      <c r="BA51" s="287">
        <f t="shared" si="100"/>
        <v>0</v>
      </c>
      <c r="BB51" s="319">
        <f t="shared" si="7"/>
        <v>0</v>
      </c>
      <c r="BC51" s="287">
        <f t="shared" si="101"/>
        <v>0</v>
      </c>
      <c r="BD51" s="319">
        <f t="shared" si="333"/>
        <v>0</v>
      </c>
      <c r="BE51" s="287">
        <f t="shared" si="102"/>
        <v>0</v>
      </c>
      <c r="BF51" s="319">
        <f t="shared" si="9"/>
        <v>0</v>
      </c>
      <c r="BG51" s="287">
        <f t="shared" si="103"/>
        <v>0</v>
      </c>
      <c r="BH51" s="319">
        <f t="shared" si="334"/>
        <v>0</v>
      </c>
      <c r="BI51" s="287">
        <f t="shared" si="425"/>
        <v>0</v>
      </c>
      <c r="BJ51" s="319">
        <f t="shared" si="335"/>
        <v>0</v>
      </c>
      <c r="BK51" s="287">
        <f t="shared" si="425"/>
        <v>0</v>
      </c>
      <c r="BL51" s="184"/>
      <c r="BM51" s="297">
        <f t="shared" si="105"/>
        <v>0</v>
      </c>
      <c r="BN51" s="227">
        <f t="shared" si="106"/>
        <v>0</v>
      </c>
      <c r="BO51" s="310">
        <f t="shared" si="410"/>
        <v>0</v>
      </c>
      <c r="BQ51" s="223"/>
      <c r="BR51" s="224"/>
      <c r="BS51" s="225"/>
      <c r="BT51" s="152">
        <f t="shared" si="280"/>
        <v>0</v>
      </c>
      <c r="BU51" s="334">
        <f t="shared" si="107"/>
        <v>0</v>
      </c>
      <c r="BV51" s="184">
        <f t="shared" ref="BV51:CH69" si="457">+$BQ51*$BR51</f>
        <v>0</v>
      </c>
      <c r="BW51" s="185">
        <f t="shared" si="108"/>
        <v>0</v>
      </c>
      <c r="BX51" s="184">
        <f t="shared" ref="BX51:BX68" si="458">+$BQ51*$BR51</f>
        <v>0</v>
      </c>
      <c r="BY51" s="185">
        <f t="shared" si="109"/>
        <v>0</v>
      </c>
      <c r="BZ51" s="184">
        <f t="shared" ref="BZ51:BZ68" si="459">+$BQ51*$BR51</f>
        <v>0</v>
      </c>
      <c r="CA51" s="185">
        <f t="shared" si="110"/>
        <v>0</v>
      </c>
      <c r="CB51" s="184">
        <f t="shared" ref="CB51:CB68" si="460">+$BQ51*$BR51</f>
        <v>0</v>
      </c>
      <c r="CC51" s="185">
        <f t="shared" si="111"/>
        <v>0</v>
      </c>
      <c r="CD51" s="184">
        <f t="shared" ref="CD51:CD68" si="461">+$BQ51*$BR51</f>
        <v>0</v>
      </c>
      <c r="CE51" s="185">
        <f t="shared" si="112"/>
        <v>0</v>
      </c>
      <c r="CF51" s="184">
        <f t="shared" si="113"/>
        <v>0</v>
      </c>
      <c r="CG51" s="185">
        <f t="shared" si="114"/>
        <v>0</v>
      </c>
      <c r="CH51" s="184">
        <f t="shared" ref="CH51:CH68" si="462">+$BQ51*$BR51</f>
        <v>0</v>
      </c>
      <c r="CI51" s="185">
        <f t="shared" si="115"/>
        <v>0</v>
      </c>
      <c r="CJ51" s="184">
        <f t="shared" si="116"/>
        <v>0</v>
      </c>
      <c r="CK51" s="185">
        <f t="shared" si="117"/>
        <v>0</v>
      </c>
      <c r="CL51" s="184">
        <f t="shared" ref="CL51:CL110" si="463">+$BQ51*$BR51</f>
        <v>0</v>
      </c>
      <c r="CM51" s="185">
        <f t="shared" si="118"/>
        <v>0</v>
      </c>
      <c r="CN51" s="184">
        <f t="shared" si="119"/>
        <v>0</v>
      </c>
      <c r="CO51" s="185">
        <f t="shared" si="120"/>
        <v>0</v>
      </c>
      <c r="CP51" s="184">
        <f t="shared" ref="CP51:CP110" si="464">+$BQ51*$BR51</f>
        <v>0</v>
      </c>
      <c r="CQ51" s="226"/>
      <c r="CR51" s="227">
        <f t="shared" si="121"/>
        <v>0</v>
      </c>
      <c r="CS51" s="181">
        <f t="shared" si="448"/>
        <v>0</v>
      </c>
      <c r="CU51" s="223"/>
      <c r="CV51" s="224"/>
      <c r="CW51" s="225"/>
      <c r="CX51" s="184">
        <f t="shared" si="122"/>
        <v>0</v>
      </c>
      <c r="CY51" s="185">
        <f t="shared" si="123"/>
        <v>0</v>
      </c>
      <c r="CZ51" s="184">
        <f t="shared" ref="CZ51:DL70" si="465">+$CU51*$CV51</f>
        <v>0</v>
      </c>
      <c r="DA51" s="287">
        <f t="shared" si="123"/>
        <v>0</v>
      </c>
      <c r="DB51" s="184">
        <f t="shared" ref="DB51:DB69" si="466">+$CU51*$CV51</f>
        <v>0</v>
      </c>
      <c r="DC51" s="287">
        <f t="shared" si="124"/>
        <v>0</v>
      </c>
      <c r="DD51" s="184">
        <f t="shared" ref="DD51:DD69" si="467">+$CU51*$CV51</f>
        <v>0</v>
      </c>
      <c r="DE51" s="287">
        <f t="shared" si="125"/>
        <v>0</v>
      </c>
      <c r="DF51" s="184">
        <f t="shared" ref="DF51:DF69" si="468">+$CU51*$CV51</f>
        <v>0</v>
      </c>
      <c r="DG51" s="287">
        <f t="shared" si="126"/>
        <v>0</v>
      </c>
      <c r="DH51" s="184">
        <f t="shared" ref="DH51:DH69" si="469">+$CU51*$CV51</f>
        <v>0</v>
      </c>
      <c r="DI51" s="287">
        <f t="shared" si="127"/>
        <v>0</v>
      </c>
      <c r="DJ51" s="184">
        <f t="shared" si="128"/>
        <v>0</v>
      </c>
      <c r="DK51" s="287">
        <f t="shared" si="129"/>
        <v>0</v>
      </c>
      <c r="DL51" s="184">
        <f t="shared" ref="DL51:DL69" si="470">+$CU51*$CV51</f>
        <v>0</v>
      </c>
      <c r="DM51" s="287">
        <f t="shared" si="130"/>
        <v>0</v>
      </c>
      <c r="DN51" s="184">
        <f t="shared" si="131"/>
        <v>0</v>
      </c>
      <c r="DO51" s="287">
        <f t="shared" si="132"/>
        <v>0</v>
      </c>
      <c r="DP51" s="184">
        <f t="shared" ref="DP51:DP110" si="471">+$CU51*$CV51</f>
        <v>0</v>
      </c>
      <c r="DQ51" s="287">
        <f t="shared" si="133"/>
        <v>0</v>
      </c>
      <c r="DR51" s="184">
        <f t="shared" si="134"/>
        <v>0</v>
      </c>
      <c r="DS51" s="287">
        <f t="shared" si="135"/>
        <v>0</v>
      </c>
      <c r="DT51" s="184">
        <f t="shared" ref="DT51:DT110" si="472">+$CU51*$CV51</f>
        <v>0</v>
      </c>
      <c r="DU51" s="287">
        <f t="shared" si="136"/>
        <v>0</v>
      </c>
      <c r="DV51" s="227">
        <f t="shared" si="137"/>
        <v>0</v>
      </c>
      <c r="DW51" s="181">
        <f t="shared" si="449"/>
        <v>0</v>
      </c>
      <c r="DY51" s="223"/>
      <c r="DZ51" s="224"/>
      <c r="EA51" s="225"/>
      <c r="EB51" s="184">
        <f t="shared" si="384"/>
        <v>0</v>
      </c>
      <c r="EC51" s="185">
        <f t="shared" si="139"/>
        <v>0</v>
      </c>
      <c r="ED51" s="319">
        <f t="shared" si="385"/>
        <v>0</v>
      </c>
      <c r="EE51" s="185">
        <f t="shared" si="139"/>
        <v>0</v>
      </c>
      <c r="EF51" s="184">
        <f t="shared" si="386"/>
        <v>0</v>
      </c>
      <c r="EG51" s="185">
        <f t="shared" si="426"/>
        <v>0</v>
      </c>
      <c r="EH51" s="184">
        <f t="shared" si="387"/>
        <v>0</v>
      </c>
      <c r="EI51" s="185">
        <f t="shared" si="426"/>
        <v>0</v>
      </c>
      <c r="EJ51" s="184">
        <f t="shared" si="388"/>
        <v>0</v>
      </c>
      <c r="EK51" s="185">
        <f t="shared" si="143"/>
        <v>0</v>
      </c>
      <c r="EL51" s="184">
        <f t="shared" si="389"/>
        <v>0</v>
      </c>
      <c r="EM51" s="185">
        <f t="shared" si="144"/>
        <v>0</v>
      </c>
      <c r="EN51" s="184">
        <f t="shared" si="290"/>
        <v>0</v>
      </c>
      <c r="EO51" s="185">
        <f t="shared" si="145"/>
        <v>0</v>
      </c>
      <c r="EP51" s="184">
        <f t="shared" si="390"/>
        <v>0</v>
      </c>
      <c r="EQ51" s="185">
        <f t="shared" si="146"/>
        <v>0</v>
      </c>
      <c r="ER51" s="184">
        <f t="shared" si="292"/>
        <v>0</v>
      </c>
      <c r="ES51" s="185">
        <f t="shared" si="147"/>
        <v>0</v>
      </c>
      <c r="ET51" s="184">
        <f t="shared" si="391"/>
        <v>0</v>
      </c>
      <c r="EU51" s="185">
        <f t="shared" si="148"/>
        <v>0</v>
      </c>
      <c r="EV51" s="184">
        <f t="shared" si="294"/>
        <v>0</v>
      </c>
      <c r="EW51" s="185">
        <f t="shared" si="149"/>
        <v>0</v>
      </c>
      <c r="EX51" s="184">
        <f t="shared" si="392"/>
        <v>0</v>
      </c>
      <c r="EY51" s="185">
        <f t="shared" si="150"/>
        <v>0</v>
      </c>
      <c r="EZ51" s="227">
        <f t="shared" si="151"/>
        <v>0</v>
      </c>
      <c r="FA51" s="181"/>
      <c r="FC51" s="223">
        <v>35</v>
      </c>
      <c r="FD51" s="224">
        <v>1</v>
      </c>
      <c r="FE51" s="225">
        <f>+FD51*FC51*G51</f>
        <v>2575620.7641568626</v>
      </c>
      <c r="FF51" s="184">
        <f t="shared" si="153"/>
        <v>35</v>
      </c>
      <c r="FG51" s="185">
        <f t="shared" si="154"/>
        <v>2575620.7641568626</v>
      </c>
      <c r="FH51" s="369">
        <f t="shared" ref="FH51:FT70" si="473">+$FC51*$FD51</f>
        <v>35</v>
      </c>
      <c r="FI51" s="185">
        <f t="shared" si="155"/>
        <v>2575620.7641568626</v>
      </c>
      <c r="FJ51" s="369">
        <f t="shared" ref="FJ51:FJ69" si="474">+$FC51*$FD51</f>
        <v>35</v>
      </c>
      <c r="FK51" s="185">
        <f t="shared" si="155"/>
        <v>2575620.7641568626</v>
      </c>
      <c r="FL51" s="369">
        <f t="shared" ref="FL51:FL69" si="475">+$FC51*$FD51</f>
        <v>35</v>
      </c>
      <c r="FM51" s="185">
        <f t="shared" si="156"/>
        <v>2575620.7641568626</v>
      </c>
      <c r="FN51" s="369">
        <f t="shared" ref="FN51:FN69" si="476">+$FC51*$FD51</f>
        <v>35</v>
      </c>
      <c r="FO51" s="185">
        <f t="shared" si="157"/>
        <v>2575620.7641568626</v>
      </c>
      <c r="FP51" s="369">
        <f t="shared" ref="FP51:FP69" si="477">+$FC51*$FD51</f>
        <v>35</v>
      </c>
      <c r="FQ51" s="185">
        <f t="shared" si="158"/>
        <v>2575620.7641568626</v>
      </c>
      <c r="FR51" s="369">
        <f t="shared" si="159"/>
        <v>35</v>
      </c>
      <c r="FS51" s="185">
        <f t="shared" si="160"/>
        <v>2575620.7641568626</v>
      </c>
      <c r="FT51" s="369">
        <f t="shared" ref="FT51:FT69" si="478">+$FC51*$FD51</f>
        <v>35</v>
      </c>
      <c r="FU51" s="185">
        <f t="shared" si="161"/>
        <v>2575620.7641568626</v>
      </c>
      <c r="FV51" s="369">
        <f t="shared" si="162"/>
        <v>35</v>
      </c>
      <c r="FW51" s="185">
        <f t="shared" si="163"/>
        <v>2575620.7641568626</v>
      </c>
      <c r="FX51" s="369">
        <f t="shared" ref="FX51:FX110" si="479">+$FC51*$FD51</f>
        <v>35</v>
      </c>
      <c r="FY51" s="185">
        <f t="shared" si="164"/>
        <v>2575620.7641568626</v>
      </c>
      <c r="FZ51" s="369">
        <f t="shared" si="165"/>
        <v>35</v>
      </c>
      <c r="GA51" s="185">
        <f t="shared" si="166"/>
        <v>2575620.7641568626</v>
      </c>
      <c r="GB51" s="369">
        <f t="shared" ref="GB51:GB110" si="480">+$FC51*$FD51</f>
        <v>35</v>
      </c>
      <c r="GC51" s="185">
        <f t="shared" si="167"/>
        <v>2575620.7641568626</v>
      </c>
      <c r="GD51" s="215">
        <f t="shared" si="168"/>
        <v>420</v>
      </c>
      <c r="GE51" s="159">
        <f t="shared" si="411"/>
        <v>30907449.169882353</v>
      </c>
      <c r="GG51" s="223"/>
      <c r="GH51" s="224"/>
      <c r="GI51" s="225"/>
      <c r="GJ51" s="184">
        <f t="shared" si="169"/>
        <v>0</v>
      </c>
      <c r="GK51" s="185">
        <f t="shared" si="170"/>
        <v>0</v>
      </c>
      <c r="GL51" s="184">
        <f t="shared" si="169"/>
        <v>0</v>
      </c>
      <c r="GM51" s="185">
        <f t="shared" si="170"/>
        <v>0</v>
      </c>
      <c r="GN51" s="184">
        <f t="shared" si="169"/>
        <v>0</v>
      </c>
      <c r="GO51" s="185">
        <f t="shared" si="171"/>
        <v>0</v>
      </c>
      <c r="GP51" s="184">
        <f t="shared" si="169"/>
        <v>0</v>
      </c>
      <c r="GQ51" s="185">
        <f t="shared" si="172"/>
        <v>0</v>
      </c>
      <c r="GR51" s="184">
        <f t="shared" si="173"/>
        <v>0</v>
      </c>
      <c r="GS51" s="185">
        <f t="shared" si="174"/>
        <v>0</v>
      </c>
      <c r="GT51" s="184">
        <f t="shared" si="175"/>
        <v>0</v>
      </c>
      <c r="GU51" s="185">
        <f t="shared" si="176"/>
        <v>0</v>
      </c>
      <c r="GV51" s="184">
        <f t="shared" si="177"/>
        <v>0</v>
      </c>
      <c r="GW51" s="185">
        <f t="shared" si="178"/>
        <v>0</v>
      </c>
      <c r="GX51" s="184">
        <f t="shared" si="179"/>
        <v>0</v>
      </c>
      <c r="GY51" s="185">
        <f t="shared" si="180"/>
        <v>0</v>
      </c>
      <c r="GZ51" s="184">
        <f t="shared" si="181"/>
        <v>0</v>
      </c>
      <c r="HA51" s="185">
        <f t="shared" si="182"/>
        <v>0</v>
      </c>
      <c r="HB51" s="184">
        <f t="shared" si="183"/>
        <v>0</v>
      </c>
      <c r="HC51" s="185">
        <f t="shared" si="184"/>
        <v>0</v>
      </c>
      <c r="HD51" s="184">
        <f t="shared" si="185"/>
        <v>0</v>
      </c>
      <c r="HE51" s="185">
        <f t="shared" si="186"/>
        <v>0</v>
      </c>
      <c r="HF51" s="184">
        <f t="shared" si="187"/>
        <v>0</v>
      </c>
      <c r="HG51" s="185">
        <f t="shared" si="188"/>
        <v>0</v>
      </c>
      <c r="HH51" s="227">
        <f t="shared" si="189"/>
        <v>0</v>
      </c>
      <c r="HI51" s="181"/>
      <c r="HK51" s="223">
        <v>0</v>
      </c>
      <c r="HL51" s="224"/>
      <c r="HM51" s="225"/>
      <c r="HN51" s="228">
        <f t="shared" si="190"/>
        <v>0</v>
      </c>
      <c r="HO51" s="185"/>
      <c r="HP51" s="184">
        <f t="shared" si="192"/>
        <v>0</v>
      </c>
      <c r="HQ51" s="185">
        <f t="shared" si="193"/>
        <v>0</v>
      </c>
      <c r="HR51" s="184">
        <f t="shared" si="192"/>
        <v>0</v>
      </c>
      <c r="HS51" s="185">
        <f t="shared" si="193"/>
        <v>0</v>
      </c>
      <c r="HT51" s="184">
        <f t="shared" si="192"/>
        <v>0</v>
      </c>
      <c r="HU51" s="185">
        <f t="shared" si="194"/>
        <v>0</v>
      </c>
      <c r="HV51" s="184">
        <f t="shared" si="192"/>
        <v>0</v>
      </c>
      <c r="HW51" s="185">
        <f t="shared" si="195"/>
        <v>0</v>
      </c>
      <c r="HX51" s="184">
        <f t="shared" si="196"/>
        <v>0</v>
      </c>
      <c r="HY51" s="185">
        <f t="shared" si="197"/>
        <v>0</v>
      </c>
      <c r="HZ51" s="184">
        <f t="shared" si="198"/>
        <v>0</v>
      </c>
      <c r="IA51" s="185">
        <f t="shared" si="199"/>
        <v>0</v>
      </c>
      <c r="IB51" s="184">
        <f t="shared" si="200"/>
        <v>0</v>
      </c>
      <c r="IC51" s="185">
        <f t="shared" si="201"/>
        <v>0</v>
      </c>
      <c r="ID51" s="184">
        <f t="shared" si="202"/>
        <v>0</v>
      </c>
      <c r="IE51" s="185">
        <f t="shared" si="203"/>
        <v>0</v>
      </c>
      <c r="IF51" s="184">
        <f t="shared" si="204"/>
        <v>0</v>
      </c>
      <c r="IG51" s="185">
        <f t="shared" si="205"/>
        <v>0</v>
      </c>
      <c r="IH51" s="184">
        <f t="shared" si="206"/>
        <v>0</v>
      </c>
      <c r="II51" s="185">
        <f t="shared" si="207"/>
        <v>0</v>
      </c>
      <c r="IJ51" s="184">
        <f t="shared" si="208"/>
        <v>0</v>
      </c>
      <c r="IK51" s="185">
        <f t="shared" si="209"/>
        <v>0</v>
      </c>
      <c r="IL51" s="227">
        <f t="shared" si="210"/>
        <v>0</v>
      </c>
      <c r="IM51" s="181">
        <f t="shared" si="211"/>
        <v>0</v>
      </c>
      <c r="IO51" s="223"/>
      <c r="IP51" s="224"/>
      <c r="IQ51" s="225"/>
      <c r="IR51" s="184">
        <f t="shared" si="212"/>
        <v>0</v>
      </c>
      <c r="IS51" s="185">
        <f t="shared" si="213"/>
        <v>0</v>
      </c>
      <c r="IT51" s="184">
        <f t="shared" si="401"/>
        <v>0</v>
      </c>
      <c r="IU51" s="287">
        <f t="shared" si="214"/>
        <v>0</v>
      </c>
      <c r="IV51" s="184">
        <f t="shared" si="402"/>
        <v>0</v>
      </c>
      <c r="IW51" s="287">
        <f t="shared" si="214"/>
        <v>0</v>
      </c>
      <c r="IX51" s="184">
        <f t="shared" si="403"/>
        <v>0</v>
      </c>
      <c r="IY51" s="287">
        <f t="shared" si="215"/>
        <v>0</v>
      </c>
      <c r="IZ51" s="184">
        <f t="shared" si="404"/>
        <v>0</v>
      </c>
      <c r="JA51" s="287">
        <f t="shared" si="216"/>
        <v>0</v>
      </c>
      <c r="JB51" s="184">
        <f t="shared" si="405"/>
        <v>0</v>
      </c>
      <c r="JC51" s="287">
        <f t="shared" si="217"/>
        <v>0</v>
      </c>
      <c r="JD51" s="184">
        <f t="shared" si="218"/>
        <v>0</v>
      </c>
      <c r="JE51" s="287">
        <f t="shared" si="219"/>
        <v>0</v>
      </c>
      <c r="JF51" s="184">
        <f t="shared" si="406"/>
        <v>0</v>
      </c>
      <c r="JG51" s="287">
        <f t="shared" si="220"/>
        <v>0</v>
      </c>
      <c r="JH51" s="184">
        <f t="shared" si="221"/>
        <v>0</v>
      </c>
      <c r="JI51" s="287">
        <f t="shared" si="222"/>
        <v>0</v>
      </c>
      <c r="JJ51" s="184">
        <f t="shared" si="407"/>
        <v>0</v>
      </c>
      <c r="JK51" s="287">
        <f t="shared" si="223"/>
        <v>0</v>
      </c>
      <c r="JL51" s="184">
        <f t="shared" si="224"/>
        <v>0</v>
      </c>
      <c r="JM51" s="287">
        <f t="shared" si="225"/>
        <v>0</v>
      </c>
      <c r="JN51" s="184">
        <f t="shared" si="408"/>
        <v>0</v>
      </c>
      <c r="JO51" s="287">
        <f t="shared" si="226"/>
        <v>0</v>
      </c>
      <c r="JP51" s="227">
        <f t="shared" si="227"/>
        <v>0</v>
      </c>
      <c r="JQ51" s="181">
        <f t="shared" si="228"/>
        <v>0</v>
      </c>
      <c r="JS51" s="223"/>
      <c r="JT51" s="224"/>
      <c r="JU51" s="225"/>
      <c r="JV51" s="184">
        <f t="shared" si="229"/>
        <v>0</v>
      </c>
      <c r="JW51" s="185">
        <f t="shared" si="230"/>
        <v>0</v>
      </c>
      <c r="JX51" s="369"/>
      <c r="JY51" s="185">
        <f t="shared" si="231"/>
        <v>0</v>
      </c>
      <c r="JZ51" s="369"/>
      <c r="KA51" s="185">
        <f t="shared" si="231"/>
        <v>0</v>
      </c>
      <c r="KB51" s="369"/>
      <c r="KC51" s="185">
        <f t="shared" si="232"/>
        <v>0</v>
      </c>
      <c r="KD51" s="369"/>
      <c r="KE51" s="185">
        <f t="shared" si="233"/>
        <v>0</v>
      </c>
      <c r="KF51" s="369"/>
      <c r="KG51" s="185">
        <f t="shared" si="234"/>
        <v>0</v>
      </c>
      <c r="KH51" s="369"/>
      <c r="KI51" s="185">
        <f t="shared" si="236"/>
        <v>0</v>
      </c>
      <c r="KJ51" s="369"/>
      <c r="KK51" s="185">
        <f t="shared" si="237"/>
        <v>0</v>
      </c>
      <c r="KL51" s="369"/>
      <c r="KM51" s="185">
        <f t="shared" si="239"/>
        <v>0</v>
      </c>
      <c r="KN51" s="369"/>
      <c r="KO51" s="185">
        <f t="shared" si="240"/>
        <v>0</v>
      </c>
      <c r="KP51" s="369"/>
      <c r="KQ51" s="185">
        <f t="shared" si="242"/>
        <v>0</v>
      </c>
      <c r="KR51" s="369"/>
      <c r="KS51" s="375">
        <f t="shared" si="243"/>
        <v>0</v>
      </c>
      <c r="KT51" s="227">
        <f t="shared" si="244"/>
        <v>0</v>
      </c>
      <c r="KU51" s="181"/>
      <c r="KW51" s="223"/>
      <c r="KX51" s="224"/>
      <c r="KY51" s="225"/>
      <c r="KZ51" s="184">
        <f t="shared" si="271"/>
        <v>0</v>
      </c>
      <c r="LA51" s="185"/>
      <c r="LB51" s="184">
        <f t="shared" si="272"/>
        <v>0</v>
      </c>
      <c r="LC51" s="185">
        <f t="shared" si="246"/>
        <v>0</v>
      </c>
      <c r="LD51" s="184">
        <f t="shared" si="272"/>
        <v>0</v>
      </c>
      <c r="LE51" s="185">
        <f t="shared" si="246"/>
        <v>0</v>
      </c>
      <c r="LF51" s="184">
        <f t="shared" si="272"/>
        <v>0</v>
      </c>
      <c r="LG51" s="185">
        <f t="shared" si="247"/>
        <v>0</v>
      </c>
      <c r="LH51" s="184">
        <f t="shared" si="272"/>
        <v>0</v>
      </c>
      <c r="LI51" s="185">
        <f t="shared" si="248"/>
        <v>0</v>
      </c>
      <c r="LJ51" s="184">
        <f t="shared" si="273"/>
        <v>0</v>
      </c>
      <c r="LK51" s="185">
        <f t="shared" si="249"/>
        <v>0</v>
      </c>
      <c r="LL51" s="184">
        <f t="shared" si="274"/>
        <v>0</v>
      </c>
      <c r="LM51" s="185">
        <f t="shared" si="250"/>
        <v>0</v>
      </c>
      <c r="LN51" s="184">
        <f t="shared" si="275"/>
        <v>0</v>
      </c>
      <c r="LO51" s="185">
        <f t="shared" si="251"/>
        <v>0</v>
      </c>
      <c r="LP51" s="184">
        <f t="shared" si="276"/>
        <v>0</v>
      </c>
      <c r="LQ51" s="185">
        <f t="shared" si="252"/>
        <v>0</v>
      </c>
      <c r="LR51" s="184">
        <f t="shared" si="277"/>
        <v>0</v>
      </c>
      <c r="LS51" s="185">
        <f t="shared" si="253"/>
        <v>0</v>
      </c>
      <c r="LT51" s="184">
        <f t="shared" si="278"/>
        <v>0</v>
      </c>
      <c r="LU51" s="185">
        <f t="shared" si="254"/>
        <v>0</v>
      </c>
      <c r="LV51" s="184">
        <f t="shared" si="279"/>
        <v>0</v>
      </c>
      <c r="LW51" s="185">
        <f t="shared" si="255"/>
        <v>0</v>
      </c>
      <c r="LX51" s="227">
        <f t="shared" si="256"/>
        <v>0</v>
      </c>
      <c r="LY51" s="181">
        <f t="shared" si="257"/>
        <v>0</v>
      </c>
      <c r="MA51" s="164">
        <f t="shared" si="412"/>
        <v>35</v>
      </c>
      <c r="MB51" s="386">
        <f t="shared" si="258"/>
        <v>2575620.7641568626</v>
      </c>
      <c r="MC51" s="394">
        <f t="shared" si="413"/>
        <v>35</v>
      </c>
      <c r="MD51" s="386">
        <f t="shared" si="259"/>
        <v>2575620.7641568626</v>
      </c>
      <c r="ME51" s="394">
        <f t="shared" si="414"/>
        <v>35</v>
      </c>
      <c r="MF51" s="386">
        <f t="shared" si="259"/>
        <v>2575620.7641568626</v>
      </c>
      <c r="MG51" s="394">
        <f t="shared" si="415"/>
        <v>35</v>
      </c>
      <c r="MH51" s="386">
        <f t="shared" si="260"/>
        <v>2575620.7641568626</v>
      </c>
      <c r="MI51" s="394">
        <f t="shared" si="416"/>
        <v>35</v>
      </c>
      <c r="MJ51" s="386">
        <f t="shared" si="261"/>
        <v>2575620.7641568626</v>
      </c>
      <c r="MK51" s="394">
        <f t="shared" si="417"/>
        <v>35</v>
      </c>
      <c r="ML51" s="386">
        <f t="shared" si="262"/>
        <v>2575620.7641568626</v>
      </c>
      <c r="MM51" s="394">
        <f t="shared" si="418"/>
        <v>35</v>
      </c>
      <c r="MN51" s="386">
        <f t="shared" si="263"/>
        <v>2575620.7641568626</v>
      </c>
      <c r="MO51" s="394">
        <f t="shared" si="419"/>
        <v>35</v>
      </c>
      <c r="MP51" s="386">
        <f t="shared" si="264"/>
        <v>2575620.7641568626</v>
      </c>
      <c r="MQ51" s="394">
        <f t="shared" si="420"/>
        <v>35</v>
      </c>
      <c r="MR51" s="386">
        <f t="shared" si="265"/>
        <v>2575620.7641568626</v>
      </c>
      <c r="MS51" s="394">
        <f t="shared" si="421"/>
        <v>35</v>
      </c>
      <c r="MT51" s="386">
        <f t="shared" si="266"/>
        <v>2575620.7641568626</v>
      </c>
      <c r="MU51" s="394">
        <f t="shared" si="422"/>
        <v>35</v>
      </c>
      <c r="MV51" s="386">
        <f t="shared" si="267"/>
        <v>2575620.7641568626</v>
      </c>
      <c r="MW51" s="394">
        <f t="shared" si="423"/>
        <v>35</v>
      </c>
      <c r="MX51" s="386">
        <f t="shared" si="268"/>
        <v>2575620.7641568626</v>
      </c>
      <c r="MY51" s="164">
        <f t="shared" si="269"/>
        <v>420</v>
      </c>
      <c r="MZ51" s="166">
        <f t="shared" si="270"/>
        <v>30907449.169882353</v>
      </c>
    </row>
    <row r="52" spans="1:364" s="126" customFormat="1" ht="79.2" x14ac:dyDescent="0.3">
      <c r="A52" s="531"/>
      <c r="B52" s="220">
        <v>3.12</v>
      </c>
      <c r="C52" s="221" t="s">
        <v>114</v>
      </c>
      <c r="D52" s="222" t="s">
        <v>34</v>
      </c>
      <c r="E52" s="35">
        <v>1</v>
      </c>
      <c r="F52" s="351">
        <v>15559475.806451611</v>
      </c>
      <c r="G52" s="351">
        <f t="shared" si="81"/>
        <v>16207935.483870964</v>
      </c>
      <c r="I52" s="223"/>
      <c r="J52" s="224"/>
      <c r="K52" s="225">
        <f t="shared" si="82"/>
        <v>0</v>
      </c>
      <c r="L52" s="184"/>
      <c r="M52" s="287">
        <f t="shared" si="445"/>
        <v>0</v>
      </c>
      <c r="N52" s="184">
        <f t="shared" si="450"/>
        <v>0</v>
      </c>
      <c r="O52" s="287">
        <f t="shared" si="446"/>
        <v>0</v>
      </c>
      <c r="P52" s="184">
        <f t="shared" si="451"/>
        <v>0</v>
      </c>
      <c r="Q52" s="287">
        <f t="shared" si="446"/>
        <v>0</v>
      </c>
      <c r="R52" s="184">
        <f t="shared" si="452"/>
        <v>0</v>
      </c>
      <c r="S52" s="287">
        <f t="shared" si="86"/>
        <v>0</v>
      </c>
      <c r="T52" s="184">
        <f t="shared" si="453"/>
        <v>0</v>
      </c>
      <c r="U52" s="287">
        <f t="shared" si="87"/>
        <v>0</v>
      </c>
      <c r="V52" s="184">
        <f t="shared" si="409"/>
        <v>0</v>
      </c>
      <c r="W52" s="287">
        <f t="shared" si="88"/>
        <v>0</v>
      </c>
      <c r="X52" s="184">
        <f t="shared" si="305"/>
        <v>0</v>
      </c>
      <c r="Y52" s="287">
        <f t="shared" si="89"/>
        <v>0</v>
      </c>
      <c r="Z52" s="184">
        <f t="shared" si="454"/>
        <v>0</v>
      </c>
      <c r="AA52" s="287">
        <f t="shared" si="90"/>
        <v>0</v>
      </c>
      <c r="AB52" s="184">
        <f t="shared" si="306"/>
        <v>0</v>
      </c>
      <c r="AC52" s="287">
        <f t="shared" si="91"/>
        <v>0</v>
      </c>
      <c r="AD52" s="184">
        <f t="shared" si="455"/>
        <v>0</v>
      </c>
      <c r="AE52" s="287">
        <f t="shared" si="92"/>
        <v>0</v>
      </c>
      <c r="AF52" s="184">
        <f t="shared" si="307"/>
        <v>0</v>
      </c>
      <c r="AG52" s="287">
        <f t="shared" si="308"/>
        <v>0</v>
      </c>
      <c r="AH52" s="184">
        <f t="shared" si="456"/>
        <v>0</v>
      </c>
      <c r="AI52" s="297">
        <f t="shared" si="309"/>
        <v>0</v>
      </c>
      <c r="AJ52" s="227">
        <f t="shared" si="94"/>
        <v>0</v>
      </c>
      <c r="AK52" s="310">
        <f t="shared" si="95"/>
        <v>0</v>
      </c>
      <c r="AM52" s="223">
        <v>0</v>
      </c>
      <c r="AN52" s="224"/>
      <c r="AO52" s="225"/>
      <c r="AP52" s="184">
        <f t="shared" si="328"/>
        <v>0</v>
      </c>
      <c r="AQ52" s="287">
        <f t="shared" si="96"/>
        <v>0</v>
      </c>
      <c r="AR52" s="319">
        <f t="shared" si="329"/>
        <v>0</v>
      </c>
      <c r="AS52" s="287">
        <f t="shared" si="96"/>
        <v>0</v>
      </c>
      <c r="AT52" s="319">
        <f t="shared" si="330"/>
        <v>0</v>
      </c>
      <c r="AU52" s="287">
        <f t="shared" si="96"/>
        <v>0</v>
      </c>
      <c r="AV52" s="319">
        <f t="shared" si="331"/>
        <v>0</v>
      </c>
      <c r="AW52" s="287">
        <f t="shared" si="98"/>
        <v>0</v>
      </c>
      <c r="AX52" s="319">
        <f t="shared" si="5"/>
        <v>0</v>
      </c>
      <c r="AY52" s="287">
        <f t="shared" si="99"/>
        <v>0</v>
      </c>
      <c r="AZ52" s="319">
        <f t="shared" si="332"/>
        <v>0</v>
      </c>
      <c r="BA52" s="287">
        <f t="shared" si="100"/>
        <v>0</v>
      </c>
      <c r="BB52" s="319">
        <f t="shared" si="7"/>
        <v>0</v>
      </c>
      <c r="BC52" s="287">
        <f t="shared" si="101"/>
        <v>0</v>
      </c>
      <c r="BD52" s="319">
        <f t="shared" si="333"/>
        <v>0</v>
      </c>
      <c r="BE52" s="287">
        <f t="shared" si="102"/>
        <v>0</v>
      </c>
      <c r="BF52" s="319">
        <f t="shared" si="9"/>
        <v>0</v>
      </c>
      <c r="BG52" s="287">
        <f t="shared" si="103"/>
        <v>0</v>
      </c>
      <c r="BH52" s="319">
        <f t="shared" si="334"/>
        <v>0</v>
      </c>
      <c r="BI52" s="287">
        <f t="shared" si="425"/>
        <v>0</v>
      </c>
      <c r="BJ52" s="319">
        <f t="shared" si="335"/>
        <v>0</v>
      </c>
      <c r="BK52" s="287">
        <f t="shared" si="425"/>
        <v>0</v>
      </c>
      <c r="BL52" s="184"/>
      <c r="BM52" s="297">
        <f t="shared" si="105"/>
        <v>0</v>
      </c>
      <c r="BN52" s="227">
        <f t="shared" si="106"/>
        <v>0</v>
      </c>
      <c r="BO52" s="310">
        <f t="shared" si="410"/>
        <v>0</v>
      </c>
      <c r="BQ52" s="223"/>
      <c r="BR52" s="224"/>
      <c r="BS52" s="225"/>
      <c r="BT52" s="152">
        <f t="shared" si="280"/>
        <v>0</v>
      </c>
      <c r="BU52" s="334">
        <f t="shared" si="107"/>
        <v>0</v>
      </c>
      <c r="BV52" s="184">
        <f t="shared" si="457"/>
        <v>0</v>
      </c>
      <c r="BW52" s="185">
        <f t="shared" si="108"/>
        <v>0</v>
      </c>
      <c r="BX52" s="184">
        <f t="shared" si="458"/>
        <v>0</v>
      </c>
      <c r="BY52" s="185">
        <f t="shared" si="109"/>
        <v>0</v>
      </c>
      <c r="BZ52" s="184">
        <f t="shared" si="459"/>
        <v>0</v>
      </c>
      <c r="CA52" s="185">
        <f t="shared" si="110"/>
        <v>0</v>
      </c>
      <c r="CB52" s="184">
        <f t="shared" si="460"/>
        <v>0</v>
      </c>
      <c r="CC52" s="185">
        <f t="shared" si="111"/>
        <v>0</v>
      </c>
      <c r="CD52" s="184">
        <f t="shared" si="461"/>
        <v>0</v>
      </c>
      <c r="CE52" s="185">
        <f t="shared" si="112"/>
        <v>0</v>
      </c>
      <c r="CF52" s="184">
        <f t="shared" si="113"/>
        <v>0</v>
      </c>
      <c r="CG52" s="185">
        <f t="shared" si="114"/>
        <v>0</v>
      </c>
      <c r="CH52" s="184">
        <f t="shared" si="462"/>
        <v>0</v>
      </c>
      <c r="CI52" s="185">
        <f t="shared" si="115"/>
        <v>0</v>
      </c>
      <c r="CJ52" s="184">
        <f t="shared" si="116"/>
        <v>0</v>
      </c>
      <c r="CK52" s="185">
        <f t="shared" si="117"/>
        <v>0</v>
      </c>
      <c r="CL52" s="184">
        <f t="shared" si="463"/>
        <v>0</v>
      </c>
      <c r="CM52" s="185">
        <f t="shared" si="118"/>
        <v>0</v>
      </c>
      <c r="CN52" s="184">
        <f t="shared" si="119"/>
        <v>0</v>
      </c>
      <c r="CO52" s="185">
        <f t="shared" si="120"/>
        <v>0</v>
      </c>
      <c r="CP52" s="184">
        <f t="shared" si="464"/>
        <v>0</v>
      </c>
      <c r="CQ52" s="226"/>
      <c r="CR52" s="227">
        <f t="shared" si="121"/>
        <v>0</v>
      </c>
      <c r="CS52" s="181">
        <f t="shared" si="448"/>
        <v>0</v>
      </c>
      <c r="CU52" s="223"/>
      <c r="CV52" s="224"/>
      <c r="CW52" s="225"/>
      <c r="CX52" s="184">
        <f t="shared" si="122"/>
        <v>0</v>
      </c>
      <c r="CY52" s="185">
        <f t="shared" si="123"/>
        <v>0</v>
      </c>
      <c r="CZ52" s="184">
        <f t="shared" si="465"/>
        <v>0</v>
      </c>
      <c r="DA52" s="287">
        <f t="shared" si="123"/>
        <v>0</v>
      </c>
      <c r="DB52" s="184">
        <f t="shared" si="466"/>
        <v>0</v>
      </c>
      <c r="DC52" s="287">
        <f t="shared" si="124"/>
        <v>0</v>
      </c>
      <c r="DD52" s="184">
        <f t="shared" si="467"/>
        <v>0</v>
      </c>
      <c r="DE52" s="287">
        <f t="shared" si="125"/>
        <v>0</v>
      </c>
      <c r="DF52" s="184">
        <f t="shared" si="468"/>
        <v>0</v>
      </c>
      <c r="DG52" s="287">
        <f t="shared" si="126"/>
        <v>0</v>
      </c>
      <c r="DH52" s="184">
        <f t="shared" si="469"/>
        <v>0</v>
      </c>
      <c r="DI52" s="287">
        <f t="shared" si="127"/>
        <v>0</v>
      </c>
      <c r="DJ52" s="184">
        <f t="shared" si="128"/>
        <v>0</v>
      </c>
      <c r="DK52" s="287">
        <f t="shared" si="129"/>
        <v>0</v>
      </c>
      <c r="DL52" s="184">
        <f t="shared" si="470"/>
        <v>0</v>
      </c>
      <c r="DM52" s="287">
        <f t="shared" si="130"/>
        <v>0</v>
      </c>
      <c r="DN52" s="184">
        <f t="shared" si="131"/>
        <v>0</v>
      </c>
      <c r="DO52" s="287">
        <f t="shared" si="132"/>
        <v>0</v>
      </c>
      <c r="DP52" s="184">
        <f t="shared" si="471"/>
        <v>0</v>
      </c>
      <c r="DQ52" s="287">
        <f t="shared" si="133"/>
        <v>0</v>
      </c>
      <c r="DR52" s="184">
        <f t="shared" si="134"/>
        <v>0</v>
      </c>
      <c r="DS52" s="287">
        <f t="shared" si="135"/>
        <v>0</v>
      </c>
      <c r="DT52" s="184">
        <f t="shared" si="472"/>
        <v>0</v>
      </c>
      <c r="DU52" s="287">
        <f t="shared" si="136"/>
        <v>0</v>
      </c>
      <c r="DV52" s="227">
        <f t="shared" si="137"/>
        <v>0</v>
      </c>
      <c r="DW52" s="181">
        <f t="shared" si="449"/>
        <v>0</v>
      </c>
      <c r="DY52" s="223"/>
      <c r="DZ52" s="224"/>
      <c r="EA52" s="225"/>
      <c r="EB52" s="184">
        <f t="shared" si="384"/>
        <v>0</v>
      </c>
      <c r="EC52" s="185">
        <f t="shared" si="139"/>
        <v>0</v>
      </c>
      <c r="ED52" s="319">
        <f t="shared" si="385"/>
        <v>0</v>
      </c>
      <c r="EE52" s="185">
        <f t="shared" si="139"/>
        <v>0</v>
      </c>
      <c r="EF52" s="184">
        <f t="shared" si="386"/>
        <v>0</v>
      </c>
      <c r="EG52" s="185">
        <f t="shared" si="426"/>
        <v>0</v>
      </c>
      <c r="EH52" s="184">
        <f t="shared" si="387"/>
        <v>0</v>
      </c>
      <c r="EI52" s="185">
        <f t="shared" si="426"/>
        <v>0</v>
      </c>
      <c r="EJ52" s="184">
        <f t="shared" si="388"/>
        <v>0</v>
      </c>
      <c r="EK52" s="185">
        <f t="shared" si="143"/>
        <v>0</v>
      </c>
      <c r="EL52" s="184">
        <f t="shared" si="389"/>
        <v>0</v>
      </c>
      <c r="EM52" s="185">
        <f t="shared" si="144"/>
        <v>0</v>
      </c>
      <c r="EN52" s="184">
        <f t="shared" si="290"/>
        <v>0</v>
      </c>
      <c r="EO52" s="185">
        <f t="shared" si="145"/>
        <v>0</v>
      </c>
      <c r="EP52" s="184">
        <f t="shared" si="390"/>
        <v>0</v>
      </c>
      <c r="EQ52" s="185">
        <f t="shared" si="146"/>
        <v>0</v>
      </c>
      <c r="ER52" s="184">
        <f t="shared" si="292"/>
        <v>0</v>
      </c>
      <c r="ES52" s="185">
        <f t="shared" si="147"/>
        <v>0</v>
      </c>
      <c r="ET52" s="184">
        <f t="shared" si="391"/>
        <v>0</v>
      </c>
      <c r="EU52" s="185">
        <f t="shared" si="148"/>
        <v>0</v>
      </c>
      <c r="EV52" s="184">
        <f t="shared" si="294"/>
        <v>0</v>
      </c>
      <c r="EW52" s="185">
        <f t="shared" si="149"/>
        <v>0</v>
      </c>
      <c r="EX52" s="184">
        <f t="shared" si="392"/>
        <v>0</v>
      </c>
      <c r="EY52" s="185">
        <f t="shared" si="150"/>
        <v>0</v>
      </c>
      <c r="EZ52" s="227">
        <f t="shared" si="151"/>
        <v>0</v>
      </c>
      <c r="FA52" s="181"/>
      <c r="FC52" s="223">
        <v>1</v>
      </c>
      <c r="FD52" s="224">
        <v>1</v>
      </c>
      <c r="FE52" s="225">
        <f>+FD52*FC52*G52</f>
        <v>16207935.483870964</v>
      </c>
      <c r="FF52" s="184">
        <f t="shared" si="153"/>
        <v>1</v>
      </c>
      <c r="FG52" s="185">
        <f t="shared" si="154"/>
        <v>16207935.483870964</v>
      </c>
      <c r="FH52" s="369">
        <f t="shared" si="473"/>
        <v>1</v>
      </c>
      <c r="FI52" s="185">
        <f t="shared" si="155"/>
        <v>16207935.483870964</v>
      </c>
      <c r="FJ52" s="369">
        <f t="shared" si="474"/>
        <v>1</v>
      </c>
      <c r="FK52" s="185">
        <f t="shared" si="155"/>
        <v>16207935.483870964</v>
      </c>
      <c r="FL52" s="369">
        <f t="shared" si="475"/>
        <v>1</v>
      </c>
      <c r="FM52" s="185">
        <f t="shared" si="156"/>
        <v>16207935.483870964</v>
      </c>
      <c r="FN52" s="369">
        <f t="shared" si="476"/>
        <v>1</v>
      </c>
      <c r="FO52" s="185">
        <f t="shared" si="157"/>
        <v>16207935.483870964</v>
      </c>
      <c r="FP52" s="369">
        <f t="shared" si="477"/>
        <v>1</v>
      </c>
      <c r="FQ52" s="185">
        <f t="shared" si="158"/>
        <v>16207935.483870964</v>
      </c>
      <c r="FR52" s="369">
        <f t="shared" si="159"/>
        <v>1</v>
      </c>
      <c r="FS52" s="185">
        <f t="shared" si="160"/>
        <v>16207935.483870964</v>
      </c>
      <c r="FT52" s="369">
        <f t="shared" si="478"/>
        <v>1</v>
      </c>
      <c r="FU52" s="185">
        <f t="shared" si="161"/>
        <v>16207935.483870964</v>
      </c>
      <c r="FV52" s="369">
        <f t="shared" si="162"/>
        <v>1</v>
      </c>
      <c r="FW52" s="185">
        <f t="shared" si="163"/>
        <v>16207935.483870964</v>
      </c>
      <c r="FX52" s="369">
        <f t="shared" si="479"/>
        <v>1</v>
      </c>
      <c r="FY52" s="185">
        <f t="shared" si="164"/>
        <v>16207935.483870964</v>
      </c>
      <c r="FZ52" s="369">
        <f t="shared" si="165"/>
        <v>1</v>
      </c>
      <c r="GA52" s="185">
        <f t="shared" si="166"/>
        <v>16207935.483870964</v>
      </c>
      <c r="GB52" s="369">
        <f t="shared" si="480"/>
        <v>1</v>
      </c>
      <c r="GC52" s="185">
        <f t="shared" si="167"/>
        <v>16207935.483870964</v>
      </c>
      <c r="GD52" s="215">
        <f t="shared" si="168"/>
        <v>12</v>
      </c>
      <c r="GE52" s="159">
        <f t="shared" si="411"/>
        <v>194495225.80645156</v>
      </c>
      <c r="GG52" s="223"/>
      <c r="GH52" s="224"/>
      <c r="GI52" s="225"/>
      <c r="GJ52" s="184">
        <f t="shared" si="169"/>
        <v>0</v>
      </c>
      <c r="GK52" s="185">
        <f t="shared" si="170"/>
        <v>0</v>
      </c>
      <c r="GL52" s="184">
        <f t="shared" si="169"/>
        <v>0</v>
      </c>
      <c r="GM52" s="185">
        <f t="shared" si="170"/>
        <v>0</v>
      </c>
      <c r="GN52" s="184">
        <f t="shared" si="169"/>
        <v>0</v>
      </c>
      <c r="GO52" s="185">
        <f t="shared" si="171"/>
        <v>0</v>
      </c>
      <c r="GP52" s="184">
        <f t="shared" si="169"/>
        <v>0</v>
      </c>
      <c r="GQ52" s="185">
        <f t="shared" si="172"/>
        <v>0</v>
      </c>
      <c r="GR52" s="184">
        <f t="shared" si="173"/>
        <v>0</v>
      </c>
      <c r="GS52" s="185">
        <f t="shared" si="174"/>
        <v>0</v>
      </c>
      <c r="GT52" s="184">
        <f t="shared" si="175"/>
        <v>0</v>
      </c>
      <c r="GU52" s="185">
        <f t="shared" si="176"/>
        <v>0</v>
      </c>
      <c r="GV52" s="184">
        <f t="shared" si="177"/>
        <v>0</v>
      </c>
      <c r="GW52" s="185">
        <f t="shared" si="178"/>
        <v>0</v>
      </c>
      <c r="GX52" s="184">
        <f t="shared" si="179"/>
        <v>0</v>
      </c>
      <c r="GY52" s="185">
        <f t="shared" si="180"/>
        <v>0</v>
      </c>
      <c r="GZ52" s="184">
        <f t="shared" si="181"/>
        <v>0</v>
      </c>
      <c r="HA52" s="185">
        <f t="shared" si="182"/>
        <v>0</v>
      </c>
      <c r="HB52" s="184">
        <f t="shared" si="183"/>
        <v>0</v>
      </c>
      <c r="HC52" s="185">
        <f t="shared" si="184"/>
        <v>0</v>
      </c>
      <c r="HD52" s="184">
        <f t="shared" si="185"/>
        <v>0</v>
      </c>
      <c r="HE52" s="185">
        <f t="shared" si="186"/>
        <v>0</v>
      </c>
      <c r="HF52" s="184">
        <f t="shared" si="187"/>
        <v>0</v>
      </c>
      <c r="HG52" s="185">
        <f t="shared" si="188"/>
        <v>0</v>
      </c>
      <c r="HH52" s="227">
        <f t="shared" si="189"/>
        <v>0</v>
      </c>
      <c r="HI52" s="181"/>
      <c r="HK52" s="223">
        <v>0</v>
      </c>
      <c r="HL52" s="224"/>
      <c r="HM52" s="225"/>
      <c r="HN52" s="228">
        <f t="shared" si="190"/>
        <v>0</v>
      </c>
      <c r="HO52" s="185"/>
      <c r="HP52" s="184">
        <f t="shared" si="192"/>
        <v>0</v>
      </c>
      <c r="HQ52" s="185">
        <f t="shared" si="193"/>
        <v>0</v>
      </c>
      <c r="HR52" s="184">
        <f t="shared" si="192"/>
        <v>0</v>
      </c>
      <c r="HS52" s="185">
        <f t="shared" si="193"/>
        <v>0</v>
      </c>
      <c r="HT52" s="184">
        <f t="shared" si="192"/>
        <v>0</v>
      </c>
      <c r="HU52" s="185">
        <f t="shared" si="194"/>
        <v>0</v>
      </c>
      <c r="HV52" s="184">
        <f t="shared" si="192"/>
        <v>0</v>
      </c>
      <c r="HW52" s="185">
        <f t="shared" si="195"/>
        <v>0</v>
      </c>
      <c r="HX52" s="184">
        <f t="shared" si="196"/>
        <v>0</v>
      </c>
      <c r="HY52" s="185">
        <f t="shared" si="197"/>
        <v>0</v>
      </c>
      <c r="HZ52" s="184">
        <f t="shared" si="198"/>
        <v>0</v>
      </c>
      <c r="IA52" s="185">
        <f t="shared" si="199"/>
        <v>0</v>
      </c>
      <c r="IB52" s="184">
        <f t="shared" si="200"/>
        <v>0</v>
      </c>
      <c r="IC52" s="185">
        <f t="shared" si="201"/>
        <v>0</v>
      </c>
      <c r="ID52" s="184">
        <f t="shared" si="202"/>
        <v>0</v>
      </c>
      <c r="IE52" s="185">
        <f t="shared" si="203"/>
        <v>0</v>
      </c>
      <c r="IF52" s="184">
        <f t="shared" si="204"/>
        <v>0</v>
      </c>
      <c r="IG52" s="185">
        <f t="shared" si="205"/>
        <v>0</v>
      </c>
      <c r="IH52" s="184">
        <f t="shared" si="206"/>
        <v>0</v>
      </c>
      <c r="II52" s="185">
        <f t="shared" si="207"/>
        <v>0</v>
      </c>
      <c r="IJ52" s="184">
        <f t="shared" si="208"/>
        <v>0</v>
      </c>
      <c r="IK52" s="185">
        <f t="shared" si="209"/>
        <v>0</v>
      </c>
      <c r="IL52" s="227">
        <f t="shared" si="210"/>
        <v>0</v>
      </c>
      <c r="IM52" s="181">
        <f t="shared" si="211"/>
        <v>0</v>
      </c>
      <c r="IO52" s="223"/>
      <c r="IP52" s="224"/>
      <c r="IQ52" s="225"/>
      <c r="IR52" s="184">
        <f t="shared" si="212"/>
        <v>0</v>
      </c>
      <c r="IS52" s="185">
        <f t="shared" si="213"/>
        <v>0</v>
      </c>
      <c r="IT52" s="184">
        <f t="shared" si="401"/>
        <v>0</v>
      </c>
      <c r="IU52" s="287">
        <f t="shared" si="214"/>
        <v>0</v>
      </c>
      <c r="IV52" s="184">
        <f t="shared" si="402"/>
        <v>0</v>
      </c>
      <c r="IW52" s="287">
        <f t="shared" si="214"/>
        <v>0</v>
      </c>
      <c r="IX52" s="184">
        <f t="shared" si="403"/>
        <v>0</v>
      </c>
      <c r="IY52" s="287">
        <f t="shared" si="215"/>
        <v>0</v>
      </c>
      <c r="IZ52" s="184">
        <f t="shared" si="404"/>
        <v>0</v>
      </c>
      <c r="JA52" s="287">
        <f t="shared" si="216"/>
        <v>0</v>
      </c>
      <c r="JB52" s="184">
        <f t="shared" si="405"/>
        <v>0</v>
      </c>
      <c r="JC52" s="287">
        <f t="shared" si="217"/>
        <v>0</v>
      </c>
      <c r="JD52" s="184">
        <f t="shared" si="218"/>
        <v>0</v>
      </c>
      <c r="JE52" s="287">
        <f t="shared" si="219"/>
        <v>0</v>
      </c>
      <c r="JF52" s="184">
        <f t="shared" si="406"/>
        <v>0</v>
      </c>
      <c r="JG52" s="287">
        <f t="shared" si="220"/>
        <v>0</v>
      </c>
      <c r="JH52" s="184">
        <f t="shared" si="221"/>
        <v>0</v>
      </c>
      <c r="JI52" s="287">
        <f t="shared" si="222"/>
        <v>0</v>
      </c>
      <c r="JJ52" s="184">
        <f t="shared" si="407"/>
        <v>0</v>
      </c>
      <c r="JK52" s="287">
        <f t="shared" si="223"/>
        <v>0</v>
      </c>
      <c r="JL52" s="184">
        <f t="shared" si="224"/>
        <v>0</v>
      </c>
      <c r="JM52" s="287">
        <f t="shared" si="225"/>
        <v>0</v>
      </c>
      <c r="JN52" s="184">
        <f t="shared" si="408"/>
        <v>0</v>
      </c>
      <c r="JO52" s="287">
        <f t="shared" si="226"/>
        <v>0</v>
      </c>
      <c r="JP52" s="227">
        <f t="shared" si="227"/>
        <v>0</v>
      </c>
      <c r="JQ52" s="181">
        <f t="shared" si="228"/>
        <v>0</v>
      </c>
      <c r="JS52" s="223"/>
      <c r="JT52" s="224"/>
      <c r="JU52" s="225"/>
      <c r="JV52" s="184">
        <f t="shared" si="229"/>
        <v>0</v>
      </c>
      <c r="JW52" s="185">
        <f t="shared" si="230"/>
        <v>0</v>
      </c>
      <c r="JX52" s="369"/>
      <c r="JY52" s="185">
        <f t="shared" si="231"/>
        <v>0</v>
      </c>
      <c r="JZ52" s="369"/>
      <c r="KA52" s="185">
        <f t="shared" si="231"/>
        <v>0</v>
      </c>
      <c r="KB52" s="369"/>
      <c r="KC52" s="185">
        <f t="shared" si="232"/>
        <v>0</v>
      </c>
      <c r="KD52" s="369"/>
      <c r="KE52" s="185">
        <f t="shared" si="233"/>
        <v>0</v>
      </c>
      <c r="KF52" s="369"/>
      <c r="KG52" s="185">
        <f t="shared" si="234"/>
        <v>0</v>
      </c>
      <c r="KH52" s="369"/>
      <c r="KI52" s="185">
        <f t="shared" si="236"/>
        <v>0</v>
      </c>
      <c r="KJ52" s="369"/>
      <c r="KK52" s="185">
        <f t="shared" si="237"/>
        <v>0</v>
      </c>
      <c r="KL52" s="369"/>
      <c r="KM52" s="185">
        <f t="shared" si="239"/>
        <v>0</v>
      </c>
      <c r="KN52" s="369"/>
      <c r="KO52" s="185">
        <f t="shared" si="240"/>
        <v>0</v>
      </c>
      <c r="KP52" s="369"/>
      <c r="KQ52" s="185">
        <f t="shared" si="242"/>
        <v>0</v>
      </c>
      <c r="KR52" s="369"/>
      <c r="KS52" s="375">
        <f t="shared" si="243"/>
        <v>0</v>
      </c>
      <c r="KT52" s="227">
        <f t="shared" si="244"/>
        <v>0</v>
      </c>
      <c r="KU52" s="181"/>
      <c r="KW52" s="223"/>
      <c r="KX52" s="224"/>
      <c r="KY52" s="225"/>
      <c r="KZ52" s="184">
        <f t="shared" si="271"/>
        <v>0</v>
      </c>
      <c r="LA52" s="185"/>
      <c r="LB52" s="184">
        <f t="shared" si="272"/>
        <v>0</v>
      </c>
      <c r="LC52" s="185">
        <f t="shared" si="246"/>
        <v>0</v>
      </c>
      <c r="LD52" s="184">
        <f t="shared" si="272"/>
        <v>0</v>
      </c>
      <c r="LE52" s="185">
        <f t="shared" si="246"/>
        <v>0</v>
      </c>
      <c r="LF52" s="184">
        <f t="shared" si="272"/>
        <v>0</v>
      </c>
      <c r="LG52" s="185">
        <f t="shared" si="247"/>
        <v>0</v>
      </c>
      <c r="LH52" s="184">
        <f t="shared" si="272"/>
        <v>0</v>
      </c>
      <c r="LI52" s="185">
        <f t="shared" si="248"/>
        <v>0</v>
      </c>
      <c r="LJ52" s="184">
        <f t="shared" si="273"/>
        <v>0</v>
      </c>
      <c r="LK52" s="185">
        <f t="shared" si="249"/>
        <v>0</v>
      </c>
      <c r="LL52" s="184">
        <f t="shared" si="274"/>
        <v>0</v>
      </c>
      <c r="LM52" s="185">
        <f t="shared" si="250"/>
        <v>0</v>
      </c>
      <c r="LN52" s="184">
        <f t="shared" si="275"/>
        <v>0</v>
      </c>
      <c r="LO52" s="185">
        <f t="shared" si="251"/>
        <v>0</v>
      </c>
      <c r="LP52" s="184">
        <f t="shared" si="276"/>
        <v>0</v>
      </c>
      <c r="LQ52" s="185">
        <f t="shared" si="252"/>
        <v>0</v>
      </c>
      <c r="LR52" s="184">
        <f t="shared" si="277"/>
        <v>0</v>
      </c>
      <c r="LS52" s="185">
        <f t="shared" si="253"/>
        <v>0</v>
      </c>
      <c r="LT52" s="184">
        <f t="shared" si="278"/>
        <v>0</v>
      </c>
      <c r="LU52" s="185">
        <f t="shared" si="254"/>
        <v>0</v>
      </c>
      <c r="LV52" s="184">
        <f t="shared" si="279"/>
        <v>0</v>
      </c>
      <c r="LW52" s="185">
        <f t="shared" si="255"/>
        <v>0</v>
      </c>
      <c r="LX52" s="227">
        <f t="shared" si="256"/>
        <v>0</v>
      </c>
      <c r="LY52" s="181">
        <f t="shared" si="257"/>
        <v>0</v>
      </c>
      <c r="MA52" s="164">
        <f t="shared" si="412"/>
        <v>1</v>
      </c>
      <c r="MB52" s="386">
        <f t="shared" si="258"/>
        <v>16207935.483870964</v>
      </c>
      <c r="MC52" s="394">
        <f t="shared" si="413"/>
        <v>1</v>
      </c>
      <c r="MD52" s="386">
        <f t="shared" si="259"/>
        <v>16207935.483870964</v>
      </c>
      <c r="ME52" s="394">
        <f t="shared" si="414"/>
        <v>1</v>
      </c>
      <c r="MF52" s="386">
        <f t="shared" si="259"/>
        <v>16207935.483870964</v>
      </c>
      <c r="MG52" s="394">
        <f t="shared" si="415"/>
        <v>1</v>
      </c>
      <c r="MH52" s="386">
        <f t="shared" si="260"/>
        <v>16207935.483870964</v>
      </c>
      <c r="MI52" s="394">
        <f t="shared" si="416"/>
        <v>1</v>
      </c>
      <c r="MJ52" s="386">
        <f t="shared" si="261"/>
        <v>16207935.483870964</v>
      </c>
      <c r="MK52" s="394">
        <f t="shared" si="417"/>
        <v>1</v>
      </c>
      <c r="ML52" s="386">
        <f t="shared" si="262"/>
        <v>16207935.483870964</v>
      </c>
      <c r="MM52" s="394">
        <f t="shared" si="418"/>
        <v>1</v>
      </c>
      <c r="MN52" s="386">
        <f t="shared" si="263"/>
        <v>16207935.483870964</v>
      </c>
      <c r="MO52" s="394">
        <f t="shared" si="419"/>
        <v>1</v>
      </c>
      <c r="MP52" s="386">
        <f t="shared" si="264"/>
        <v>16207935.483870964</v>
      </c>
      <c r="MQ52" s="394">
        <f t="shared" si="420"/>
        <v>1</v>
      </c>
      <c r="MR52" s="386">
        <f t="shared" si="265"/>
        <v>16207935.483870964</v>
      </c>
      <c r="MS52" s="394">
        <f t="shared" si="421"/>
        <v>1</v>
      </c>
      <c r="MT52" s="386">
        <f t="shared" si="266"/>
        <v>16207935.483870964</v>
      </c>
      <c r="MU52" s="394">
        <f t="shared" si="422"/>
        <v>1</v>
      </c>
      <c r="MV52" s="386">
        <f t="shared" si="267"/>
        <v>16207935.483870964</v>
      </c>
      <c r="MW52" s="394">
        <f t="shared" si="423"/>
        <v>1</v>
      </c>
      <c r="MX52" s="386">
        <f t="shared" si="268"/>
        <v>16207935.483870964</v>
      </c>
      <c r="MY52" s="164">
        <f t="shared" si="269"/>
        <v>12</v>
      </c>
      <c r="MZ52" s="166">
        <f t="shared" si="270"/>
        <v>194495225.80645156</v>
      </c>
    </row>
    <row r="53" spans="1:364" s="126" customFormat="1" ht="66" x14ac:dyDescent="0.3">
      <c r="A53" s="531"/>
      <c r="B53" s="220">
        <v>3.13</v>
      </c>
      <c r="C53" s="221" t="s">
        <v>115</v>
      </c>
      <c r="D53" s="222" t="s">
        <v>28</v>
      </c>
      <c r="E53" s="35">
        <v>610</v>
      </c>
      <c r="F53" s="351">
        <v>44531.319907588273</v>
      </c>
      <c r="G53" s="351">
        <f t="shared" ref="G53" si="481">+F53*(1+$G$2)</f>
        <v>46387.215678213091</v>
      </c>
      <c r="I53" s="217"/>
      <c r="J53" s="218"/>
      <c r="K53" s="151">
        <f t="shared" ref="K53" si="482">+(I53*J53)*G53</f>
        <v>0</v>
      </c>
      <c r="L53" s="152">
        <v>0</v>
      </c>
      <c r="M53" s="285">
        <f t="shared" ref="M53" si="483">+L53*$G53</f>
        <v>0</v>
      </c>
      <c r="N53" s="152">
        <f t="shared" si="450"/>
        <v>0</v>
      </c>
      <c r="O53" s="285">
        <f t="shared" ref="O53" si="484">+N53*$G53</f>
        <v>0</v>
      </c>
      <c r="P53" s="152">
        <f t="shared" si="451"/>
        <v>0</v>
      </c>
      <c r="Q53" s="285">
        <f t="shared" ref="Q53" si="485">+P53*$G53</f>
        <v>0</v>
      </c>
      <c r="R53" s="152">
        <f t="shared" si="452"/>
        <v>0</v>
      </c>
      <c r="S53" s="285">
        <f t="shared" ref="S53" si="486">+R53*$G53</f>
        <v>0</v>
      </c>
      <c r="T53" s="152">
        <f t="shared" si="453"/>
        <v>0</v>
      </c>
      <c r="U53" s="285">
        <f t="shared" ref="U53" si="487">+T53*$G53</f>
        <v>0</v>
      </c>
      <c r="V53" s="152">
        <f t="shared" si="409"/>
        <v>0</v>
      </c>
      <c r="W53" s="285">
        <f t="shared" ref="W53" si="488">+V53*$G53</f>
        <v>0</v>
      </c>
      <c r="X53" s="152">
        <f t="shared" si="305"/>
        <v>0</v>
      </c>
      <c r="Y53" s="285">
        <f t="shared" ref="Y53" si="489">+X53*$G53</f>
        <v>0</v>
      </c>
      <c r="Z53" s="152">
        <f t="shared" si="454"/>
        <v>0</v>
      </c>
      <c r="AA53" s="285">
        <f t="shared" ref="AA53" si="490">+Z53*$G53</f>
        <v>0</v>
      </c>
      <c r="AB53" s="152">
        <f t="shared" si="306"/>
        <v>0</v>
      </c>
      <c r="AC53" s="285">
        <f t="shared" ref="AC53" si="491">+AB53*$G53</f>
        <v>0</v>
      </c>
      <c r="AD53" s="152">
        <f t="shared" si="455"/>
        <v>0</v>
      </c>
      <c r="AE53" s="285">
        <f t="shared" ref="AE53" si="492">+AD53*$G53</f>
        <v>0</v>
      </c>
      <c r="AF53" s="152">
        <f t="shared" si="307"/>
        <v>0</v>
      </c>
      <c r="AG53" s="285">
        <f t="shared" ref="AG53" si="493">+AF53*$G53</f>
        <v>0</v>
      </c>
      <c r="AH53" s="152">
        <f t="shared" si="456"/>
        <v>0</v>
      </c>
      <c r="AI53" s="294">
        <f t="shared" ref="AI53" si="494">+AH53*$G53</f>
        <v>0</v>
      </c>
      <c r="AJ53" s="215">
        <f t="shared" ref="AJ53" si="495">+L53+N53+P53+R53+T53+V53+X53+Z53+AB53+AD53+AF53+AH53</f>
        <v>0</v>
      </c>
      <c r="AK53" s="307">
        <f t="shared" ref="AK53" si="496">+AJ53*$G53</f>
        <v>0</v>
      </c>
      <c r="AM53" s="217">
        <v>0</v>
      </c>
      <c r="AN53" s="218"/>
      <c r="AO53" s="151"/>
      <c r="AP53" s="152">
        <f t="shared" si="328"/>
        <v>0</v>
      </c>
      <c r="AQ53" s="285">
        <f t="shared" ref="AQ53" si="497">+AP53*$G53</f>
        <v>0</v>
      </c>
      <c r="AR53" s="317">
        <f t="shared" si="329"/>
        <v>0</v>
      </c>
      <c r="AS53" s="285">
        <f t="shared" ref="AS53" si="498">+AR53*$G53</f>
        <v>0</v>
      </c>
      <c r="AT53" s="317">
        <f t="shared" si="330"/>
        <v>0</v>
      </c>
      <c r="AU53" s="285">
        <f t="shared" ref="AU53" si="499">+AT53*$G53</f>
        <v>0</v>
      </c>
      <c r="AV53" s="317">
        <f t="shared" si="331"/>
        <v>0</v>
      </c>
      <c r="AW53" s="285">
        <f t="shared" ref="AW53" si="500">+AV53*$G53</f>
        <v>0</v>
      </c>
      <c r="AX53" s="317">
        <f t="shared" si="5"/>
        <v>0</v>
      </c>
      <c r="AY53" s="285">
        <f t="shared" ref="AY53" si="501">+AX53*$G53</f>
        <v>0</v>
      </c>
      <c r="AZ53" s="317">
        <f t="shared" si="332"/>
        <v>0</v>
      </c>
      <c r="BA53" s="285">
        <f t="shared" ref="BA53" si="502">+AZ53*$G53</f>
        <v>0</v>
      </c>
      <c r="BB53" s="317">
        <f t="shared" si="7"/>
        <v>0</v>
      </c>
      <c r="BC53" s="285">
        <f t="shared" ref="BC53" si="503">+BB53*$G53</f>
        <v>0</v>
      </c>
      <c r="BD53" s="317">
        <f t="shared" si="333"/>
        <v>0</v>
      </c>
      <c r="BE53" s="285">
        <f t="shared" ref="BE53" si="504">+BD53*$G53</f>
        <v>0</v>
      </c>
      <c r="BF53" s="317">
        <f t="shared" si="9"/>
        <v>0</v>
      </c>
      <c r="BG53" s="285">
        <f t="shared" ref="BG53" si="505">+BF53*$G53</f>
        <v>0</v>
      </c>
      <c r="BH53" s="317">
        <f t="shared" si="334"/>
        <v>0</v>
      </c>
      <c r="BI53" s="285">
        <f t="shared" ref="BI53" si="506">+BH53*$G53</f>
        <v>0</v>
      </c>
      <c r="BJ53" s="317">
        <f t="shared" si="335"/>
        <v>0</v>
      </c>
      <c r="BK53" s="285">
        <f t="shared" ref="BK53" si="507">+BJ53*$G53</f>
        <v>0</v>
      </c>
      <c r="BL53" s="152"/>
      <c r="BM53" s="294">
        <f t="shared" ref="BM53" si="508">+BL53*$G53</f>
        <v>0</v>
      </c>
      <c r="BN53" s="215">
        <f t="shared" ref="BN53" si="509">+AP53+AR53+AT53+AV53+AX53+AZ53+BB53+BD53+BF53+BH53+BJ53+BL53</f>
        <v>0</v>
      </c>
      <c r="BO53" s="307">
        <f t="shared" ref="BO53" si="510">+BN53*G53</f>
        <v>0</v>
      </c>
      <c r="BQ53" s="217"/>
      <c r="BR53" s="218"/>
      <c r="BS53" s="151"/>
      <c r="BT53" s="152">
        <f t="shared" si="280"/>
        <v>0</v>
      </c>
      <c r="BU53" s="332">
        <f t="shared" ref="BU53" si="511">+BT53*$G53</f>
        <v>0</v>
      </c>
      <c r="BV53" s="152">
        <f t="shared" si="457"/>
        <v>0</v>
      </c>
      <c r="BW53" s="153">
        <f t="shared" ref="BW53" si="512">+BV53*$G53</f>
        <v>0</v>
      </c>
      <c r="BX53" s="152">
        <f t="shared" si="458"/>
        <v>0</v>
      </c>
      <c r="BY53" s="153">
        <f t="shared" ref="BY53" si="513">+BX53*$G53</f>
        <v>0</v>
      </c>
      <c r="BZ53" s="152">
        <f t="shared" si="459"/>
        <v>0</v>
      </c>
      <c r="CA53" s="153">
        <f t="shared" ref="CA53" si="514">+BZ53*$G53</f>
        <v>0</v>
      </c>
      <c r="CB53" s="152">
        <f t="shared" si="460"/>
        <v>0</v>
      </c>
      <c r="CC53" s="153">
        <f t="shared" ref="CC53" si="515">+CB53*$G53</f>
        <v>0</v>
      </c>
      <c r="CD53" s="152">
        <f t="shared" si="461"/>
        <v>0</v>
      </c>
      <c r="CE53" s="153">
        <f t="shared" ref="CE53" si="516">+CD53*$G53</f>
        <v>0</v>
      </c>
      <c r="CF53" s="152">
        <f t="shared" si="113"/>
        <v>0</v>
      </c>
      <c r="CG53" s="153">
        <f t="shared" ref="CG53" si="517">+CF53*$G53</f>
        <v>0</v>
      </c>
      <c r="CH53" s="152">
        <f t="shared" si="462"/>
        <v>0</v>
      </c>
      <c r="CI53" s="153">
        <f t="shared" ref="CI53" si="518">+CH53*$G53</f>
        <v>0</v>
      </c>
      <c r="CJ53" s="152">
        <f t="shared" si="116"/>
        <v>0</v>
      </c>
      <c r="CK53" s="153">
        <f t="shared" ref="CK53" si="519">+CJ53*$G53</f>
        <v>0</v>
      </c>
      <c r="CL53" s="152">
        <f t="shared" si="463"/>
        <v>0</v>
      </c>
      <c r="CM53" s="153">
        <f t="shared" ref="CM53" si="520">+CL53*$G53</f>
        <v>0</v>
      </c>
      <c r="CN53" s="152">
        <f t="shared" si="119"/>
        <v>0</v>
      </c>
      <c r="CO53" s="153">
        <f t="shared" ref="CO53" si="521">+CN53*$G53</f>
        <v>0</v>
      </c>
      <c r="CP53" s="152">
        <f t="shared" si="464"/>
        <v>0</v>
      </c>
      <c r="CQ53" s="155"/>
      <c r="CR53" s="215">
        <f t="shared" ref="CR53" si="522">+BT53+BV53+BX53+BZ53+CB53+CD53+CF53+CH53+CJ53+CL53+CN53+CP53</f>
        <v>0</v>
      </c>
      <c r="CS53" s="159">
        <f t="shared" ref="CS53" si="523">+CR53*G53</f>
        <v>0</v>
      </c>
      <c r="CU53" s="217"/>
      <c r="CV53" s="218"/>
      <c r="CW53" s="151"/>
      <c r="CX53" s="152">
        <f t="shared" si="122"/>
        <v>0</v>
      </c>
      <c r="CY53" s="153">
        <f t="shared" ref="CY53" si="524">+CX53*$G53</f>
        <v>0</v>
      </c>
      <c r="CZ53" s="152">
        <f t="shared" si="465"/>
        <v>0</v>
      </c>
      <c r="DA53" s="285">
        <f t="shared" ref="DA53" si="525">+CZ53*$G53</f>
        <v>0</v>
      </c>
      <c r="DB53" s="152">
        <f t="shared" si="466"/>
        <v>0</v>
      </c>
      <c r="DC53" s="285">
        <f t="shared" ref="DC53" si="526">+DB53*$G53</f>
        <v>0</v>
      </c>
      <c r="DD53" s="152">
        <f t="shared" si="467"/>
        <v>0</v>
      </c>
      <c r="DE53" s="285">
        <f t="shared" ref="DE53" si="527">+DD53*$G53</f>
        <v>0</v>
      </c>
      <c r="DF53" s="152">
        <f t="shared" si="468"/>
        <v>0</v>
      </c>
      <c r="DG53" s="285">
        <f t="shared" ref="DG53" si="528">+DF53*$G53</f>
        <v>0</v>
      </c>
      <c r="DH53" s="152">
        <f t="shared" si="469"/>
        <v>0</v>
      </c>
      <c r="DI53" s="285">
        <f t="shared" ref="DI53" si="529">+DH53*$G53</f>
        <v>0</v>
      </c>
      <c r="DJ53" s="152">
        <f t="shared" si="128"/>
        <v>0</v>
      </c>
      <c r="DK53" s="285">
        <f t="shared" ref="DK53" si="530">+DJ53*$G53</f>
        <v>0</v>
      </c>
      <c r="DL53" s="152">
        <f t="shared" si="470"/>
        <v>0</v>
      </c>
      <c r="DM53" s="285">
        <f t="shared" ref="DM53" si="531">+DL53*$G53</f>
        <v>0</v>
      </c>
      <c r="DN53" s="152">
        <f t="shared" si="131"/>
        <v>0</v>
      </c>
      <c r="DO53" s="285">
        <f t="shared" ref="DO53" si="532">+DN53*$G53</f>
        <v>0</v>
      </c>
      <c r="DP53" s="152">
        <f t="shared" si="471"/>
        <v>0</v>
      </c>
      <c r="DQ53" s="285">
        <f t="shared" ref="DQ53" si="533">+DP53*$G53</f>
        <v>0</v>
      </c>
      <c r="DR53" s="152">
        <f t="shared" si="134"/>
        <v>0</v>
      </c>
      <c r="DS53" s="285">
        <f t="shared" ref="DS53" si="534">+DR53*$G53</f>
        <v>0</v>
      </c>
      <c r="DT53" s="152">
        <f t="shared" si="472"/>
        <v>0</v>
      </c>
      <c r="DU53" s="285">
        <f t="shared" ref="DU53" si="535">+DT53*$G53</f>
        <v>0</v>
      </c>
      <c r="DV53" s="215">
        <f t="shared" ref="DV53" si="536">+CX53+CZ53+DB53+DD53+DF53+DH53+DJ53+DL53+DN53+DP53+DR53+DT53</f>
        <v>0</v>
      </c>
      <c r="DW53" s="159">
        <f t="shared" ref="DW53" si="537">+DV53*G53</f>
        <v>0</v>
      </c>
      <c r="DY53" s="217"/>
      <c r="DZ53" s="218"/>
      <c r="EA53" s="151"/>
      <c r="EB53" s="152">
        <f t="shared" si="384"/>
        <v>0</v>
      </c>
      <c r="EC53" s="153">
        <f t="shared" ref="EC53" si="538">+EB53*$G53</f>
        <v>0</v>
      </c>
      <c r="ED53" s="317">
        <f t="shared" si="385"/>
        <v>0</v>
      </c>
      <c r="EE53" s="153">
        <f t="shared" ref="EE53" si="539">+ED53*$G53</f>
        <v>0</v>
      </c>
      <c r="EF53" s="152">
        <f t="shared" si="386"/>
        <v>0</v>
      </c>
      <c r="EG53" s="153">
        <f t="shared" ref="EG53" si="540">+EF53*$G53</f>
        <v>0</v>
      </c>
      <c r="EH53" s="152">
        <f t="shared" si="387"/>
        <v>0</v>
      </c>
      <c r="EI53" s="153">
        <f t="shared" ref="EI53" si="541">+EH53*$G53</f>
        <v>0</v>
      </c>
      <c r="EJ53" s="152">
        <f t="shared" si="388"/>
        <v>0</v>
      </c>
      <c r="EK53" s="153">
        <f t="shared" ref="EK53" si="542">+EJ53*$G53</f>
        <v>0</v>
      </c>
      <c r="EL53" s="152">
        <f t="shared" si="389"/>
        <v>0</v>
      </c>
      <c r="EM53" s="153">
        <f t="shared" ref="EM53" si="543">+EL53*$G53</f>
        <v>0</v>
      </c>
      <c r="EN53" s="152">
        <f t="shared" si="290"/>
        <v>0</v>
      </c>
      <c r="EO53" s="153">
        <f t="shared" ref="EO53" si="544">+EN53*$G53</f>
        <v>0</v>
      </c>
      <c r="EP53" s="152">
        <f t="shared" si="390"/>
        <v>0</v>
      </c>
      <c r="EQ53" s="153">
        <f t="shared" ref="EQ53" si="545">+EP53*$G53</f>
        <v>0</v>
      </c>
      <c r="ER53" s="152">
        <f t="shared" si="292"/>
        <v>0</v>
      </c>
      <c r="ES53" s="153">
        <f t="shared" ref="ES53" si="546">+ER53*$G53</f>
        <v>0</v>
      </c>
      <c r="ET53" s="152">
        <f t="shared" si="391"/>
        <v>0</v>
      </c>
      <c r="EU53" s="153">
        <f t="shared" ref="EU53" si="547">+ET53*$G53</f>
        <v>0</v>
      </c>
      <c r="EV53" s="152">
        <f t="shared" si="294"/>
        <v>0</v>
      </c>
      <c r="EW53" s="153">
        <f t="shared" ref="EW53" si="548">+EV53*$G53</f>
        <v>0</v>
      </c>
      <c r="EX53" s="152">
        <f t="shared" si="392"/>
        <v>0</v>
      </c>
      <c r="EY53" s="153">
        <f t="shared" ref="EY53" si="549">+EX53*$G53</f>
        <v>0</v>
      </c>
      <c r="EZ53" s="215">
        <f t="shared" ref="EZ53" si="550">+EB53+ED53+EF53+EH53+EJ53+EL53+EN53+EP53+ER53+ET53+EV53+EX53</f>
        <v>0</v>
      </c>
      <c r="FA53" s="159"/>
      <c r="FC53" s="217">
        <v>610</v>
      </c>
      <c r="FD53" s="218">
        <v>1</v>
      </c>
      <c r="FE53" s="151">
        <f>+FD53*FC53*G53</f>
        <v>28296201.563709985</v>
      </c>
      <c r="FF53" s="152">
        <f t="shared" si="153"/>
        <v>610</v>
      </c>
      <c r="FG53" s="153">
        <f t="shared" ref="FG53" si="551">+FF53*$G53</f>
        <v>28296201.563709985</v>
      </c>
      <c r="FH53" s="368">
        <f t="shared" si="473"/>
        <v>610</v>
      </c>
      <c r="FI53" s="153">
        <f t="shared" ref="FI53" si="552">+FH53*$G53</f>
        <v>28296201.563709985</v>
      </c>
      <c r="FJ53" s="368">
        <f t="shared" si="474"/>
        <v>610</v>
      </c>
      <c r="FK53" s="153">
        <f t="shared" ref="FK53" si="553">+FJ53*$G53</f>
        <v>28296201.563709985</v>
      </c>
      <c r="FL53" s="368">
        <f t="shared" si="475"/>
        <v>610</v>
      </c>
      <c r="FM53" s="153">
        <f t="shared" ref="FM53" si="554">+FL53*$G53</f>
        <v>28296201.563709985</v>
      </c>
      <c r="FN53" s="368">
        <f t="shared" si="476"/>
        <v>610</v>
      </c>
      <c r="FO53" s="153">
        <f t="shared" ref="FO53" si="555">+FN53*$G53</f>
        <v>28296201.563709985</v>
      </c>
      <c r="FP53" s="368">
        <f t="shared" si="477"/>
        <v>610</v>
      </c>
      <c r="FQ53" s="153">
        <f t="shared" ref="FQ53" si="556">+FP53*$G53</f>
        <v>28296201.563709985</v>
      </c>
      <c r="FR53" s="368">
        <f t="shared" si="159"/>
        <v>610</v>
      </c>
      <c r="FS53" s="153">
        <f t="shared" ref="FS53" si="557">+FR53*$G53</f>
        <v>28296201.563709985</v>
      </c>
      <c r="FT53" s="368">
        <f t="shared" si="478"/>
        <v>610</v>
      </c>
      <c r="FU53" s="153">
        <f t="shared" ref="FU53" si="558">+FT53*$G53</f>
        <v>28296201.563709985</v>
      </c>
      <c r="FV53" s="368">
        <f t="shared" si="162"/>
        <v>610</v>
      </c>
      <c r="FW53" s="153">
        <f t="shared" ref="FW53" si="559">+FV53*$G53</f>
        <v>28296201.563709985</v>
      </c>
      <c r="FX53" s="368">
        <f t="shared" si="479"/>
        <v>610</v>
      </c>
      <c r="FY53" s="153">
        <f t="shared" ref="FY53" si="560">+FX53*$G53</f>
        <v>28296201.563709985</v>
      </c>
      <c r="FZ53" s="368">
        <f t="shared" si="165"/>
        <v>610</v>
      </c>
      <c r="GA53" s="153">
        <f t="shared" ref="GA53" si="561">+FZ53*$G53</f>
        <v>28296201.563709985</v>
      </c>
      <c r="GB53" s="368">
        <f t="shared" si="480"/>
        <v>610</v>
      </c>
      <c r="GC53" s="153">
        <f t="shared" ref="GC53" si="562">+GB53*$G53</f>
        <v>28296201.563709985</v>
      </c>
      <c r="GD53" s="215">
        <f t="shared" ref="GD53" si="563">+FF53+FH53+FJ53+FL53+FN53+FP53+FR53+FT53+FV53+FX53+FZ53+GB53</f>
        <v>7320</v>
      </c>
      <c r="GE53" s="159">
        <f t="shared" ref="GE53" si="564">+GD53*G53</f>
        <v>339554418.76451981</v>
      </c>
      <c r="GG53" s="217"/>
      <c r="GH53" s="218"/>
      <c r="GI53" s="151"/>
      <c r="GJ53" s="152">
        <f t="shared" si="169"/>
        <v>0</v>
      </c>
      <c r="GK53" s="153">
        <f t="shared" ref="GK53" si="565">+GJ53*$G53</f>
        <v>0</v>
      </c>
      <c r="GL53" s="152">
        <f t="shared" si="169"/>
        <v>0</v>
      </c>
      <c r="GM53" s="153">
        <f t="shared" ref="GM53" si="566">+GL53*$G53</f>
        <v>0</v>
      </c>
      <c r="GN53" s="152">
        <f t="shared" si="169"/>
        <v>0</v>
      </c>
      <c r="GO53" s="153">
        <f t="shared" ref="GO53" si="567">+GN53*$G53</f>
        <v>0</v>
      </c>
      <c r="GP53" s="152">
        <f t="shared" si="169"/>
        <v>0</v>
      </c>
      <c r="GQ53" s="153">
        <f t="shared" ref="GQ53" si="568">+GP53*$G53</f>
        <v>0</v>
      </c>
      <c r="GR53" s="152">
        <f t="shared" si="173"/>
        <v>0</v>
      </c>
      <c r="GS53" s="153">
        <f t="shared" ref="GS53" si="569">+GR53*$G53</f>
        <v>0</v>
      </c>
      <c r="GT53" s="152">
        <f t="shared" si="175"/>
        <v>0</v>
      </c>
      <c r="GU53" s="153">
        <f t="shared" ref="GU53" si="570">+GT53*$G53</f>
        <v>0</v>
      </c>
      <c r="GV53" s="152">
        <f t="shared" si="177"/>
        <v>0</v>
      </c>
      <c r="GW53" s="153">
        <f t="shared" ref="GW53" si="571">+GV53*$G53</f>
        <v>0</v>
      </c>
      <c r="GX53" s="152">
        <f t="shared" si="179"/>
        <v>0</v>
      </c>
      <c r="GY53" s="153">
        <f t="shared" ref="GY53" si="572">+GX53*$G53</f>
        <v>0</v>
      </c>
      <c r="GZ53" s="152">
        <f t="shared" si="181"/>
        <v>0</v>
      </c>
      <c r="HA53" s="153">
        <f t="shared" ref="HA53" si="573">+GZ53*$G53</f>
        <v>0</v>
      </c>
      <c r="HB53" s="152">
        <f t="shared" si="183"/>
        <v>0</v>
      </c>
      <c r="HC53" s="153">
        <f t="shared" ref="HC53" si="574">+HB53*$G53</f>
        <v>0</v>
      </c>
      <c r="HD53" s="152">
        <f t="shared" si="185"/>
        <v>0</v>
      </c>
      <c r="HE53" s="153">
        <f t="shared" ref="HE53" si="575">+HD53*$G53</f>
        <v>0</v>
      </c>
      <c r="HF53" s="152">
        <f t="shared" si="187"/>
        <v>0</v>
      </c>
      <c r="HG53" s="153">
        <f t="shared" ref="HG53" si="576">+HF53*$G53</f>
        <v>0</v>
      </c>
      <c r="HH53" s="215">
        <f t="shared" ref="HH53" si="577">+GJ53+GL53+GN53+GP53+GR53+GT53+GV53+GX53+GZ53+HB53+HD53+HF53</f>
        <v>0</v>
      </c>
      <c r="HI53" s="159"/>
      <c r="HK53" s="502"/>
      <c r="HL53" s="503"/>
      <c r="HM53" s="504"/>
      <c r="HN53" s="505">
        <f t="shared" si="190"/>
        <v>0</v>
      </c>
      <c r="HO53" s="506"/>
      <c r="HP53" s="507">
        <f t="shared" ref="HP53:HV53" si="578">+$HK53*$HL53</f>
        <v>0</v>
      </c>
      <c r="HQ53" s="506">
        <f t="shared" ref="HQ53" si="579">+HP53*$G53</f>
        <v>0</v>
      </c>
      <c r="HR53" s="507">
        <f t="shared" si="578"/>
        <v>0</v>
      </c>
      <c r="HS53" s="506">
        <f t="shared" ref="HS53" si="580">+HR53*$G53</f>
        <v>0</v>
      </c>
      <c r="HT53" s="507">
        <f t="shared" si="578"/>
        <v>0</v>
      </c>
      <c r="HU53" s="506">
        <f t="shared" ref="HU53" si="581">+HT53*$G53</f>
        <v>0</v>
      </c>
      <c r="HV53" s="507">
        <f t="shared" si="578"/>
        <v>0</v>
      </c>
      <c r="HW53" s="506">
        <f t="shared" ref="HW53" si="582">+HV53*$G53</f>
        <v>0</v>
      </c>
      <c r="HX53" s="507">
        <f t="shared" si="196"/>
        <v>0</v>
      </c>
      <c r="HY53" s="506">
        <f t="shared" ref="HY53" si="583">+HX53*$G53</f>
        <v>0</v>
      </c>
      <c r="HZ53" s="507">
        <f t="shared" si="198"/>
        <v>0</v>
      </c>
      <c r="IA53" s="506">
        <f t="shared" ref="IA53" si="584">+HZ53*$G53</f>
        <v>0</v>
      </c>
      <c r="IB53" s="507">
        <f t="shared" si="200"/>
        <v>0</v>
      </c>
      <c r="IC53" s="506">
        <f t="shared" ref="IC53" si="585">+IB53*$G53</f>
        <v>0</v>
      </c>
      <c r="ID53" s="507">
        <f t="shared" si="202"/>
        <v>0</v>
      </c>
      <c r="IE53" s="506">
        <f t="shared" ref="IE53" si="586">+ID53*$G53</f>
        <v>0</v>
      </c>
      <c r="IF53" s="507">
        <f t="shared" si="204"/>
        <v>0</v>
      </c>
      <c r="IG53" s="506">
        <f t="shared" ref="IG53" si="587">+IF53*$G53</f>
        <v>0</v>
      </c>
      <c r="IH53" s="507">
        <f t="shared" si="206"/>
        <v>0</v>
      </c>
      <c r="II53" s="506">
        <f t="shared" ref="II53" si="588">+IH53*$G53</f>
        <v>0</v>
      </c>
      <c r="IJ53" s="507">
        <f t="shared" si="208"/>
        <v>0</v>
      </c>
      <c r="IK53" s="506">
        <f t="shared" ref="IK53" si="589">+IJ53*$G53</f>
        <v>0</v>
      </c>
      <c r="IL53" s="508">
        <f t="shared" ref="IL53" si="590">+HN53+HP53+HR53+HT53+HV53+HX53+HZ53+IB53+ID53+IF53+IH53+IJ53</f>
        <v>0</v>
      </c>
      <c r="IM53" s="509">
        <f t="shared" ref="IM53" si="591">+IL53*$G53</f>
        <v>0</v>
      </c>
      <c r="IO53" s="217"/>
      <c r="IP53" s="218"/>
      <c r="IQ53" s="151"/>
      <c r="IR53" s="152">
        <f t="shared" si="212"/>
        <v>0</v>
      </c>
      <c r="IS53" s="153">
        <f t="shared" ref="IS53" si="592">+IR53*$G53</f>
        <v>0</v>
      </c>
      <c r="IT53" s="152">
        <f t="shared" si="401"/>
        <v>0</v>
      </c>
      <c r="IU53" s="285">
        <f t="shared" ref="IU53" si="593">+IT53*$G53</f>
        <v>0</v>
      </c>
      <c r="IV53" s="152">
        <f t="shared" si="402"/>
        <v>0</v>
      </c>
      <c r="IW53" s="285">
        <f t="shared" ref="IW53" si="594">+IV53*$G53</f>
        <v>0</v>
      </c>
      <c r="IX53" s="152">
        <f t="shared" si="403"/>
        <v>0</v>
      </c>
      <c r="IY53" s="285">
        <f t="shared" ref="IY53" si="595">+IX53*$G53</f>
        <v>0</v>
      </c>
      <c r="IZ53" s="152">
        <f t="shared" si="404"/>
        <v>0</v>
      </c>
      <c r="JA53" s="285">
        <f t="shared" ref="JA53" si="596">+IZ53*$G53</f>
        <v>0</v>
      </c>
      <c r="JB53" s="152">
        <f t="shared" si="405"/>
        <v>0</v>
      </c>
      <c r="JC53" s="285">
        <f t="shared" ref="JC53" si="597">+JB53*$G53</f>
        <v>0</v>
      </c>
      <c r="JD53" s="152">
        <f t="shared" si="218"/>
        <v>0</v>
      </c>
      <c r="JE53" s="285">
        <f t="shared" ref="JE53" si="598">+JD53*$G53</f>
        <v>0</v>
      </c>
      <c r="JF53" s="152">
        <f t="shared" si="406"/>
        <v>0</v>
      </c>
      <c r="JG53" s="285">
        <f t="shared" ref="JG53" si="599">+JF53*$G53</f>
        <v>0</v>
      </c>
      <c r="JH53" s="152">
        <f t="shared" si="221"/>
        <v>0</v>
      </c>
      <c r="JI53" s="285">
        <f t="shared" ref="JI53" si="600">+JH53*$G53</f>
        <v>0</v>
      </c>
      <c r="JJ53" s="152">
        <f t="shared" si="407"/>
        <v>0</v>
      </c>
      <c r="JK53" s="285">
        <f t="shared" ref="JK53" si="601">+JJ53*$G53</f>
        <v>0</v>
      </c>
      <c r="JL53" s="152">
        <f t="shared" si="224"/>
        <v>0</v>
      </c>
      <c r="JM53" s="285">
        <f t="shared" ref="JM53" si="602">+JL53*$G53</f>
        <v>0</v>
      </c>
      <c r="JN53" s="152">
        <f t="shared" si="408"/>
        <v>0</v>
      </c>
      <c r="JO53" s="285">
        <f t="shared" ref="JO53" si="603">+JN53*$G53</f>
        <v>0</v>
      </c>
      <c r="JP53" s="215">
        <f t="shared" ref="JP53" si="604">+IR53+IT53+IV53+IX53+IZ53+JB53+JD53+JF53+JH53+JJ53+JL53+JN53</f>
        <v>0</v>
      </c>
      <c r="JQ53" s="159">
        <f t="shared" ref="JQ53" si="605">+JP53*$G53</f>
        <v>0</v>
      </c>
      <c r="JS53" s="217"/>
      <c r="JT53" s="218"/>
      <c r="JU53" s="151"/>
      <c r="JV53" s="152">
        <f t="shared" si="229"/>
        <v>0</v>
      </c>
      <c r="JW53" s="153">
        <f t="shared" ref="JW53" si="606">+JV53*$G53</f>
        <v>0</v>
      </c>
      <c r="JX53" s="368"/>
      <c r="JY53" s="153">
        <f t="shared" ref="JY53" si="607">+JX53*$G53</f>
        <v>0</v>
      </c>
      <c r="JZ53" s="368"/>
      <c r="KA53" s="153">
        <f t="shared" ref="KA53" si="608">+JZ53*$G53</f>
        <v>0</v>
      </c>
      <c r="KB53" s="368"/>
      <c r="KC53" s="153">
        <f t="shared" ref="KC53" si="609">+KB53*$G53</f>
        <v>0</v>
      </c>
      <c r="KD53" s="368"/>
      <c r="KE53" s="153">
        <f t="shared" ref="KE53" si="610">+KD53*$G53</f>
        <v>0</v>
      </c>
      <c r="KF53" s="368"/>
      <c r="KG53" s="153">
        <f t="shared" ref="KG53" si="611">+KF53*$G53</f>
        <v>0</v>
      </c>
      <c r="KH53" s="368"/>
      <c r="KI53" s="153">
        <f t="shared" ref="KI53" si="612">+KH53*$G53</f>
        <v>0</v>
      </c>
      <c r="KJ53" s="368"/>
      <c r="KK53" s="153">
        <f t="shared" ref="KK53" si="613">+KJ53*$G53</f>
        <v>0</v>
      </c>
      <c r="KL53" s="368"/>
      <c r="KM53" s="153">
        <f t="shared" ref="KM53" si="614">+KL53*$G53</f>
        <v>0</v>
      </c>
      <c r="KN53" s="368"/>
      <c r="KO53" s="153">
        <f t="shared" ref="KO53" si="615">+KN53*$G53</f>
        <v>0</v>
      </c>
      <c r="KP53" s="368"/>
      <c r="KQ53" s="153">
        <f t="shared" ref="KQ53" si="616">+KP53*$G53</f>
        <v>0</v>
      </c>
      <c r="KR53" s="368"/>
      <c r="KS53" s="154">
        <f t="shared" ref="KS53" si="617">+KR53*$G53</f>
        <v>0</v>
      </c>
      <c r="KT53" s="215">
        <f t="shared" ref="KT53" si="618">+JV53+JX53+JZ53+KB53+KD53+KF53+KH53+KJ53+KL53+KN53+KP53+KR53</f>
        <v>0</v>
      </c>
      <c r="KU53" s="159"/>
      <c r="KW53" s="217"/>
      <c r="KX53" s="218"/>
      <c r="KY53" s="151"/>
      <c r="KZ53" s="152">
        <f t="shared" si="271"/>
        <v>0</v>
      </c>
      <c r="LA53" s="153"/>
      <c r="LB53" s="152">
        <f t="shared" si="272"/>
        <v>0</v>
      </c>
      <c r="LC53" s="153">
        <f t="shared" ref="LC53" si="619">+LB53*$G53</f>
        <v>0</v>
      </c>
      <c r="LD53" s="152">
        <f t="shared" si="272"/>
        <v>0</v>
      </c>
      <c r="LE53" s="153">
        <f t="shared" ref="LE53" si="620">+LD53*$G53</f>
        <v>0</v>
      </c>
      <c r="LF53" s="152">
        <f t="shared" si="272"/>
        <v>0</v>
      </c>
      <c r="LG53" s="153">
        <f t="shared" ref="LG53" si="621">+LF53*$G53</f>
        <v>0</v>
      </c>
      <c r="LH53" s="152">
        <f t="shared" si="272"/>
        <v>0</v>
      </c>
      <c r="LI53" s="153">
        <f t="shared" ref="LI53" si="622">+LH53*$G53</f>
        <v>0</v>
      </c>
      <c r="LJ53" s="152">
        <f t="shared" si="273"/>
        <v>0</v>
      </c>
      <c r="LK53" s="153">
        <f t="shared" ref="LK53" si="623">+LJ53*$G53</f>
        <v>0</v>
      </c>
      <c r="LL53" s="152">
        <f t="shared" si="274"/>
        <v>0</v>
      </c>
      <c r="LM53" s="153">
        <f t="shared" ref="LM53" si="624">+LL53*$G53</f>
        <v>0</v>
      </c>
      <c r="LN53" s="152">
        <f t="shared" si="275"/>
        <v>0</v>
      </c>
      <c r="LO53" s="153">
        <f t="shared" ref="LO53" si="625">+LN53*$G53</f>
        <v>0</v>
      </c>
      <c r="LP53" s="152">
        <f t="shared" si="276"/>
        <v>0</v>
      </c>
      <c r="LQ53" s="153">
        <f t="shared" ref="LQ53" si="626">+LP53*$G53</f>
        <v>0</v>
      </c>
      <c r="LR53" s="152">
        <f t="shared" si="277"/>
        <v>0</v>
      </c>
      <c r="LS53" s="153">
        <f t="shared" ref="LS53" si="627">+LR53*$G53</f>
        <v>0</v>
      </c>
      <c r="LT53" s="152">
        <f t="shared" si="278"/>
        <v>0</v>
      </c>
      <c r="LU53" s="153">
        <f t="shared" ref="LU53" si="628">+LT53*$G53</f>
        <v>0</v>
      </c>
      <c r="LV53" s="152">
        <f t="shared" si="279"/>
        <v>0</v>
      </c>
      <c r="LW53" s="153">
        <f t="shared" ref="LW53" si="629">+LV53*$G53</f>
        <v>0</v>
      </c>
      <c r="LX53" s="215">
        <f t="shared" ref="LX53" si="630">+KZ53+LB53+LD53+LF53+LH53+LJ53+LL53+LN53+LP53+LR53+LT53+LV53</f>
        <v>0</v>
      </c>
      <c r="LY53" s="159">
        <f t="shared" ref="LY53" si="631">+LX53*$G53</f>
        <v>0</v>
      </c>
      <c r="MA53" s="164">
        <f t="shared" ref="MA53" si="632">+L53+AP53+BT53+CX53+EB53+FF53+GJ53+HN53+IR53+JV53+KZ53</f>
        <v>610</v>
      </c>
      <c r="MB53" s="386">
        <f t="shared" ref="MB53" si="633">+MA53*$G53</f>
        <v>28296201.563709985</v>
      </c>
      <c r="MC53" s="394">
        <f t="shared" ref="MC53" si="634">+N53+AR53+BV53+CZ53+ED53+FH53+GL53+HP53+IT53+JX53+LB53</f>
        <v>610</v>
      </c>
      <c r="MD53" s="386">
        <f t="shared" ref="MD53" si="635">+MC53*$G53</f>
        <v>28296201.563709985</v>
      </c>
      <c r="ME53" s="394">
        <f t="shared" ref="ME53" si="636">+P53+AT53+BX53+DB53+EF53+FJ53+GN53+HR53+IV53+JZ53+LD53</f>
        <v>610</v>
      </c>
      <c r="MF53" s="386">
        <f t="shared" ref="MF53" si="637">+ME53*$G53</f>
        <v>28296201.563709985</v>
      </c>
      <c r="MG53" s="394">
        <f t="shared" ref="MG53" si="638">+R53+AV53+BZ53+DD53+EH53+FL53+GP53+HT53+IX53+KB53+LF53</f>
        <v>610</v>
      </c>
      <c r="MH53" s="386">
        <f t="shared" ref="MH53" si="639">+MG53*$G53</f>
        <v>28296201.563709985</v>
      </c>
      <c r="MI53" s="394">
        <f t="shared" ref="MI53" si="640">+T53+AX53+CB53+DF53+EJ53+FN53+GR53+HV53+IZ53+KD53+LH53</f>
        <v>610</v>
      </c>
      <c r="MJ53" s="386">
        <f t="shared" ref="MJ53" si="641">+MI53*$G53</f>
        <v>28296201.563709985</v>
      </c>
      <c r="MK53" s="394">
        <f t="shared" ref="MK53" si="642">+V53+AZ53+CD53+DH53+EL53+FP53+GT53+HX53+JB53+KF53+LJ53</f>
        <v>610</v>
      </c>
      <c r="ML53" s="386">
        <f t="shared" ref="ML53" si="643">+MK53*$G53</f>
        <v>28296201.563709985</v>
      </c>
      <c r="MM53" s="394">
        <f t="shared" ref="MM53" si="644">+X53+BB53+CF53+DJ53+EN53+FR53+GV53+HZ53+JD53+KH53+LL53</f>
        <v>610</v>
      </c>
      <c r="MN53" s="386">
        <f t="shared" ref="MN53" si="645">+MM53*$G53</f>
        <v>28296201.563709985</v>
      </c>
      <c r="MO53" s="394">
        <f t="shared" ref="MO53" si="646">+Z53+BD53+CH53+DL53+EP53+FT53+GX53+IB53+JF53+KJ53+LN53</f>
        <v>610</v>
      </c>
      <c r="MP53" s="386">
        <f t="shared" ref="MP53" si="647">+MO53*$G53</f>
        <v>28296201.563709985</v>
      </c>
      <c r="MQ53" s="394">
        <f t="shared" ref="MQ53" si="648">+AB53+BF53+CJ53+DN53+ER53+FV53+GZ53+ID53+JH53+KL53+LP53</f>
        <v>610</v>
      </c>
      <c r="MR53" s="386">
        <f t="shared" ref="MR53" si="649">+MQ53*$G53</f>
        <v>28296201.563709985</v>
      </c>
      <c r="MS53" s="394">
        <f t="shared" ref="MS53" si="650">+AD53+BH53+CL53+DP53+ET53+FX53+HB53+IF53+JJ53+KN53+LR53</f>
        <v>610</v>
      </c>
      <c r="MT53" s="386">
        <f t="shared" ref="MT53" si="651">+MS53*$G53</f>
        <v>28296201.563709985</v>
      </c>
      <c r="MU53" s="394">
        <f t="shared" ref="MU53" si="652">+AF53+BJ53+CN53+DR53+EV53+FZ53+HD53+IH53+JL53+KP53+LT53</f>
        <v>610</v>
      </c>
      <c r="MV53" s="386">
        <f t="shared" ref="MV53" si="653">+MU53*$G53</f>
        <v>28296201.563709985</v>
      </c>
      <c r="MW53" s="394">
        <f t="shared" ref="MW53" si="654">+AH53+BL53+CP53+DT53+EX53+GB53+HF53+IJ53+JN53+KR53+LV53</f>
        <v>610</v>
      </c>
      <c r="MX53" s="386">
        <f t="shared" ref="MX53" si="655">+MW53*$G53</f>
        <v>28296201.563709985</v>
      </c>
      <c r="MY53" s="164">
        <f t="shared" ref="MY53" si="656">+MA53+MC53+ME53+MG53+MI53+MK53+MM53+MO53+MQ53+MS53+MU53+MW53</f>
        <v>7320</v>
      </c>
      <c r="MZ53" s="166">
        <f t="shared" ref="MZ53" si="657">+MY53*$G53</f>
        <v>339554418.76451981</v>
      </c>
    </row>
    <row r="54" spans="1:364" s="126" customFormat="1" ht="40.200000000000003" thickBot="1" x14ac:dyDescent="0.35">
      <c r="A54" s="531"/>
      <c r="B54" s="220">
        <v>3.14</v>
      </c>
      <c r="C54" s="221" t="s">
        <v>280</v>
      </c>
      <c r="D54" s="222" t="s">
        <v>281</v>
      </c>
      <c r="E54" s="35">
        <v>1</v>
      </c>
      <c r="F54" s="500">
        <v>10250000</v>
      </c>
      <c r="G54" s="351">
        <f t="shared" si="81"/>
        <v>10677180.952380951</v>
      </c>
      <c r="I54" s="229"/>
      <c r="J54" s="230"/>
      <c r="K54" s="191">
        <f t="shared" si="82"/>
        <v>0</v>
      </c>
      <c r="L54" s="192"/>
      <c r="M54" s="286">
        <f t="shared" si="445"/>
        <v>0</v>
      </c>
      <c r="N54" s="192">
        <f t="shared" si="450"/>
        <v>0</v>
      </c>
      <c r="O54" s="286">
        <f t="shared" si="446"/>
        <v>0</v>
      </c>
      <c r="P54" s="192">
        <f t="shared" si="451"/>
        <v>0</v>
      </c>
      <c r="Q54" s="286">
        <f t="shared" si="446"/>
        <v>0</v>
      </c>
      <c r="R54" s="192">
        <f t="shared" si="452"/>
        <v>0</v>
      </c>
      <c r="S54" s="286">
        <f t="shared" si="86"/>
        <v>0</v>
      </c>
      <c r="T54" s="192">
        <f t="shared" si="453"/>
        <v>0</v>
      </c>
      <c r="U54" s="286">
        <f t="shared" si="87"/>
        <v>0</v>
      </c>
      <c r="V54" s="192">
        <f t="shared" si="409"/>
        <v>0</v>
      </c>
      <c r="W54" s="286">
        <f t="shared" si="88"/>
        <v>0</v>
      </c>
      <c r="X54" s="192">
        <f t="shared" si="305"/>
        <v>0</v>
      </c>
      <c r="Y54" s="286">
        <f t="shared" si="89"/>
        <v>0</v>
      </c>
      <c r="Z54" s="192">
        <f t="shared" si="454"/>
        <v>0</v>
      </c>
      <c r="AA54" s="286">
        <f t="shared" si="90"/>
        <v>0</v>
      </c>
      <c r="AB54" s="192">
        <f t="shared" si="306"/>
        <v>0</v>
      </c>
      <c r="AC54" s="286">
        <f t="shared" si="91"/>
        <v>0</v>
      </c>
      <c r="AD54" s="192">
        <f t="shared" si="455"/>
        <v>0</v>
      </c>
      <c r="AE54" s="286">
        <f t="shared" si="92"/>
        <v>0</v>
      </c>
      <c r="AF54" s="192">
        <f t="shared" si="307"/>
        <v>0</v>
      </c>
      <c r="AG54" s="286">
        <f t="shared" si="308"/>
        <v>0</v>
      </c>
      <c r="AH54" s="192">
        <f t="shared" si="456"/>
        <v>0</v>
      </c>
      <c r="AI54" s="295">
        <f t="shared" si="309"/>
        <v>0</v>
      </c>
      <c r="AJ54" s="231">
        <f t="shared" si="94"/>
        <v>0</v>
      </c>
      <c r="AK54" s="308">
        <f t="shared" si="95"/>
        <v>0</v>
      </c>
      <c r="AM54" s="229">
        <v>0</v>
      </c>
      <c r="AN54" s="230"/>
      <c r="AO54" s="191"/>
      <c r="AP54" s="192">
        <f t="shared" si="328"/>
        <v>0</v>
      </c>
      <c r="AQ54" s="286">
        <f t="shared" si="96"/>
        <v>0</v>
      </c>
      <c r="AR54" s="318">
        <f t="shared" si="329"/>
        <v>0</v>
      </c>
      <c r="AS54" s="286">
        <f t="shared" si="96"/>
        <v>0</v>
      </c>
      <c r="AT54" s="318">
        <f t="shared" si="330"/>
        <v>0</v>
      </c>
      <c r="AU54" s="286">
        <f t="shared" si="96"/>
        <v>0</v>
      </c>
      <c r="AV54" s="318">
        <f t="shared" si="331"/>
        <v>0</v>
      </c>
      <c r="AW54" s="286">
        <f t="shared" si="98"/>
        <v>0</v>
      </c>
      <c r="AX54" s="318">
        <f t="shared" si="5"/>
        <v>0</v>
      </c>
      <c r="AY54" s="286">
        <f t="shared" si="99"/>
        <v>0</v>
      </c>
      <c r="AZ54" s="318">
        <f t="shared" si="332"/>
        <v>0</v>
      </c>
      <c r="BA54" s="286">
        <f t="shared" si="100"/>
        <v>0</v>
      </c>
      <c r="BB54" s="318">
        <f t="shared" si="7"/>
        <v>0</v>
      </c>
      <c r="BC54" s="286">
        <f t="shared" si="101"/>
        <v>0</v>
      </c>
      <c r="BD54" s="318">
        <f t="shared" si="333"/>
        <v>0</v>
      </c>
      <c r="BE54" s="286">
        <f t="shared" si="102"/>
        <v>0</v>
      </c>
      <c r="BF54" s="318">
        <f t="shared" si="9"/>
        <v>0</v>
      </c>
      <c r="BG54" s="286">
        <f t="shared" si="103"/>
        <v>0</v>
      </c>
      <c r="BH54" s="318">
        <f t="shared" si="334"/>
        <v>0</v>
      </c>
      <c r="BI54" s="286">
        <f t="shared" ref="BI54:BK69" si="658">+BH54*$G54</f>
        <v>0</v>
      </c>
      <c r="BJ54" s="318">
        <f t="shared" si="335"/>
        <v>0</v>
      </c>
      <c r="BK54" s="286">
        <f t="shared" si="658"/>
        <v>0</v>
      </c>
      <c r="BL54" s="192"/>
      <c r="BM54" s="295">
        <f t="shared" si="105"/>
        <v>0</v>
      </c>
      <c r="BN54" s="231">
        <f t="shared" si="106"/>
        <v>0</v>
      </c>
      <c r="BO54" s="308">
        <f t="shared" si="410"/>
        <v>0</v>
      </c>
      <c r="BQ54" s="229"/>
      <c r="BR54" s="230"/>
      <c r="BS54" s="191"/>
      <c r="BT54" s="192">
        <f t="shared" si="280"/>
        <v>0</v>
      </c>
      <c r="BU54" s="333">
        <f t="shared" si="107"/>
        <v>0</v>
      </c>
      <c r="BV54" s="192">
        <f t="shared" si="457"/>
        <v>0</v>
      </c>
      <c r="BW54" s="193">
        <f t="shared" si="108"/>
        <v>0</v>
      </c>
      <c r="BX54" s="192">
        <f t="shared" si="458"/>
        <v>0</v>
      </c>
      <c r="BY54" s="193">
        <f t="shared" si="109"/>
        <v>0</v>
      </c>
      <c r="BZ54" s="192">
        <f t="shared" si="459"/>
        <v>0</v>
      </c>
      <c r="CA54" s="193">
        <f t="shared" si="110"/>
        <v>0</v>
      </c>
      <c r="CB54" s="192">
        <f t="shared" si="460"/>
        <v>0</v>
      </c>
      <c r="CC54" s="193">
        <f t="shared" si="111"/>
        <v>0</v>
      </c>
      <c r="CD54" s="192">
        <f t="shared" si="461"/>
        <v>0</v>
      </c>
      <c r="CE54" s="193">
        <f t="shared" si="112"/>
        <v>0</v>
      </c>
      <c r="CF54" s="192">
        <f t="shared" si="113"/>
        <v>0</v>
      </c>
      <c r="CG54" s="193">
        <f t="shared" si="114"/>
        <v>0</v>
      </c>
      <c r="CH54" s="192">
        <f t="shared" si="462"/>
        <v>0</v>
      </c>
      <c r="CI54" s="193">
        <f t="shared" si="115"/>
        <v>0</v>
      </c>
      <c r="CJ54" s="192">
        <f t="shared" si="116"/>
        <v>0</v>
      </c>
      <c r="CK54" s="193">
        <f t="shared" si="117"/>
        <v>0</v>
      </c>
      <c r="CL54" s="192">
        <f t="shared" si="463"/>
        <v>0</v>
      </c>
      <c r="CM54" s="193">
        <f t="shared" si="118"/>
        <v>0</v>
      </c>
      <c r="CN54" s="192">
        <f t="shared" si="119"/>
        <v>0</v>
      </c>
      <c r="CO54" s="193">
        <f t="shared" si="120"/>
        <v>0</v>
      </c>
      <c r="CP54" s="192">
        <f t="shared" si="464"/>
        <v>0</v>
      </c>
      <c r="CQ54" s="195"/>
      <c r="CR54" s="231">
        <f t="shared" si="121"/>
        <v>0</v>
      </c>
      <c r="CS54" s="197">
        <f t="shared" si="448"/>
        <v>0</v>
      </c>
      <c r="CU54" s="229"/>
      <c r="CV54" s="230"/>
      <c r="CW54" s="191"/>
      <c r="CX54" s="192">
        <f t="shared" si="122"/>
        <v>0</v>
      </c>
      <c r="CY54" s="193">
        <f t="shared" si="123"/>
        <v>0</v>
      </c>
      <c r="CZ54" s="192">
        <f t="shared" si="465"/>
        <v>0</v>
      </c>
      <c r="DA54" s="286">
        <f t="shared" si="123"/>
        <v>0</v>
      </c>
      <c r="DB54" s="192">
        <f t="shared" si="466"/>
        <v>0</v>
      </c>
      <c r="DC54" s="286">
        <f t="shared" si="124"/>
        <v>0</v>
      </c>
      <c r="DD54" s="192">
        <f t="shared" si="467"/>
        <v>0</v>
      </c>
      <c r="DE54" s="286">
        <f t="shared" si="125"/>
        <v>0</v>
      </c>
      <c r="DF54" s="192">
        <f t="shared" si="468"/>
        <v>0</v>
      </c>
      <c r="DG54" s="286">
        <f t="shared" si="126"/>
        <v>0</v>
      </c>
      <c r="DH54" s="192">
        <f t="shared" si="469"/>
        <v>0</v>
      </c>
      <c r="DI54" s="286">
        <f t="shared" si="127"/>
        <v>0</v>
      </c>
      <c r="DJ54" s="192">
        <f t="shared" si="128"/>
        <v>0</v>
      </c>
      <c r="DK54" s="286">
        <f t="shared" si="129"/>
        <v>0</v>
      </c>
      <c r="DL54" s="192">
        <f t="shared" si="470"/>
        <v>0</v>
      </c>
      <c r="DM54" s="286">
        <f t="shared" si="130"/>
        <v>0</v>
      </c>
      <c r="DN54" s="192">
        <f t="shared" si="131"/>
        <v>0</v>
      </c>
      <c r="DO54" s="286">
        <f t="shared" si="132"/>
        <v>0</v>
      </c>
      <c r="DP54" s="192">
        <f t="shared" si="471"/>
        <v>0</v>
      </c>
      <c r="DQ54" s="286">
        <f t="shared" si="133"/>
        <v>0</v>
      </c>
      <c r="DR54" s="192">
        <f t="shared" si="134"/>
        <v>0</v>
      </c>
      <c r="DS54" s="286">
        <f t="shared" si="135"/>
        <v>0</v>
      </c>
      <c r="DT54" s="192">
        <f t="shared" si="472"/>
        <v>0</v>
      </c>
      <c r="DU54" s="286">
        <f t="shared" si="136"/>
        <v>0</v>
      </c>
      <c r="DV54" s="231">
        <f t="shared" si="137"/>
        <v>0</v>
      </c>
      <c r="DW54" s="197">
        <f t="shared" si="449"/>
        <v>0</v>
      </c>
      <c r="DY54" s="229"/>
      <c r="DZ54" s="230"/>
      <c r="EA54" s="191"/>
      <c r="EB54" s="192">
        <f t="shared" si="384"/>
        <v>0</v>
      </c>
      <c r="EC54" s="193">
        <f t="shared" si="139"/>
        <v>0</v>
      </c>
      <c r="ED54" s="318">
        <f t="shared" si="385"/>
        <v>0</v>
      </c>
      <c r="EE54" s="193">
        <f t="shared" si="139"/>
        <v>0</v>
      </c>
      <c r="EF54" s="192">
        <f t="shared" si="386"/>
        <v>0</v>
      </c>
      <c r="EG54" s="193">
        <f t="shared" ref="EG54:EI69" si="659">+EF54*$G54</f>
        <v>0</v>
      </c>
      <c r="EH54" s="192">
        <f t="shared" si="387"/>
        <v>0</v>
      </c>
      <c r="EI54" s="193">
        <f t="shared" si="659"/>
        <v>0</v>
      </c>
      <c r="EJ54" s="192">
        <f t="shared" si="388"/>
        <v>0</v>
      </c>
      <c r="EK54" s="193">
        <f t="shared" si="143"/>
        <v>0</v>
      </c>
      <c r="EL54" s="192">
        <f t="shared" si="389"/>
        <v>0</v>
      </c>
      <c r="EM54" s="193">
        <f t="shared" si="144"/>
        <v>0</v>
      </c>
      <c r="EN54" s="192">
        <f t="shared" si="290"/>
        <v>0</v>
      </c>
      <c r="EO54" s="193">
        <f t="shared" si="145"/>
        <v>0</v>
      </c>
      <c r="EP54" s="192">
        <f t="shared" si="390"/>
        <v>0</v>
      </c>
      <c r="EQ54" s="193">
        <f t="shared" si="146"/>
        <v>0</v>
      </c>
      <c r="ER54" s="192">
        <f t="shared" si="292"/>
        <v>0</v>
      </c>
      <c r="ES54" s="193">
        <f t="shared" si="147"/>
        <v>0</v>
      </c>
      <c r="ET54" s="192">
        <f t="shared" si="391"/>
        <v>0</v>
      </c>
      <c r="EU54" s="193">
        <f t="shared" si="148"/>
        <v>0</v>
      </c>
      <c r="EV54" s="192">
        <f t="shared" si="294"/>
        <v>0</v>
      </c>
      <c r="EW54" s="193">
        <f t="shared" si="149"/>
        <v>0</v>
      </c>
      <c r="EX54" s="192">
        <f t="shared" si="392"/>
        <v>0</v>
      </c>
      <c r="EY54" s="193">
        <f t="shared" si="150"/>
        <v>0</v>
      </c>
      <c r="EZ54" s="231">
        <f t="shared" si="151"/>
        <v>0</v>
      </c>
      <c r="FA54" s="197"/>
      <c r="FC54" s="229">
        <v>1</v>
      </c>
      <c r="FD54" s="230"/>
      <c r="FE54" s="191">
        <f>+FD54*FC54*G54</f>
        <v>0</v>
      </c>
      <c r="FF54" s="192">
        <v>0</v>
      </c>
      <c r="FG54" s="193">
        <f t="shared" si="154"/>
        <v>0</v>
      </c>
      <c r="FH54" s="370">
        <v>0</v>
      </c>
      <c r="FI54" s="193">
        <f t="shared" si="155"/>
        <v>0</v>
      </c>
      <c r="FJ54" s="370">
        <v>0</v>
      </c>
      <c r="FK54" s="193">
        <f t="shared" si="155"/>
        <v>0</v>
      </c>
      <c r="FL54" s="370">
        <v>0</v>
      </c>
      <c r="FM54" s="193">
        <f t="shared" si="156"/>
        <v>0</v>
      </c>
      <c r="FN54" s="370">
        <v>1</v>
      </c>
      <c r="FO54" s="193">
        <f t="shared" si="157"/>
        <v>10677180.952380951</v>
      </c>
      <c r="FP54" s="370">
        <v>0</v>
      </c>
      <c r="FQ54" s="193">
        <f t="shared" si="158"/>
        <v>0</v>
      </c>
      <c r="FR54" s="370">
        <v>0</v>
      </c>
      <c r="FS54" s="193">
        <f t="shared" si="160"/>
        <v>0</v>
      </c>
      <c r="FT54" s="370">
        <v>0</v>
      </c>
      <c r="FU54" s="193">
        <f t="shared" si="161"/>
        <v>0</v>
      </c>
      <c r="FV54" s="370">
        <v>0</v>
      </c>
      <c r="FW54" s="193">
        <f t="shared" si="163"/>
        <v>0</v>
      </c>
      <c r="FX54" s="370">
        <v>0</v>
      </c>
      <c r="FY54" s="193">
        <f t="shared" si="164"/>
        <v>0</v>
      </c>
      <c r="FZ54" s="370">
        <v>1</v>
      </c>
      <c r="GA54" s="193">
        <f t="shared" si="166"/>
        <v>10677180.952380951</v>
      </c>
      <c r="GB54" s="370">
        <v>0</v>
      </c>
      <c r="GC54" s="193">
        <f t="shared" si="167"/>
        <v>0</v>
      </c>
      <c r="GD54" s="231">
        <f t="shared" si="168"/>
        <v>2</v>
      </c>
      <c r="GE54" s="197">
        <f t="shared" si="411"/>
        <v>21354361.904761903</v>
      </c>
      <c r="GG54" s="229"/>
      <c r="GH54" s="230"/>
      <c r="GI54" s="191"/>
      <c r="GJ54" s="192">
        <f t="shared" si="169"/>
        <v>0</v>
      </c>
      <c r="GK54" s="193">
        <f t="shared" si="170"/>
        <v>0</v>
      </c>
      <c r="GL54" s="192">
        <f t="shared" si="169"/>
        <v>0</v>
      </c>
      <c r="GM54" s="193">
        <f t="shared" si="170"/>
        <v>0</v>
      </c>
      <c r="GN54" s="192">
        <f t="shared" si="169"/>
        <v>0</v>
      </c>
      <c r="GO54" s="193">
        <f t="shared" si="171"/>
        <v>0</v>
      </c>
      <c r="GP54" s="192">
        <f t="shared" si="169"/>
        <v>0</v>
      </c>
      <c r="GQ54" s="193">
        <f t="shared" si="172"/>
        <v>0</v>
      </c>
      <c r="GR54" s="192">
        <f t="shared" si="173"/>
        <v>0</v>
      </c>
      <c r="GS54" s="193">
        <f t="shared" si="174"/>
        <v>0</v>
      </c>
      <c r="GT54" s="192">
        <f t="shared" si="175"/>
        <v>0</v>
      </c>
      <c r="GU54" s="193">
        <f t="shared" si="176"/>
        <v>0</v>
      </c>
      <c r="GV54" s="192">
        <f t="shared" si="177"/>
        <v>0</v>
      </c>
      <c r="GW54" s="193">
        <f t="shared" si="178"/>
        <v>0</v>
      </c>
      <c r="GX54" s="192">
        <f t="shared" si="179"/>
        <v>0</v>
      </c>
      <c r="GY54" s="193">
        <f t="shared" si="180"/>
        <v>0</v>
      </c>
      <c r="GZ54" s="192">
        <f t="shared" si="181"/>
        <v>0</v>
      </c>
      <c r="HA54" s="193">
        <f t="shared" si="182"/>
        <v>0</v>
      </c>
      <c r="HB54" s="192">
        <f t="shared" si="183"/>
        <v>0</v>
      </c>
      <c r="HC54" s="193">
        <f t="shared" si="184"/>
        <v>0</v>
      </c>
      <c r="HD54" s="192">
        <f t="shared" si="185"/>
        <v>0</v>
      </c>
      <c r="HE54" s="193">
        <f t="shared" si="186"/>
        <v>0</v>
      </c>
      <c r="HF54" s="192">
        <f t="shared" si="187"/>
        <v>0</v>
      </c>
      <c r="HG54" s="193">
        <f t="shared" si="188"/>
        <v>0</v>
      </c>
      <c r="HH54" s="231">
        <f t="shared" si="189"/>
        <v>0</v>
      </c>
      <c r="HI54" s="197"/>
      <c r="HK54" s="229">
        <v>1</v>
      </c>
      <c r="HL54" s="230"/>
      <c r="HM54" s="191">
        <f>+G54</f>
        <v>10677180.952380951</v>
      </c>
      <c r="HN54" s="373">
        <f t="shared" si="190"/>
        <v>0</v>
      </c>
      <c r="HO54" s="193"/>
      <c r="HP54" s="192">
        <f t="shared" si="192"/>
        <v>0</v>
      </c>
      <c r="HQ54" s="193">
        <f t="shared" si="193"/>
        <v>0</v>
      </c>
      <c r="HR54" s="192">
        <f t="shared" si="192"/>
        <v>0</v>
      </c>
      <c r="HS54" s="193">
        <f t="shared" si="193"/>
        <v>0</v>
      </c>
      <c r="HT54" s="192">
        <f t="shared" si="192"/>
        <v>0</v>
      </c>
      <c r="HU54" s="193">
        <f t="shared" si="194"/>
        <v>0</v>
      </c>
      <c r="HV54" s="192">
        <f t="shared" si="192"/>
        <v>0</v>
      </c>
      <c r="HW54" s="193">
        <f t="shared" si="195"/>
        <v>0</v>
      </c>
      <c r="HX54" s="192">
        <v>1</v>
      </c>
      <c r="HY54" s="193">
        <f t="shared" si="197"/>
        <v>10677180.952380951</v>
      </c>
      <c r="HZ54" s="192">
        <f t="shared" si="198"/>
        <v>0</v>
      </c>
      <c r="IA54" s="193">
        <f t="shared" si="199"/>
        <v>0</v>
      </c>
      <c r="IB54" s="192">
        <f t="shared" si="200"/>
        <v>0</v>
      </c>
      <c r="IC54" s="193">
        <f t="shared" si="201"/>
        <v>0</v>
      </c>
      <c r="ID54" s="192">
        <f t="shared" si="202"/>
        <v>0</v>
      </c>
      <c r="IE54" s="193">
        <f t="shared" si="203"/>
        <v>0</v>
      </c>
      <c r="IF54" s="192">
        <f t="shared" si="204"/>
        <v>0</v>
      </c>
      <c r="IG54" s="193">
        <f t="shared" si="205"/>
        <v>0</v>
      </c>
      <c r="IH54" s="192">
        <f t="shared" si="206"/>
        <v>0</v>
      </c>
      <c r="II54" s="193">
        <f t="shared" si="207"/>
        <v>0</v>
      </c>
      <c r="IJ54" s="192">
        <v>1</v>
      </c>
      <c r="IK54" s="193">
        <f t="shared" si="209"/>
        <v>10677180.952380951</v>
      </c>
      <c r="IL54" s="231">
        <f t="shared" si="210"/>
        <v>2</v>
      </c>
      <c r="IM54" s="197">
        <f t="shared" si="211"/>
        <v>21354361.904761903</v>
      </c>
      <c r="IO54" s="229"/>
      <c r="IP54" s="230"/>
      <c r="IQ54" s="191"/>
      <c r="IR54" s="192">
        <f t="shared" si="212"/>
        <v>0</v>
      </c>
      <c r="IS54" s="193">
        <f t="shared" si="213"/>
        <v>0</v>
      </c>
      <c r="IT54" s="192">
        <f t="shared" si="401"/>
        <v>0</v>
      </c>
      <c r="IU54" s="286">
        <f t="shared" si="214"/>
        <v>0</v>
      </c>
      <c r="IV54" s="192">
        <f t="shared" si="402"/>
        <v>0</v>
      </c>
      <c r="IW54" s="286">
        <f t="shared" si="214"/>
        <v>0</v>
      </c>
      <c r="IX54" s="192">
        <f t="shared" si="403"/>
        <v>0</v>
      </c>
      <c r="IY54" s="286">
        <f t="shared" si="215"/>
        <v>0</v>
      </c>
      <c r="IZ54" s="192">
        <f t="shared" si="404"/>
        <v>0</v>
      </c>
      <c r="JA54" s="286">
        <f t="shared" si="216"/>
        <v>0</v>
      </c>
      <c r="JB54" s="192">
        <f t="shared" si="405"/>
        <v>0</v>
      </c>
      <c r="JC54" s="286">
        <f t="shared" si="217"/>
        <v>0</v>
      </c>
      <c r="JD54" s="192">
        <f t="shared" si="218"/>
        <v>0</v>
      </c>
      <c r="JE54" s="286">
        <f t="shared" si="219"/>
        <v>0</v>
      </c>
      <c r="JF54" s="192">
        <f t="shared" si="406"/>
        <v>0</v>
      </c>
      <c r="JG54" s="286">
        <f t="shared" si="220"/>
        <v>0</v>
      </c>
      <c r="JH54" s="192">
        <f t="shared" si="221"/>
        <v>0</v>
      </c>
      <c r="JI54" s="286">
        <f t="shared" si="222"/>
        <v>0</v>
      </c>
      <c r="JJ54" s="192">
        <f t="shared" si="407"/>
        <v>0</v>
      </c>
      <c r="JK54" s="286">
        <f t="shared" si="223"/>
        <v>0</v>
      </c>
      <c r="JL54" s="192">
        <f t="shared" si="224"/>
        <v>0</v>
      </c>
      <c r="JM54" s="286">
        <f t="shared" si="225"/>
        <v>0</v>
      </c>
      <c r="JN54" s="192">
        <f t="shared" si="408"/>
        <v>0</v>
      </c>
      <c r="JO54" s="286">
        <f t="shared" si="226"/>
        <v>0</v>
      </c>
      <c r="JP54" s="231">
        <f t="shared" si="227"/>
        <v>0</v>
      </c>
      <c r="JQ54" s="197">
        <f t="shared" si="228"/>
        <v>0</v>
      </c>
      <c r="JS54" s="229"/>
      <c r="JT54" s="230"/>
      <c r="JU54" s="191"/>
      <c r="JV54" s="192">
        <f t="shared" si="229"/>
        <v>0</v>
      </c>
      <c r="JW54" s="193">
        <f t="shared" si="230"/>
        <v>0</v>
      </c>
      <c r="JX54" s="370"/>
      <c r="JY54" s="193">
        <f t="shared" si="231"/>
        <v>0</v>
      </c>
      <c r="JZ54" s="370"/>
      <c r="KA54" s="193">
        <f t="shared" si="231"/>
        <v>0</v>
      </c>
      <c r="KB54" s="370"/>
      <c r="KC54" s="193">
        <f t="shared" si="232"/>
        <v>0</v>
      </c>
      <c r="KD54" s="370"/>
      <c r="KE54" s="193">
        <f t="shared" si="233"/>
        <v>0</v>
      </c>
      <c r="KF54" s="370"/>
      <c r="KG54" s="193">
        <f t="shared" si="234"/>
        <v>0</v>
      </c>
      <c r="KH54" s="370"/>
      <c r="KI54" s="193">
        <f t="shared" si="236"/>
        <v>0</v>
      </c>
      <c r="KJ54" s="370"/>
      <c r="KK54" s="193">
        <f t="shared" si="237"/>
        <v>0</v>
      </c>
      <c r="KL54" s="370"/>
      <c r="KM54" s="193">
        <f t="shared" si="239"/>
        <v>0</v>
      </c>
      <c r="KN54" s="370"/>
      <c r="KO54" s="193">
        <f t="shared" si="240"/>
        <v>0</v>
      </c>
      <c r="KP54" s="370"/>
      <c r="KQ54" s="193">
        <f t="shared" si="242"/>
        <v>0</v>
      </c>
      <c r="KR54" s="370"/>
      <c r="KS54" s="194">
        <f t="shared" si="243"/>
        <v>0</v>
      </c>
      <c r="KT54" s="231">
        <f t="shared" si="244"/>
        <v>0</v>
      </c>
      <c r="KU54" s="197"/>
      <c r="KW54" s="229"/>
      <c r="KX54" s="230"/>
      <c r="KY54" s="191"/>
      <c r="KZ54" s="192">
        <f t="shared" si="271"/>
        <v>0</v>
      </c>
      <c r="LA54" s="193"/>
      <c r="LB54" s="192">
        <f t="shared" si="272"/>
        <v>0</v>
      </c>
      <c r="LC54" s="193">
        <f t="shared" si="246"/>
        <v>0</v>
      </c>
      <c r="LD54" s="192">
        <f t="shared" si="272"/>
        <v>0</v>
      </c>
      <c r="LE54" s="193">
        <f t="shared" si="246"/>
        <v>0</v>
      </c>
      <c r="LF54" s="192">
        <f t="shared" si="272"/>
        <v>0</v>
      </c>
      <c r="LG54" s="193">
        <f t="shared" si="247"/>
        <v>0</v>
      </c>
      <c r="LH54" s="192">
        <f t="shared" si="272"/>
        <v>0</v>
      </c>
      <c r="LI54" s="193">
        <f t="shared" si="248"/>
        <v>0</v>
      </c>
      <c r="LJ54" s="192">
        <f t="shared" si="273"/>
        <v>0</v>
      </c>
      <c r="LK54" s="193">
        <f t="shared" si="249"/>
        <v>0</v>
      </c>
      <c r="LL54" s="192">
        <f t="shared" si="274"/>
        <v>0</v>
      </c>
      <c r="LM54" s="193">
        <f t="shared" si="250"/>
        <v>0</v>
      </c>
      <c r="LN54" s="192">
        <f t="shared" si="275"/>
        <v>0</v>
      </c>
      <c r="LO54" s="193">
        <f t="shared" si="251"/>
        <v>0</v>
      </c>
      <c r="LP54" s="192">
        <f t="shared" si="276"/>
        <v>0</v>
      </c>
      <c r="LQ54" s="193">
        <f t="shared" si="252"/>
        <v>0</v>
      </c>
      <c r="LR54" s="192">
        <f t="shared" si="277"/>
        <v>0</v>
      </c>
      <c r="LS54" s="193">
        <f t="shared" si="253"/>
        <v>0</v>
      </c>
      <c r="LT54" s="192">
        <f t="shared" si="278"/>
        <v>0</v>
      </c>
      <c r="LU54" s="193">
        <f t="shared" si="254"/>
        <v>0</v>
      </c>
      <c r="LV54" s="192">
        <f t="shared" si="279"/>
        <v>0</v>
      </c>
      <c r="LW54" s="193">
        <f t="shared" si="255"/>
        <v>0</v>
      </c>
      <c r="LX54" s="231">
        <f t="shared" si="256"/>
        <v>0</v>
      </c>
      <c r="LY54" s="197">
        <f t="shared" si="257"/>
        <v>0</v>
      </c>
      <c r="MA54" s="204">
        <f t="shared" si="412"/>
        <v>0</v>
      </c>
      <c r="MB54" s="387">
        <f t="shared" si="258"/>
        <v>0</v>
      </c>
      <c r="MC54" s="395">
        <f t="shared" si="413"/>
        <v>0</v>
      </c>
      <c r="MD54" s="387">
        <f t="shared" si="259"/>
        <v>0</v>
      </c>
      <c r="ME54" s="395">
        <f t="shared" si="414"/>
        <v>0</v>
      </c>
      <c r="MF54" s="387">
        <f t="shared" si="259"/>
        <v>0</v>
      </c>
      <c r="MG54" s="395">
        <f t="shared" si="415"/>
        <v>0</v>
      </c>
      <c r="MH54" s="387">
        <f t="shared" si="260"/>
        <v>0</v>
      </c>
      <c r="MI54" s="395">
        <f t="shared" si="416"/>
        <v>1</v>
      </c>
      <c r="MJ54" s="387">
        <f t="shared" si="261"/>
        <v>10677180.952380951</v>
      </c>
      <c r="MK54" s="395">
        <f t="shared" si="417"/>
        <v>1</v>
      </c>
      <c r="ML54" s="387">
        <f t="shared" si="262"/>
        <v>10677180.952380951</v>
      </c>
      <c r="MM54" s="395">
        <f t="shared" si="418"/>
        <v>0</v>
      </c>
      <c r="MN54" s="387">
        <f t="shared" si="263"/>
        <v>0</v>
      </c>
      <c r="MO54" s="395">
        <f t="shared" si="419"/>
        <v>0</v>
      </c>
      <c r="MP54" s="387">
        <f t="shared" si="264"/>
        <v>0</v>
      </c>
      <c r="MQ54" s="395">
        <f t="shared" si="420"/>
        <v>0</v>
      </c>
      <c r="MR54" s="387">
        <f t="shared" si="265"/>
        <v>0</v>
      </c>
      <c r="MS54" s="395">
        <f t="shared" si="421"/>
        <v>0</v>
      </c>
      <c r="MT54" s="387">
        <f t="shared" si="266"/>
        <v>0</v>
      </c>
      <c r="MU54" s="395">
        <f t="shared" si="422"/>
        <v>1</v>
      </c>
      <c r="MV54" s="387">
        <f t="shared" si="267"/>
        <v>10677180.952380951</v>
      </c>
      <c r="MW54" s="395">
        <f t="shared" si="423"/>
        <v>1</v>
      </c>
      <c r="MX54" s="387">
        <f t="shared" si="268"/>
        <v>10677180.952380951</v>
      </c>
      <c r="MY54" s="204">
        <f t="shared" si="269"/>
        <v>4</v>
      </c>
      <c r="MZ54" s="206">
        <f t="shared" si="270"/>
        <v>42708723.809523806</v>
      </c>
    </row>
    <row r="55" spans="1:364" ht="39.6" x14ac:dyDescent="0.25">
      <c r="A55" s="532" t="s">
        <v>116</v>
      </c>
      <c r="B55" s="232" t="s">
        <v>117</v>
      </c>
      <c r="C55" s="233" t="s">
        <v>118</v>
      </c>
      <c r="D55" s="234" t="s">
        <v>119</v>
      </c>
      <c r="E55" s="3">
        <v>10</v>
      </c>
      <c r="F55" s="352">
        <v>2630044.325189753</v>
      </c>
      <c r="G55" s="352">
        <f t="shared" si="81"/>
        <v>2739654.5534471846</v>
      </c>
      <c r="I55" s="31"/>
      <c r="J55" s="19">
        <v>8.3333333333333329E-2</v>
      </c>
      <c r="K55" s="235">
        <f t="shared" si="82"/>
        <v>0</v>
      </c>
      <c r="L55" s="236"/>
      <c r="M55" s="300">
        <f t="shared" si="445"/>
        <v>0</v>
      </c>
      <c r="N55" s="278">
        <f t="shared" si="450"/>
        <v>0</v>
      </c>
      <c r="O55" s="288">
        <f t="shared" si="446"/>
        <v>0</v>
      </c>
      <c r="P55" s="278">
        <f t="shared" si="451"/>
        <v>0</v>
      </c>
      <c r="Q55" s="288">
        <f t="shared" si="446"/>
        <v>0</v>
      </c>
      <c r="R55" s="278">
        <f t="shared" si="452"/>
        <v>0</v>
      </c>
      <c r="S55" s="288">
        <f t="shared" si="86"/>
        <v>0</v>
      </c>
      <c r="T55" s="278">
        <f t="shared" si="453"/>
        <v>0</v>
      </c>
      <c r="U55" s="288">
        <f t="shared" si="87"/>
        <v>0</v>
      </c>
      <c r="V55" s="278">
        <f t="shared" si="409"/>
        <v>0</v>
      </c>
      <c r="W55" s="288">
        <f t="shared" si="88"/>
        <v>0</v>
      </c>
      <c r="X55" s="278">
        <f t="shared" si="305"/>
        <v>0</v>
      </c>
      <c r="Y55" s="288">
        <f t="shared" si="89"/>
        <v>0</v>
      </c>
      <c r="Z55" s="278">
        <f t="shared" si="454"/>
        <v>0</v>
      </c>
      <c r="AA55" s="288">
        <f t="shared" si="90"/>
        <v>0</v>
      </c>
      <c r="AB55" s="278">
        <f t="shared" si="306"/>
        <v>0</v>
      </c>
      <c r="AC55" s="288">
        <f t="shared" si="91"/>
        <v>0</v>
      </c>
      <c r="AD55" s="278">
        <f t="shared" si="455"/>
        <v>0</v>
      </c>
      <c r="AE55" s="288">
        <f t="shared" si="92"/>
        <v>0</v>
      </c>
      <c r="AF55" s="278">
        <f t="shared" si="307"/>
        <v>0</v>
      </c>
      <c r="AG55" s="288">
        <f t="shared" si="308"/>
        <v>0</v>
      </c>
      <c r="AH55" s="236">
        <f t="shared" si="456"/>
        <v>0</v>
      </c>
      <c r="AI55" s="298">
        <f t="shared" si="309"/>
        <v>0</v>
      </c>
      <c r="AJ55" s="239">
        <f t="shared" si="94"/>
        <v>0</v>
      </c>
      <c r="AK55" s="311">
        <f t="shared" si="95"/>
        <v>0</v>
      </c>
      <c r="AM55" s="18"/>
      <c r="AN55" s="19">
        <v>8.3333333333333329E-2</v>
      </c>
      <c r="AO55" s="241">
        <f t="shared" ref="AO55:AO86" si="660">+AM55*G55</f>
        <v>0</v>
      </c>
      <c r="AP55" s="236">
        <f t="shared" si="328"/>
        <v>0</v>
      </c>
      <c r="AQ55" s="300">
        <f t="shared" si="96"/>
        <v>0</v>
      </c>
      <c r="AR55" s="236">
        <f t="shared" si="329"/>
        <v>0</v>
      </c>
      <c r="AS55" s="300">
        <f t="shared" si="96"/>
        <v>0</v>
      </c>
      <c r="AT55" s="236">
        <f t="shared" si="330"/>
        <v>0</v>
      </c>
      <c r="AU55" s="300">
        <f t="shared" si="96"/>
        <v>0</v>
      </c>
      <c r="AV55" s="236">
        <f t="shared" si="331"/>
        <v>0</v>
      </c>
      <c r="AW55" s="300">
        <f t="shared" si="98"/>
        <v>0</v>
      </c>
      <c r="AX55" s="236">
        <f t="shared" si="5"/>
        <v>0</v>
      </c>
      <c r="AY55" s="300">
        <f t="shared" si="99"/>
        <v>0</v>
      </c>
      <c r="AZ55" s="236">
        <f t="shared" si="332"/>
        <v>0</v>
      </c>
      <c r="BA55" s="300">
        <f t="shared" si="100"/>
        <v>0</v>
      </c>
      <c r="BB55" s="236">
        <f t="shared" si="7"/>
        <v>0</v>
      </c>
      <c r="BC55" s="300">
        <f t="shared" si="101"/>
        <v>0</v>
      </c>
      <c r="BD55" s="236">
        <f t="shared" si="333"/>
        <v>0</v>
      </c>
      <c r="BE55" s="300">
        <f t="shared" si="102"/>
        <v>0</v>
      </c>
      <c r="BF55" s="236">
        <f t="shared" si="9"/>
        <v>0</v>
      </c>
      <c r="BG55" s="300">
        <f t="shared" si="103"/>
        <v>0</v>
      </c>
      <c r="BH55" s="236">
        <f t="shared" si="334"/>
        <v>0</v>
      </c>
      <c r="BI55" s="300">
        <f t="shared" si="658"/>
        <v>0</v>
      </c>
      <c r="BJ55" s="236">
        <f t="shared" si="335"/>
        <v>0</v>
      </c>
      <c r="BK55" s="300">
        <f t="shared" si="658"/>
        <v>0</v>
      </c>
      <c r="BL55" s="236">
        <f t="shared" ref="BL55:BL110" si="661">+$AM55*$AN55</f>
        <v>0</v>
      </c>
      <c r="BM55" s="298">
        <f t="shared" si="105"/>
        <v>0</v>
      </c>
      <c r="BN55" s="239">
        <f t="shared" si="106"/>
        <v>0</v>
      </c>
      <c r="BO55" s="311">
        <f t="shared" si="410"/>
        <v>0</v>
      </c>
      <c r="BQ55" s="18"/>
      <c r="BR55" s="19"/>
      <c r="BS55" s="242">
        <f t="shared" si="281"/>
        <v>0</v>
      </c>
      <c r="BT55" s="236">
        <f t="shared" si="280"/>
        <v>0</v>
      </c>
      <c r="BU55" s="335">
        <f t="shared" si="107"/>
        <v>0</v>
      </c>
      <c r="BV55" s="278">
        <f t="shared" si="457"/>
        <v>0</v>
      </c>
      <c r="BW55" s="338">
        <f t="shared" si="108"/>
        <v>0</v>
      </c>
      <c r="BX55" s="278">
        <f t="shared" si="458"/>
        <v>0</v>
      </c>
      <c r="BY55" s="338">
        <f t="shared" si="109"/>
        <v>0</v>
      </c>
      <c r="BZ55" s="278">
        <f t="shared" si="459"/>
        <v>0</v>
      </c>
      <c r="CA55" s="338">
        <f t="shared" si="110"/>
        <v>0</v>
      </c>
      <c r="CB55" s="278">
        <f t="shared" si="460"/>
        <v>0</v>
      </c>
      <c r="CC55" s="338">
        <f t="shared" si="111"/>
        <v>0</v>
      </c>
      <c r="CD55" s="278">
        <f t="shared" si="461"/>
        <v>0</v>
      </c>
      <c r="CE55" s="338">
        <f t="shared" si="112"/>
        <v>0</v>
      </c>
      <c r="CF55" s="278">
        <f t="shared" si="113"/>
        <v>0</v>
      </c>
      <c r="CG55" s="338">
        <f t="shared" si="114"/>
        <v>0</v>
      </c>
      <c r="CH55" s="278">
        <f t="shared" si="462"/>
        <v>0</v>
      </c>
      <c r="CI55" s="338">
        <f t="shared" si="115"/>
        <v>0</v>
      </c>
      <c r="CJ55" s="278">
        <f t="shared" si="116"/>
        <v>0</v>
      </c>
      <c r="CK55" s="338">
        <f t="shared" si="117"/>
        <v>0</v>
      </c>
      <c r="CL55" s="278">
        <f t="shared" si="463"/>
        <v>0</v>
      </c>
      <c r="CM55" s="338">
        <f t="shared" si="118"/>
        <v>0</v>
      </c>
      <c r="CN55" s="278">
        <f t="shared" si="119"/>
        <v>0</v>
      </c>
      <c r="CO55" s="338">
        <f t="shared" si="120"/>
        <v>0</v>
      </c>
      <c r="CP55" s="278">
        <f t="shared" si="464"/>
        <v>0</v>
      </c>
      <c r="CQ55" s="237">
        <f t="shared" ref="CQ55:CQ86" si="662">+CP55*G55</f>
        <v>0</v>
      </c>
      <c r="CR55" s="239">
        <f t="shared" si="121"/>
        <v>0</v>
      </c>
      <c r="CS55" s="238">
        <f t="shared" si="448"/>
        <v>0</v>
      </c>
      <c r="CU55" s="18">
        <v>0</v>
      </c>
      <c r="CV55" s="19"/>
      <c r="CW55" s="242">
        <f t="shared" si="299"/>
        <v>0</v>
      </c>
      <c r="CX55" s="236">
        <f t="shared" si="122"/>
        <v>0</v>
      </c>
      <c r="CY55" s="237">
        <f t="shared" si="123"/>
        <v>0</v>
      </c>
      <c r="CZ55" s="278">
        <f t="shared" si="465"/>
        <v>0</v>
      </c>
      <c r="DA55" s="298">
        <f t="shared" si="123"/>
        <v>0</v>
      </c>
      <c r="DB55" s="278">
        <f t="shared" si="466"/>
        <v>0</v>
      </c>
      <c r="DC55" s="298">
        <f t="shared" si="124"/>
        <v>0</v>
      </c>
      <c r="DD55" s="278">
        <f t="shared" si="467"/>
        <v>0</v>
      </c>
      <c r="DE55" s="298">
        <f t="shared" si="125"/>
        <v>0</v>
      </c>
      <c r="DF55" s="278">
        <f t="shared" si="468"/>
        <v>0</v>
      </c>
      <c r="DG55" s="298">
        <f t="shared" si="126"/>
        <v>0</v>
      </c>
      <c r="DH55" s="278">
        <f t="shared" si="469"/>
        <v>0</v>
      </c>
      <c r="DI55" s="298">
        <f t="shared" si="127"/>
        <v>0</v>
      </c>
      <c r="DJ55" s="278">
        <f t="shared" si="128"/>
        <v>0</v>
      </c>
      <c r="DK55" s="298">
        <f t="shared" si="129"/>
        <v>0</v>
      </c>
      <c r="DL55" s="278">
        <f t="shared" si="470"/>
        <v>0</v>
      </c>
      <c r="DM55" s="298">
        <f t="shared" si="130"/>
        <v>0</v>
      </c>
      <c r="DN55" s="278">
        <f t="shared" si="131"/>
        <v>0</v>
      </c>
      <c r="DO55" s="298">
        <f t="shared" si="132"/>
        <v>0</v>
      </c>
      <c r="DP55" s="278">
        <f t="shared" si="471"/>
        <v>0</v>
      </c>
      <c r="DQ55" s="298">
        <f t="shared" si="133"/>
        <v>0</v>
      </c>
      <c r="DR55" s="278">
        <f t="shared" si="134"/>
        <v>0</v>
      </c>
      <c r="DS55" s="298">
        <f t="shared" si="135"/>
        <v>0</v>
      </c>
      <c r="DT55" s="278">
        <f t="shared" si="472"/>
        <v>0</v>
      </c>
      <c r="DU55" s="298">
        <f t="shared" si="136"/>
        <v>0</v>
      </c>
      <c r="DV55" s="239">
        <f t="shared" si="137"/>
        <v>0</v>
      </c>
      <c r="DW55" s="238">
        <f t="shared" si="449"/>
        <v>0</v>
      </c>
      <c r="DY55" s="243"/>
      <c r="DZ55" s="19"/>
      <c r="EA55" s="241">
        <f t="shared" ref="EA55:EA86" si="663">+G55*DY55</f>
        <v>0</v>
      </c>
      <c r="EB55" s="236">
        <f t="shared" si="384"/>
        <v>0</v>
      </c>
      <c r="EC55" s="237">
        <f t="shared" si="139"/>
        <v>0</v>
      </c>
      <c r="ED55" s="355">
        <f t="shared" si="385"/>
        <v>0</v>
      </c>
      <c r="EE55" s="237">
        <f t="shared" si="139"/>
        <v>0</v>
      </c>
      <c r="EF55" s="236">
        <f t="shared" si="386"/>
        <v>0</v>
      </c>
      <c r="EG55" s="237">
        <f t="shared" si="659"/>
        <v>0</v>
      </c>
      <c r="EH55" s="236">
        <f t="shared" si="387"/>
        <v>0</v>
      </c>
      <c r="EI55" s="237">
        <f t="shared" si="659"/>
        <v>0</v>
      </c>
      <c r="EJ55" s="236">
        <f t="shared" si="388"/>
        <v>0</v>
      </c>
      <c r="EK55" s="237">
        <f t="shared" si="143"/>
        <v>0</v>
      </c>
      <c r="EL55" s="236">
        <f t="shared" si="389"/>
        <v>0</v>
      </c>
      <c r="EM55" s="237">
        <f t="shared" si="144"/>
        <v>0</v>
      </c>
      <c r="EN55" s="236">
        <f t="shared" si="290"/>
        <v>0</v>
      </c>
      <c r="EO55" s="237">
        <f t="shared" si="145"/>
        <v>0</v>
      </c>
      <c r="EP55" s="236">
        <f t="shared" si="390"/>
        <v>0</v>
      </c>
      <c r="EQ55" s="237">
        <f t="shared" si="146"/>
        <v>0</v>
      </c>
      <c r="ER55" s="236">
        <f t="shared" si="292"/>
        <v>0</v>
      </c>
      <c r="ES55" s="237">
        <f t="shared" si="147"/>
        <v>0</v>
      </c>
      <c r="ET55" s="236">
        <f t="shared" si="391"/>
        <v>0</v>
      </c>
      <c r="EU55" s="237">
        <f t="shared" si="148"/>
        <v>0</v>
      </c>
      <c r="EV55" s="236">
        <f t="shared" si="294"/>
        <v>0</v>
      </c>
      <c r="EW55" s="237">
        <f t="shared" si="149"/>
        <v>0</v>
      </c>
      <c r="EX55" s="236">
        <f t="shared" si="392"/>
        <v>0</v>
      </c>
      <c r="EY55" s="237">
        <f t="shared" si="150"/>
        <v>0</v>
      </c>
      <c r="EZ55" s="239">
        <f t="shared" si="151"/>
        <v>0</v>
      </c>
      <c r="FA55" s="238">
        <f t="shared" ref="FA55:FA86" si="664">+EZ55*G55</f>
        <v>0</v>
      </c>
      <c r="FC55" s="18"/>
      <c r="FD55" s="19"/>
      <c r="FE55" s="244">
        <f t="shared" si="152"/>
        <v>0</v>
      </c>
      <c r="FF55" s="236">
        <f t="shared" si="153"/>
        <v>0</v>
      </c>
      <c r="FG55" s="237">
        <f t="shared" si="154"/>
        <v>0</v>
      </c>
      <c r="FH55" s="371">
        <f t="shared" si="473"/>
        <v>0</v>
      </c>
      <c r="FI55" s="338">
        <f t="shared" si="155"/>
        <v>0</v>
      </c>
      <c r="FJ55" s="371">
        <f t="shared" si="474"/>
        <v>0</v>
      </c>
      <c r="FK55" s="338">
        <f t="shared" si="155"/>
        <v>0</v>
      </c>
      <c r="FL55" s="371">
        <f t="shared" si="475"/>
        <v>0</v>
      </c>
      <c r="FM55" s="338">
        <f t="shared" si="156"/>
        <v>0</v>
      </c>
      <c r="FN55" s="371">
        <f t="shared" si="476"/>
        <v>0</v>
      </c>
      <c r="FO55" s="338">
        <f t="shared" si="157"/>
        <v>0</v>
      </c>
      <c r="FP55" s="371">
        <f t="shared" si="477"/>
        <v>0</v>
      </c>
      <c r="FQ55" s="338">
        <f t="shared" si="158"/>
        <v>0</v>
      </c>
      <c r="FR55" s="371">
        <f t="shared" si="159"/>
        <v>0</v>
      </c>
      <c r="FS55" s="338">
        <f t="shared" si="160"/>
        <v>0</v>
      </c>
      <c r="FT55" s="371">
        <f t="shared" si="478"/>
        <v>0</v>
      </c>
      <c r="FU55" s="338">
        <f t="shared" si="161"/>
        <v>0</v>
      </c>
      <c r="FV55" s="371">
        <f t="shared" si="162"/>
        <v>0</v>
      </c>
      <c r="FW55" s="338">
        <f t="shared" si="163"/>
        <v>0</v>
      </c>
      <c r="FX55" s="371">
        <f t="shared" si="479"/>
        <v>0</v>
      </c>
      <c r="FY55" s="338">
        <f t="shared" si="164"/>
        <v>0</v>
      </c>
      <c r="FZ55" s="371">
        <f t="shared" si="165"/>
        <v>0</v>
      </c>
      <c r="GA55" s="338">
        <f t="shared" si="166"/>
        <v>0</v>
      </c>
      <c r="GB55" s="371">
        <f t="shared" si="480"/>
        <v>0</v>
      </c>
      <c r="GC55" s="338">
        <f t="shared" si="167"/>
        <v>0</v>
      </c>
      <c r="GD55" s="239">
        <f t="shared" si="168"/>
        <v>0</v>
      </c>
      <c r="GE55" s="238">
        <f t="shared" si="411"/>
        <v>0</v>
      </c>
      <c r="GG55" s="18"/>
      <c r="GH55" s="19">
        <v>0.2</v>
      </c>
      <c r="GI55" s="244">
        <f t="shared" ref="GI55:GI86" si="665">+GG55*G55</f>
        <v>0</v>
      </c>
      <c r="GJ55" s="236">
        <f t="shared" si="169"/>
        <v>0</v>
      </c>
      <c r="GK55" s="237">
        <f t="shared" si="170"/>
        <v>0</v>
      </c>
      <c r="GL55" s="236">
        <f t="shared" si="169"/>
        <v>0</v>
      </c>
      <c r="GM55" s="237">
        <f t="shared" si="170"/>
        <v>0</v>
      </c>
      <c r="GN55" s="236">
        <f t="shared" si="169"/>
        <v>0</v>
      </c>
      <c r="GO55" s="237">
        <f t="shared" si="171"/>
        <v>0</v>
      </c>
      <c r="GP55" s="236">
        <f t="shared" si="169"/>
        <v>0</v>
      </c>
      <c r="GQ55" s="237">
        <f t="shared" si="172"/>
        <v>0</v>
      </c>
      <c r="GR55" s="236">
        <f t="shared" si="173"/>
        <v>0</v>
      </c>
      <c r="GS55" s="237">
        <f t="shared" si="174"/>
        <v>0</v>
      </c>
      <c r="GT55" s="236">
        <f t="shared" si="175"/>
        <v>0</v>
      </c>
      <c r="GU55" s="237">
        <f t="shared" si="176"/>
        <v>0</v>
      </c>
      <c r="GV55" s="236">
        <f t="shared" si="177"/>
        <v>0</v>
      </c>
      <c r="GW55" s="237">
        <f t="shared" si="178"/>
        <v>0</v>
      </c>
      <c r="GX55" s="236">
        <f t="shared" si="179"/>
        <v>0</v>
      </c>
      <c r="GY55" s="237">
        <f t="shared" si="180"/>
        <v>0</v>
      </c>
      <c r="GZ55" s="236">
        <f t="shared" si="181"/>
        <v>0</v>
      </c>
      <c r="HA55" s="237">
        <f t="shared" si="182"/>
        <v>0</v>
      </c>
      <c r="HB55" s="236">
        <f t="shared" si="183"/>
        <v>0</v>
      </c>
      <c r="HC55" s="237">
        <f t="shared" si="184"/>
        <v>0</v>
      </c>
      <c r="HD55" s="236">
        <f t="shared" si="185"/>
        <v>0</v>
      </c>
      <c r="HE55" s="237">
        <f t="shared" si="186"/>
        <v>0</v>
      </c>
      <c r="HF55" s="236">
        <f t="shared" si="187"/>
        <v>0</v>
      </c>
      <c r="HG55" s="237">
        <f t="shared" si="188"/>
        <v>0</v>
      </c>
      <c r="HH55" s="239">
        <f t="shared" si="189"/>
        <v>0</v>
      </c>
      <c r="HI55" s="238">
        <f t="shared" ref="HI55:HI86" si="666">+HH55*G55</f>
        <v>0</v>
      </c>
      <c r="HK55" s="18"/>
      <c r="HL55" s="19"/>
      <c r="HM55" s="244">
        <f t="shared" ref="HM55:HM86" si="667">+HL55*HK55*G55</f>
        <v>0</v>
      </c>
      <c r="HN55" s="236">
        <f t="shared" si="190"/>
        <v>0</v>
      </c>
      <c r="HO55" s="237">
        <f t="shared" ref="HO55:HO86" si="668">+HN55*G55</f>
        <v>0</v>
      </c>
      <c r="HP55" s="236">
        <f t="shared" si="192"/>
        <v>0</v>
      </c>
      <c r="HQ55" s="237">
        <f t="shared" si="193"/>
        <v>0</v>
      </c>
      <c r="HR55" s="236">
        <f t="shared" si="192"/>
        <v>0</v>
      </c>
      <c r="HS55" s="237">
        <f t="shared" si="193"/>
        <v>0</v>
      </c>
      <c r="HT55" s="236">
        <f t="shared" si="192"/>
        <v>0</v>
      </c>
      <c r="HU55" s="237">
        <f t="shared" si="194"/>
        <v>0</v>
      </c>
      <c r="HV55" s="236">
        <f t="shared" si="192"/>
        <v>0</v>
      </c>
      <c r="HW55" s="237">
        <f t="shared" si="195"/>
        <v>0</v>
      </c>
      <c r="HX55" s="236">
        <f t="shared" si="196"/>
        <v>0</v>
      </c>
      <c r="HY55" s="237">
        <f t="shared" si="197"/>
        <v>0</v>
      </c>
      <c r="HZ55" s="236">
        <f t="shared" si="198"/>
        <v>0</v>
      </c>
      <c r="IA55" s="237">
        <f t="shared" si="199"/>
        <v>0</v>
      </c>
      <c r="IB55" s="236">
        <f t="shared" si="200"/>
        <v>0</v>
      </c>
      <c r="IC55" s="237">
        <f t="shared" si="201"/>
        <v>0</v>
      </c>
      <c r="ID55" s="236">
        <f t="shared" si="202"/>
        <v>0</v>
      </c>
      <c r="IE55" s="237">
        <f t="shared" si="203"/>
        <v>0</v>
      </c>
      <c r="IF55" s="236">
        <f t="shared" si="204"/>
        <v>0</v>
      </c>
      <c r="IG55" s="237">
        <f t="shared" si="205"/>
        <v>0</v>
      </c>
      <c r="IH55" s="236">
        <f t="shared" si="206"/>
        <v>0</v>
      </c>
      <c r="II55" s="237">
        <f t="shared" si="207"/>
        <v>0</v>
      </c>
      <c r="IJ55" s="236">
        <f t="shared" si="208"/>
        <v>0</v>
      </c>
      <c r="IK55" s="237">
        <f t="shared" si="209"/>
        <v>0</v>
      </c>
      <c r="IL55" s="239">
        <f t="shared" si="210"/>
        <v>0</v>
      </c>
      <c r="IM55" s="238">
        <f t="shared" si="211"/>
        <v>0</v>
      </c>
      <c r="IO55" s="18"/>
      <c r="IP55" s="19">
        <v>8.3333333333333329E-2</v>
      </c>
      <c r="IQ55" s="244">
        <f t="shared" ref="IQ55:IQ86" si="669">+IO55*G55*IP55</f>
        <v>0</v>
      </c>
      <c r="IR55" s="236">
        <f t="shared" si="212"/>
        <v>0</v>
      </c>
      <c r="IS55" s="237">
        <f t="shared" si="213"/>
        <v>0</v>
      </c>
      <c r="IT55" s="278">
        <f t="shared" si="401"/>
        <v>0</v>
      </c>
      <c r="IU55" s="288">
        <f t="shared" si="214"/>
        <v>0</v>
      </c>
      <c r="IV55" s="278">
        <f t="shared" si="402"/>
        <v>0</v>
      </c>
      <c r="IW55" s="288">
        <f t="shared" si="214"/>
        <v>0</v>
      </c>
      <c r="IX55" s="278">
        <f t="shared" si="403"/>
        <v>0</v>
      </c>
      <c r="IY55" s="288">
        <f t="shared" si="215"/>
        <v>0</v>
      </c>
      <c r="IZ55" s="278">
        <f t="shared" si="404"/>
        <v>0</v>
      </c>
      <c r="JA55" s="288">
        <f t="shared" si="216"/>
        <v>0</v>
      </c>
      <c r="JB55" s="278">
        <f t="shared" si="405"/>
        <v>0</v>
      </c>
      <c r="JC55" s="288">
        <f t="shared" si="217"/>
        <v>0</v>
      </c>
      <c r="JD55" s="278">
        <f t="shared" si="218"/>
        <v>0</v>
      </c>
      <c r="JE55" s="288">
        <f t="shared" si="219"/>
        <v>0</v>
      </c>
      <c r="JF55" s="278">
        <f t="shared" si="406"/>
        <v>0</v>
      </c>
      <c r="JG55" s="288">
        <f t="shared" si="220"/>
        <v>0</v>
      </c>
      <c r="JH55" s="278">
        <f t="shared" si="221"/>
        <v>0</v>
      </c>
      <c r="JI55" s="288">
        <f t="shared" si="222"/>
        <v>0</v>
      </c>
      <c r="JJ55" s="278">
        <f t="shared" si="407"/>
        <v>0</v>
      </c>
      <c r="JK55" s="288">
        <f t="shared" si="223"/>
        <v>0</v>
      </c>
      <c r="JL55" s="278">
        <f t="shared" si="224"/>
        <v>0</v>
      </c>
      <c r="JM55" s="288">
        <f t="shared" si="225"/>
        <v>0</v>
      </c>
      <c r="JN55" s="278">
        <f t="shared" si="408"/>
        <v>0</v>
      </c>
      <c r="JO55" s="288">
        <f t="shared" si="226"/>
        <v>0</v>
      </c>
      <c r="JP55" s="239">
        <f t="shared" si="227"/>
        <v>0</v>
      </c>
      <c r="JQ55" s="238">
        <f t="shared" si="228"/>
        <v>0</v>
      </c>
      <c r="JS55" s="18"/>
      <c r="JT55" s="19">
        <v>8.3333333333333329E-2</v>
      </c>
      <c r="JU55" s="244">
        <f t="shared" ref="JU55:JU86" si="670">+JT55*JS55*G55</f>
        <v>0</v>
      </c>
      <c r="JV55" s="236">
        <f t="shared" si="229"/>
        <v>0</v>
      </c>
      <c r="JW55" s="237">
        <f t="shared" si="230"/>
        <v>0</v>
      </c>
      <c r="JX55" s="371">
        <f t="shared" ref="JX55:KJ70" si="671">+$JS55*$JT55</f>
        <v>0</v>
      </c>
      <c r="JY55" s="338">
        <f t="shared" si="231"/>
        <v>0</v>
      </c>
      <c r="JZ55" s="371">
        <f t="shared" ref="JZ55:JZ69" si="672">+$JS55*$JT55</f>
        <v>0</v>
      </c>
      <c r="KA55" s="338">
        <f t="shared" si="231"/>
        <v>0</v>
      </c>
      <c r="KB55" s="371">
        <f t="shared" ref="KB55:KB69" si="673">+$JS55*$JT55</f>
        <v>0</v>
      </c>
      <c r="KC55" s="338">
        <f t="shared" si="232"/>
        <v>0</v>
      </c>
      <c r="KD55" s="371">
        <f t="shared" ref="KD55:KD69" si="674">+$JS55*$JT55</f>
        <v>0</v>
      </c>
      <c r="KE55" s="338">
        <f t="shared" si="233"/>
        <v>0</v>
      </c>
      <c r="KF55" s="371">
        <f t="shared" ref="KF55:KF69" si="675">+$JS55*$JT55</f>
        <v>0</v>
      </c>
      <c r="KG55" s="338">
        <f t="shared" si="234"/>
        <v>0</v>
      </c>
      <c r="KH55" s="371">
        <f t="shared" si="235"/>
        <v>0</v>
      </c>
      <c r="KI55" s="338">
        <f t="shared" si="236"/>
        <v>0</v>
      </c>
      <c r="KJ55" s="371">
        <f t="shared" ref="KJ55:KJ69" si="676">+$JS55*$JT55</f>
        <v>0</v>
      </c>
      <c r="KK55" s="338">
        <f t="shared" si="237"/>
        <v>0</v>
      </c>
      <c r="KL55" s="371">
        <f t="shared" si="238"/>
        <v>0</v>
      </c>
      <c r="KM55" s="338">
        <f t="shared" si="239"/>
        <v>0</v>
      </c>
      <c r="KN55" s="371">
        <f t="shared" ref="KN55:KN93" si="677">+$JS55*$JT55</f>
        <v>0</v>
      </c>
      <c r="KO55" s="338">
        <f t="shared" si="240"/>
        <v>0</v>
      </c>
      <c r="KP55" s="371">
        <f t="shared" si="241"/>
        <v>0</v>
      </c>
      <c r="KQ55" s="338">
        <f t="shared" si="242"/>
        <v>0</v>
      </c>
      <c r="KR55" s="371">
        <f t="shared" ref="KR55:KR94" si="678">+$JS55*$JT55</f>
        <v>0</v>
      </c>
      <c r="KS55" s="376">
        <f t="shared" si="243"/>
        <v>0</v>
      </c>
      <c r="KT55" s="378">
        <f t="shared" si="244"/>
        <v>0</v>
      </c>
      <c r="KU55" s="238">
        <f t="shared" ref="KU55:KU86" si="679">+KT55*G55</f>
        <v>0</v>
      </c>
      <c r="KW55" s="18"/>
      <c r="KX55" s="19">
        <v>8.3333333333333329E-2</v>
      </c>
      <c r="KY55" s="241">
        <f t="shared" ref="KY55:KY110" si="680">+KW55*JQ55</f>
        <v>0</v>
      </c>
      <c r="KZ55" s="236">
        <f t="shared" si="271"/>
        <v>0</v>
      </c>
      <c r="LA55" s="238">
        <f t="shared" ref="LA55:LA110" si="681">+KZ55*JU55</f>
        <v>0</v>
      </c>
      <c r="LB55" s="278">
        <f t="shared" si="272"/>
        <v>0</v>
      </c>
      <c r="LC55" s="338">
        <f t="shared" si="246"/>
        <v>0</v>
      </c>
      <c r="LD55" s="278">
        <f t="shared" si="272"/>
        <v>0</v>
      </c>
      <c r="LE55" s="338">
        <f t="shared" si="246"/>
        <v>0</v>
      </c>
      <c r="LF55" s="278">
        <f t="shared" si="272"/>
        <v>0</v>
      </c>
      <c r="LG55" s="338">
        <f t="shared" si="247"/>
        <v>0</v>
      </c>
      <c r="LH55" s="278">
        <f t="shared" si="272"/>
        <v>0</v>
      </c>
      <c r="LI55" s="338">
        <f t="shared" si="248"/>
        <v>0</v>
      </c>
      <c r="LJ55" s="278">
        <f t="shared" si="273"/>
        <v>0</v>
      </c>
      <c r="LK55" s="338">
        <f t="shared" si="249"/>
        <v>0</v>
      </c>
      <c r="LL55" s="278">
        <f t="shared" si="274"/>
        <v>0</v>
      </c>
      <c r="LM55" s="338">
        <f t="shared" si="250"/>
        <v>0</v>
      </c>
      <c r="LN55" s="278">
        <f t="shared" si="275"/>
        <v>0</v>
      </c>
      <c r="LO55" s="338">
        <f t="shared" si="251"/>
        <v>0</v>
      </c>
      <c r="LP55" s="278">
        <f t="shared" si="276"/>
        <v>0</v>
      </c>
      <c r="LQ55" s="338">
        <f t="shared" si="252"/>
        <v>0</v>
      </c>
      <c r="LR55" s="278">
        <f t="shared" si="277"/>
        <v>0</v>
      </c>
      <c r="LS55" s="338">
        <f t="shared" si="253"/>
        <v>0</v>
      </c>
      <c r="LT55" s="278">
        <f t="shared" si="278"/>
        <v>0</v>
      </c>
      <c r="LU55" s="338">
        <f t="shared" si="254"/>
        <v>0</v>
      </c>
      <c r="LV55" s="278">
        <f t="shared" si="279"/>
        <v>0</v>
      </c>
      <c r="LW55" s="338">
        <f t="shared" si="255"/>
        <v>0</v>
      </c>
      <c r="LX55" s="239">
        <f t="shared" si="256"/>
        <v>0</v>
      </c>
      <c r="LY55" s="240">
        <f t="shared" si="257"/>
        <v>0</v>
      </c>
      <c r="MA55" s="236">
        <f t="shared" si="412"/>
        <v>0</v>
      </c>
      <c r="MB55" s="240">
        <f t="shared" si="258"/>
        <v>0</v>
      </c>
      <c r="MC55" s="396">
        <f t="shared" si="413"/>
        <v>0</v>
      </c>
      <c r="MD55" s="240">
        <f t="shared" si="259"/>
        <v>0</v>
      </c>
      <c r="ME55" s="396">
        <f t="shared" si="414"/>
        <v>0</v>
      </c>
      <c r="MF55" s="240">
        <f t="shared" si="259"/>
        <v>0</v>
      </c>
      <c r="MG55" s="396">
        <f t="shared" si="415"/>
        <v>0</v>
      </c>
      <c r="MH55" s="240">
        <f t="shared" si="260"/>
        <v>0</v>
      </c>
      <c r="MI55" s="396">
        <f t="shared" si="416"/>
        <v>0</v>
      </c>
      <c r="MJ55" s="240">
        <f t="shared" si="261"/>
        <v>0</v>
      </c>
      <c r="MK55" s="396">
        <f t="shared" si="417"/>
        <v>0</v>
      </c>
      <c r="ML55" s="240">
        <f t="shared" si="262"/>
        <v>0</v>
      </c>
      <c r="MM55" s="396">
        <f t="shared" si="418"/>
        <v>0</v>
      </c>
      <c r="MN55" s="240">
        <f t="shared" si="263"/>
        <v>0</v>
      </c>
      <c r="MO55" s="396">
        <f t="shared" si="419"/>
        <v>0</v>
      </c>
      <c r="MP55" s="240">
        <f t="shared" si="264"/>
        <v>0</v>
      </c>
      <c r="MQ55" s="396">
        <f t="shared" si="420"/>
        <v>0</v>
      </c>
      <c r="MR55" s="240">
        <f t="shared" si="265"/>
        <v>0</v>
      </c>
      <c r="MS55" s="396">
        <f t="shared" si="421"/>
        <v>0</v>
      </c>
      <c r="MT55" s="240">
        <f t="shared" si="266"/>
        <v>0</v>
      </c>
      <c r="MU55" s="396">
        <f t="shared" si="422"/>
        <v>0</v>
      </c>
      <c r="MV55" s="240">
        <f t="shared" si="267"/>
        <v>0</v>
      </c>
      <c r="MW55" s="396">
        <f t="shared" si="423"/>
        <v>0</v>
      </c>
      <c r="MX55" s="240">
        <f t="shared" si="268"/>
        <v>0</v>
      </c>
      <c r="MY55" s="239">
        <f t="shared" si="269"/>
        <v>0</v>
      </c>
      <c r="MZ55" s="238">
        <f t="shared" si="270"/>
        <v>0</v>
      </c>
    </row>
    <row r="56" spans="1:364" ht="39.6" x14ac:dyDescent="0.25">
      <c r="A56" s="533"/>
      <c r="B56" s="245" t="s">
        <v>120</v>
      </c>
      <c r="C56" s="246" t="s">
        <v>121</v>
      </c>
      <c r="D56" s="247" t="s">
        <v>119</v>
      </c>
      <c r="E56" s="4">
        <v>10</v>
      </c>
      <c r="F56" s="353">
        <v>2340857.4478178364</v>
      </c>
      <c r="G56" s="353">
        <f t="shared" si="81"/>
        <v>2438415.4686907018</v>
      </c>
      <c r="I56" s="30"/>
      <c r="J56" s="2">
        <v>8.3333333333333329E-2</v>
      </c>
      <c r="K56" s="248">
        <f t="shared" si="82"/>
        <v>0</v>
      </c>
      <c r="L56" s="249"/>
      <c r="M56" s="301">
        <f t="shared" si="445"/>
        <v>0</v>
      </c>
      <c r="N56" s="279">
        <f t="shared" si="450"/>
        <v>0</v>
      </c>
      <c r="O56" s="289">
        <f t="shared" si="446"/>
        <v>0</v>
      </c>
      <c r="P56" s="279">
        <f t="shared" si="451"/>
        <v>0</v>
      </c>
      <c r="Q56" s="289">
        <f t="shared" si="446"/>
        <v>0</v>
      </c>
      <c r="R56" s="279">
        <f t="shared" si="452"/>
        <v>0</v>
      </c>
      <c r="S56" s="289">
        <f t="shared" si="86"/>
        <v>0</v>
      </c>
      <c r="T56" s="279">
        <f t="shared" si="453"/>
        <v>0</v>
      </c>
      <c r="U56" s="289">
        <f t="shared" si="87"/>
        <v>0</v>
      </c>
      <c r="V56" s="279">
        <f t="shared" si="409"/>
        <v>0</v>
      </c>
      <c r="W56" s="289">
        <f t="shared" si="88"/>
        <v>0</v>
      </c>
      <c r="X56" s="279">
        <f t="shared" si="305"/>
        <v>0</v>
      </c>
      <c r="Y56" s="289">
        <f t="shared" si="89"/>
        <v>0</v>
      </c>
      <c r="Z56" s="279">
        <f t="shared" si="454"/>
        <v>0</v>
      </c>
      <c r="AA56" s="289">
        <f t="shared" si="90"/>
        <v>0</v>
      </c>
      <c r="AB56" s="279">
        <f t="shared" si="306"/>
        <v>0</v>
      </c>
      <c r="AC56" s="289">
        <f t="shared" si="91"/>
        <v>0</v>
      </c>
      <c r="AD56" s="279">
        <f t="shared" si="455"/>
        <v>0</v>
      </c>
      <c r="AE56" s="289">
        <f t="shared" si="92"/>
        <v>0</v>
      </c>
      <c r="AF56" s="279">
        <f t="shared" si="307"/>
        <v>0</v>
      </c>
      <c r="AG56" s="289">
        <f t="shared" si="308"/>
        <v>0</v>
      </c>
      <c r="AH56" s="249">
        <f t="shared" si="456"/>
        <v>0</v>
      </c>
      <c r="AI56" s="299">
        <f t="shared" si="309"/>
        <v>0</v>
      </c>
      <c r="AJ56" s="252">
        <f t="shared" si="94"/>
        <v>0</v>
      </c>
      <c r="AK56" s="312">
        <f t="shared" si="95"/>
        <v>0</v>
      </c>
      <c r="AM56" s="1"/>
      <c r="AN56" s="2">
        <v>8.3333333333333329E-2</v>
      </c>
      <c r="AO56" s="254">
        <f t="shared" si="660"/>
        <v>0</v>
      </c>
      <c r="AP56" s="249">
        <f t="shared" si="328"/>
        <v>0</v>
      </c>
      <c r="AQ56" s="301">
        <f t="shared" si="96"/>
        <v>0</v>
      </c>
      <c r="AR56" s="249">
        <f t="shared" si="329"/>
        <v>0</v>
      </c>
      <c r="AS56" s="301">
        <f t="shared" si="96"/>
        <v>0</v>
      </c>
      <c r="AT56" s="249">
        <f t="shared" si="330"/>
        <v>0</v>
      </c>
      <c r="AU56" s="301">
        <f t="shared" si="96"/>
        <v>0</v>
      </c>
      <c r="AV56" s="249">
        <f t="shared" si="331"/>
        <v>0</v>
      </c>
      <c r="AW56" s="301">
        <f t="shared" si="98"/>
        <v>0</v>
      </c>
      <c r="AX56" s="249">
        <f t="shared" si="5"/>
        <v>0</v>
      </c>
      <c r="AY56" s="301">
        <f t="shared" si="99"/>
        <v>0</v>
      </c>
      <c r="AZ56" s="249">
        <f t="shared" si="332"/>
        <v>0</v>
      </c>
      <c r="BA56" s="301">
        <f t="shared" si="100"/>
        <v>0</v>
      </c>
      <c r="BB56" s="249">
        <f t="shared" si="7"/>
        <v>0</v>
      </c>
      <c r="BC56" s="301">
        <f t="shared" si="101"/>
        <v>0</v>
      </c>
      <c r="BD56" s="249">
        <f t="shared" si="333"/>
        <v>0</v>
      </c>
      <c r="BE56" s="301">
        <f t="shared" si="102"/>
        <v>0</v>
      </c>
      <c r="BF56" s="249">
        <f t="shared" si="9"/>
        <v>0</v>
      </c>
      <c r="BG56" s="301">
        <f t="shared" si="103"/>
        <v>0</v>
      </c>
      <c r="BH56" s="249">
        <f t="shared" si="334"/>
        <v>0</v>
      </c>
      <c r="BI56" s="301">
        <f t="shared" si="658"/>
        <v>0</v>
      </c>
      <c r="BJ56" s="249">
        <f t="shared" si="335"/>
        <v>0</v>
      </c>
      <c r="BK56" s="301">
        <f t="shared" si="658"/>
        <v>0</v>
      </c>
      <c r="BL56" s="249">
        <f t="shared" si="661"/>
        <v>0</v>
      </c>
      <c r="BM56" s="299">
        <f t="shared" si="105"/>
        <v>0</v>
      </c>
      <c r="BN56" s="252">
        <f t="shared" si="106"/>
        <v>0</v>
      </c>
      <c r="BO56" s="312">
        <f t="shared" si="410"/>
        <v>0</v>
      </c>
      <c r="BQ56" s="1"/>
      <c r="BR56" s="2"/>
      <c r="BS56" s="255">
        <f t="shared" si="281"/>
        <v>0</v>
      </c>
      <c r="BT56" s="249">
        <f t="shared" si="280"/>
        <v>0</v>
      </c>
      <c r="BU56" s="336">
        <f t="shared" si="107"/>
        <v>0</v>
      </c>
      <c r="BV56" s="279">
        <f t="shared" si="457"/>
        <v>0</v>
      </c>
      <c r="BW56" s="339">
        <f t="shared" si="108"/>
        <v>0</v>
      </c>
      <c r="BX56" s="279">
        <f t="shared" si="458"/>
        <v>0</v>
      </c>
      <c r="BY56" s="339">
        <f t="shared" si="109"/>
        <v>0</v>
      </c>
      <c r="BZ56" s="279">
        <f t="shared" si="459"/>
        <v>0</v>
      </c>
      <c r="CA56" s="339">
        <f t="shared" si="110"/>
        <v>0</v>
      </c>
      <c r="CB56" s="279">
        <f t="shared" si="460"/>
        <v>0</v>
      </c>
      <c r="CC56" s="339">
        <f t="shared" si="111"/>
        <v>0</v>
      </c>
      <c r="CD56" s="279">
        <f t="shared" si="461"/>
        <v>0</v>
      </c>
      <c r="CE56" s="339">
        <f t="shared" si="112"/>
        <v>0</v>
      </c>
      <c r="CF56" s="279">
        <f t="shared" si="113"/>
        <v>0</v>
      </c>
      <c r="CG56" s="339">
        <f t="shared" si="114"/>
        <v>0</v>
      </c>
      <c r="CH56" s="279">
        <f t="shared" si="462"/>
        <v>0</v>
      </c>
      <c r="CI56" s="339">
        <f t="shared" si="115"/>
        <v>0</v>
      </c>
      <c r="CJ56" s="279">
        <f t="shared" si="116"/>
        <v>0</v>
      </c>
      <c r="CK56" s="339">
        <f t="shared" si="117"/>
        <v>0</v>
      </c>
      <c r="CL56" s="279">
        <f t="shared" si="463"/>
        <v>0</v>
      </c>
      <c r="CM56" s="339">
        <f t="shared" si="118"/>
        <v>0</v>
      </c>
      <c r="CN56" s="279">
        <f t="shared" si="119"/>
        <v>0</v>
      </c>
      <c r="CO56" s="339">
        <f t="shared" si="120"/>
        <v>0</v>
      </c>
      <c r="CP56" s="279">
        <f t="shared" si="464"/>
        <v>0</v>
      </c>
      <c r="CQ56" s="250">
        <f t="shared" si="662"/>
        <v>0</v>
      </c>
      <c r="CR56" s="252">
        <f t="shared" si="121"/>
        <v>0</v>
      </c>
      <c r="CS56" s="251">
        <f t="shared" si="448"/>
        <v>0</v>
      </c>
      <c r="CU56" s="1">
        <v>0</v>
      </c>
      <c r="CV56" s="2"/>
      <c r="CW56" s="255">
        <f t="shared" si="299"/>
        <v>0</v>
      </c>
      <c r="CX56" s="249">
        <f t="shared" si="122"/>
        <v>0</v>
      </c>
      <c r="CY56" s="250">
        <f t="shared" si="123"/>
        <v>0</v>
      </c>
      <c r="CZ56" s="279">
        <f t="shared" si="465"/>
        <v>0</v>
      </c>
      <c r="DA56" s="299">
        <f t="shared" si="123"/>
        <v>0</v>
      </c>
      <c r="DB56" s="279">
        <f t="shared" si="466"/>
        <v>0</v>
      </c>
      <c r="DC56" s="299">
        <f t="shared" si="124"/>
        <v>0</v>
      </c>
      <c r="DD56" s="279">
        <f t="shared" si="467"/>
        <v>0</v>
      </c>
      <c r="DE56" s="299">
        <f t="shared" si="125"/>
        <v>0</v>
      </c>
      <c r="DF56" s="279">
        <f t="shared" si="468"/>
        <v>0</v>
      </c>
      <c r="DG56" s="299">
        <f t="shared" si="126"/>
        <v>0</v>
      </c>
      <c r="DH56" s="279">
        <f t="shared" si="469"/>
        <v>0</v>
      </c>
      <c r="DI56" s="299">
        <f t="shared" si="127"/>
        <v>0</v>
      </c>
      <c r="DJ56" s="279">
        <f t="shared" si="128"/>
        <v>0</v>
      </c>
      <c r="DK56" s="299">
        <f t="shared" si="129"/>
        <v>0</v>
      </c>
      <c r="DL56" s="279">
        <f t="shared" si="470"/>
        <v>0</v>
      </c>
      <c r="DM56" s="299">
        <f t="shared" si="130"/>
        <v>0</v>
      </c>
      <c r="DN56" s="279">
        <f t="shared" si="131"/>
        <v>0</v>
      </c>
      <c r="DO56" s="299">
        <f t="shared" si="132"/>
        <v>0</v>
      </c>
      <c r="DP56" s="279">
        <f t="shared" si="471"/>
        <v>0</v>
      </c>
      <c r="DQ56" s="299">
        <f t="shared" si="133"/>
        <v>0</v>
      </c>
      <c r="DR56" s="279">
        <f t="shared" si="134"/>
        <v>0</v>
      </c>
      <c r="DS56" s="299">
        <f t="shared" si="135"/>
        <v>0</v>
      </c>
      <c r="DT56" s="279">
        <f t="shared" si="472"/>
        <v>0</v>
      </c>
      <c r="DU56" s="299">
        <f t="shared" si="136"/>
        <v>0</v>
      </c>
      <c r="DV56" s="252">
        <f t="shared" si="137"/>
        <v>0</v>
      </c>
      <c r="DW56" s="251">
        <f t="shared" si="449"/>
        <v>0</v>
      </c>
      <c r="DY56" s="256"/>
      <c r="DZ56" s="2"/>
      <c r="EA56" s="254">
        <f t="shared" si="663"/>
        <v>0</v>
      </c>
      <c r="EB56" s="249">
        <f t="shared" si="384"/>
        <v>0</v>
      </c>
      <c r="EC56" s="250">
        <f t="shared" si="139"/>
        <v>0</v>
      </c>
      <c r="ED56" s="356">
        <f t="shared" si="385"/>
        <v>0</v>
      </c>
      <c r="EE56" s="250">
        <f t="shared" si="139"/>
        <v>0</v>
      </c>
      <c r="EF56" s="249">
        <f t="shared" si="386"/>
        <v>0</v>
      </c>
      <c r="EG56" s="250">
        <f t="shared" si="659"/>
        <v>0</v>
      </c>
      <c r="EH56" s="249">
        <f t="shared" si="387"/>
        <v>0</v>
      </c>
      <c r="EI56" s="250">
        <f t="shared" si="659"/>
        <v>0</v>
      </c>
      <c r="EJ56" s="249">
        <f t="shared" si="388"/>
        <v>0</v>
      </c>
      <c r="EK56" s="250">
        <f t="shared" si="143"/>
        <v>0</v>
      </c>
      <c r="EL56" s="249">
        <f t="shared" si="389"/>
        <v>0</v>
      </c>
      <c r="EM56" s="250">
        <f t="shared" si="144"/>
        <v>0</v>
      </c>
      <c r="EN56" s="249">
        <f t="shared" si="290"/>
        <v>0</v>
      </c>
      <c r="EO56" s="250">
        <f t="shared" si="145"/>
        <v>0</v>
      </c>
      <c r="EP56" s="249">
        <f t="shared" si="390"/>
        <v>0</v>
      </c>
      <c r="EQ56" s="250">
        <f t="shared" si="146"/>
        <v>0</v>
      </c>
      <c r="ER56" s="249">
        <f t="shared" si="292"/>
        <v>0</v>
      </c>
      <c r="ES56" s="250">
        <f t="shared" si="147"/>
        <v>0</v>
      </c>
      <c r="ET56" s="249">
        <f t="shared" si="391"/>
        <v>0</v>
      </c>
      <c r="EU56" s="250">
        <f t="shared" si="148"/>
        <v>0</v>
      </c>
      <c r="EV56" s="249">
        <f t="shared" si="294"/>
        <v>0</v>
      </c>
      <c r="EW56" s="250">
        <f t="shared" si="149"/>
        <v>0</v>
      </c>
      <c r="EX56" s="249">
        <f t="shared" si="392"/>
        <v>0</v>
      </c>
      <c r="EY56" s="250">
        <f t="shared" si="150"/>
        <v>0</v>
      </c>
      <c r="EZ56" s="252">
        <f t="shared" si="151"/>
        <v>0</v>
      </c>
      <c r="FA56" s="251">
        <f t="shared" si="664"/>
        <v>0</v>
      </c>
      <c r="FC56" s="1"/>
      <c r="FD56" s="2"/>
      <c r="FE56" s="257">
        <f t="shared" si="152"/>
        <v>0</v>
      </c>
      <c r="FF56" s="249">
        <f t="shared" si="153"/>
        <v>0</v>
      </c>
      <c r="FG56" s="250">
        <f t="shared" si="154"/>
        <v>0</v>
      </c>
      <c r="FH56" s="372">
        <f t="shared" si="473"/>
        <v>0</v>
      </c>
      <c r="FI56" s="339">
        <f t="shared" si="155"/>
        <v>0</v>
      </c>
      <c r="FJ56" s="372">
        <f t="shared" si="474"/>
        <v>0</v>
      </c>
      <c r="FK56" s="339">
        <f t="shared" si="155"/>
        <v>0</v>
      </c>
      <c r="FL56" s="372">
        <f t="shared" si="475"/>
        <v>0</v>
      </c>
      <c r="FM56" s="339">
        <f t="shared" si="156"/>
        <v>0</v>
      </c>
      <c r="FN56" s="372">
        <f t="shared" si="476"/>
        <v>0</v>
      </c>
      <c r="FO56" s="339">
        <f t="shared" si="157"/>
        <v>0</v>
      </c>
      <c r="FP56" s="372">
        <f t="shared" si="477"/>
        <v>0</v>
      </c>
      <c r="FQ56" s="339">
        <f t="shared" si="158"/>
        <v>0</v>
      </c>
      <c r="FR56" s="372">
        <f t="shared" si="159"/>
        <v>0</v>
      </c>
      <c r="FS56" s="339">
        <f t="shared" si="160"/>
        <v>0</v>
      </c>
      <c r="FT56" s="372">
        <f t="shared" si="478"/>
        <v>0</v>
      </c>
      <c r="FU56" s="339">
        <f t="shared" si="161"/>
        <v>0</v>
      </c>
      <c r="FV56" s="372">
        <f t="shared" si="162"/>
        <v>0</v>
      </c>
      <c r="FW56" s="339">
        <f t="shared" si="163"/>
        <v>0</v>
      </c>
      <c r="FX56" s="372">
        <f t="shared" si="479"/>
        <v>0</v>
      </c>
      <c r="FY56" s="339">
        <f t="shared" si="164"/>
        <v>0</v>
      </c>
      <c r="FZ56" s="372">
        <f t="shared" si="165"/>
        <v>0</v>
      </c>
      <c r="GA56" s="339">
        <f t="shared" si="166"/>
        <v>0</v>
      </c>
      <c r="GB56" s="372">
        <f t="shared" si="480"/>
        <v>0</v>
      </c>
      <c r="GC56" s="339">
        <f t="shared" si="167"/>
        <v>0</v>
      </c>
      <c r="GD56" s="252">
        <f t="shared" si="168"/>
        <v>0</v>
      </c>
      <c r="GE56" s="251">
        <f t="shared" si="411"/>
        <v>0</v>
      </c>
      <c r="GG56" s="1"/>
      <c r="GH56" s="2">
        <v>0.2</v>
      </c>
      <c r="GI56" s="257">
        <f t="shared" si="665"/>
        <v>0</v>
      </c>
      <c r="GJ56" s="249">
        <f t="shared" si="169"/>
        <v>0</v>
      </c>
      <c r="GK56" s="250">
        <f t="shared" si="170"/>
        <v>0</v>
      </c>
      <c r="GL56" s="249">
        <f t="shared" si="169"/>
        <v>0</v>
      </c>
      <c r="GM56" s="250">
        <f t="shared" si="170"/>
        <v>0</v>
      </c>
      <c r="GN56" s="249">
        <f t="shared" si="169"/>
        <v>0</v>
      </c>
      <c r="GO56" s="250">
        <f t="shared" si="171"/>
        <v>0</v>
      </c>
      <c r="GP56" s="249">
        <f t="shared" si="169"/>
        <v>0</v>
      </c>
      <c r="GQ56" s="250">
        <f t="shared" si="172"/>
        <v>0</v>
      </c>
      <c r="GR56" s="249">
        <f t="shared" si="173"/>
        <v>0</v>
      </c>
      <c r="GS56" s="250">
        <f t="shared" si="174"/>
        <v>0</v>
      </c>
      <c r="GT56" s="249">
        <f t="shared" si="175"/>
        <v>0</v>
      </c>
      <c r="GU56" s="250">
        <f t="shared" si="176"/>
        <v>0</v>
      </c>
      <c r="GV56" s="249">
        <f t="shared" si="177"/>
        <v>0</v>
      </c>
      <c r="GW56" s="250">
        <f t="shared" si="178"/>
        <v>0</v>
      </c>
      <c r="GX56" s="249">
        <f t="shared" si="179"/>
        <v>0</v>
      </c>
      <c r="GY56" s="250">
        <f t="shared" si="180"/>
        <v>0</v>
      </c>
      <c r="GZ56" s="249">
        <f t="shared" si="181"/>
        <v>0</v>
      </c>
      <c r="HA56" s="250">
        <f t="shared" si="182"/>
        <v>0</v>
      </c>
      <c r="HB56" s="249">
        <f t="shared" si="183"/>
        <v>0</v>
      </c>
      <c r="HC56" s="250">
        <f t="shared" si="184"/>
        <v>0</v>
      </c>
      <c r="HD56" s="249">
        <f t="shared" si="185"/>
        <v>0</v>
      </c>
      <c r="HE56" s="250">
        <f t="shared" si="186"/>
        <v>0</v>
      </c>
      <c r="HF56" s="249">
        <f t="shared" si="187"/>
        <v>0</v>
      </c>
      <c r="HG56" s="250">
        <f t="shared" si="188"/>
        <v>0</v>
      </c>
      <c r="HH56" s="252">
        <f t="shared" si="189"/>
        <v>0</v>
      </c>
      <c r="HI56" s="251">
        <f t="shared" si="666"/>
        <v>0</v>
      </c>
      <c r="HK56" s="1"/>
      <c r="HL56" s="2"/>
      <c r="HM56" s="257">
        <f t="shared" si="667"/>
        <v>0</v>
      </c>
      <c r="HN56" s="249">
        <f t="shared" si="190"/>
        <v>0</v>
      </c>
      <c r="HO56" s="250">
        <f t="shared" si="668"/>
        <v>0</v>
      </c>
      <c r="HP56" s="249">
        <f t="shared" si="192"/>
        <v>0</v>
      </c>
      <c r="HQ56" s="250">
        <f t="shared" si="193"/>
        <v>0</v>
      </c>
      <c r="HR56" s="249">
        <f t="shared" si="192"/>
        <v>0</v>
      </c>
      <c r="HS56" s="250">
        <f t="shared" si="193"/>
        <v>0</v>
      </c>
      <c r="HT56" s="249">
        <f t="shared" si="192"/>
        <v>0</v>
      </c>
      <c r="HU56" s="250">
        <f t="shared" si="194"/>
        <v>0</v>
      </c>
      <c r="HV56" s="249">
        <f t="shared" si="192"/>
        <v>0</v>
      </c>
      <c r="HW56" s="250">
        <f t="shared" si="195"/>
        <v>0</v>
      </c>
      <c r="HX56" s="249">
        <f t="shared" si="196"/>
        <v>0</v>
      </c>
      <c r="HY56" s="250">
        <f t="shared" si="197"/>
        <v>0</v>
      </c>
      <c r="HZ56" s="249">
        <f t="shared" si="198"/>
        <v>0</v>
      </c>
      <c r="IA56" s="250">
        <f t="shared" si="199"/>
        <v>0</v>
      </c>
      <c r="IB56" s="249">
        <f t="shared" si="200"/>
        <v>0</v>
      </c>
      <c r="IC56" s="250">
        <f t="shared" si="201"/>
        <v>0</v>
      </c>
      <c r="ID56" s="249">
        <f t="shared" si="202"/>
        <v>0</v>
      </c>
      <c r="IE56" s="250">
        <f t="shared" si="203"/>
        <v>0</v>
      </c>
      <c r="IF56" s="249">
        <f t="shared" si="204"/>
        <v>0</v>
      </c>
      <c r="IG56" s="250">
        <f t="shared" si="205"/>
        <v>0</v>
      </c>
      <c r="IH56" s="249">
        <f t="shared" si="206"/>
        <v>0</v>
      </c>
      <c r="II56" s="250">
        <f t="shared" si="207"/>
        <v>0</v>
      </c>
      <c r="IJ56" s="249">
        <f t="shared" si="208"/>
        <v>0</v>
      </c>
      <c r="IK56" s="250">
        <f t="shared" si="209"/>
        <v>0</v>
      </c>
      <c r="IL56" s="252">
        <f t="shared" si="210"/>
        <v>0</v>
      </c>
      <c r="IM56" s="251">
        <f t="shared" si="211"/>
        <v>0</v>
      </c>
      <c r="IO56" s="1"/>
      <c r="IP56" s="2">
        <v>8.3333333333333329E-2</v>
      </c>
      <c r="IQ56" s="257">
        <f t="shared" si="669"/>
        <v>0</v>
      </c>
      <c r="IR56" s="249">
        <f t="shared" si="212"/>
        <v>0</v>
      </c>
      <c r="IS56" s="250">
        <f t="shared" si="213"/>
        <v>0</v>
      </c>
      <c r="IT56" s="279">
        <f t="shared" si="401"/>
        <v>0</v>
      </c>
      <c r="IU56" s="289">
        <f t="shared" si="214"/>
        <v>0</v>
      </c>
      <c r="IV56" s="279">
        <f t="shared" si="402"/>
        <v>0</v>
      </c>
      <c r="IW56" s="289">
        <f t="shared" si="214"/>
        <v>0</v>
      </c>
      <c r="IX56" s="279">
        <f t="shared" si="403"/>
        <v>0</v>
      </c>
      <c r="IY56" s="289">
        <f t="shared" si="215"/>
        <v>0</v>
      </c>
      <c r="IZ56" s="279">
        <f t="shared" si="404"/>
        <v>0</v>
      </c>
      <c r="JA56" s="289">
        <f t="shared" si="216"/>
        <v>0</v>
      </c>
      <c r="JB56" s="279">
        <f t="shared" si="405"/>
        <v>0</v>
      </c>
      <c r="JC56" s="289">
        <f t="shared" si="217"/>
        <v>0</v>
      </c>
      <c r="JD56" s="279">
        <f t="shared" si="218"/>
        <v>0</v>
      </c>
      <c r="JE56" s="289">
        <f t="shared" si="219"/>
        <v>0</v>
      </c>
      <c r="JF56" s="279">
        <f t="shared" si="406"/>
        <v>0</v>
      </c>
      <c r="JG56" s="289">
        <f t="shared" si="220"/>
        <v>0</v>
      </c>
      <c r="JH56" s="279">
        <f t="shared" si="221"/>
        <v>0</v>
      </c>
      <c r="JI56" s="289">
        <f t="shared" si="222"/>
        <v>0</v>
      </c>
      <c r="JJ56" s="279">
        <f t="shared" si="407"/>
        <v>0</v>
      </c>
      <c r="JK56" s="289">
        <f t="shared" si="223"/>
        <v>0</v>
      </c>
      <c r="JL56" s="279">
        <f t="shared" si="224"/>
        <v>0</v>
      </c>
      <c r="JM56" s="289">
        <f t="shared" si="225"/>
        <v>0</v>
      </c>
      <c r="JN56" s="279">
        <f t="shared" si="408"/>
        <v>0</v>
      </c>
      <c r="JO56" s="289">
        <f t="shared" si="226"/>
        <v>0</v>
      </c>
      <c r="JP56" s="252">
        <f t="shared" si="227"/>
        <v>0</v>
      </c>
      <c r="JQ56" s="251">
        <f t="shared" si="228"/>
        <v>0</v>
      </c>
      <c r="JS56" s="1"/>
      <c r="JT56" s="2">
        <v>8.3333333333333329E-2</v>
      </c>
      <c r="JU56" s="257">
        <f t="shared" si="670"/>
        <v>0</v>
      </c>
      <c r="JV56" s="249">
        <f t="shared" si="229"/>
        <v>0</v>
      </c>
      <c r="JW56" s="250">
        <f t="shared" si="230"/>
        <v>0</v>
      </c>
      <c r="JX56" s="372">
        <f t="shared" si="671"/>
        <v>0</v>
      </c>
      <c r="JY56" s="339">
        <f t="shared" si="231"/>
        <v>0</v>
      </c>
      <c r="JZ56" s="372">
        <f t="shared" si="672"/>
        <v>0</v>
      </c>
      <c r="KA56" s="339">
        <f t="shared" si="231"/>
        <v>0</v>
      </c>
      <c r="KB56" s="372">
        <f t="shared" si="673"/>
        <v>0</v>
      </c>
      <c r="KC56" s="339">
        <f t="shared" si="232"/>
        <v>0</v>
      </c>
      <c r="KD56" s="372">
        <f t="shared" si="674"/>
        <v>0</v>
      </c>
      <c r="KE56" s="339">
        <f t="shared" si="233"/>
        <v>0</v>
      </c>
      <c r="KF56" s="372">
        <f t="shared" si="675"/>
        <v>0</v>
      </c>
      <c r="KG56" s="339">
        <f t="shared" si="234"/>
        <v>0</v>
      </c>
      <c r="KH56" s="372">
        <f t="shared" si="235"/>
        <v>0</v>
      </c>
      <c r="KI56" s="339">
        <f t="shared" si="236"/>
        <v>0</v>
      </c>
      <c r="KJ56" s="372">
        <f t="shared" si="676"/>
        <v>0</v>
      </c>
      <c r="KK56" s="339">
        <f t="shared" si="237"/>
        <v>0</v>
      </c>
      <c r="KL56" s="372">
        <f t="shared" si="238"/>
        <v>0</v>
      </c>
      <c r="KM56" s="339">
        <f t="shared" si="239"/>
        <v>0</v>
      </c>
      <c r="KN56" s="372">
        <f t="shared" si="677"/>
        <v>0</v>
      </c>
      <c r="KO56" s="339">
        <f t="shared" si="240"/>
        <v>0</v>
      </c>
      <c r="KP56" s="372">
        <f t="shared" si="241"/>
        <v>0</v>
      </c>
      <c r="KQ56" s="339">
        <f t="shared" si="242"/>
        <v>0</v>
      </c>
      <c r="KR56" s="372">
        <f t="shared" si="678"/>
        <v>0</v>
      </c>
      <c r="KS56" s="377">
        <f t="shared" si="243"/>
        <v>0</v>
      </c>
      <c r="KT56" s="379">
        <f t="shared" si="244"/>
        <v>0</v>
      </c>
      <c r="KU56" s="251">
        <f t="shared" si="679"/>
        <v>0</v>
      </c>
      <c r="KW56" s="1"/>
      <c r="KX56" s="2">
        <v>8.3333333333333329E-2</v>
      </c>
      <c r="KY56" s="254">
        <f t="shared" si="680"/>
        <v>0</v>
      </c>
      <c r="KZ56" s="249">
        <f t="shared" si="271"/>
        <v>0</v>
      </c>
      <c r="LA56" s="251">
        <f t="shared" si="681"/>
        <v>0</v>
      </c>
      <c r="LB56" s="279">
        <f t="shared" si="272"/>
        <v>0</v>
      </c>
      <c r="LC56" s="339">
        <f t="shared" si="246"/>
        <v>0</v>
      </c>
      <c r="LD56" s="279">
        <f t="shared" si="272"/>
        <v>0</v>
      </c>
      <c r="LE56" s="339">
        <f t="shared" si="246"/>
        <v>0</v>
      </c>
      <c r="LF56" s="279">
        <f t="shared" si="272"/>
        <v>0</v>
      </c>
      <c r="LG56" s="339">
        <f t="shared" si="247"/>
        <v>0</v>
      </c>
      <c r="LH56" s="279">
        <f t="shared" si="272"/>
        <v>0</v>
      </c>
      <c r="LI56" s="339">
        <f t="shared" si="248"/>
        <v>0</v>
      </c>
      <c r="LJ56" s="279">
        <f t="shared" si="273"/>
        <v>0</v>
      </c>
      <c r="LK56" s="339">
        <f t="shared" si="249"/>
        <v>0</v>
      </c>
      <c r="LL56" s="279">
        <f t="shared" si="274"/>
        <v>0</v>
      </c>
      <c r="LM56" s="339">
        <f t="shared" si="250"/>
        <v>0</v>
      </c>
      <c r="LN56" s="279">
        <f t="shared" si="275"/>
        <v>0</v>
      </c>
      <c r="LO56" s="339">
        <f t="shared" si="251"/>
        <v>0</v>
      </c>
      <c r="LP56" s="279">
        <f t="shared" si="276"/>
        <v>0</v>
      </c>
      <c r="LQ56" s="339">
        <f t="shared" si="252"/>
        <v>0</v>
      </c>
      <c r="LR56" s="279">
        <f t="shared" si="277"/>
        <v>0</v>
      </c>
      <c r="LS56" s="339">
        <f t="shared" si="253"/>
        <v>0</v>
      </c>
      <c r="LT56" s="279">
        <f t="shared" si="278"/>
        <v>0</v>
      </c>
      <c r="LU56" s="339">
        <f t="shared" si="254"/>
        <v>0</v>
      </c>
      <c r="LV56" s="279">
        <f t="shared" si="279"/>
        <v>0</v>
      </c>
      <c r="LW56" s="339">
        <f t="shared" si="255"/>
        <v>0</v>
      </c>
      <c r="LX56" s="252">
        <f t="shared" si="256"/>
        <v>0</v>
      </c>
      <c r="LY56" s="253">
        <f t="shared" si="257"/>
        <v>0</v>
      </c>
      <c r="MA56" s="249">
        <f t="shared" si="412"/>
        <v>0</v>
      </c>
      <c r="MB56" s="253">
        <f t="shared" si="258"/>
        <v>0</v>
      </c>
      <c r="MC56" s="397">
        <f t="shared" si="413"/>
        <v>0</v>
      </c>
      <c r="MD56" s="253">
        <f t="shared" si="259"/>
        <v>0</v>
      </c>
      <c r="ME56" s="397">
        <f t="shared" si="414"/>
        <v>0</v>
      </c>
      <c r="MF56" s="253">
        <f t="shared" si="259"/>
        <v>0</v>
      </c>
      <c r="MG56" s="397">
        <f t="shared" si="415"/>
        <v>0</v>
      </c>
      <c r="MH56" s="253">
        <f t="shared" si="260"/>
        <v>0</v>
      </c>
      <c r="MI56" s="397">
        <f t="shared" si="416"/>
        <v>0</v>
      </c>
      <c r="MJ56" s="253">
        <f t="shared" si="261"/>
        <v>0</v>
      </c>
      <c r="MK56" s="397">
        <f t="shared" si="417"/>
        <v>0</v>
      </c>
      <c r="ML56" s="253">
        <f t="shared" si="262"/>
        <v>0</v>
      </c>
      <c r="MM56" s="397">
        <f t="shared" si="418"/>
        <v>0</v>
      </c>
      <c r="MN56" s="253">
        <f t="shared" si="263"/>
        <v>0</v>
      </c>
      <c r="MO56" s="397">
        <f t="shared" si="419"/>
        <v>0</v>
      </c>
      <c r="MP56" s="253">
        <f t="shared" si="264"/>
        <v>0</v>
      </c>
      <c r="MQ56" s="397">
        <f t="shared" si="420"/>
        <v>0</v>
      </c>
      <c r="MR56" s="253">
        <f t="shared" si="265"/>
        <v>0</v>
      </c>
      <c r="MS56" s="397">
        <f t="shared" si="421"/>
        <v>0</v>
      </c>
      <c r="MT56" s="253">
        <f t="shared" si="266"/>
        <v>0</v>
      </c>
      <c r="MU56" s="397">
        <f t="shared" si="422"/>
        <v>0</v>
      </c>
      <c r="MV56" s="253">
        <f t="shared" si="267"/>
        <v>0</v>
      </c>
      <c r="MW56" s="397">
        <f t="shared" si="423"/>
        <v>0</v>
      </c>
      <c r="MX56" s="253">
        <f t="shared" si="268"/>
        <v>0</v>
      </c>
      <c r="MY56" s="252">
        <f t="shared" si="269"/>
        <v>0</v>
      </c>
      <c r="MZ56" s="251">
        <f t="shared" si="270"/>
        <v>0</v>
      </c>
    </row>
    <row r="57" spans="1:364" ht="39.6" x14ac:dyDescent="0.25">
      <c r="A57" s="533"/>
      <c r="B57" s="245" t="s">
        <v>122</v>
      </c>
      <c r="C57" s="246" t="s">
        <v>123</v>
      </c>
      <c r="D57" s="247" t="s">
        <v>119</v>
      </c>
      <c r="E57" s="4">
        <v>10</v>
      </c>
      <c r="F57" s="353">
        <v>2534366.1053130929</v>
      </c>
      <c r="G57" s="353">
        <f t="shared" si="81"/>
        <v>2639988.8298545224</v>
      </c>
      <c r="I57" s="30"/>
      <c r="J57" s="2">
        <v>8.3333333333333329E-2</v>
      </c>
      <c r="K57" s="248">
        <f t="shared" si="82"/>
        <v>0</v>
      </c>
      <c r="L57" s="249"/>
      <c r="M57" s="301">
        <f t="shared" si="445"/>
        <v>0</v>
      </c>
      <c r="N57" s="279">
        <f t="shared" si="450"/>
        <v>0</v>
      </c>
      <c r="O57" s="289">
        <f t="shared" si="446"/>
        <v>0</v>
      </c>
      <c r="P57" s="279">
        <f t="shared" si="451"/>
        <v>0</v>
      </c>
      <c r="Q57" s="289">
        <f t="shared" si="446"/>
        <v>0</v>
      </c>
      <c r="R57" s="279">
        <f t="shared" si="452"/>
        <v>0</v>
      </c>
      <c r="S57" s="289">
        <f t="shared" si="86"/>
        <v>0</v>
      </c>
      <c r="T57" s="279">
        <f t="shared" si="453"/>
        <v>0</v>
      </c>
      <c r="U57" s="289">
        <f t="shared" si="87"/>
        <v>0</v>
      </c>
      <c r="V57" s="279">
        <f t="shared" si="409"/>
        <v>0</v>
      </c>
      <c r="W57" s="289">
        <f t="shared" si="88"/>
        <v>0</v>
      </c>
      <c r="X57" s="279">
        <f t="shared" si="305"/>
        <v>0</v>
      </c>
      <c r="Y57" s="289">
        <f t="shared" si="89"/>
        <v>0</v>
      </c>
      <c r="Z57" s="279">
        <f t="shared" si="454"/>
        <v>0</v>
      </c>
      <c r="AA57" s="289">
        <f t="shared" si="90"/>
        <v>0</v>
      </c>
      <c r="AB57" s="279">
        <f t="shared" si="306"/>
        <v>0</v>
      </c>
      <c r="AC57" s="289">
        <f t="shared" si="91"/>
        <v>0</v>
      </c>
      <c r="AD57" s="279">
        <f t="shared" si="455"/>
        <v>0</v>
      </c>
      <c r="AE57" s="289">
        <f t="shared" si="92"/>
        <v>0</v>
      </c>
      <c r="AF57" s="279">
        <f t="shared" si="307"/>
        <v>0</v>
      </c>
      <c r="AG57" s="289">
        <f t="shared" si="308"/>
        <v>0</v>
      </c>
      <c r="AH57" s="249">
        <f t="shared" si="456"/>
        <v>0</v>
      </c>
      <c r="AI57" s="299">
        <f t="shared" si="309"/>
        <v>0</v>
      </c>
      <c r="AJ57" s="252">
        <f t="shared" si="94"/>
        <v>0</v>
      </c>
      <c r="AK57" s="312">
        <f t="shared" si="95"/>
        <v>0</v>
      </c>
      <c r="AM57" s="1"/>
      <c r="AN57" s="2">
        <v>8.3333333333333329E-2</v>
      </c>
      <c r="AO57" s="254">
        <f t="shared" si="660"/>
        <v>0</v>
      </c>
      <c r="AP57" s="249">
        <f t="shared" si="328"/>
        <v>0</v>
      </c>
      <c r="AQ57" s="301">
        <f t="shared" si="96"/>
        <v>0</v>
      </c>
      <c r="AR57" s="249">
        <f t="shared" si="329"/>
        <v>0</v>
      </c>
      <c r="AS57" s="301">
        <f t="shared" si="96"/>
        <v>0</v>
      </c>
      <c r="AT57" s="249">
        <f t="shared" si="330"/>
        <v>0</v>
      </c>
      <c r="AU57" s="301">
        <f t="shared" si="96"/>
        <v>0</v>
      </c>
      <c r="AV57" s="249">
        <f t="shared" si="331"/>
        <v>0</v>
      </c>
      <c r="AW57" s="301">
        <f t="shared" si="98"/>
        <v>0</v>
      </c>
      <c r="AX57" s="249">
        <f t="shared" si="5"/>
        <v>0</v>
      </c>
      <c r="AY57" s="301">
        <f t="shared" si="99"/>
        <v>0</v>
      </c>
      <c r="AZ57" s="249">
        <f t="shared" si="332"/>
        <v>0</v>
      </c>
      <c r="BA57" s="301">
        <f t="shared" si="100"/>
        <v>0</v>
      </c>
      <c r="BB57" s="249">
        <f t="shared" si="7"/>
        <v>0</v>
      </c>
      <c r="BC57" s="301">
        <f t="shared" si="101"/>
        <v>0</v>
      </c>
      <c r="BD57" s="249">
        <f t="shared" si="333"/>
        <v>0</v>
      </c>
      <c r="BE57" s="301">
        <f t="shared" si="102"/>
        <v>0</v>
      </c>
      <c r="BF57" s="249">
        <f t="shared" si="9"/>
        <v>0</v>
      </c>
      <c r="BG57" s="301">
        <f t="shared" si="103"/>
        <v>0</v>
      </c>
      <c r="BH57" s="249">
        <f t="shared" si="334"/>
        <v>0</v>
      </c>
      <c r="BI57" s="301">
        <f t="shared" si="658"/>
        <v>0</v>
      </c>
      <c r="BJ57" s="249">
        <f t="shared" si="335"/>
        <v>0</v>
      </c>
      <c r="BK57" s="301">
        <f t="shared" si="658"/>
        <v>0</v>
      </c>
      <c r="BL57" s="249">
        <f t="shared" si="661"/>
        <v>0</v>
      </c>
      <c r="BM57" s="299">
        <f t="shared" si="105"/>
        <v>0</v>
      </c>
      <c r="BN57" s="252">
        <f t="shared" si="106"/>
        <v>0</v>
      </c>
      <c r="BO57" s="312">
        <f t="shared" si="410"/>
        <v>0</v>
      </c>
      <c r="BQ57" s="1"/>
      <c r="BR57" s="2"/>
      <c r="BS57" s="255">
        <f t="shared" si="281"/>
        <v>0</v>
      </c>
      <c r="BT57" s="249">
        <f t="shared" si="280"/>
        <v>0</v>
      </c>
      <c r="BU57" s="336">
        <f t="shared" si="107"/>
        <v>0</v>
      </c>
      <c r="BV57" s="279">
        <f t="shared" si="457"/>
        <v>0</v>
      </c>
      <c r="BW57" s="339">
        <f t="shared" si="108"/>
        <v>0</v>
      </c>
      <c r="BX57" s="279">
        <f t="shared" si="458"/>
        <v>0</v>
      </c>
      <c r="BY57" s="339">
        <f t="shared" si="109"/>
        <v>0</v>
      </c>
      <c r="BZ57" s="279">
        <f t="shared" si="459"/>
        <v>0</v>
      </c>
      <c r="CA57" s="339">
        <f t="shared" si="110"/>
        <v>0</v>
      </c>
      <c r="CB57" s="279">
        <f t="shared" si="460"/>
        <v>0</v>
      </c>
      <c r="CC57" s="339">
        <f t="shared" si="111"/>
        <v>0</v>
      </c>
      <c r="CD57" s="279">
        <f t="shared" si="461"/>
        <v>0</v>
      </c>
      <c r="CE57" s="339">
        <f t="shared" si="112"/>
        <v>0</v>
      </c>
      <c r="CF57" s="279">
        <f t="shared" si="113"/>
        <v>0</v>
      </c>
      <c r="CG57" s="339">
        <f t="shared" si="114"/>
        <v>0</v>
      </c>
      <c r="CH57" s="279">
        <f t="shared" si="462"/>
        <v>0</v>
      </c>
      <c r="CI57" s="339">
        <f t="shared" si="115"/>
        <v>0</v>
      </c>
      <c r="CJ57" s="279">
        <f t="shared" si="116"/>
        <v>0</v>
      </c>
      <c r="CK57" s="339">
        <f t="shared" si="117"/>
        <v>0</v>
      </c>
      <c r="CL57" s="279">
        <f t="shared" si="463"/>
        <v>0</v>
      </c>
      <c r="CM57" s="339">
        <f t="shared" si="118"/>
        <v>0</v>
      </c>
      <c r="CN57" s="279">
        <f t="shared" si="119"/>
        <v>0</v>
      </c>
      <c r="CO57" s="339">
        <f t="shared" si="120"/>
        <v>0</v>
      </c>
      <c r="CP57" s="279">
        <f t="shared" si="464"/>
        <v>0</v>
      </c>
      <c r="CQ57" s="250">
        <f t="shared" si="662"/>
        <v>0</v>
      </c>
      <c r="CR57" s="252">
        <f t="shared" si="121"/>
        <v>0</v>
      </c>
      <c r="CS57" s="251">
        <f t="shared" si="448"/>
        <v>0</v>
      </c>
      <c r="CU57" s="1"/>
      <c r="CV57" s="2"/>
      <c r="CW57" s="255">
        <f t="shared" si="299"/>
        <v>0</v>
      </c>
      <c r="CX57" s="249">
        <f t="shared" si="122"/>
        <v>0</v>
      </c>
      <c r="CY57" s="250">
        <f t="shared" si="123"/>
        <v>0</v>
      </c>
      <c r="CZ57" s="279">
        <f t="shared" si="465"/>
        <v>0</v>
      </c>
      <c r="DA57" s="299">
        <f t="shared" si="123"/>
        <v>0</v>
      </c>
      <c r="DB57" s="279">
        <f t="shared" si="466"/>
        <v>0</v>
      </c>
      <c r="DC57" s="299">
        <f t="shared" si="124"/>
        <v>0</v>
      </c>
      <c r="DD57" s="279">
        <f t="shared" si="467"/>
        <v>0</v>
      </c>
      <c r="DE57" s="299">
        <f t="shared" si="125"/>
        <v>0</v>
      </c>
      <c r="DF57" s="279">
        <f t="shared" si="468"/>
        <v>0</v>
      </c>
      <c r="DG57" s="299">
        <f t="shared" si="126"/>
        <v>0</v>
      </c>
      <c r="DH57" s="279">
        <f t="shared" si="469"/>
        <v>0</v>
      </c>
      <c r="DI57" s="299">
        <f t="shared" si="127"/>
        <v>0</v>
      </c>
      <c r="DJ57" s="279">
        <f t="shared" si="128"/>
        <v>0</v>
      </c>
      <c r="DK57" s="299">
        <f t="shared" si="129"/>
        <v>0</v>
      </c>
      <c r="DL57" s="279">
        <f t="shared" si="470"/>
        <v>0</v>
      </c>
      <c r="DM57" s="299">
        <f t="shared" si="130"/>
        <v>0</v>
      </c>
      <c r="DN57" s="279">
        <f t="shared" si="131"/>
        <v>0</v>
      </c>
      <c r="DO57" s="299">
        <f t="shared" si="132"/>
        <v>0</v>
      </c>
      <c r="DP57" s="279">
        <f t="shared" si="471"/>
        <v>0</v>
      </c>
      <c r="DQ57" s="299">
        <f t="shared" si="133"/>
        <v>0</v>
      </c>
      <c r="DR57" s="279">
        <f t="shared" si="134"/>
        <v>0</v>
      </c>
      <c r="DS57" s="299">
        <f t="shared" si="135"/>
        <v>0</v>
      </c>
      <c r="DT57" s="279">
        <f t="shared" si="472"/>
        <v>0</v>
      </c>
      <c r="DU57" s="299">
        <f t="shared" si="136"/>
        <v>0</v>
      </c>
      <c r="DV57" s="252">
        <f t="shared" si="137"/>
        <v>0</v>
      </c>
      <c r="DW57" s="251">
        <f t="shared" si="449"/>
        <v>0</v>
      </c>
      <c r="DY57" s="256"/>
      <c r="DZ57" s="2"/>
      <c r="EA57" s="254">
        <f t="shared" si="663"/>
        <v>0</v>
      </c>
      <c r="EB57" s="249">
        <f t="shared" si="384"/>
        <v>0</v>
      </c>
      <c r="EC57" s="250">
        <f t="shared" si="139"/>
        <v>0</v>
      </c>
      <c r="ED57" s="356">
        <f t="shared" si="385"/>
        <v>0</v>
      </c>
      <c r="EE57" s="250">
        <f t="shared" si="139"/>
        <v>0</v>
      </c>
      <c r="EF57" s="249">
        <f t="shared" si="386"/>
        <v>0</v>
      </c>
      <c r="EG57" s="250">
        <f t="shared" si="659"/>
        <v>0</v>
      </c>
      <c r="EH57" s="249">
        <f t="shared" si="387"/>
        <v>0</v>
      </c>
      <c r="EI57" s="250">
        <f t="shared" si="659"/>
        <v>0</v>
      </c>
      <c r="EJ57" s="249">
        <f t="shared" si="388"/>
        <v>0</v>
      </c>
      <c r="EK57" s="250">
        <f t="shared" si="143"/>
        <v>0</v>
      </c>
      <c r="EL57" s="249">
        <f t="shared" si="389"/>
        <v>0</v>
      </c>
      <c r="EM57" s="250">
        <f t="shared" si="144"/>
        <v>0</v>
      </c>
      <c r="EN57" s="249">
        <f t="shared" si="290"/>
        <v>0</v>
      </c>
      <c r="EO57" s="250">
        <f t="shared" si="145"/>
        <v>0</v>
      </c>
      <c r="EP57" s="249">
        <f t="shared" si="390"/>
        <v>0</v>
      </c>
      <c r="EQ57" s="250">
        <f t="shared" si="146"/>
        <v>0</v>
      </c>
      <c r="ER57" s="249">
        <f t="shared" si="292"/>
        <v>0</v>
      </c>
      <c r="ES57" s="250">
        <f t="shared" si="147"/>
        <v>0</v>
      </c>
      <c r="ET57" s="249">
        <f t="shared" si="391"/>
        <v>0</v>
      </c>
      <c r="EU57" s="250">
        <f t="shared" si="148"/>
        <v>0</v>
      </c>
      <c r="EV57" s="249">
        <f t="shared" si="294"/>
        <v>0</v>
      </c>
      <c r="EW57" s="250">
        <f t="shared" si="149"/>
        <v>0</v>
      </c>
      <c r="EX57" s="249">
        <f t="shared" si="392"/>
        <v>0</v>
      </c>
      <c r="EY57" s="250">
        <f t="shared" si="150"/>
        <v>0</v>
      </c>
      <c r="EZ57" s="252">
        <f t="shared" si="151"/>
        <v>0</v>
      </c>
      <c r="FA57" s="251">
        <f t="shared" si="664"/>
        <v>0</v>
      </c>
      <c r="FC57" s="1"/>
      <c r="FD57" s="2"/>
      <c r="FE57" s="257">
        <f t="shared" si="152"/>
        <v>0</v>
      </c>
      <c r="FF57" s="249">
        <f t="shared" si="153"/>
        <v>0</v>
      </c>
      <c r="FG57" s="250">
        <f t="shared" si="154"/>
        <v>0</v>
      </c>
      <c r="FH57" s="372">
        <f t="shared" si="473"/>
        <v>0</v>
      </c>
      <c r="FI57" s="339">
        <f t="shared" si="155"/>
        <v>0</v>
      </c>
      <c r="FJ57" s="372">
        <f t="shared" si="474"/>
        <v>0</v>
      </c>
      <c r="FK57" s="339">
        <f t="shared" si="155"/>
        <v>0</v>
      </c>
      <c r="FL57" s="372">
        <f t="shared" si="475"/>
        <v>0</v>
      </c>
      <c r="FM57" s="339">
        <f t="shared" si="156"/>
        <v>0</v>
      </c>
      <c r="FN57" s="372">
        <f t="shared" si="476"/>
        <v>0</v>
      </c>
      <c r="FO57" s="339">
        <f t="shared" si="157"/>
        <v>0</v>
      </c>
      <c r="FP57" s="372">
        <f t="shared" si="477"/>
        <v>0</v>
      </c>
      <c r="FQ57" s="339">
        <f t="shared" si="158"/>
        <v>0</v>
      </c>
      <c r="FR57" s="372">
        <f t="shared" si="159"/>
        <v>0</v>
      </c>
      <c r="FS57" s="339">
        <f t="shared" si="160"/>
        <v>0</v>
      </c>
      <c r="FT57" s="372">
        <f t="shared" si="478"/>
        <v>0</v>
      </c>
      <c r="FU57" s="339">
        <f t="shared" si="161"/>
        <v>0</v>
      </c>
      <c r="FV57" s="372">
        <f t="shared" si="162"/>
        <v>0</v>
      </c>
      <c r="FW57" s="339">
        <f t="shared" si="163"/>
        <v>0</v>
      </c>
      <c r="FX57" s="372">
        <f t="shared" si="479"/>
        <v>0</v>
      </c>
      <c r="FY57" s="339">
        <f t="shared" si="164"/>
        <v>0</v>
      </c>
      <c r="FZ57" s="372">
        <f t="shared" si="165"/>
        <v>0</v>
      </c>
      <c r="GA57" s="339">
        <f t="shared" si="166"/>
        <v>0</v>
      </c>
      <c r="GB57" s="372">
        <f t="shared" si="480"/>
        <v>0</v>
      </c>
      <c r="GC57" s="339">
        <f t="shared" si="167"/>
        <v>0</v>
      </c>
      <c r="GD57" s="252">
        <f t="shared" si="168"/>
        <v>0</v>
      </c>
      <c r="GE57" s="251">
        <f t="shared" si="411"/>
        <v>0</v>
      </c>
      <c r="GG57" s="1"/>
      <c r="GH57" s="2">
        <v>0.2</v>
      </c>
      <c r="GI57" s="257">
        <f t="shared" si="665"/>
        <v>0</v>
      </c>
      <c r="GJ57" s="249">
        <f t="shared" si="169"/>
        <v>0</v>
      </c>
      <c r="GK57" s="250">
        <f t="shared" si="170"/>
        <v>0</v>
      </c>
      <c r="GL57" s="249">
        <f t="shared" si="169"/>
        <v>0</v>
      </c>
      <c r="GM57" s="250">
        <f t="shared" si="170"/>
        <v>0</v>
      </c>
      <c r="GN57" s="249">
        <f t="shared" si="169"/>
        <v>0</v>
      </c>
      <c r="GO57" s="250">
        <f t="shared" si="171"/>
        <v>0</v>
      </c>
      <c r="GP57" s="249">
        <f t="shared" si="169"/>
        <v>0</v>
      </c>
      <c r="GQ57" s="250">
        <f t="shared" si="172"/>
        <v>0</v>
      </c>
      <c r="GR57" s="249">
        <f t="shared" si="173"/>
        <v>0</v>
      </c>
      <c r="GS57" s="250">
        <f t="shared" si="174"/>
        <v>0</v>
      </c>
      <c r="GT57" s="249">
        <f t="shared" si="175"/>
        <v>0</v>
      </c>
      <c r="GU57" s="250">
        <f t="shared" si="176"/>
        <v>0</v>
      </c>
      <c r="GV57" s="249">
        <f t="shared" si="177"/>
        <v>0</v>
      </c>
      <c r="GW57" s="250">
        <f t="shared" si="178"/>
        <v>0</v>
      </c>
      <c r="GX57" s="249">
        <f t="shared" si="179"/>
        <v>0</v>
      </c>
      <c r="GY57" s="250">
        <f t="shared" si="180"/>
        <v>0</v>
      </c>
      <c r="GZ57" s="249">
        <f t="shared" si="181"/>
        <v>0</v>
      </c>
      <c r="HA57" s="250">
        <f t="shared" si="182"/>
        <v>0</v>
      </c>
      <c r="HB57" s="249">
        <f t="shared" si="183"/>
        <v>0</v>
      </c>
      <c r="HC57" s="250">
        <f t="shared" si="184"/>
        <v>0</v>
      </c>
      <c r="HD57" s="249">
        <f t="shared" si="185"/>
        <v>0</v>
      </c>
      <c r="HE57" s="250">
        <f t="shared" si="186"/>
        <v>0</v>
      </c>
      <c r="HF57" s="249">
        <f t="shared" si="187"/>
        <v>0</v>
      </c>
      <c r="HG57" s="250">
        <f t="shared" si="188"/>
        <v>0</v>
      </c>
      <c r="HH57" s="252">
        <f t="shared" si="189"/>
        <v>0</v>
      </c>
      <c r="HI57" s="251">
        <f t="shared" si="666"/>
        <v>0</v>
      </c>
      <c r="HK57" s="1"/>
      <c r="HL57" s="2"/>
      <c r="HM57" s="257">
        <f t="shared" si="667"/>
        <v>0</v>
      </c>
      <c r="HN57" s="249">
        <f t="shared" si="190"/>
        <v>0</v>
      </c>
      <c r="HO57" s="250">
        <f t="shared" si="668"/>
        <v>0</v>
      </c>
      <c r="HP57" s="249">
        <f t="shared" si="192"/>
        <v>0</v>
      </c>
      <c r="HQ57" s="250">
        <f t="shared" si="193"/>
        <v>0</v>
      </c>
      <c r="HR57" s="249">
        <f t="shared" si="192"/>
        <v>0</v>
      </c>
      <c r="HS57" s="250">
        <f t="shared" si="193"/>
        <v>0</v>
      </c>
      <c r="HT57" s="249">
        <f t="shared" si="192"/>
        <v>0</v>
      </c>
      <c r="HU57" s="250">
        <f t="shared" si="194"/>
        <v>0</v>
      </c>
      <c r="HV57" s="249">
        <f t="shared" si="192"/>
        <v>0</v>
      </c>
      <c r="HW57" s="250">
        <f t="shared" si="195"/>
        <v>0</v>
      </c>
      <c r="HX57" s="249">
        <f t="shared" si="196"/>
        <v>0</v>
      </c>
      <c r="HY57" s="250">
        <f t="shared" si="197"/>
        <v>0</v>
      </c>
      <c r="HZ57" s="249">
        <f t="shared" si="198"/>
        <v>0</v>
      </c>
      <c r="IA57" s="250">
        <f t="shared" si="199"/>
        <v>0</v>
      </c>
      <c r="IB57" s="249">
        <f t="shared" si="200"/>
        <v>0</v>
      </c>
      <c r="IC57" s="250">
        <f t="shared" si="201"/>
        <v>0</v>
      </c>
      <c r="ID57" s="249">
        <f t="shared" si="202"/>
        <v>0</v>
      </c>
      <c r="IE57" s="250">
        <f t="shared" si="203"/>
        <v>0</v>
      </c>
      <c r="IF57" s="249">
        <f t="shared" si="204"/>
        <v>0</v>
      </c>
      <c r="IG57" s="250">
        <f t="shared" si="205"/>
        <v>0</v>
      </c>
      <c r="IH57" s="249">
        <f t="shared" si="206"/>
        <v>0</v>
      </c>
      <c r="II57" s="250">
        <f t="shared" si="207"/>
        <v>0</v>
      </c>
      <c r="IJ57" s="249">
        <f t="shared" si="208"/>
        <v>0</v>
      </c>
      <c r="IK57" s="250">
        <f t="shared" si="209"/>
        <v>0</v>
      </c>
      <c r="IL57" s="252">
        <f t="shared" si="210"/>
        <v>0</v>
      </c>
      <c r="IM57" s="251">
        <f t="shared" si="211"/>
        <v>0</v>
      </c>
      <c r="IO57" s="1"/>
      <c r="IP57" s="2">
        <v>8.3333333333333329E-2</v>
      </c>
      <c r="IQ57" s="257">
        <f t="shared" si="669"/>
        <v>0</v>
      </c>
      <c r="IR57" s="249">
        <f t="shared" si="212"/>
        <v>0</v>
      </c>
      <c r="IS57" s="250">
        <f t="shared" si="213"/>
        <v>0</v>
      </c>
      <c r="IT57" s="279">
        <f t="shared" si="401"/>
        <v>0</v>
      </c>
      <c r="IU57" s="289">
        <f t="shared" si="214"/>
        <v>0</v>
      </c>
      <c r="IV57" s="279">
        <f t="shared" si="402"/>
        <v>0</v>
      </c>
      <c r="IW57" s="289">
        <f t="shared" si="214"/>
        <v>0</v>
      </c>
      <c r="IX57" s="279">
        <f t="shared" si="403"/>
        <v>0</v>
      </c>
      <c r="IY57" s="289">
        <f t="shared" si="215"/>
        <v>0</v>
      </c>
      <c r="IZ57" s="279">
        <f t="shared" si="404"/>
        <v>0</v>
      </c>
      <c r="JA57" s="289">
        <f t="shared" si="216"/>
        <v>0</v>
      </c>
      <c r="JB57" s="279">
        <f t="shared" si="405"/>
        <v>0</v>
      </c>
      <c r="JC57" s="289">
        <f t="shared" si="217"/>
        <v>0</v>
      </c>
      <c r="JD57" s="279">
        <f t="shared" si="218"/>
        <v>0</v>
      </c>
      <c r="JE57" s="289">
        <f t="shared" si="219"/>
        <v>0</v>
      </c>
      <c r="JF57" s="279">
        <f t="shared" si="406"/>
        <v>0</v>
      </c>
      <c r="JG57" s="289">
        <f t="shared" si="220"/>
        <v>0</v>
      </c>
      <c r="JH57" s="279">
        <f t="shared" si="221"/>
        <v>0</v>
      </c>
      <c r="JI57" s="289">
        <f t="shared" si="222"/>
        <v>0</v>
      </c>
      <c r="JJ57" s="279">
        <f t="shared" si="407"/>
        <v>0</v>
      </c>
      <c r="JK57" s="289">
        <f t="shared" si="223"/>
        <v>0</v>
      </c>
      <c r="JL57" s="279">
        <f t="shared" si="224"/>
        <v>0</v>
      </c>
      <c r="JM57" s="289">
        <f t="shared" si="225"/>
        <v>0</v>
      </c>
      <c r="JN57" s="279">
        <f t="shared" si="408"/>
        <v>0</v>
      </c>
      <c r="JO57" s="289">
        <f t="shared" si="226"/>
        <v>0</v>
      </c>
      <c r="JP57" s="252">
        <f t="shared" si="227"/>
        <v>0</v>
      </c>
      <c r="JQ57" s="251">
        <f t="shared" si="228"/>
        <v>0</v>
      </c>
      <c r="JS57" s="1"/>
      <c r="JT57" s="2">
        <v>8.3333333333333329E-2</v>
      </c>
      <c r="JU57" s="257">
        <f t="shared" si="670"/>
        <v>0</v>
      </c>
      <c r="JV57" s="249">
        <f t="shared" si="229"/>
        <v>0</v>
      </c>
      <c r="JW57" s="250">
        <f t="shared" si="230"/>
        <v>0</v>
      </c>
      <c r="JX57" s="372">
        <f t="shared" si="671"/>
        <v>0</v>
      </c>
      <c r="JY57" s="339">
        <f t="shared" si="231"/>
        <v>0</v>
      </c>
      <c r="JZ57" s="372">
        <f t="shared" si="672"/>
        <v>0</v>
      </c>
      <c r="KA57" s="339">
        <f t="shared" si="231"/>
        <v>0</v>
      </c>
      <c r="KB57" s="372">
        <f t="shared" si="673"/>
        <v>0</v>
      </c>
      <c r="KC57" s="339">
        <f t="shared" si="232"/>
        <v>0</v>
      </c>
      <c r="KD57" s="372">
        <f t="shared" si="674"/>
        <v>0</v>
      </c>
      <c r="KE57" s="339">
        <f t="shared" si="233"/>
        <v>0</v>
      </c>
      <c r="KF57" s="372">
        <f t="shared" si="675"/>
        <v>0</v>
      </c>
      <c r="KG57" s="339">
        <f t="shared" si="234"/>
        <v>0</v>
      </c>
      <c r="KH57" s="372">
        <f t="shared" si="235"/>
        <v>0</v>
      </c>
      <c r="KI57" s="339">
        <f t="shared" si="236"/>
        <v>0</v>
      </c>
      <c r="KJ57" s="372">
        <f t="shared" si="676"/>
        <v>0</v>
      </c>
      <c r="KK57" s="339">
        <f t="shared" si="237"/>
        <v>0</v>
      </c>
      <c r="KL57" s="372">
        <f t="shared" si="238"/>
        <v>0</v>
      </c>
      <c r="KM57" s="339">
        <f t="shared" si="239"/>
        <v>0</v>
      </c>
      <c r="KN57" s="372">
        <f t="shared" si="677"/>
        <v>0</v>
      </c>
      <c r="KO57" s="339">
        <f t="shared" si="240"/>
        <v>0</v>
      </c>
      <c r="KP57" s="372">
        <f t="shared" si="241"/>
        <v>0</v>
      </c>
      <c r="KQ57" s="339">
        <f t="shared" si="242"/>
        <v>0</v>
      </c>
      <c r="KR57" s="372">
        <f t="shared" si="678"/>
        <v>0</v>
      </c>
      <c r="KS57" s="377">
        <f t="shared" si="243"/>
        <v>0</v>
      </c>
      <c r="KT57" s="379">
        <f t="shared" si="244"/>
        <v>0</v>
      </c>
      <c r="KU57" s="251">
        <f t="shared" si="679"/>
        <v>0</v>
      </c>
      <c r="KW57" s="1"/>
      <c r="KX57" s="2">
        <v>8.3333333333333329E-2</v>
      </c>
      <c r="KY57" s="254">
        <f t="shared" si="680"/>
        <v>0</v>
      </c>
      <c r="KZ57" s="249">
        <f t="shared" si="271"/>
        <v>0</v>
      </c>
      <c r="LA57" s="251">
        <f t="shared" si="681"/>
        <v>0</v>
      </c>
      <c r="LB57" s="279">
        <f t="shared" si="272"/>
        <v>0</v>
      </c>
      <c r="LC57" s="339">
        <f t="shared" si="246"/>
        <v>0</v>
      </c>
      <c r="LD57" s="279">
        <f t="shared" si="272"/>
        <v>0</v>
      </c>
      <c r="LE57" s="339">
        <f t="shared" si="246"/>
        <v>0</v>
      </c>
      <c r="LF57" s="279">
        <f t="shared" si="272"/>
        <v>0</v>
      </c>
      <c r="LG57" s="339">
        <f t="shared" si="247"/>
        <v>0</v>
      </c>
      <c r="LH57" s="279">
        <f t="shared" si="272"/>
        <v>0</v>
      </c>
      <c r="LI57" s="339">
        <f t="shared" si="248"/>
        <v>0</v>
      </c>
      <c r="LJ57" s="279">
        <f t="shared" si="273"/>
        <v>0</v>
      </c>
      <c r="LK57" s="339">
        <f t="shared" si="249"/>
        <v>0</v>
      </c>
      <c r="LL57" s="279">
        <f t="shared" si="274"/>
        <v>0</v>
      </c>
      <c r="LM57" s="339">
        <f t="shared" si="250"/>
        <v>0</v>
      </c>
      <c r="LN57" s="279">
        <f t="shared" si="275"/>
        <v>0</v>
      </c>
      <c r="LO57" s="339">
        <f t="shared" si="251"/>
        <v>0</v>
      </c>
      <c r="LP57" s="279">
        <f t="shared" si="276"/>
        <v>0</v>
      </c>
      <c r="LQ57" s="339">
        <f t="shared" si="252"/>
        <v>0</v>
      </c>
      <c r="LR57" s="279">
        <f t="shared" si="277"/>
        <v>0</v>
      </c>
      <c r="LS57" s="339">
        <f t="shared" si="253"/>
        <v>0</v>
      </c>
      <c r="LT57" s="279">
        <f t="shared" si="278"/>
        <v>0</v>
      </c>
      <c r="LU57" s="339">
        <f t="shared" si="254"/>
        <v>0</v>
      </c>
      <c r="LV57" s="279">
        <f t="shared" si="279"/>
        <v>0</v>
      </c>
      <c r="LW57" s="339">
        <f t="shared" si="255"/>
        <v>0</v>
      </c>
      <c r="LX57" s="252">
        <f t="shared" si="256"/>
        <v>0</v>
      </c>
      <c r="LY57" s="253">
        <f t="shared" si="257"/>
        <v>0</v>
      </c>
      <c r="MA57" s="249">
        <f t="shared" si="412"/>
        <v>0</v>
      </c>
      <c r="MB57" s="253">
        <f t="shared" si="258"/>
        <v>0</v>
      </c>
      <c r="MC57" s="397">
        <f t="shared" si="413"/>
        <v>0</v>
      </c>
      <c r="MD57" s="253">
        <f t="shared" si="259"/>
        <v>0</v>
      </c>
      <c r="ME57" s="397">
        <f t="shared" si="414"/>
        <v>0</v>
      </c>
      <c r="MF57" s="253">
        <f t="shared" si="259"/>
        <v>0</v>
      </c>
      <c r="MG57" s="397">
        <f t="shared" si="415"/>
        <v>0</v>
      </c>
      <c r="MH57" s="253">
        <f t="shared" si="260"/>
        <v>0</v>
      </c>
      <c r="MI57" s="397">
        <f t="shared" si="416"/>
        <v>0</v>
      </c>
      <c r="MJ57" s="253">
        <f t="shared" si="261"/>
        <v>0</v>
      </c>
      <c r="MK57" s="397">
        <f t="shared" si="417"/>
        <v>0</v>
      </c>
      <c r="ML57" s="253">
        <f t="shared" si="262"/>
        <v>0</v>
      </c>
      <c r="MM57" s="397">
        <f t="shared" si="418"/>
        <v>0</v>
      </c>
      <c r="MN57" s="253">
        <f t="shared" si="263"/>
        <v>0</v>
      </c>
      <c r="MO57" s="397">
        <f t="shared" si="419"/>
        <v>0</v>
      </c>
      <c r="MP57" s="253">
        <f t="shared" si="264"/>
        <v>0</v>
      </c>
      <c r="MQ57" s="397">
        <f t="shared" si="420"/>
        <v>0</v>
      </c>
      <c r="MR57" s="253">
        <f t="shared" si="265"/>
        <v>0</v>
      </c>
      <c r="MS57" s="397">
        <f t="shared" si="421"/>
        <v>0</v>
      </c>
      <c r="MT57" s="253">
        <f t="shared" si="266"/>
        <v>0</v>
      </c>
      <c r="MU57" s="397">
        <f t="shared" si="422"/>
        <v>0</v>
      </c>
      <c r="MV57" s="253">
        <f t="shared" si="267"/>
        <v>0</v>
      </c>
      <c r="MW57" s="397">
        <f t="shared" si="423"/>
        <v>0</v>
      </c>
      <c r="MX57" s="253">
        <f t="shared" si="268"/>
        <v>0</v>
      </c>
      <c r="MY57" s="252">
        <f t="shared" si="269"/>
        <v>0</v>
      </c>
      <c r="MZ57" s="251">
        <f t="shared" si="270"/>
        <v>0</v>
      </c>
    </row>
    <row r="58" spans="1:364" ht="39.6" x14ac:dyDescent="0.25">
      <c r="A58" s="533"/>
      <c r="B58" s="245" t="s">
        <v>124</v>
      </c>
      <c r="C58" s="246" t="s">
        <v>125</v>
      </c>
      <c r="D58" s="247" t="s">
        <v>119</v>
      </c>
      <c r="E58" s="4">
        <v>10</v>
      </c>
      <c r="F58" s="353">
        <v>2407111.3021821631</v>
      </c>
      <c r="G58" s="353">
        <f t="shared" si="81"/>
        <v>2507430.5313092978</v>
      </c>
      <c r="I58" s="30"/>
      <c r="J58" s="2">
        <v>8.3333333333333329E-2</v>
      </c>
      <c r="K58" s="248">
        <f t="shared" si="82"/>
        <v>0</v>
      </c>
      <c r="L58" s="249"/>
      <c r="M58" s="301">
        <f t="shared" si="445"/>
        <v>0</v>
      </c>
      <c r="N58" s="279">
        <f t="shared" si="450"/>
        <v>0</v>
      </c>
      <c r="O58" s="289">
        <f t="shared" si="446"/>
        <v>0</v>
      </c>
      <c r="P58" s="279">
        <f t="shared" si="451"/>
        <v>0</v>
      </c>
      <c r="Q58" s="289">
        <f t="shared" si="446"/>
        <v>0</v>
      </c>
      <c r="R58" s="279">
        <f t="shared" si="452"/>
        <v>0</v>
      </c>
      <c r="S58" s="289">
        <f t="shared" si="86"/>
        <v>0</v>
      </c>
      <c r="T58" s="279">
        <f t="shared" si="453"/>
        <v>0</v>
      </c>
      <c r="U58" s="289">
        <f t="shared" si="87"/>
        <v>0</v>
      </c>
      <c r="V58" s="279">
        <f t="shared" si="409"/>
        <v>0</v>
      </c>
      <c r="W58" s="289">
        <f t="shared" si="88"/>
        <v>0</v>
      </c>
      <c r="X58" s="279">
        <f t="shared" si="305"/>
        <v>0</v>
      </c>
      <c r="Y58" s="289">
        <f t="shared" si="89"/>
        <v>0</v>
      </c>
      <c r="Z58" s="279">
        <f t="shared" si="454"/>
        <v>0</v>
      </c>
      <c r="AA58" s="289">
        <f t="shared" si="90"/>
        <v>0</v>
      </c>
      <c r="AB58" s="279">
        <f t="shared" si="306"/>
        <v>0</v>
      </c>
      <c r="AC58" s="289">
        <f t="shared" si="91"/>
        <v>0</v>
      </c>
      <c r="AD58" s="279">
        <f t="shared" si="455"/>
        <v>0</v>
      </c>
      <c r="AE58" s="289">
        <f t="shared" si="92"/>
        <v>0</v>
      </c>
      <c r="AF58" s="279">
        <f t="shared" si="307"/>
        <v>0</v>
      </c>
      <c r="AG58" s="289">
        <f t="shared" si="308"/>
        <v>0</v>
      </c>
      <c r="AH58" s="249">
        <f t="shared" si="456"/>
        <v>0</v>
      </c>
      <c r="AI58" s="299">
        <f t="shared" si="309"/>
        <v>0</v>
      </c>
      <c r="AJ58" s="252">
        <f t="shared" si="94"/>
        <v>0</v>
      </c>
      <c r="AK58" s="312">
        <f t="shared" si="95"/>
        <v>0</v>
      </c>
      <c r="AM58" s="1"/>
      <c r="AN58" s="2">
        <v>8.3333333333333329E-2</v>
      </c>
      <c r="AO58" s="254">
        <f t="shared" si="660"/>
        <v>0</v>
      </c>
      <c r="AP58" s="249">
        <f t="shared" si="328"/>
        <v>0</v>
      </c>
      <c r="AQ58" s="301">
        <f t="shared" si="96"/>
        <v>0</v>
      </c>
      <c r="AR58" s="249">
        <f t="shared" si="329"/>
        <v>0</v>
      </c>
      <c r="AS58" s="301">
        <f t="shared" si="96"/>
        <v>0</v>
      </c>
      <c r="AT58" s="249">
        <f t="shared" si="330"/>
        <v>0</v>
      </c>
      <c r="AU58" s="301">
        <f t="shared" si="96"/>
        <v>0</v>
      </c>
      <c r="AV58" s="249">
        <f t="shared" si="331"/>
        <v>0</v>
      </c>
      <c r="AW58" s="301">
        <f t="shared" si="98"/>
        <v>0</v>
      </c>
      <c r="AX58" s="249">
        <f t="shared" si="5"/>
        <v>0</v>
      </c>
      <c r="AY58" s="301">
        <f t="shared" si="99"/>
        <v>0</v>
      </c>
      <c r="AZ58" s="249">
        <f t="shared" si="332"/>
        <v>0</v>
      </c>
      <c r="BA58" s="301">
        <f t="shared" si="100"/>
        <v>0</v>
      </c>
      <c r="BB58" s="249">
        <f t="shared" si="7"/>
        <v>0</v>
      </c>
      <c r="BC58" s="301">
        <f t="shared" si="101"/>
        <v>0</v>
      </c>
      <c r="BD58" s="249">
        <f t="shared" si="333"/>
        <v>0</v>
      </c>
      <c r="BE58" s="301">
        <f t="shared" si="102"/>
        <v>0</v>
      </c>
      <c r="BF58" s="249">
        <f t="shared" si="9"/>
        <v>0</v>
      </c>
      <c r="BG58" s="301">
        <f t="shared" si="103"/>
        <v>0</v>
      </c>
      <c r="BH58" s="249">
        <f t="shared" si="334"/>
        <v>0</v>
      </c>
      <c r="BI58" s="301">
        <f t="shared" si="658"/>
        <v>0</v>
      </c>
      <c r="BJ58" s="249">
        <f t="shared" si="335"/>
        <v>0</v>
      </c>
      <c r="BK58" s="301">
        <f t="shared" si="658"/>
        <v>0</v>
      </c>
      <c r="BL58" s="249">
        <f t="shared" si="661"/>
        <v>0</v>
      </c>
      <c r="BM58" s="299">
        <f t="shared" si="105"/>
        <v>0</v>
      </c>
      <c r="BN58" s="252">
        <f t="shared" si="106"/>
        <v>0</v>
      </c>
      <c r="BO58" s="312">
        <f t="shared" si="410"/>
        <v>0</v>
      </c>
      <c r="BQ58" s="1"/>
      <c r="BR58" s="2"/>
      <c r="BS58" s="255">
        <f t="shared" si="281"/>
        <v>0</v>
      </c>
      <c r="BT58" s="249">
        <f t="shared" si="280"/>
        <v>0</v>
      </c>
      <c r="BU58" s="336">
        <f t="shared" si="107"/>
        <v>0</v>
      </c>
      <c r="BV58" s="279">
        <f t="shared" si="457"/>
        <v>0</v>
      </c>
      <c r="BW58" s="339">
        <f t="shared" si="108"/>
        <v>0</v>
      </c>
      <c r="BX58" s="279">
        <f t="shared" si="458"/>
        <v>0</v>
      </c>
      <c r="BY58" s="339">
        <f t="shared" si="109"/>
        <v>0</v>
      </c>
      <c r="BZ58" s="279">
        <f t="shared" si="459"/>
        <v>0</v>
      </c>
      <c r="CA58" s="339">
        <f t="shared" si="110"/>
        <v>0</v>
      </c>
      <c r="CB58" s="279">
        <f t="shared" si="460"/>
        <v>0</v>
      </c>
      <c r="CC58" s="339">
        <f t="shared" si="111"/>
        <v>0</v>
      </c>
      <c r="CD58" s="279">
        <f t="shared" si="461"/>
        <v>0</v>
      </c>
      <c r="CE58" s="339">
        <f t="shared" si="112"/>
        <v>0</v>
      </c>
      <c r="CF58" s="279">
        <f t="shared" si="113"/>
        <v>0</v>
      </c>
      <c r="CG58" s="339">
        <f t="shared" si="114"/>
        <v>0</v>
      </c>
      <c r="CH58" s="279">
        <f t="shared" si="462"/>
        <v>0</v>
      </c>
      <c r="CI58" s="339">
        <f t="shared" si="115"/>
        <v>0</v>
      </c>
      <c r="CJ58" s="279">
        <f t="shared" si="116"/>
        <v>0</v>
      </c>
      <c r="CK58" s="339">
        <f t="shared" si="117"/>
        <v>0</v>
      </c>
      <c r="CL58" s="279">
        <f t="shared" si="463"/>
        <v>0</v>
      </c>
      <c r="CM58" s="339">
        <f t="shared" si="118"/>
        <v>0</v>
      </c>
      <c r="CN58" s="279">
        <f t="shared" si="119"/>
        <v>0</v>
      </c>
      <c r="CO58" s="339">
        <f t="shared" si="120"/>
        <v>0</v>
      </c>
      <c r="CP58" s="279">
        <f t="shared" si="464"/>
        <v>0</v>
      </c>
      <c r="CQ58" s="250">
        <f t="shared" si="662"/>
        <v>0</v>
      </c>
      <c r="CR58" s="252">
        <f t="shared" si="121"/>
        <v>0</v>
      </c>
      <c r="CS58" s="251">
        <f t="shared" si="448"/>
        <v>0</v>
      </c>
      <c r="CU58" s="1"/>
      <c r="CV58" s="2"/>
      <c r="CW58" s="255">
        <f t="shared" si="299"/>
        <v>0</v>
      </c>
      <c r="CX58" s="249">
        <f t="shared" si="122"/>
        <v>0</v>
      </c>
      <c r="CY58" s="250">
        <f t="shared" si="123"/>
        <v>0</v>
      </c>
      <c r="CZ58" s="279">
        <f t="shared" si="465"/>
        <v>0</v>
      </c>
      <c r="DA58" s="299">
        <f t="shared" si="123"/>
        <v>0</v>
      </c>
      <c r="DB58" s="279">
        <f t="shared" si="466"/>
        <v>0</v>
      </c>
      <c r="DC58" s="299">
        <f t="shared" si="124"/>
        <v>0</v>
      </c>
      <c r="DD58" s="279">
        <f t="shared" si="467"/>
        <v>0</v>
      </c>
      <c r="DE58" s="299">
        <f t="shared" si="125"/>
        <v>0</v>
      </c>
      <c r="DF58" s="279">
        <f t="shared" si="468"/>
        <v>0</v>
      </c>
      <c r="DG58" s="299">
        <f t="shared" si="126"/>
        <v>0</v>
      </c>
      <c r="DH58" s="279">
        <f t="shared" si="469"/>
        <v>0</v>
      </c>
      <c r="DI58" s="299">
        <f t="shared" si="127"/>
        <v>0</v>
      </c>
      <c r="DJ58" s="279">
        <f t="shared" si="128"/>
        <v>0</v>
      </c>
      <c r="DK58" s="299">
        <f t="shared" si="129"/>
        <v>0</v>
      </c>
      <c r="DL58" s="279">
        <f t="shared" si="470"/>
        <v>0</v>
      </c>
      <c r="DM58" s="299">
        <f t="shared" si="130"/>
        <v>0</v>
      </c>
      <c r="DN58" s="279">
        <f t="shared" si="131"/>
        <v>0</v>
      </c>
      <c r="DO58" s="299">
        <f t="shared" si="132"/>
        <v>0</v>
      </c>
      <c r="DP58" s="279">
        <f t="shared" si="471"/>
        <v>0</v>
      </c>
      <c r="DQ58" s="299">
        <f t="shared" si="133"/>
        <v>0</v>
      </c>
      <c r="DR58" s="279">
        <f t="shared" si="134"/>
        <v>0</v>
      </c>
      <c r="DS58" s="299">
        <f t="shared" si="135"/>
        <v>0</v>
      </c>
      <c r="DT58" s="279">
        <f t="shared" si="472"/>
        <v>0</v>
      </c>
      <c r="DU58" s="299">
        <f t="shared" si="136"/>
        <v>0</v>
      </c>
      <c r="DV58" s="252">
        <f t="shared" si="137"/>
        <v>0</v>
      </c>
      <c r="DW58" s="251">
        <f t="shared" si="449"/>
        <v>0</v>
      </c>
      <c r="DY58" s="256"/>
      <c r="DZ58" s="2"/>
      <c r="EA58" s="254">
        <f t="shared" si="663"/>
        <v>0</v>
      </c>
      <c r="EB58" s="249">
        <f t="shared" si="384"/>
        <v>0</v>
      </c>
      <c r="EC58" s="250">
        <f t="shared" si="139"/>
        <v>0</v>
      </c>
      <c r="ED58" s="356">
        <f t="shared" si="385"/>
        <v>0</v>
      </c>
      <c r="EE58" s="250">
        <f t="shared" si="139"/>
        <v>0</v>
      </c>
      <c r="EF58" s="249">
        <f t="shared" si="386"/>
        <v>0</v>
      </c>
      <c r="EG58" s="250">
        <f t="shared" si="659"/>
        <v>0</v>
      </c>
      <c r="EH58" s="249">
        <f t="shared" si="387"/>
        <v>0</v>
      </c>
      <c r="EI58" s="250">
        <f t="shared" si="659"/>
        <v>0</v>
      </c>
      <c r="EJ58" s="249">
        <f t="shared" si="388"/>
        <v>0</v>
      </c>
      <c r="EK58" s="250">
        <f t="shared" si="143"/>
        <v>0</v>
      </c>
      <c r="EL58" s="249">
        <f t="shared" si="389"/>
        <v>0</v>
      </c>
      <c r="EM58" s="250">
        <f t="shared" si="144"/>
        <v>0</v>
      </c>
      <c r="EN58" s="249">
        <f t="shared" si="290"/>
        <v>0</v>
      </c>
      <c r="EO58" s="250">
        <f t="shared" si="145"/>
        <v>0</v>
      </c>
      <c r="EP58" s="249">
        <f t="shared" si="390"/>
        <v>0</v>
      </c>
      <c r="EQ58" s="250">
        <f t="shared" si="146"/>
        <v>0</v>
      </c>
      <c r="ER58" s="249">
        <f t="shared" si="292"/>
        <v>0</v>
      </c>
      <c r="ES58" s="250">
        <f t="shared" si="147"/>
        <v>0</v>
      </c>
      <c r="ET58" s="249">
        <f t="shared" si="391"/>
        <v>0</v>
      </c>
      <c r="EU58" s="250">
        <f t="shared" si="148"/>
        <v>0</v>
      </c>
      <c r="EV58" s="249">
        <f t="shared" si="294"/>
        <v>0</v>
      </c>
      <c r="EW58" s="250">
        <f t="shared" si="149"/>
        <v>0</v>
      </c>
      <c r="EX58" s="249">
        <f t="shared" si="392"/>
        <v>0</v>
      </c>
      <c r="EY58" s="250">
        <f t="shared" si="150"/>
        <v>0</v>
      </c>
      <c r="EZ58" s="252">
        <f t="shared" si="151"/>
        <v>0</v>
      </c>
      <c r="FA58" s="251">
        <f t="shared" si="664"/>
        <v>0</v>
      </c>
      <c r="FC58" s="1"/>
      <c r="FD58" s="2"/>
      <c r="FE58" s="257">
        <f t="shared" si="152"/>
        <v>0</v>
      </c>
      <c r="FF58" s="249">
        <f t="shared" si="153"/>
        <v>0</v>
      </c>
      <c r="FG58" s="250">
        <f t="shared" si="154"/>
        <v>0</v>
      </c>
      <c r="FH58" s="372">
        <f t="shared" si="473"/>
        <v>0</v>
      </c>
      <c r="FI58" s="339">
        <f t="shared" si="155"/>
        <v>0</v>
      </c>
      <c r="FJ58" s="372">
        <f t="shared" si="474"/>
        <v>0</v>
      </c>
      <c r="FK58" s="339">
        <f t="shared" si="155"/>
        <v>0</v>
      </c>
      <c r="FL58" s="372">
        <f t="shared" si="475"/>
        <v>0</v>
      </c>
      <c r="FM58" s="339">
        <f t="shared" si="156"/>
        <v>0</v>
      </c>
      <c r="FN58" s="372">
        <f t="shared" si="476"/>
        <v>0</v>
      </c>
      <c r="FO58" s="339">
        <f t="shared" si="157"/>
        <v>0</v>
      </c>
      <c r="FP58" s="372">
        <f t="shared" si="477"/>
        <v>0</v>
      </c>
      <c r="FQ58" s="339">
        <f t="shared" si="158"/>
        <v>0</v>
      </c>
      <c r="FR58" s="372">
        <f t="shared" si="159"/>
        <v>0</v>
      </c>
      <c r="FS58" s="339">
        <f t="shared" si="160"/>
        <v>0</v>
      </c>
      <c r="FT58" s="372">
        <f t="shared" si="478"/>
        <v>0</v>
      </c>
      <c r="FU58" s="339">
        <f t="shared" si="161"/>
        <v>0</v>
      </c>
      <c r="FV58" s="372">
        <f t="shared" si="162"/>
        <v>0</v>
      </c>
      <c r="FW58" s="339">
        <f t="shared" si="163"/>
        <v>0</v>
      </c>
      <c r="FX58" s="372">
        <f t="shared" si="479"/>
        <v>0</v>
      </c>
      <c r="FY58" s="339">
        <f t="shared" si="164"/>
        <v>0</v>
      </c>
      <c r="FZ58" s="372">
        <f t="shared" si="165"/>
        <v>0</v>
      </c>
      <c r="GA58" s="339">
        <f t="shared" si="166"/>
        <v>0</v>
      </c>
      <c r="GB58" s="372">
        <f t="shared" si="480"/>
        <v>0</v>
      </c>
      <c r="GC58" s="339">
        <f t="shared" si="167"/>
        <v>0</v>
      </c>
      <c r="GD58" s="252">
        <f t="shared" si="168"/>
        <v>0</v>
      </c>
      <c r="GE58" s="251">
        <f t="shared" si="411"/>
        <v>0</v>
      </c>
      <c r="GG58" s="1"/>
      <c r="GH58" s="2">
        <v>0.2</v>
      </c>
      <c r="GI58" s="257">
        <f t="shared" si="665"/>
        <v>0</v>
      </c>
      <c r="GJ58" s="249">
        <f t="shared" si="169"/>
        <v>0</v>
      </c>
      <c r="GK58" s="250">
        <f t="shared" si="170"/>
        <v>0</v>
      </c>
      <c r="GL58" s="249">
        <f t="shared" si="169"/>
        <v>0</v>
      </c>
      <c r="GM58" s="250">
        <f t="shared" si="170"/>
        <v>0</v>
      </c>
      <c r="GN58" s="249">
        <f t="shared" si="169"/>
        <v>0</v>
      </c>
      <c r="GO58" s="250">
        <f t="shared" si="171"/>
        <v>0</v>
      </c>
      <c r="GP58" s="249">
        <f t="shared" si="169"/>
        <v>0</v>
      </c>
      <c r="GQ58" s="250">
        <f t="shared" si="172"/>
        <v>0</v>
      </c>
      <c r="GR58" s="249">
        <f t="shared" si="173"/>
        <v>0</v>
      </c>
      <c r="GS58" s="250">
        <f t="shared" si="174"/>
        <v>0</v>
      </c>
      <c r="GT58" s="249">
        <f t="shared" si="175"/>
        <v>0</v>
      </c>
      <c r="GU58" s="250">
        <f t="shared" si="176"/>
        <v>0</v>
      </c>
      <c r="GV58" s="249">
        <f t="shared" si="177"/>
        <v>0</v>
      </c>
      <c r="GW58" s="250">
        <f t="shared" si="178"/>
        <v>0</v>
      </c>
      <c r="GX58" s="249">
        <f t="shared" si="179"/>
        <v>0</v>
      </c>
      <c r="GY58" s="250">
        <f t="shared" si="180"/>
        <v>0</v>
      </c>
      <c r="GZ58" s="249">
        <f t="shared" si="181"/>
        <v>0</v>
      </c>
      <c r="HA58" s="250">
        <f t="shared" si="182"/>
        <v>0</v>
      </c>
      <c r="HB58" s="249">
        <f t="shared" si="183"/>
        <v>0</v>
      </c>
      <c r="HC58" s="250">
        <f t="shared" si="184"/>
        <v>0</v>
      </c>
      <c r="HD58" s="249">
        <f t="shared" si="185"/>
        <v>0</v>
      </c>
      <c r="HE58" s="250">
        <f t="shared" si="186"/>
        <v>0</v>
      </c>
      <c r="HF58" s="249">
        <f t="shared" si="187"/>
        <v>0</v>
      </c>
      <c r="HG58" s="250">
        <f t="shared" si="188"/>
        <v>0</v>
      </c>
      <c r="HH58" s="252">
        <f t="shared" si="189"/>
        <v>0</v>
      </c>
      <c r="HI58" s="251">
        <f t="shared" si="666"/>
        <v>0</v>
      </c>
      <c r="HK58" s="1"/>
      <c r="HL58" s="2"/>
      <c r="HM58" s="257">
        <f t="shared" si="667"/>
        <v>0</v>
      </c>
      <c r="HN58" s="249">
        <f t="shared" si="190"/>
        <v>0</v>
      </c>
      <c r="HO58" s="250">
        <f t="shared" si="668"/>
        <v>0</v>
      </c>
      <c r="HP58" s="249">
        <f t="shared" si="192"/>
        <v>0</v>
      </c>
      <c r="HQ58" s="250">
        <f t="shared" si="193"/>
        <v>0</v>
      </c>
      <c r="HR58" s="249">
        <f t="shared" si="192"/>
        <v>0</v>
      </c>
      <c r="HS58" s="250">
        <f t="shared" si="193"/>
        <v>0</v>
      </c>
      <c r="HT58" s="249">
        <f t="shared" si="192"/>
        <v>0</v>
      </c>
      <c r="HU58" s="250">
        <f t="shared" si="194"/>
        <v>0</v>
      </c>
      <c r="HV58" s="249">
        <f t="shared" si="192"/>
        <v>0</v>
      </c>
      <c r="HW58" s="250">
        <f t="shared" si="195"/>
        <v>0</v>
      </c>
      <c r="HX58" s="249">
        <f t="shared" si="196"/>
        <v>0</v>
      </c>
      <c r="HY58" s="250">
        <f t="shared" si="197"/>
        <v>0</v>
      </c>
      <c r="HZ58" s="249">
        <f t="shared" si="198"/>
        <v>0</v>
      </c>
      <c r="IA58" s="250">
        <f t="shared" si="199"/>
        <v>0</v>
      </c>
      <c r="IB58" s="249">
        <f t="shared" si="200"/>
        <v>0</v>
      </c>
      <c r="IC58" s="250">
        <f t="shared" si="201"/>
        <v>0</v>
      </c>
      <c r="ID58" s="249">
        <f t="shared" si="202"/>
        <v>0</v>
      </c>
      <c r="IE58" s="250">
        <f t="shared" si="203"/>
        <v>0</v>
      </c>
      <c r="IF58" s="249">
        <f t="shared" si="204"/>
        <v>0</v>
      </c>
      <c r="IG58" s="250">
        <f t="shared" si="205"/>
        <v>0</v>
      </c>
      <c r="IH58" s="249">
        <f t="shared" si="206"/>
        <v>0</v>
      </c>
      <c r="II58" s="250">
        <f t="shared" si="207"/>
        <v>0</v>
      </c>
      <c r="IJ58" s="249">
        <f t="shared" si="208"/>
        <v>0</v>
      </c>
      <c r="IK58" s="250">
        <f t="shared" si="209"/>
        <v>0</v>
      </c>
      <c r="IL58" s="252">
        <f t="shared" si="210"/>
        <v>0</v>
      </c>
      <c r="IM58" s="251">
        <f t="shared" si="211"/>
        <v>0</v>
      </c>
      <c r="IO58" s="1"/>
      <c r="IP58" s="2">
        <v>8.3333333333333329E-2</v>
      </c>
      <c r="IQ58" s="257">
        <f t="shared" si="669"/>
        <v>0</v>
      </c>
      <c r="IR58" s="249">
        <f t="shared" si="212"/>
        <v>0</v>
      </c>
      <c r="IS58" s="250">
        <f t="shared" si="213"/>
        <v>0</v>
      </c>
      <c r="IT58" s="279">
        <f t="shared" si="401"/>
        <v>0</v>
      </c>
      <c r="IU58" s="289">
        <f t="shared" si="214"/>
        <v>0</v>
      </c>
      <c r="IV58" s="279">
        <f t="shared" si="402"/>
        <v>0</v>
      </c>
      <c r="IW58" s="289">
        <f t="shared" si="214"/>
        <v>0</v>
      </c>
      <c r="IX58" s="279">
        <f t="shared" si="403"/>
        <v>0</v>
      </c>
      <c r="IY58" s="289">
        <f t="shared" si="215"/>
        <v>0</v>
      </c>
      <c r="IZ58" s="279">
        <f t="shared" si="404"/>
        <v>0</v>
      </c>
      <c r="JA58" s="289">
        <f t="shared" si="216"/>
        <v>0</v>
      </c>
      <c r="JB58" s="279">
        <f t="shared" si="405"/>
        <v>0</v>
      </c>
      <c r="JC58" s="289">
        <f t="shared" si="217"/>
        <v>0</v>
      </c>
      <c r="JD58" s="279">
        <f t="shared" si="218"/>
        <v>0</v>
      </c>
      <c r="JE58" s="289">
        <f t="shared" si="219"/>
        <v>0</v>
      </c>
      <c r="JF58" s="279">
        <f t="shared" si="406"/>
        <v>0</v>
      </c>
      <c r="JG58" s="289">
        <f t="shared" si="220"/>
        <v>0</v>
      </c>
      <c r="JH58" s="279">
        <f t="shared" si="221"/>
        <v>0</v>
      </c>
      <c r="JI58" s="289">
        <f t="shared" si="222"/>
        <v>0</v>
      </c>
      <c r="JJ58" s="279">
        <f t="shared" si="407"/>
        <v>0</v>
      </c>
      <c r="JK58" s="289">
        <f t="shared" si="223"/>
        <v>0</v>
      </c>
      <c r="JL58" s="279">
        <f t="shared" si="224"/>
        <v>0</v>
      </c>
      <c r="JM58" s="289">
        <f t="shared" si="225"/>
        <v>0</v>
      </c>
      <c r="JN58" s="279">
        <f t="shared" si="408"/>
        <v>0</v>
      </c>
      <c r="JO58" s="289">
        <f t="shared" si="226"/>
        <v>0</v>
      </c>
      <c r="JP58" s="252">
        <f t="shared" si="227"/>
        <v>0</v>
      </c>
      <c r="JQ58" s="251">
        <f t="shared" si="228"/>
        <v>0</v>
      </c>
      <c r="JS58" s="1"/>
      <c r="JT58" s="2">
        <v>8.3333333333333329E-2</v>
      </c>
      <c r="JU58" s="257">
        <f t="shared" si="670"/>
        <v>0</v>
      </c>
      <c r="JV58" s="249">
        <f t="shared" si="229"/>
        <v>0</v>
      </c>
      <c r="JW58" s="250">
        <f t="shared" si="230"/>
        <v>0</v>
      </c>
      <c r="JX58" s="372">
        <f t="shared" si="671"/>
        <v>0</v>
      </c>
      <c r="JY58" s="339">
        <f t="shared" si="231"/>
        <v>0</v>
      </c>
      <c r="JZ58" s="372">
        <f t="shared" si="672"/>
        <v>0</v>
      </c>
      <c r="KA58" s="339">
        <f t="shared" si="231"/>
        <v>0</v>
      </c>
      <c r="KB58" s="372">
        <f t="shared" si="673"/>
        <v>0</v>
      </c>
      <c r="KC58" s="339">
        <f t="shared" si="232"/>
        <v>0</v>
      </c>
      <c r="KD58" s="372">
        <f t="shared" si="674"/>
        <v>0</v>
      </c>
      <c r="KE58" s="339">
        <f t="shared" si="233"/>
        <v>0</v>
      </c>
      <c r="KF58" s="372">
        <f t="shared" si="675"/>
        <v>0</v>
      </c>
      <c r="KG58" s="339">
        <f t="shared" si="234"/>
        <v>0</v>
      </c>
      <c r="KH58" s="372">
        <f t="shared" si="235"/>
        <v>0</v>
      </c>
      <c r="KI58" s="339">
        <f t="shared" si="236"/>
        <v>0</v>
      </c>
      <c r="KJ58" s="372">
        <f t="shared" si="676"/>
        <v>0</v>
      </c>
      <c r="KK58" s="339">
        <f t="shared" si="237"/>
        <v>0</v>
      </c>
      <c r="KL58" s="372">
        <f t="shared" si="238"/>
        <v>0</v>
      </c>
      <c r="KM58" s="339">
        <f t="shared" si="239"/>
        <v>0</v>
      </c>
      <c r="KN58" s="372">
        <f t="shared" si="677"/>
        <v>0</v>
      </c>
      <c r="KO58" s="339">
        <f t="shared" si="240"/>
        <v>0</v>
      </c>
      <c r="KP58" s="372">
        <f t="shared" si="241"/>
        <v>0</v>
      </c>
      <c r="KQ58" s="339">
        <f t="shared" si="242"/>
        <v>0</v>
      </c>
      <c r="KR58" s="372">
        <f t="shared" si="678"/>
        <v>0</v>
      </c>
      <c r="KS58" s="377">
        <f t="shared" si="243"/>
        <v>0</v>
      </c>
      <c r="KT58" s="379">
        <f t="shared" si="244"/>
        <v>0</v>
      </c>
      <c r="KU58" s="251">
        <f t="shared" si="679"/>
        <v>0</v>
      </c>
      <c r="KW58" s="1"/>
      <c r="KX58" s="2">
        <v>8.3333333333333329E-2</v>
      </c>
      <c r="KY58" s="254">
        <f t="shared" si="680"/>
        <v>0</v>
      </c>
      <c r="KZ58" s="249">
        <f t="shared" si="271"/>
        <v>0</v>
      </c>
      <c r="LA58" s="251">
        <f t="shared" si="681"/>
        <v>0</v>
      </c>
      <c r="LB58" s="279">
        <f t="shared" si="272"/>
        <v>0</v>
      </c>
      <c r="LC58" s="339">
        <f t="shared" si="246"/>
        <v>0</v>
      </c>
      <c r="LD58" s="279">
        <f t="shared" si="272"/>
        <v>0</v>
      </c>
      <c r="LE58" s="339">
        <f t="shared" si="246"/>
        <v>0</v>
      </c>
      <c r="LF58" s="279">
        <f t="shared" si="272"/>
        <v>0</v>
      </c>
      <c r="LG58" s="339">
        <f t="shared" si="247"/>
        <v>0</v>
      </c>
      <c r="LH58" s="279">
        <f t="shared" si="272"/>
        <v>0</v>
      </c>
      <c r="LI58" s="339">
        <f t="shared" si="248"/>
        <v>0</v>
      </c>
      <c r="LJ58" s="279">
        <f t="shared" si="273"/>
        <v>0</v>
      </c>
      <c r="LK58" s="339">
        <f t="shared" si="249"/>
        <v>0</v>
      </c>
      <c r="LL58" s="279">
        <f t="shared" si="274"/>
        <v>0</v>
      </c>
      <c r="LM58" s="339">
        <f t="shared" si="250"/>
        <v>0</v>
      </c>
      <c r="LN58" s="279">
        <f t="shared" si="275"/>
        <v>0</v>
      </c>
      <c r="LO58" s="339">
        <f t="shared" si="251"/>
        <v>0</v>
      </c>
      <c r="LP58" s="279">
        <f t="shared" si="276"/>
        <v>0</v>
      </c>
      <c r="LQ58" s="339">
        <f t="shared" si="252"/>
        <v>0</v>
      </c>
      <c r="LR58" s="279">
        <f t="shared" si="277"/>
        <v>0</v>
      </c>
      <c r="LS58" s="339">
        <f t="shared" si="253"/>
        <v>0</v>
      </c>
      <c r="LT58" s="279">
        <f t="shared" si="278"/>
        <v>0</v>
      </c>
      <c r="LU58" s="339">
        <f t="shared" si="254"/>
        <v>0</v>
      </c>
      <c r="LV58" s="279">
        <f t="shared" si="279"/>
        <v>0</v>
      </c>
      <c r="LW58" s="339">
        <f t="shared" si="255"/>
        <v>0</v>
      </c>
      <c r="LX58" s="252">
        <f t="shared" si="256"/>
        <v>0</v>
      </c>
      <c r="LY58" s="253">
        <f t="shared" si="257"/>
        <v>0</v>
      </c>
      <c r="MA58" s="249">
        <f t="shared" si="412"/>
        <v>0</v>
      </c>
      <c r="MB58" s="253">
        <f t="shared" si="258"/>
        <v>0</v>
      </c>
      <c r="MC58" s="397">
        <f t="shared" si="413"/>
        <v>0</v>
      </c>
      <c r="MD58" s="253">
        <f t="shared" si="259"/>
        <v>0</v>
      </c>
      <c r="ME58" s="397">
        <f t="shared" si="414"/>
        <v>0</v>
      </c>
      <c r="MF58" s="253">
        <f t="shared" si="259"/>
        <v>0</v>
      </c>
      <c r="MG58" s="397">
        <f t="shared" si="415"/>
        <v>0</v>
      </c>
      <c r="MH58" s="253">
        <f t="shared" si="260"/>
        <v>0</v>
      </c>
      <c r="MI58" s="397">
        <f t="shared" si="416"/>
        <v>0</v>
      </c>
      <c r="MJ58" s="253">
        <f t="shared" si="261"/>
        <v>0</v>
      </c>
      <c r="MK58" s="397">
        <f t="shared" si="417"/>
        <v>0</v>
      </c>
      <c r="ML58" s="253">
        <f t="shared" si="262"/>
        <v>0</v>
      </c>
      <c r="MM58" s="397">
        <f t="shared" si="418"/>
        <v>0</v>
      </c>
      <c r="MN58" s="253">
        <f t="shared" si="263"/>
        <v>0</v>
      </c>
      <c r="MO58" s="397">
        <f t="shared" si="419"/>
        <v>0</v>
      </c>
      <c r="MP58" s="253">
        <f t="shared" si="264"/>
        <v>0</v>
      </c>
      <c r="MQ58" s="397">
        <f t="shared" si="420"/>
        <v>0</v>
      </c>
      <c r="MR58" s="253">
        <f t="shared" si="265"/>
        <v>0</v>
      </c>
      <c r="MS58" s="397">
        <f t="shared" si="421"/>
        <v>0</v>
      </c>
      <c r="MT58" s="253">
        <f t="shared" si="266"/>
        <v>0</v>
      </c>
      <c r="MU58" s="397">
        <f t="shared" si="422"/>
        <v>0</v>
      </c>
      <c r="MV58" s="253">
        <f t="shared" si="267"/>
        <v>0</v>
      </c>
      <c r="MW58" s="397">
        <f t="shared" si="423"/>
        <v>0</v>
      </c>
      <c r="MX58" s="253">
        <f t="shared" si="268"/>
        <v>0</v>
      </c>
      <c r="MY58" s="252">
        <f t="shared" si="269"/>
        <v>0</v>
      </c>
      <c r="MZ58" s="251">
        <f t="shared" si="270"/>
        <v>0</v>
      </c>
    </row>
    <row r="59" spans="1:364" ht="26.4" x14ac:dyDescent="0.25">
      <c r="A59" s="533"/>
      <c r="B59" s="245" t="s">
        <v>126</v>
      </c>
      <c r="C59" s="246" t="s">
        <v>127</v>
      </c>
      <c r="D59" s="247" t="s">
        <v>28</v>
      </c>
      <c r="E59" s="4">
        <v>1</v>
      </c>
      <c r="F59" s="353">
        <v>81836.159867172668</v>
      </c>
      <c r="G59" s="353">
        <f t="shared" si="81"/>
        <v>85246.779253636923</v>
      </c>
      <c r="I59" s="30"/>
      <c r="J59" s="2">
        <v>8.3333333333333329E-2</v>
      </c>
      <c r="K59" s="248">
        <f t="shared" si="82"/>
        <v>0</v>
      </c>
      <c r="L59" s="249"/>
      <c r="M59" s="301">
        <f t="shared" si="445"/>
        <v>0</v>
      </c>
      <c r="N59" s="279">
        <f t="shared" si="450"/>
        <v>0</v>
      </c>
      <c r="O59" s="289">
        <f t="shared" ref="O59:Q74" si="682">+N59*$G59</f>
        <v>0</v>
      </c>
      <c r="P59" s="279">
        <f t="shared" si="451"/>
        <v>0</v>
      </c>
      <c r="Q59" s="289">
        <f t="shared" si="682"/>
        <v>0</v>
      </c>
      <c r="R59" s="279">
        <f t="shared" si="452"/>
        <v>0</v>
      </c>
      <c r="S59" s="289">
        <f t="shared" si="86"/>
        <v>0</v>
      </c>
      <c r="T59" s="279">
        <f t="shared" si="453"/>
        <v>0</v>
      </c>
      <c r="U59" s="289">
        <f t="shared" si="87"/>
        <v>0</v>
      </c>
      <c r="V59" s="279">
        <f t="shared" si="409"/>
        <v>0</v>
      </c>
      <c r="W59" s="289">
        <f t="shared" si="88"/>
        <v>0</v>
      </c>
      <c r="X59" s="279">
        <f t="shared" si="305"/>
        <v>0</v>
      </c>
      <c r="Y59" s="289">
        <f t="shared" si="89"/>
        <v>0</v>
      </c>
      <c r="Z59" s="279">
        <f t="shared" si="454"/>
        <v>0</v>
      </c>
      <c r="AA59" s="289">
        <f t="shared" si="90"/>
        <v>0</v>
      </c>
      <c r="AB59" s="279">
        <f t="shared" si="306"/>
        <v>0</v>
      </c>
      <c r="AC59" s="289">
        <f t="shared" si="91"/>
        <v>0</v>
      </c>
      <c r="AD59" s="279">
        <f t="shared" si="455"/>
        <v>0</v>
      </c>
      <c r="AE59" s="289">
        <f t="shared" si="92"/>
        <v>0</v>
      </c>
      <c r="AF59" s="279">
        <f t="shared" si="307"/>
        <v>0</v>
      </c>
      <c r="AG59" s="289">
        <f t="shared" si="308"/>
        <v>0</v>
      </c>
      <c r="AH59" s="249">
        <f t="shared" si="456"/>
        <v>0</v>
      </c>
      <c r="AI59" s="299">
        <f t="shared" si="309"/>
        <v>0</v>
      </c>
      <c r="AJ59" s="252">
        <f t="shared" si="94"/>
        <v>0</v>
      </c>
      <c r="AK59" s="312">
        <f t="shared" si="95"/>
        <v>0</v>
      </c>
      <c r="AM59" s="1"/>
      <c r="AN59" s="2">
        <v>8.3333333333333329E-2</v>
      </c>
      <c r="AO59" s="254">
        <f t="shared" si="660"/>
        <v>0</v>
      </c>
      <c r="AP59" s="249">
        <f t="shared" si="328"/>
        <v>0</v>
      </c>
      <c r="AQ59" s="301">
        <f t="shared" si="96"/>
        <v>0</v>
      </c>
      <c r="AR59" s="249">
        <f t="shared" si="329"/>
        <v>0</v>
      </c>
      <c r="AS59" s="301">
        <f t="shared" si="96"/>
        <v>0</v>
      </c>
      <c r="AT59" s="249">
        <f t="shared" si="330"/>
        <v>0</v>
      </c>
      <c r="AU59" s="301">
        <f t="shared" si="96"/>
        <v>0</v>
      </c>
      <c r="AV59" s="249">
        <f t="shared" si="331"/>
        <v>0</v>
      </c>
      <c r="AW59" s="301">
        <f t="shared" si="98"/>
        <v>0</v>
      </c>
      <c r="AX59" s="249">
        <f t="shared" si="5"/>
        <v>0</v>
      </c>
      <c r="AY59" s="301">
        <f t="shared" si="99"/>
        <v>0</v>
      </c>
      <c r="AZ59" s="249">
        <f t="shared" si="332"/>
        <v>0</v>
      </c>
      <c r="BA59" s="301">
        <f t="shared" si="100"/>
        <v>0</v>
      </c>
      <c r="BB59" s="249">
        <f t="shared" si="7"/>
        <v>0</v>
      </c>
      <c r="BC59" s="301">
        <f t="shared" si="101"/>
        <v>0</v>
      </c>
      <c r="BD59" s="249">
        <f t="shared" si="333"/>
        <v>0</v>
      </c>
      <c r="BE59" s="301">
        <f t="shared" si="102"/>
        <v>0</v>
      </c>
      <c r="BF59" s="249">
        <f t="shared" si="9"/>
        <v>0</v>
      </c>
      <c r="BG59" s="301">
        <f t="shared" si="103"/>
        <v>0</v>
      </c>
      <c r="BH59" s="249">
        <f t="shared" si="334"/>
        <v>0</v>
      </c>
      <c r="BI59" s="301">
        <f t="shared" si="658"/>
        <v>0</v>
      </c>
      <c r="BJ59" s="249">
        <f t="shared" si="335"/>
        <v>0</v>
      </c>
      <c r="BK59" s="301">
        <f t="shared" si="658"/>
        <v>0</v>
      </c>
      <c r="BL59" s="249">
        <f t="shared" si="661"/>
        <v>0</v>
      </c>
      <c r="BM59" s="299">
        <f t="shared" si="105"/>
        <v>0</v>
      </c>
      <c r="BN59" s="252">
        <f t="shared" si="106"/>
        <v>0</v>
      </c>
      <c r="BO59" s="312">
        <f t="shared" si="410"/>
        <v>0</v>
      </c>
      <c r="BQ59" s="1"/>
      <c r="BR59" s="2"/>
      <c r="BS59" s="255">
        <f t="shared" si="281"/>
        <v>0</v>
      </c>
      <c r="BT59" s="249">
        <f t="shared" si="280"/>
        <v>0</v>
      </c>
      <c r="BU59" s="336">
        <f t="shared" si="107"/>
        <v>0</v>
      </c>
      <c r="BV59" s="279">
        <f t="shared" si="457"/>
        <v>0</v>
      </c>
      <c r="BW59" s="339">
        <f t="shared" si="108"/>
        <v>0</v>
      </c>
      <c r="BX59" s="279">
        <f t="shared" si="458"/>
        <v>0</v>
      </c>
      <c r="BY59" s="339">
        <f t="shared" si="109"/>
        <v>0</v>
      </c>
      <c r="BZ59" s="279">
        <f t="shared" si="459"/>
        <v>0</v>
      </c>
      <c r="CA59" s="339">
        <f t="shared" si="110"/>
        <v>0</v>
      </c>
      <c r="CB59" s="279">
        <f t="shared" si="460"/>
        <v>0</v>
      </c>
      <c r="CC59" s="339">
        <f t="shared" si="111"/>
        <v>0</v>
      </c>
      <c r="CD59" s="279">
        <f t="shared" si="461"/>
        <v>0</v>
      </c>
      <c r="CE59" s="339">
        <f t="shared" si="112"/>
        <v>0</v>
      </c>
      <c r="CF59" s="279">
        <f t="shared" si="113"/>
        <v>0</v>
      </c>
      <c r="CG59" s="339">
        <f t="shared" si="114"/>
        <v>0</v>
      </c>
      <c r="CH59" s="279">
        <f t="shared" si="462"/>
        <v>0</v>
      </c>
      <c r="CI59" s="339">
        <f t="shared" si="115"/>
        <v>0</v>
      </c>
      <c r="CJ59" s="279">
        <f t="shared" si="116"/>
        <v>0</v>
      </c>
      <c r="CK59" s="339">
        <f t="shared" si="117"/>
        <v>0</v>
      </c>
      <c r="CL59" s="279">
        <f t="shared" si="463"/>
        <v>0</v>
      </c>
      <c r="CM59" s="339">
        <f t="shared" si="118"/>
        <v>0</v>
      </c>
      <c r="CN59" s="279">
        <f t="shared" si="119"/>
        <v>0</v>
      </c>
      <c r="CO59" s="339">
        <f t="shared" si="120"/>
        <v>0</v>
      </c>
      <c r="CP59" s="279">
        <f t="shared" si="464"/>
        <v>0</v>
      </c>
      <c r="CQ59" s="250">
        <f t="shared" si="662"/>
        <v>0</v>
      </c>
      <c r="CR59" s="252">
        <f t="shared" si="121"/>
        <v>0</v>
      </c>
      <c r="CS59" s="251">
        <f t="shared" si="448"/>
        <v>0</v>
      </c>
      <c r="CU59" s="1"/>
      <c r="CV59" s="2"/>
      <c r="CW59" s="255">
        <f t="shared" si="299"/>
        <v>0</v>
      </c>
      <c r="CX59" s="249">
        <f t="shared" si="122"/>
        <v>0</v>
      </c>
      <c r="CY59" s="250">
        <f t="shared" si="123"/>
        <v>0</v>
      </c>
      <c r="CZ59" s="279">
        <f t="shared" si="465"/>
        <v>0</v>
      </c>
      <c r="DA59" s="299">
        <f t="shared" si="123"/>
        <v>0</v>
      </c>
      <c r="DB59" s="279">
        <f t="shared" si="466"/>
        <v>0</v>
      </c>
      <c r="DC59" s="299">
        <f t="shared" si="124"/>
        <v>0</v>
      </c>
      <c r="DD59" s="279">
        <f t="shared" si="467"/>
        <v>0</v>
      </c>
      <c r="DE59" s="299">
        <f t="shared" si="125"/>
        <v>0</v>
      </c>
      <c r="DF59" s="279">
        <f t="shared" si="468"/>
        <v>0</v>
      </c>
      <c r="DG59" s="299">
        <f t="shared" si="126"/>
        <v>0</v>
      </c>
      <c r="DH59" s="279">
        <f t="shared" si="469"/>
        <v>0</v>
      </c>
      <c r="DI59" s="299">
        <f t="shared" si="127"/>
        <v>0</v>
      </c>
      <c r="DJ59" s="279">
        <f t="shared" si="128"/>
        <v>0</v>
      </c>
      <c r="DK59" s="299">
        <f t="shared" si="129"/>
        <v>0</v>
      </c>
      <c r="DL59" s="279">
        <f t="shared" si="470"/>
        <v>0</v>
      </c>
      <c r="DM59" s="299">
        <f t="shared" si="130"/>
        <v>0</v>
      </c>
      <c r="DN59" s="279">
        <f t="shared" si="131"/>
        <v>0</v>
      </c>
      <c r="DO59" s="299">
        <f t="shared" si="132"/>
        <v>0</v>
      </c>
      <c r="DP59" s="279">
        <f t="shared" si="471"/>
        <v>0</v>
      </c>
      <c r="DQ59" s="299">
        <f t="shared" si="133"/>
        <v>0</v>
      </c>
      <c r="DR59" s="279">
        <f t="shared" si="134"/>
        <v>0</v>
      </c>
      <c r="DS59" s="299">
        <f t="shared" si="135"/>
        <v>0</v>
      </c>
      <c r="DT59" s="279">
        <f t="shared" si="472"/>
        <v>0</v>
      </c>
      <c r="DU59" s="299">
        <f t="shared" si="136"/>
        <v>0</v>
      </c>
      <c r="DV59" s="252">
        <f t="shared" si="137"/>
        <v>0</v>
      </c>
      <c r="DW59" s="251">
        <f t="shared" si="449"/>
        <v>0</v>
      </c>
      <c r="DY59" s="256"/>
      <c r="DZ59" s="2"/>
      <c r="EA59" s="254">
        <f t="shared" si="663"/>
        <v>0</v>
      </c>
      <c r="EB59" s="249">
        <f t="shared" si="384"/>
        <v>0</v>
      </c>
      <c r="EC59" s="250">
        <f t="shared" si="139"/>
        <v>0</v>
      </c>
      <c r="ED59" s="356">
        <f t="shared" si="385"/>
        <v>0</v>
      </c>
      <c r="EE59" s="250">
        <f t="shared" si="139"/>
        <v>0</v>
      </c>
      <c r="EF59" s="249">
        <f t="shared" si="386"/>
        <v>0</v>
      </c>
      <c r="EG59" s="250">
        <f t="shared" si="659"/>
        <v>0</v>
      </c>
      <c r="EH59" s="249">
        <f t="shared" si="387"/>
        <v>0</v>
      </c>
      <c r="EI59" s="250">
        <f t="shared" si="659"/>
        <v>0</v>
      </c>
      <c r="EJ59" s="249">
        <f t="shared" si="388"/>
        <v>0</v>
      </c>
      <c r="EK59" s="250">
        <f t="shared" si="143"/>
        <v>0</v>
      </c>
      <c r="EL59" s="249">
        <f t="shared" si="389"/>
        <v>0</v>
      </c>
      <c r="EM59" s="250">
        <f t="shared" si="144"/>
        <v>0</v>
      </c>
      <c r="EN59" s="249">
        <f t="shared" si="290"/>
        <v>0</v>
      </c>
      <c r="EO59" s="250">
        <f t="shared" si="145"/>
        <v>0</v>
      </c>
      <c r="EP59" s="249">
        <f t="shared" si="390"/>
        <v>0</v>
      </c>
      <c r="EQ59" s="250">
        <f t="shared" si="146"/>
        <v>0</v>
      </c>
      <c r="ER59" s="249">
        <f t="shared" si="292"/>
        <v>0</v>
      </c>
      <c r="ES59" s="250">
        <f t="shared" si="147"/>
        <v>0</v>
      </c>
      <c r="ET59" s="249">
        <f t="shared" si="391"/>
        <v>0</v>
      </c>
      <c r="EU59" s="250">
        <f t="shared" si="148"/>
        <v>0</v>
      </c>
      <c r="EV59" s="249">
        <f t="shared" si="294"/>
        <v>0</v>
      </c>
      <c r="EW59" s="250">
        <f t="shared" si="149"/>
        <v>0</v>
      </c>
      <c r="EX59" s="249">
        <f t="shared" si="392"/>
        <v>0</v>
      </c>
      <c r="EY59" s="250">
        <f t="shared" si="150"/>
        <v>0</v>
      </c>
      <c r="EZ59" s="252">
        <f t="shared" si="151"/>
        <v>0</v>
      </c>
      <c r="FA59" s="251">
        <f t="shared" si="664"/>
        <v>0</v>
      </c>
      <c r="FC59" s="1"/>
      <c r="FD59" s="2"/>
      <c r="FE59" s="257">
        <f t="shared" si="152"/>
        <v>0</v>
      </c>
      <c r="FF59" s="249">
        <f t="shared" si="153"/>
        <v>0</v>
      </c>
      <c r="FG59" s="250">
        <f t="shared" si="154"/>
        <v>0</v>
      </c>
      <c r="FH59" s="372">
        <f t="shared" si="473"/>
        <v>0</v>
      </c>
      <c r="FI59" s="339">
        <f t="shared" si="155"/>
        <v>0</v>
      </c>
      <c r="FJ59" s="372">
        <f t="shared" si="474"/>
        <v>0</v>
      </c>
      <c r="FK59" s="339">
        <f t="shared" si="155"/>
        <v>0</v>
      </c>
      <c r="FL59" s="372">
        <f t="shared" si="475"/>
        <v>0</v>
      </c>
      <c r="FM59" s="339">
        <f t="shared" si="156"/>
        <v>0</v>
      </c>
      <c r="FN59" s="372">
        <f t="shared" si="476"/>
        <v>0</v>
      </c>
      <c r="FO59" s="339">
        <f t="shared" si="157"/>
        <v>0</v>
      </c>
      <c r="FP59" s="372">
        <f t="shared" si="477"/>
        <v>0</v>
      </c>
      <c r="FQ59" s="339">
        <f t="shared" si="158"/>
        <v>0</v>
      </c>
      <c r="FR59" s="372">
        <f t="shared" si="159"/>
        <v>0</v>
      </c>
      <c r="FS59" s="339">
        <f t="shared" si="160"/>
        <v>0</v>
      </c>
      <c r="FT59" s="372">
        <f t="shared" si="478"/>
        <v>0</v>
      </c>
      <c r="FU59" s="339">
        <f t="shared" si="161"/>
        <v>0</v>
      </c>
      <c r="FV59" s="372">
        <f t="shared" si="162"/>
        <v>0</v>
      </c>
      <c r="FW59" s="339">
        <f t="shared" si="163"/>
        <v>0</v>
      </c>
      <c r="FX59" s="372">
        <f t="shared" si="479"/>
        <v>0</v>
      </c>
      <c r="FY59" s="339">
        <f t="shared" si="164"/>
        <v>0</v>
      </c>
      <c r="FZ59" s="372">
        <f t="shared" si="165"/>
        <v>0</v>
      </c>
      <c r="GA59" s="339">
        <f t="shared" si="166"/>
        <v>0</v>
      </c>
      <c r="GB59" s="372">
        <f t="shared" si="480"/>
        <v>0</v>
      </c>
      <c r="GC59" s="339">
        <f t="shared" si="167"/>
        <v>0</v>
      </c>
      <c r="GD59" s="252">
        <f t="shared" si="168"/>
        <v>0</v>
      </c>
      <c r="GE59" s="251">
        <f t="shared" si="411"/>
        <v>0</v>
      </c>
      <c r="GG59" s="1"/>
      <c r="GH59" s="2">
        <v>0.2</v>
      </c>
      <c r="GI59" s="257">
        <f t="shared" si="665"/>
        <v>0</v>
      </c>
      <c r="GJ59" s="249">
        <f t="shared" si="169"/>
        <v>0</v>
      </c>
      <c r="GK59" s="250">
        <f t="shared" si="170"/>
        <v>0</v>
      </c>
      <c r="GL59" s="249">
        <f t="shared" si="169"/>
        <v>0</v>
      </c>
      <c r="GM59" s="250">
        <f t="shared" si="170"/>
        <v>0</v>
      </c>
      <c r="GN59" s="249">
        <f t="shared" si="169"/>
        <v>0</v>
      </c>
      <c r="GO59" s="250">
        <f t="shared" si="171"/>
        <v>0</v>
      </c>
      <c r="GP59" s="249">
        <f t="shared" si="169"/>
        <v>0</v>
      </c>
      <c r="GQ59" s="250">
        <f t="shared" si="172"/>
        <v>0</v>
      </c>
      <c r="GR59" s="249">
        <f t="shared" si="173"/>
        <v>0</v>
      </c>
      <c r="GS59" s="250">
        <f t="shared" si="174"/>
        <v>0</v>
      </c>
      <c r="GT59" s="249">
        <f t="shared" si="175"/>
        <v>0</v>
      </c>
      <c r="GU59" s="250">
        <f t="shared" si="176"/>
        <v>0</v>
      </c>
      <c r="GV59" s="249">
        <f t="shared" si="177"/>
        <v>0</v>
      </c>
      <c r="GW59" s="250">
        <f t="shared" si="178"/>
        <v>0</v>
      </c>
      <c r="GX59" s="249">
        <f t="shared" si="179"/>
        <v>0</v>
      </c>
      <c r="GY59" s="250">
        <f t="shared" si="180"/>
        <v>0</v>
      </c>
      <c r="GZ59" s="249">
        <f t="shared" si="181"/>
        <v>0</v>
      </c>
      <c r="HA59" s="250">
        <f t="shared" si="182"/>
        <v>0</v>
      </c>
      <c r="HB59" s="249">
        <f t="shared" si="183"/>
        <v>0</v>
      </c>
      <c r="HC59" s="250">
        <f t="shared" si="184"/>
        <v>0</v>
      </c>
      <c r="HD59" s="249">
        <f t="shared" si="185"/>
        <v>0</v>
      </c>
      <c r="HE59" s="250">
        <f t="shared" si="186"/>
        <v>0</v>
      </c>
      <c r="HF59" s="249">
        <f t="shared" si="187"/>
        <v>0</v>
      </c>
      <c r="HG59" s="250">
        <f t="shared" si="188"/>
        <v>0</v>
      </c>
      <c r="HH59" s="252">
        <f t="shared" si="189"/>
        <v>0</v>
      </c>
      <c r="HI59" s="251">
        <f t="shared" si="666"/>
        <v>0</v>
      </c>
      <c r="HK59" s="1"/>
      <c r="HL59" s="2"/>
      <c r="HM59" s="257">
        <f t="shared" si="667"/>
        <v>0</v>
      </c>
      <c r="HN59" s="249">
        <f t="shared" si="190"/>
        <v>0</v>
      </c>
      <c r="HO59" s="250">
        <f t="shared" si="668"/>
        <v>0</v>
      </c>
      <c r="HP59" s="249">
        <f t="shared" si="192"/>
        <v>0</v>
      </c>
      <c r="HQ59" s="250">
        <f t="shared" si="193"/>
        <v>0</v>
      </c>
      <c r="HR59" s="249">
        <f t="shared" si="192"/>
        <v>0</v>
      </c>
      <c r="HS59" s="250">
        <f t="shared" si="193"/>
        <v>0</v>
      </c>
      <c r="HT59" s="249">
        <f t="shared" si="192"/>
        <v>0</v>
      </c>
      <c r="HU59" s="250">
        <f t="shared" si="194"/>
        <v>0</v>
      </c>
      <c r="HV59" s="249">
        <f t="shared" si="192"/>
        <v>0</v>
      </c>
      <c r="HW59" s="250">
        <f t="shared" si="195"/>
        <v>0</v>
      </c>
      <c r="HX59" s="249">
        <f t="shared" si="196"/>
        <v>0</v>
      </c>
      <c r="HY59" s="250">
        <f t="shared" si="197"/>
        <v>0</v>
      </c>
      <c r="HZ59" s="249">
        <f t="shared" si="198"/>
        <v>0</v>
      </c>
      <c r="IA59" s="250">
        <f t="shared" si="199"/>
        <v>0</v>
      </c>
      <c r="IB59" s="249">
        <f t="shared" si="200"/>
        <v>0</v>
      </c>
      <c r="IC59" s="250">
        <f t="shared" si="201"/>
        <v>0</v>
      </c>
      <c r="ID59" s="249">
        <f t="shared" si="202"/>
        <v>0</v>
      </c>
      <c r="IE59" s="250">
        <f t="shared" si="203"/>
        <v>0</v>
      </c>
      <c r="IF59" s="249">
        <f t="shared" si="204"/>
        <v>0</v>
      </c>
      <c r="IG59" s="250">
        <f t="shared" si="205"/>
        <v>0</v>
      </c>
      <c r="IH59" s="249">
        <f t="shared" si="206"/>
        <v>0</v>
      </c>
      <c r="II59" s="250">
        <f t="shared" si="207"/>
        <v>0</v>
      </c>
      <c r="IJ59" s="249">
        <f t="shared" si="208"/>
        <v>0</v>
      </c>
      <c r="IK59" s="250">
        <f t="shared" si="209"/>
        <v>0</v>
      </c>
      <c r="IL59" s="252">
        <f t="shared" si="210"/>
        <v>0</v>
      </c>
      <c r="IM59" s="251">
        <f t="shared" si="211"/>
        <v>0</v>
      </c>
      <c r="IO59" s="1"/>
      <c r="IP59" s="2">
        <v>8.3333333333333329E-2</v>
      </c>
      <c r="IQ59" s="257">
        <f t="shared" si="669"/>
        <v>0</v>
      </c>
      <c r="IR59" s="249">
        <f t="shared" si="212"/>
        <v>0</v>
      </c>
      <c r="IS59" s="250">
        <f t="shared" si="213"/>
        <v>0</v>
      </c>
      <c r="IT59" s="279">
        <f t="shared" si="401"/>
        <v>0</v>
      </c>
      <c r="IU59" s="289">
        <f t="shared" si="214"/>
        <v>0</v>
      </c>
      <c r="IV59" s="279">
        <f t="shared" si="402"/>
        <v>0</v>
      </c>
      <c r="IW59" s="289">
        <f t="shared" si="214"/>
        <v>0</v>
      </c>
      <c r="IX59" s="279">
        <f t="shared" si="403"/>
        <v>0</v>
      </c>
      <c r="IY59" s="289">
        <f t="shared" si="215"/>
        <v>0</v>
      </c>
      <c r="IZ59" s="279">
        <f t="shared" si="404"/>
        <v>0</v>
      </c>
      <c r="JA59" s="289">
        <f t="shared" si="216"/>
        <v>0</v>
      </c>
      <c r="JB59" s="279">
        <f t="shared" si="405"/>
        <v>0</v>
      </c>
      <c r="JC59" s="289">
        <f t="shared" si="217"/>
        <v>0</v>
      </c>
      <c r="JD59" s="279">
        <f t="shared" si="218"/>
        <v>0</v>
      </c>
      <c r="JE59" s="289">
        <f t="shared" si="219"/>
        <v>0</v>
      </c>
      <c r="JF59" s="279">
        <f t="shared" si="406"/>
        <v>0</v>
      </c>
      <c r="JG59" s="289">
        <f t="shared" si="220"/>
        <v>0</v>
      </c>
      <c r="JH59" s="279">
        <f t="shared" si="221"/>
        <v>0</v>
      </c>
      <c r="JI59" s="289">
        <f t="shared" si="222"/>
        <v>0</v>
      </c>
      <c r="JJ59" s="279">
        <f t="shared" si="407"/>
        <v>0</v>
      </c>
      <c r="JK59" s="289">
        <f t="shared" si="223"/>
        <v>0</v>
      </c>
      <c r="JL59" s="279">
        <f t="shared" si="224"/>
        <v>0</v>
      </c>
      <c r="JM59" s="289">
        <f t="shared" si="225"/>
        <v>0</v>
      </c>
      <c r="JN59" s="279">
        <f t="shared" si="408"/>
        <v>0</v>
      </c>
      <c r="JO59" s="289">
        <f t="shared" si="226"/>
        <v>0</v>
      </c>
      <c r="JP59" s="252">
        <f t="shared" si="227"/>
        <v>0</v>
      </c>
      <c r="JQ59" s="251">
        <f t="shared" si="228"/>
        <v>0</v>
      </c>
      <c r="JS59" s="1"/>
      <c r="JT59" s="2">
        <v>8.3333333333333329E-2</v>
      </c>
      <c r="JU59" s="257">
        <f t="shared" si="670"/>
        <v>0</v>
      </c>
      <c r="JV59" s="249">
        <f t="shared" si="229"/>
        <v>0</v>
      </c>
      <c r="JW59" s="250">
        <f t="shared" si="230"/>
        <v>0</v>
      </c>
      <c r="JX59" s="372">
        <f t="shared" si="671"/>
        <v>0</v>
      </c>
      <c r="JY59" s="339">
        <f t="shared" si="231"/>
        <v>0</v>
      </c>
      <c r="JZ59" s="372">
        <f t="shared" si="672"/>
        <v>0</v>
      </c>
      <c r="KA59" s="339">
        <f t="shared" si="231"/>
        <v>0</v>
      </c>
      <c r="KB59" s="372">
        <f t="shared" si="673"/>
        <v>0</v>
      </c>
      <c r="KC59" s="339">
        <f t="shared" si="232"/>
        <v>0</v>
      </c>
      <c r="KD59" s="372">
        <f t="shared" si="674"/>
        <v>0</v>
      </c>
      <c r="KE59" s="339">
        <f t="shared" si="233"/>
        <v>0</v>
      </c>
      <c r="KF59" s="372">
        <f t="shared" si="675"/>
        <v>0</v>
      </c>
      <c r="KG59" s="339">
        <f t="shared" si="234"/>
        <v>0</v>
      </c>
      <c r="KH59" s="372">
        <f t="shared" si="235"/>
        <v>0</v>
      </c>
      <c r="KI59" s="339">
        <f t="shared" si="236"/>
        <v>0</v>
      </c>
      <c r="KJ59" s="372">
        <f t="shared" si="676"/>
        <v>0</v>
      </c>
      <c r="KK59" s="339">
        <f t="shared" si="237"/>
        <v>0</v>
      </c>
      <c r="KL59" s="372">
        <f t="shared" si="238"/>
        <v>0</v>
      </c>
      <c r="KM59" s="339">
        <f t="shared" si="239"/>
        <v>0</v>
      </c>
      <c r="KN59" s="372">
        <f t="shared" si="677"/>
        <v>0</v>
      </c>
      <c r="KO59" s="339">
        <f t="shared" si="240"/>
        <v>0</v>
      </c>
      <c r="KP59" s="372">
        <f t="shared" si="241"/>
        <v>0</v>
      </c>
      <c r="KQ59" s="339">
        <f t="shared" si="242"/>
        <v>0</v>
      </c>
      <c r="KR59" s="372">
        <f t="shared" si="678"/>
        <v>0</v>
      </c>
      <c r="KS59" s="377">
        <f t="shared" si="243"/>
        <v>0</v>
      </c>
      <c r="KT59" s="379">
        <f t="shared" si="244"/>
        <v>0</v>
      </c>
      <c r="KU59" s="251">
        <f t="shared" si="679"/>
        <v>0</v>
      </c>
      <c r="KW59" s="1"/>
      <c r="KX59" s="2">
        <v>8.3333333333333329E-2</v>
      </c>
      <c r="KY59" s="254">
        <f t="shared" si="680"/>
        <v>0</v>
      </c>
      <c r="KZ59" s="249">
        <f t="shared" si="271"/>
        <v>0</v>
      </c>
      <c r="LA59" s="251">
        <f t="shared" si="681"/>
        <v>0</v>
      </c>
      <c r="LB59" s="279">
        <f t="shared" si="272"/>
        <v>0</v>
      </c>
      <c r="LC59" s="339">
        <f t="shared" si="246"/>
        <v>0</v>
      </c>
      <c r="LD59" s="279">
        <f t="shared" si="272"/>
        <v>0</v>
      </c>
      <c r="LE59" s="339">
        <f t="shared" si="246"/>
        <v>0</v>
      </c>
      <c r="LF59" s="279">
        <f t="shared" si="272"/>
        <v>0</v>
      </c>
      <c r="LG59" s="339">
        <f t="shared" si="247"/>
        <v>0</v>
      </c>
      <c r="LH59" s="279">
        <f t="shared" si="272"/>
        <v>0</v>
      </c>
      <c r="LI59" s="339">
        <f t="shared" si="248"/>
        <v>0</v>
      </c>
      <c r="LJ59" s="279">
        <f t="shared" si="273"/>
        <v>0</v>
      </c>
      <c r="LK59" s="339">
        <f t="shared" si="249"/>
        <v>0</v>
      </c>
      <c r="LL59" s="279">
        <f t="shared" si="274"/>
        <v>0</v>
      </c>
      <c r="LM59" s="339">
        <f t="shared" si="250"/>
        <v>0</v>
      </c>
      <c r="LN59" s="279">
        <f t="shared" si="275"/>
        <v>0</v>
      </c>
      <c r="LO59" s="339">
        <f t="shared" si="251"/>
        <v>0</v>
      </c>
      <c r="LP59" s="279">
        <f t="shared" si="276"/>
        <v>0</v>
      </c>
      <c r="LQ59" s="339">
        <f t="shared" si="252"/>
        <v>0</v>
      </c>
      <c r="LR59" s="279">
        <f t="shared" si="277"/>
        <v>0</v>
      </c>
      <c r="LS59" s="339">
        <f t="shared" si="253"/>
        <v>0</v>
      </c>
      <c r="LT59" s="279">
        <f t="shared" si="278"/>
        <v>0</v>
      </c>
      <c r="LU59" s="339">
        <f t="shared" si="254"/>
        <v>0</v>
      </c>
      <c r="LV59" s="279">
        <f t="shared" si="279"/>
        <v>0</v>
      </c>
      <c r="LW59" s="339">
        <f t="shared" si="255"/>
        <v>0</v>
      </c>
      <c r="LX59" s="252">
        <f t="shared" si="256"/>
        <v>0</v>
      </c>
      <c r="LY59" s="253">
        <f t="shared" si="257"/>
        <v>0</v>
      </c>
      <c r="MA59" s="249">
        <f t="shared" si="412"/>
        <v>0</v>
      </c>
      <c r="MB59" s="253">
        <f t="shared" si="258"/>
        <v>0</v>
      </c>
      <c r="MC59" s="397">
        <f t="shared" si="413"/>
        <v>0</v>
      </c>
      <c r="MD59" s="253">
        <f t="shared" si="259"/>
        <v>0</v>
      </c>
      <c r="ME59" s="397">
        <f t="shared" si="414"/>
        <v>0</v>
      </c>
      <c r="MF59" s="253">
        <f t="shared" si="259"/>
        <v>0</v>
      </c>
      <c r="MG59" s="397">
        <f t="shared" si="415"/>
        <v>0</v>
      </c>
      <c r="MH59" s="253">
        <f t="shared" si="260"/>
        <v>0</v>
      </c>
      <c r="MI59" s="397">
        <f t="shared" si="416"/>
        <v>0</v>
      </c>
      <c r="MJ59" s="253">
        <f t="shared" si="261"/>
        <v>0</v>
      </c>
      <c r="MK59" s="397">
        <f t="shared" si="417"/>
        <v>0</v>
      </c>
      <c r="ML59" s="253">
        <f t="shared" si="262"/>
        <v>0</v>
      </c>
      <c r="MM59" s="397">
        <f t="shared" si="418"/>
        <v>0</v>
      </c>
      <c r="MN59" s="253">
        <f t="shared" si="263"/>
        <v>0</v>
      </c>
      <c r="MO59" s="397">
        <f t="shared" si="419"/>
        <v>0</v>
      </c>
      <c r="MP59" s="253">
        <f t="shared" si="264"/>
        <v>0</v>
      </c>
      <c r="MQ59" s="397">
        <f t="shared" si="420"/>
        <v>0</v>
      </c>
      <c r="MR59" s="253">
        <f t="shared" si="265"/>
        <v>0</v>
      </c>
      <c r="MS59" s="397">
        <f t="shared" si="421"/>
        <v>0</v>
      </c>
      <c r="MT59" s="253">
        <f t="shared" si="266"/>
        <v>0</v>
      </c>
      <c r="MU59" s="397">
        <f t="shared" si="422"/>
        <v>0</v>
      </c>
      <c r="MV59" s="253">
        <f t="shared" si="267"/>
        <v>0</v>
      </c>
      <c r="MW59" s="397">
        <f t="shared" si="423"/>
        <v>0</v>
      </c>
      <c r="MX59" s="253">
        <f t="shared" si="268"/>
        <v>0</v>
      </c>
      <c r="MY59" s="252">
        <f t="shared" si="269"/>
        <v>0</v>
      </c>
      <c r="MZ59" s="251">
        <f t="shared" si="270"/>
        <v>0</v>
      </c>
    </row>
    <row r="60" spans="1:364" ht="39.6" x14ac:dyDescent="0.25">
      <c r="A60" s="533"/>
      <c r="B60" s="245" t="s">
        <v>128</v>
      </c>
      <c r="C60" s="246" t="s">
        <v>129</v>
      </c>
      <c r="D60" s="247" t="s">
        <v>28</v>
      </c>
      <c r="E60" s="4">
        <v>1</v>
      </c>
      <c r="F60" s="353">
        <v>80795.333254269441</v>
      </c>
      <c r="G60" s="353">
        <f t="shared" si="81"/>
        <v>84162.574952561656</v>
      </c>
      <c r="I60" s="30"/>
      <c r="J60" s="2">
        <v>8.3333333333333329E-2</v>
      </c>
      <c r="K60" s="248">
        <f t="shared" si="82"/>
        <v>0</v>
      </c>
      <c r="L60" s="249"/>
      <c r="M60" s="301">
        <f t="shared" si="445"/>
        <v>0</v>
      </c>
      <c r="N60" s="279">
        <f t="shared" si="450"/>
        <v>0</v>
      </c>
      <c r="O60" s="289">
        <f t="shared" si="682"/>
        <v>0</v>
      </c>
      <c r="P60" s="279">
        <f t="shared" si="451"/>
        <v>0</v>
      </c>
      <c r="Q60" s="289">
        <f t="shared" si="682"/>
        <v>0</v>
      </c>
      <c r="R60" s="279">
        <f t="shared" si="452"/>
        <v>0</v>
      </c>
      <c r="S60" s="289">
        <f t="shared" si="86"/>
        <v>0</v>
      </c>
      <c r="T60" s="279">
        <f t="shared" si="453"/>
        <v>0</v>
      </c>
      <c r="U60" s="289">
        <f t="shared" si="87"/>
        <v>0</v>
      </c>
      <c r="V60" s="279">
        <f t="shared" si="409"/>
        <v>0</v>
      </c>
      <c r="W60" s="289">
        <f t="shared" si="88"/>
        <v>0</v>
      </c>
      <c r="X60" s="279">
        <f t="shared" si="305"/>
        <v>0</v>
      </c>
      <c r="Y60" s="289">
        <f t="shared" si="89"/>
        <v>0</v>
      </c>
      <c r="Z60" s="279">
        <f t="shared" si="454"/>
        <v>0</v>
      </c>
      <c r="AA60" s="289">
        <f t="shared" si="90"/>
        <v>0</v>
      </c>
      <c r="AB60" s="279">
        <f t="shared" si="306"/>
        <v>0</v>
      </c>
      <c r="AC60" s="289">
        <f t="shared" si="91"/>
        <v>0</v>
      </c>
      <c r="AD60" s="279">
        <f t="shared" si="455"/>
        <v>0</v>
      </c>
      <c r="AE60" s="289">
        <f t="shared" si="92"/>
        <v>0</v>
      </c>
      <c r="AF60" s="279">
        <f t="shared" si="307"/>
        <v>0</v>
      </c>
      <c r="AG60" s="289">
        <f t="shared" si="308"/>
        <v>0</v>
      </c>
      <c r="AH60" s="249">
        <f t="shared" si="456"/>
        <v>0</v>
      </c>
      <c r="AI60" s="299">
        <f t="shared" si="309"/>
        <v>0</v>
      </c>
      <c r="AJ60" s="252">
        <f t="shared" si="94"/>
        <v>0</v>
      </c>
      <c r="AK60" s="312">
        <f t="shared" si="95"/>
        <v>0</v>
      </c>
      <c r="AM60" s="1"/>
      <c r="AN60" s="2">
        <v>8.3333333333333329E-2</v>
      </c>
      <c r="AO60" s="254">
        <f t="shared" si="660"/>
        <v>0</v>
      </c>
      <c r="AP60" s="249">
        <f t="shared" si="328"/>
        <v>0</v>
      </c>
      <c r="AQ60" s="301">
        <f t="shared" si="96"/>
        <v>0</v>
      </c>
      <c r="AR60" s="249">
        <f t="shared" si="329"/>
        <v>0</v>
      </c>
      <c r="AS60" s="301">
        <f t="shared" si="96"/>
        <v>0</v>
      </c>
      <c r="AT60" s="249">
        <f t="shared" si="330"/>
        <v>0</v>
      </c>
      <c r="AU60" s="301">
        <f t="shared" si="96"/>
        <v>0</v>
      </c>
      <c r="AV60" s="249">
        <f t="shared" si="331"/>
        <v>0</v>
      </c>
      <c r="AW60" s="301">
        <f t="shared" si="98"/>
        <v>0</v>
      </c>
      <c r="AX60" s="249">
        <f t="shared" si="5"/>
        <v>0</v>
      </c>
      <c r="AY60" s="301">
        <f t="shared" si="99"/>
        <v>0</v>
      </c>
      <c r="AZ60" s="249">
        <f t="shared" si="332"/>
        <v>0</v>
      </c>
      <c r="BA60" s="301">
        <f t="shared" si="100"/>
        <v>0</v>
      </c>
      <c r="BB60" s="249">
        <f t="shared" si="7"/>
        <v>0</v>
      </c>
      <c r="BC60" s="301">
        <f t="shared" si="101"/>
        <v>0</v>
      </c>
      <c r="BD60" s="249">
        <f t="shared" si="333"/>
        <v>0</v>
      </c>
      <c r="BE60" s="301">
        <f t="shared" si="102"/>
        <v>0</v>
      </c>
      <c r="BF60" s="249">
        <f t="shared" si="9"/>
        <v>0</v>
      </c>
      <c r="BG60" s="301">
        <f t="shared" si="103"/>
        <v>0</v>
      </c>
      <c r="BH60" s="249">
        <f t="shared" si="334"/>
        <v>0</v>
      </c>
      <c r="BI60" s="301">
        <f t="shared" si="658"/>
        <v>0</v>
      </c>
      <c r="BJ60" s="249">
        <f t="shared" si="335"/>
        <v>0</v>
      </c>
      <c r="BK60" s="301">
        <f t="shared" si="658"/>
        <v>0</v>
      </c>
      <c r="BL60" s="249">
        <f t="shared" si="661"/>
        <v>0</v>
      </c>
      <c r="BM60" s="299">
        <f t="shared" si="105"/>
        <v>0</v>
      </c>
      <c r="BN60" s="252">
        <f t="shared" si="106"/>
        <v>0</v>
      </c>
      <c r="BO60" s="312">
        <f t="shared" si="410"/>
        <v>0</v>
      </c>
      <c r="BQ60" s="1"/>
      <c r="BR60" s="2"/>
      <c r="BS60" s="255">
        <f t="shared" si="281"/>
        <v>0</v>
      </c>
      <c r="BT60" s="249">
        <f t="shared" si="280"/>
        <v>0</v>
      </c>
      <c r="BU60" s="336">
        <f t="shared" si="107"/>
        <v>0</v>
      </c>
      <c r="BV60" s="279">
        <f t="shared" si="457"/>
        <v>0</v>
      </c>
      <c r="BW60" s="339">
        <f t="shared" si="108"/>
        <v>0</v>
      </c>
      <c r="BX60" s="279">
        <f t="shared" si="458"/>
        <v>0</v>
      </c>
      <c r="BY60" s="339">
        <f t="shared" si="109"/>
        <v>0</v>
      </c>
      <c r="BZ60" s="279">
        <f t="shared" si="459"/>
        <v>0</v>
      </c>
      <c r="CA60" s="339">
        <f t="shared" si="110"/>
        <v>0</v>
      </c>
      <c r="CB60" s="279">
        <f t="shared" si="460"/>
        <v>0</v>
      </c>
      <c r="CC60" s="339">
        <f t="shared" si="111"/>
        <v>0</v>
      </c>
      <c r="CD60" s="279">
        <f t="shared" si="461"/>
        <v>0</v>
      </c>
      <c r="CE60" s="339">
        <f t="shared" si="112"/>
        <v>0</v>
      </c>
      <c r="CF60" s="279">
        <f t="shared" si="113"/>
        <v>0</v>
      </c>
      <c r="CG60" s="339">
        <f t="shared" si="114"/>
        <v>0</v>
      </c>
      <c r="CH60" s="279">
        <f t="shared" si="462"/>
        <v>0</v>
      </c>
      <c r="CI60" s="339">
        <f t="shared" si="115"/>
        <v>0</v>
      </c>
      <c r="CJ60" s="279">
        <f t="shared" si="116"/>
        <v>0</v>
      </c>
      <c r="CK60" s="339">
        <f t="shared" si="117"/>
        <v>0</v>
      </c>
      <c r="CL60" s="279">
        <f t="shared" si="463"/>
        <v>0</v>
      </c>
      <c r="CM60" s="339">
        <f t="shared" si="118"/>
        <v>0</v>
      </c>
      <c r="CN60" s="279">
        <f t="shared" si="119"/>
        <v>0</v>
      </c>
      <c r="CO60" s="339">
        <f t="shared" si="120"/>
        <v>0</v>
      </c>
      <c r="CP60" s="279">
        <f t="shared" si="464"/>
        <v>0</v>
      </c>
      <c r="CQ60" s="250">
        <f t="shared" si="662"/>
        <v>0</v>
      </c>
      <c r="CR60" s="252">
        <f t="shared" si="121"/>
        <v>0</v>
      </c>
      <c r="CS60" s="251">
        <f t="shared" si="448"/>
        <v>0</v>
      </c>
      <c r="CU60" s="1"/>
      <c r="CV60" s="2"/>
      <c r="CW60" s="255">
        <f t="shared" si="299"/>
        <v>0</v>
      </c>
      <c r="CX60" s="249">
        <f t="shared" si="122"/>
        <v>0</v>
      </c>
      <c r="CY60" s="250">
        <f t="shared" si="123"/>
        <v>0</v>
      </c>
      <c r="CZ60" s="279">
        <f t="shared" si="465"/>
        <v>0</v>
      </c>
      <c r="DA60" s="299">
        <f t="shared" si="123"/>
        <v>0</v>
      </c>
      <c r="DB60" s="279">
        <f t="shared" si="466"/>
        <v>0</v>
      </c>
      <c r="DC60" s="299">
        <f t="shared" si="124"/>
        <v>0</v>
      </c>
      <c r="DD60" s="279">
        <f t="shared" si="467"/>
        <v>0</v>
      </c>
      <c r="DE60" s="299">
        <f t="shared" si="125"/>
        <v>0</v>
      </c>
      <c r="DF60" s="279">
        <f t="shared" si="468"/>
        <v>0</v>
      </c>
      <c r="DG60" s="299">
        <f t="shared" si="126"/>
        <v>0</v>
      </c>
      <c r="DH60" s="279">
        <f t="shared" si="469"/>
        <v>0</v>
      </c>
      <c r="DI60" s="299">
        <f t="shared" si="127"/>
        <v>0</v>
      </c>
      <c r="DJ60" s="279">
        <f t="shared" si="128"/>
        <v>0</v>
      </c>
      <c r="DK60" s="299">
        <f t="shared" si="129"/>
        <v>0</v>
      </c>
      <c r="DL60" s="279">
        <f t="shared" si="470"/>
        <v>0</v>
      </c>
      <c r="DM60" s="299">
        <f t="shared" si="130"/>
        <v>0</v>
      </c>
      <c r="DN60" s="279">
        <f t="shared" si="131"/>
        <v>0</v>
      </c>
      <c r="DO60" s="299">
        <f t="shared" si="132"/>
        <v>0</v>
      </c>
      <c r="DP60" s="279">
        <f t="shared" si="471"/>
        <v>0</v>
      </c>
      <c r="DQ60" s="299">
        <f t="shared" si="133"/>
        <v>0</v>
      </c>
      <c r="DR60" s="279">
        <f t="shared" si="134"/>
        <v>0</v>
      </c>
      <c r="DS60" s="299">
        <f t="shared" si="135"/>
        <v>0</v>
      </c>
      <c r="DT60" s="279">
        <f t="shared" si="472"/>
        <v>0</v>
      </c>
      <c r="DU60" s="299">
        <f t="shared" si="136"/>
        <v>0</v>
      </c>
      <c r="DV60" s="252">
        <f t="shared" si="137"/>
        <v>0</v>
      </c>
      <c r="DW60" s="251">
        <f t="shared" si="449"/>
        <v>0</v>
      </c>
      <c r="DY60" s="256">
        <v>0</v>
      </c>
      <c r="DZ60" s="2"/>
      <c r="EA60" s="254">
        <f t="shared" si="663"/>
        <v>0</v>
      </c>
      <c r="EB60" s="249">
        <f t="shared" si="384"/>
        <v>0</v>
      </c>
      <c r="EC60" s="250">
        <f t="shared" si="139"/>
        <v>0</v>
      </c>
      <c r="ED60" s="356">
        <f t="shared" si="385"/>
        <v>0</v>
      </c>
      <c r="EE60" s="250">
        <f t="shared" si="139"/>
        <v>0</v>
      </c>
      <c r="EF60" s="249">
        <f t="shared" si="386"/>
        <v>0</v>
      </c>
      <c r="EG60" s="250">
        <f t="shared" si="659"/>
        <v>0</v>
      </c>
      <c r="EH60" s="249">
        <f t="shared" si="387"/>
        <v>0</v>
      </c>
      <c r="EI60" s="250">
        <f t="shared" si="659"/>
        <v>0</v>
      </c>
      <c r="EJ60" s="249">
        <f t="shared" si="388"/>
        <v>0</v>
      </c>
      <c r="EK60" s="250">
        <f t="shared" si="143"/>
        <v>0</v>
      </c>
      <c r="EL60" s="249">
        <f t="shared" si="389"/>
        <v>0</v>
      </c>
      <c r="EM60" s="250">
        <f t="shared" si="144"/>
        <v>0</v>
      </c>
      <c r="EN60" s="249">
        <f t="shared" si="290"/>
        <v>0</v>
      </c>
      <c r="EO60" s="250">
        <f t="shared" si="145"/>
        <v>0</v>
      </c>
      <c r="EP60" s="249">
        <f t="shared" si="390"/>
        <v>0</v>
      </c>
      <c r="EQ60" s="250">
        <f t="shared" si="146"/>
        <v>0</v>
      </c>
      <c r="ER60" s="249">
        <f t="shared" si="292"/>
        <v>0</v>
      </c>
      <c r="ES60" s="250">
        <f t="shared" si="147"/>
        <v>0</v>
      </c>
      <c r="ET60" s="249">
        <f t="shared" si="391"/>
        <v>0</v>
      </c>
      <c r="EU60" s="250">
        <f t="shared" si="148"/>
        <v>0</v>
      </c>
      <c r="EV60" s="249">
        <f t="shared" si="294"/>
        <v>0</v>
      </c>
      <c r="EW60" s="250">
        <f t="shared" si="149"/>
        <v>0</v>
      </c>
      <c r="EX60" s="249">
        <f t="shared" si="392"/>
        <v>0</v>
      </c>
      <c r="EY60" s="250">
        <f t="shared" si="150"/>
        <v>0</v>
      </c>
      <c r="EZ60" s="252">
        <f t="shared" si="151"/>
        <v>0</v>
      </c>
      <c r="FA60" s="251">
        <f t="shared" si="664"/>
        <v>0</v>
      </c>
      <c r="FC60" s="1"/>
      <c r="FD60" s="2"/>
      <c r="FE60" s="257">
        <f t="shared" si="152"/>
        <v>0</v>
      </c>
      <c r="FF60" s="249">
        <f t="shared" si="153"/>
        <v>0</v>
      </c>
      <c r="FG60" s="250">
        <f t="shared" si="154"/>
        <v>0</v>
      </c>
      <c r="FH60" s="372">
        <f t="shared" si="473"/>
        <v>0</v>
      </c>
      <c r="FI60" s="339">
        <f t="shared" si="155"/>
        <v>0</v>
      </c>
      <c r="FJ60" s="372">
        <f t="shared" si="474"/>
        <v>0</v>
      </c>
      <c r="FK60" s="339">
        <f t="shared" si="155"/>
        <v>0</v>
      </c>
      <c r="FL60" s="372">
        <f t="shared" si="475"/>
        <v>0</v>
      </c>
      <c r="FM60" s="339">
        <f t="shared" si="156"/>
        <v>0</v>
      </c>
      <c r="FN60" s="372">
        <f t="shared" si="476"/>
        <v>0</v>
      </c>
      <c r="FO60" s="339">
        <f t="shared" si="157"/>
        <v>0</v>
      </c>
      <c r="FP60" s="372">
        <f t="shared" si="477"/>
        <v>0</v>
      </c>
      <c r="FQ60" s="339">
        <f t="shared" si="158"/>
        <v>0</v>
      </c>
      <c r="FR60" s="372">
        <f t="shared" si="159"/>
        <v>0</v>
      </c>
      <c r="FS60" s="339">
        <f t="shared" si="160"/>
        <v>0</v>
      </c>
      <c r="FT60" s="372">
        <f t="shared" si="478"/>
        <v>0</v>
      </c>
      <c r="FU60" s="339">
        <f t="shared" si="161"/>
        <v>0</v>
      </c>
      <c r="FV60" s="372">
        <f t="shared" si="162"/>
        <v>0</v>
      </c>
      <c r="FW60" s="339">
        <f t="shared" si="163"/>
        <v>0</v>
      </c>
      <c r="FX60" s="372">
        <f t="shared" si="479"/>
        <v>0</v>
      </c>
      <c r="FY60" s="339">
        <f t="shared" si="164"/>
        <v>0</v>
      </c>
      <c r="FZ60" s="372">
        <f t="shared" si="165"/>
        <v>0</v>
      </c>
      <c r="GA60" s="339">
        <f t="shared" si="166"/>
        <v>0</v>
      </c>
      <c r="GB60" s="372">
        <f t="shared" si="480"/>
        <v>0</v>
      </c>
      <c r="GC60" s="339">
        <f t="shared" si="167"/>
        <v>0</v>
      </c>
      <c r="GD60" s="252">
        <f t="shared" si="168"/>
        <v>0</v>
      </c>
      <c r="GE60" s="251">
        <f t="shared" si="411"/>
        <v>0</v>
      </c>
      <c r="GG60" s="1"/>
      <c r="GH60" s="2">
        <v>0.2</v>
      </c>
      <c r="GI60" s="257">
        <f t="shared" si="665"/>
        <v>0</v>
      </c>
      <c r="GJ60" s="249">
        <f t="shared" si="169"/>
        <v>0</v>
      </c>
      <c r="GK60" s="250">
        <f t="shared" si="170"/>
        <v>0</v>
      </c>
      <c r="GL60" s="249">
        <f t="shared" si="169"/>
        <v>0</v>
      </c>
      <c r="GM60" s="250">
        <f t="shared" si="170"/>
        <v>0</v>
      </c>
      <c r="GN60" s="249">
        <f t="shared" si="169"/>
        <v>0</v>
      </c>
      <c r="GO60" s="250">
        <f t="shared" si="171"/>
        <v>0</v>
      </c>
      <c r="GP60" s="249">
        <f t="shared" si="169"/>
        <v>0</v>
      </c>
      <c r="GQ60" s="250">
        <f t="shared" si="172"/>
        <v>0</v>
      </c>
      <c r="GR60" s="249">
        <f t="shared" si="173"/>
        <v>0</v>
      </c>
      <c r="GS60" s="250">
        <f t="shared" si="174"/>
        <v>0</v>
      </c>
      <c r="GT60" s="249">
        <f t="shared" si="175"/>
        <v>0</v>
      </c>
      <c r="GU60" s="250">
        <f t="shared" si="176"/>
        <v>0</v>
      </c>
      <c r="GV60" s="249">
        <f t="shared" si="177"/>
        <v>0</v>
      </c>
      <c r="GW60" s="250">
        <f t="shared" si="178"/>
        <v>0</v>
      </c>
      <c r="GX60" s="249">
        <f t="shared" si="179"/>
        <v>0</v>
      </c>
      <c r="GY60" s="250">
        <f t="shared" si="180"/>
        <v>0</v>
      </c>
      <c r="GZ60" s="249">
        <f t="shared" si="181"/>
        <v>0</v>
      </c>
      <c r="HA60" s="250">
        <f t="shared" si="182"/>
        <v>0</v>
      </c>
      <c r="HB60" s="249">
        <f t="shared" si="183"/>
        <v>0</v>
      </c>
      <c r="HC60" s="250">
        <f t="shared" si="184"/>
        <v>0</v>
      </c>
      <c r="HD60" s="249">
        <f t="shared" si="185"/>
        <v>0</v>
      </c>
      <c r="HE60" s="250">
        <f t="shared" si="186"/>
        <v>0</v>
      </c>
      <c r="HF60" s="249">
        <f t="shared" si="187"/>
        <v>0</v>
      </c>
      <c r="HG60" s="250">
        <f t="shared" si="188"/>
        <v>0</v>
      </c>
      <c r="HH60" s="252">
        <f t="shared" si="189"/>
        <v>0</v>
      </c>
      <c r="HI60" s="251">
        <f t="shared" si="666"/>
        <v>0</v>
      </c>
      <c r="HK60" s="1"/>
      <c r="HL60" s="2"/>
      <c r="HM60" s="257">
        <f t="shared" si="667"/>
        <v>0</v>
      </c>
      <c r="HN60" s="249">
        <f t="shared" si="190"/>
        <v>0</v>
      </c>
      <c r="HO60" s="250">
        <f t="shared" si="668"/>
        <v>0</v>
      </c>
      <c r="HP60" s="249">
        <f t="shared" si="192"/>
        <v>0</v>
      </c>
      <c r="HQ60" s="250">
        <f t="shared" si="193"/>
        <v>0</v>
      </c>
      <c r="HR60" s="249">
        <f t="shared" si="192"/>
        <v>0</v>
      </c>
      <c r="HS60" s="250">
        <f t="shared" si="193"/>
        <v>0</v>
      </c>
      <c r="HT60" s="249">
        <f t="shared" si="192"/>
        <v>0</v>
      </c>
      <c r="HU60" s="250">
        <f t="shared" si="194"/>
        <v>0</v>
      </c>
      <c r="HV60" s="249">
        <f t="shared" si="192"/>
        <v>0</v>
      </c>
      <c r="HW60" s="250">
        <f t="shared" si="195"/>
        <v>0</v>
      </c>
      <c r="HX60" s="249">
        <f t="shared" si="196"/>
        <v>0</v>
      </c>
      <c r="HY60" s="250">
        <f t="shared" si="197"/>
        <v>0</v>
      </c>
      <c r="HZ60" s="249">
        <f t="shared" si="198"/>
        <v>0</v>
      </c>
      <c r="IA60" s="250">
        <f t="shared" si="199"/>
        <v>0</v>
      </c>
      <c r="IB60" s="249">
        <f t="shared" si="200"/>
        <v>0</v>
      </c>
      <c r="IC60" s="250">
        <f t="shared" si="201"/>
        <v>0</v>
      </c>
      <c r="ID60" s="249">
        <f t="shared" si="202"/>
        <v>0</v>
      </c>
      <c r="IE60" s="250">
        <f t="shared" si="203"/>
        <v>0</v>
      </c>
      <c r="IF60" s="249">
        <f t="shared" si="204"/>
        <v>0</v>
      </c>
      <c r="IG60" s="250">
        <f t="shared" si="205"/>
        <v>0</v>
      </c>
      <c r="IH60" s="249">
        <f t="shared" si="206"/>
        <v>0</v>
      </c>
      <c r="II60" s="250">
        <f t="shared" si="207"/>
        <v>0</v>
      </c>
      <c r="IJ60" s="249">
        <f t="shared" si="208"/>
        <v>0</v>
      </c>
      <c r="IK60" s="250">
        <f t="shared" si="209"/>
        <v>0</v>
      </c>
      <c r="IL60" s="252">
        <f t="shared" si="210"/>
        <v>0</v>
      </c>
      <c r="IM60" s="251">
        <f t="shared" si="211"/>
        <v>0</v>
      </c>
      <c r="IO60" s="1"/>
      <c r="IP60" s="2">
        <v>8.3333333333333329E-2</v>
      </c>
      <c r="IQ60" s="257">
        <f t="shared" si="669"/>
        <v>0</v>
      </c>
      <c r="IR60" s="249">
        <f t="shared" si="212"/>
        <v>0</v>
      </c>
      <c r="IS60" s="250">
        <f t="shared" si="213"/>
        <v>0</v>
      </c>
      <c r="IT60" s="279">
        <f t="shared" si="401"/>
        <v>0</v>
      </c>
      <c r="IU60" s="289">
        <f t="shared" si="214"/>
        <v>0</v>
      </c>
      <c r="IV60" s="279">
        <f t="shared" si="402"/>
        <v>0</v>
      </c>
      <c r="IW60" s="289">
        <f t="shared" si="214"/>
        <v>0</v>
      </c>
      <c r="IX60" s="279">
        <f t="shared" si="403"/>
        <v>0</v>
      </c>
      <c r="IY60" s="289">
        <f t="shared" si="215"/>
        <v>0</v>
      </c>
      <c r="IZ60" s="279">
        <f t="shared" si="404"/>
        <v>0</v>
      </c>
      <c r="JA60" s="289">
        <f t="shared" si="216"/>
        <v>0</v>
      </c>
      <c r="JB60" s="279">
        <f t="shared" si="405"/>
        <v>0</v>
      </c>
      <c r="JC60" s="289">
        <f t="shared" si="217"/>
        <v>0</v>
      </c>
      <c r="JD60" s="279">
        <f t="shared" si="218"/>
        <v>0</v>
      </c>
      <c r="JE60" s="289">
        <f t="shared" si="219"/>
        <v>0</v>
      </c>
      <c r="JF60" s="279">
        <f t="shared" si="406"/>
        <v>0</v>
      </c>
      <c r="JG60" s="289">
        <f t="shared" si="220"/>
        <v>0</v>
      </c>
      <c r="JH60" s="279">
        <f t="shared" si="221"/>
        <v>0</v>
      </c>
      <c r="JI60" s="289">
        <f t="shared" si="222"/>
        <v>0</v>
      </c>
      <c r="JJ60" s="279">
        <f t="shared" si="407"/>
        <v>0</v>
      </c>
      <c r="JK60" s="289">
        <f t="shared" si="223"/>
        <v>0</v>
      </c>
      <c r="JL60" s="279">
        <f t="shared" si="224"/>
        <v>0</v>
      </c>
      <c r="JM60" s="289">
        <f t="shared" si="225"/>
        <v>0</v>
      </c>
      <c r="JN60" s="279">
        <f t="shared" si="408"/>
        <v>0</v>
      </c>
      <c r="JO60" s="289">
        <f t="shared" si="226"/>
        <v>0</v>
      </c>
      <c r="JP60" s="252">
        <f t="shared" si="227"/>
        <v>0</v>
      </c>
      <c r="JQ60" s="251">
        <f t="shared" si="228"/>
        <v>0</v>
      </c>
      <c r="JS60" s="1"/>
      <c r="JT60" s="2">
        <v>8.3333333333333329E-2</v>
      </c>
      <c r="JU60" s="257">
        <f t="shared" si="670"/>
        <v>0</v>
      </c>
      <c r="JV60" s="249">
        <f t="shared" si="229"/>
        <v>0</v>
      </c>
      <c r="JW60" s="250">
        <f t="shared" si="230"/>
        <v>0</v>
      </c>
      <c r="JX60" s="372">
        <f t="shared" si="671"/>
        <v>0</v>
      </c>
      <c r="JY60" s="339">
        <f t="shared" si="231"/>
        <v>0</v>
      </c>
      <c r="JZ60" s="372">
        <f t="shared" si="672"/>
        <v>0</v>
      </c>
      <c r="KA60" s="339">
        <f t="shared" si="231"/>
        <v>0</v>
      </c>
      <c r="KB60" s="372">
        <f t="shared" si="673"/>
        <v>0</v>
      </c>
      <c r="KC60" s="339">
        <f t="shared" si="232"/>
        <v>0</v>
      </c>
      <c r="KD60" s="372">
        <f t="shared" si="674"/>
        <v>0</v>
      </c>
      <c r="KE60" s="339">
        <f t="shared" si="233"/>
        <v>0</v>
      </c>
      <c r="KF60" s="372">
        <f t="shared" si="675"/>
        <v>0</v>
      </c>
      <c r="KG60" s="339">
        <f t="shared" si="234"/>
        <v>0</v>
      </c>
      <c r="KH60" s="372">
        <f t="shared" si="235"/>
        <v>0</v>
      </c>
      <c r="KI60" s="339">
        <f t="shared" si="236"/>
        <v>0</v>
      </c>
      <c r="KJ60" s="372">
        <f t="shared" si="676"/>
        <v>0</v>
      </c>
      <c r="KK60" s="339">
        <f t="shared" si="237"/>
        <v>0</v>
      </c>
      <c r="KL60" s="372">
        <f t="shared" si="238"/>
        <v>0</v>
      </c>
      <c r="KM60" s="339">
        <f t="shared" si="239"/>
        <v>0</v>
      </c>
      <c r="KN60" s="372">
        <f t="shared" si="677"/>
        <v>0</v>
      </c>
      <c r="KO60" s="339">
        <f t="shared" si="240"/>
        <v>0</v>
      </c>
      <c r="KP60" s="372">
        <f t="shared" si="241"/>
        <v>0</v>
      </c>
      <c r="KQ60" s="339">
        <f t="shared" si="242"/>
        <v>0</v>
      </c>
      <c r="KR60" s="372">
        <f t="shared" si="678"/>
        <v>0</v>
      </c>
      <c r="KS60" s="377">
        <f t="shared" si="243"/>
        <v>0</v>
      </c>
      <c r="KT60" s="379">
        <f t="shared" si="244"/>
        <v>0</v>
      </c>
      <c r="KU60" s="251">
        <f t="shared" si="679"/>
        <v>0</v>
      </c>
      <c r="KW60" s="1"/>
      <c r="KX60" s="2">
        <v>8.3333333333333329E-2</v>
      </c>
      <c r="KY60" s="254">
        <f t="shared" si="680"/>
        <v>0</v>
      </c>
      <c r="KZ60" s="249">
        <f t="shared" si="271"/>
        <v>0</v>
      </c>
      <c r="LA60" s="251">
        <f t="shared" si="681"/>
        <v>0</v>
      </c>
      <c r="LB60" s="279">
        <f t="shared" si="272"/>
        <v>0</v>
      </c>
      <c r="LC60" s="339">
        <f t="shared" si="246"/>
        <v>0</v>
      </c>
      <c r="LD60" s="279">
        <f t="shared" si="272"/>
        <v>0</v>
      </c>
      <c r="LE60" s="339">
        <f t="shared" si="246"/>
        <v>0</v>
      </c>
      <c r="LF60" s="279">
        <f t="shared" si="272"/>
        <v>0</v>
      </c>
      <c r="LG60" s="339">
        <f t="shared" si="247"/>
        <v>0</v>
      </c>
      <c r="LH60" s="279">
        <f t="shared" si="272"/>
        <v>0</v>
      </c>
      <c r="LI60" s="339">
        <f t="shared" si="248"/>
        <v>0</v>
      </c>
      <c r="LJ60" s="279">
        <f t="shared" si="273"/>
        <v>0</v>
      </c>
      <c r="LK60" s="339">
        <f t="shared" si="249"/>
        <v>0</v>
      </c>
      <c r="LL60" s="279">
        <f t="shared" si="274"/>
        <v>0</v>
      </c>
      <c r="LM60" s="339">
        <f t="shared" si="250"/>
        <v>0</v>
      </c>
      <c r="LN60" s="279">
        <f t="shared" si="275"/>
        <v>0</v>
      </c>
      <c r="LO60" s="339">
        <f t="shared" si="251"/>
        <v>0</v>
      </c>
      <c r="LP60" s="279">
        <f t="shared" si="276"/>
        <v>0</v>
      </c>
      <c r="LQ60" s="339">
        <f t="shared" si="252"/>
        <v>0</v>
      </c>
      <c r="LR60" s="279">
        <f t="shared" si="277"/>
        <v>0</v>
      </c>
      <c r="LS60" s="339">
        <f t="shared" si="253"/>
        <v>0</v>
      </c>
      <c r="LT60" s="279">
        <f t="shared" si="278"/>
        <v>0</v>
      </c>
      <c r="LU60" s="339">
        <f t="shared" si="254"/>
        <v>0</v>
      </c>
      <c r="LV60" s="279">
        <f t="shared" si="279"/>
        <v>0</v>
      </c>
      <c r="LW60" s="339">
        <f t="shared" si="255"/>
        <v>0</v>
      </c>
      <c r="LX60" s="252">
        <f t="shared" si="256"/>
        <v>0</v>
      </c>
      <c r="LY60" s="253">
        <f t="shared" si="257"/>
        <v>0</v>
      </c>
      <c r="MA60" s="249">
        <f t="shared" si="412"/>
        <v>0</v>
      </c>
      <c r="MB60" s="253">
        <f t="shared" si="258"/>
        <v>0</v>
      </c>
      <c r="MC60" s="397">
        <f t="shared" si="413"/>
        <v>0</v>
      </c>
      <c r="MD60" s="253">
        <f t="shared" si="259"/>
        <v>0</v>
      </c>
      <c r="ME60" s="397">
        <f t="shared" si="414"/>
        <v>0</v>
      </c>
      <c r="MF60" s="253">
        <f t="shared" si="259"/>
        <v>0</v>
      </c>
      <c r="MG60" s="397">
        <f t="shared" si="415"/>
        <v>0</v>
      </c>
      <c r="MH60" s="253">
        <f t="shared" si="260"/>
        <v>0</v>
      </c>
      <c r="MI60" s="397">
        <f t="shared" si="416"/>
        <v>0</v>
      </c>
      <c r="MJ60" s="253">
        <f t="shared" si="261"/>
        <v>0</v>
      </c>
      <c r="MK60" s="397">
        <f t="shared" si="417"/>
        <v>0</v>
      </c>
      <c r="ML60" s="253">
        <f t="shared" si="262"/>
        <v>0</v>
      </c>
      <c r="MM60" s="397">
        <f t="shared" si="418"/>
        <v>0</v>
      </c>
      <c r="MN60" s="253">
        <f t="shared" si="263"/>
        <v>0</v>
      </c>
      <c r="MO60" s="397">
        <f t="shared" si="419"/>
        <v>0</v>
      </c>
      <c r="MP60" s="253">
        <f t="shared" si="264"/>
        <v>0</v>
      </c>
      <c r="MQ60" s="397">
        <f t="shared" si="420"/>
        <v>0</v>
      </c>
      <c r="MR60" s="253">
        <f t="shared" si="265"/>
        <v>0</v>
      </c>
      <c r="MS60" s="397">
        <f t="shared" si="421"/>
        <v>0</v>
      </c>
      <c r="MT60" s="253">
        <f t="shared" si="266"/>
        <v>0</v>
      </c>
      <c r="MU60" s="397">
        <f t="shared" si="422"/>
        <v>0</v>
      </c>
      <c r="MV60" s="253">
        <f t="shared" si="267"/>
        <v>0</v>
      </c>
      <c r="MW60" s="397">
        <f t="shared" si="423"/>
        <v>0</v>
      </c>
      <c r="MX60" s="253">
        <f t="shared" si="268"/>
        <v>0</v>
      </c>
      <c r="MY60" s="252">
        <f t="shared" si="269"/>
        <v>0</v>
      </c>
      <c r="MZ60" s="251">
        <f t="shared" si="270"/>
        <v>0</v>
      </c>
    </row>
    <row r="61" spans="1:364" ht="52.8" x14ac:dyDescent="0.25">
      <c r="A61" s="533"/>
      <c r="B61" s="245" t="s">
        <v>130</v>
      </c>
      <c r="C61" s="246" t="s">
        <v>131</v>
      </c>
      <c r="D61" s="247" t="s">
        <v>28</v>
      </c>
      <c r="E61" s="4">
        <v>1</v>
      </c>
      <c r="F61" s="353">
        <v>80994.574240986709</v>
      </c>
      <c r="G61" s="353">
        <f t="shared" si="81"/>
        <v>84370.119544592017</v>
      </c>
      <c r="I61" s="30"/>
      <c r="J61" s="2">
        <v>8.3333333333333329E-2</v>
      </c>
      <c r="K61" s="248">
        <f t="shared" si="82"/>
        <v>0</v>
      </c>
      <c r="L61" s="249"/>
      <c r="M61" s="301">
        <f t="shared" si="445"/>
        <v>0</v>
      </c>
      <c r="N61" s="279">
        <f t="shared" si="450"/>
        <v>0</v>
      </c>
      <c r="O61" s="289">
        <f t="shared" si="682"/>
        <v>0</v>
      </c>
      <c r="P61" s="279">
        <f t="shared" si="451"/>
        <v>0</v>
      </c>
      <c r="Q61" s="289">
        <f t="shared" si="682"/>
        <v>0</v>
      </c>
      <c r="R61" s="279">
        <f t="shared" si="452"/>
        <v>0</v>
      </c>
      <c r="S61" s="289">
        <f t="shared" si="86"/>
        <v>0</v>
      </c>
      <c r="T61" s="279">
        <f t="shared" si="453"/>
        <v>0</v>
      </c>
      <c r="U61" s="289">
        <f t="shared" si="87"/>
        <v>0</v>
      </c>
      <c r="V61" s="279">
        <f t="shared" si="409"/>
        <v>0</v>
      </c>
      <c r="W61" s="289">
        <f t="shared" si="88"/>
        <v>0</v>
      </c>
      <c r="X61" s="279">
        <f t="shared" si="305"/>
        <v>0</v>
      </c>
      <c r="Y61" s="289">
        <f t="shared" si="89"/>
        <v>0</v>
      </c>
      <c r="Z61" s="279">
        <f t="shared" si="454"/>
        <v>0</v>
      </c>
      <c r="AA61" s="289">
        <f t="shared" si="90"/>
        <v>0</v>
      </c>
      <c r="AB61" s="279">
        <f t="shared" si="306"/>
        <v>0</v>
      </c>
      <c r="AC61" s="289">
        <f t="shared" si="91"/>
        <v>0</v>
      </c>
      <c r="AD61" s="279">
        <f t="shared" si="455"/>
        <v>0</v>
      </c>
      <c r="AE61" s="289">
        <f t="shared" si="92"/>
        <v>0</v>
      </c>
      <c r="AF61" s="279">
        <f t="shared" si="307"/>
        <v>0</v>
      </c>
      <c r="AG61" s="289">
        <f t="shared" si="308"/>
        <v>0</v>
      </c>
      <c r="AH61" s="249">
        <f t="shared" si="456"/>
        <v>0</v>
      </c>
      <c r="AI61" s="299">
        <f t="shared" si="309"/>
        <v>0</v>
      </c>
      <c r="AJ61" s="252">
        <f t="shared" si="94"/>
        <v>0</v>
      </c>
      <c r="AK61" s="312">
        <f t="shared" si="95"/>
        <v>0</v>
      </c>
      <c r="AM61" s="1"/>
      <c r="AN61" s="2">
        <v>8.3333333333333329E-2</v>
      </c>
      <c r="AO61" s="254">
        <f t="shared" si="660"/>
        <v>0</v>
      </c>
      <c r="AP61" s="249">
        <f t="shared" si="328"/>
        <v>0</v>
      </c>
      <c r="AQ61" s="301">
        <f t="shared" si="96"/>
        <v>0</v>
      </c>
      <c r="AR61" s="249">
        <f t="shared" si="329"/>
        <v>0</v>
      </c>
      <c r="AS61" s="301">
        <f t="shared" si="96"/>
        <v>0</v>
      </c>
      <c r="AT61" s="249">
        <f t="shared" si="330"/>
        <v>0</v>
      </c>
      <c r="AU61" s="301">
        <f t="shared" si="96"/>
        <v>0</v>
      </c>
      <c r="AV61" s="249">
        <f t="shared" si="331"/>
        <v>0</v>
      </c>
      <c r="AW61" s="301">
        <f t="shared" si="98"/>
        <v>0</v>
      </c>
      <c r="AX61" s="249">
        <f t="shared" si="5"/>
        <v>0</v>
      </c>
      <c r="AY61" s="301">
        <f t="shared" si="99"/>
        <v>0</v>
      </c>
      <c r="AZ61" s="249">
        <f t="shared" si="332"/>
        <v>0</v>
      </c>
      <c r="BA61" s="301">
        <f t="shared" si="100"/>
        <v>0</v>
      </c>
      <c r="BB61" s="249">
        <f t="shared" si="7"/>
        <v>0</v>
      </c>
      <c r="BC61" s="301">
        <f t="shared" si="101"/>
        <v>0</v>
      </c>
      <c r="BD61" s="249">
        <f t="shared" si="333"/>
        <v>0</v>
      </c>
      <c r="BE61" s="301">
        <f t="shared" si="102"/>
        <v>0</v>
      </c>
      <c r="BF61" s="249">
        <f t="shared" si="9"/>
        <v>0</v>
      </c>
      <c r="BG61" s="301">
        <f t="shared" si="103"/>
        <v>0</v>
      </c>
      <c r="BH61" s="249">
        <f t="shared" si="334"/>
        <v>0</v>
      </c>
      <c r="BI61" s="301">
        <f t="shared" si="658"/>
        <v>0</v>
      </c>
      <c r="BJ61" s="249">
        <f t="shared" si="335"/>
        <v>0</v>
      </c>
      <c r="BK61" s="301">
        <f t="shared" si="658"/>
        <v>0</v>
      </c>
      <c r="BL61" s="249">
        <f t="shared" si="661"/>
        <v>0</v>
      </c>
      <c r="BM61" s="299">
        <f t="shared" si="105"/>
        <v>0</v>
      </c>
      <c r="BN61" s="252">
        <f t="shared" si="106"/>
        <v>0</v>
      </c>
      <c r="BO61" s="312">
        <f t="shared" si="410"/>
        <v>0</v>
      </c>
      <c r="BQ61" s="1"/>
      <c r="BR61" s="2"/>
      <c r="BS61" s="255">
        <f t="shared" si="281"/>
        <v>0</v>
      </c>
      <c r="BT61" s="249">
        <f t="shared" si="280"/>
        <v>0</v>
      </c>
      <c r="BU61" s="336">
        <f t="shared" si="107"/>
        <v>0</v>
      </c>
      <c r="BV61" s="279">
        <f t="shared" si="457"/>
        <v>0</v>
      </c>
      <c r="BW61" s="339">
        <f t="shared" si="108"/>
        <v>0</v>
      </c>
      <c r="BX61" s="279">
        <f t="shared" si="458"/>
        <v>0</v>
      </c>
      <c r="BY61" s="339">
        <f t="shared" si="109"/>
        <v>0</v>
      </c>
      <c r="BZ61" s="279">
        <f t="shared" si="459"/>
        <v>0</v>
      </c>
      <c r="CA61" s="339">
        <f t="shared" si="110"/>
        <v>0</v>
      </c>
      <c r="CB61" s="279">
        <f t="shared" si="460"/>
        <v>0</v>
      </c>
      <c r="CC61" s="339">
        <f t="shared" si="111"/>
        <v>0</v>
      </c>
      <c r="CD61" s="279">
        <f t="shared" si="461"/>
        <v>0</v>
      </c>
      <c r="CE61" s="339">
        <f t="shared" si="112"/>
        <v>0</v>
      </c>
      <c r="CF61" s="279">
        <f t="shared" si="113"/>
        <v>0</v>
      </c>
      <c r="CG61" s="339">
        <f t="shared" si="114"/>
        <v>0</v>
      </c>
      <c r="CH61" s="279">
        <f t="shared" si="462"/>
        <v>0</v>
      </c>
      <c r="CI61" s="339">
        <f t="shared" si="115"/>
        <v>0</v>
      </c>
      <c r="CJ61" s="279">
        <f t="shared" si="116"/>
        <v>0</v>
      </c>
      <c r="CK61" s="339">
        <f t="shared" si="117"/>
        <v>0</v>
      </c>
      <c r="CL61" s="279">
        <f t="shared" si="463"/>
        <v>0</v>
      </c>
      <c r="CM61" s="339">
        <f t="shared" si="118"/>
        <v>0</v>
      </c>
      <c r="CN61" s="279">
        <f t="shared" si="119"/>
        <v>0</v>
      </c>
      <c r="CO61" s="339">
        <f t="shared" si="120"/>
        <v>0</v>
      </c>
      <c r="CP61" s="279">
        <f t="shared" si="464"/>
        <v>0</v>
      </c>
      <c r="CQ61" s="250">
        <f t="shared" si="662"/>
        <v>0</v>
      </c>
      <c r="CR61" s="252">
        <f t="shared" si="121"/>
        <v>0</v>
      </c>
      <c r="CS61" s="251">
        <f t="shared" si="448"/>
        <v>0</v>
      </c>
      <c r="CU61" s="1"/>
      <c r="CV61" s="2"/>
      <c r="CW61" s="255">
        <f t="shared" si="299"/>
        <v>0</v>
      </c>
      <c r="CX61" s="249">
        <f t="shared" si="122"/>
        <v>0</v>
      </c>
      <c r="CY61" s="250">
        <f t="shared" si="123"/>
        <v>0</v>
      </c>
      <c r="CZ61" s="279">
        <f t="shared" si="465"/>
        <v>0</v>
      </c>
      <c r="DA61" s="299">
        <f t="shared" si="123"/>
        <v>0</v>
      </c>
      <c r="DB61" s="279">
        <f t="shared" si="466"/>
        <v>0</v>
      </c>
      <c r="DC61" s="299">
        <f t="shared" si="124"/>
        <v>0</v>
      </c>
      <c r="DD61" s="279">
        <f t="shared" si="467"/>
        <v>0</v>
      </c>
      <c r="DE61" s="299">
        <f t="shared" si="125"/>
        <v>0</v>
      </c>
      <c r="DF61" s="279">
        <f t="shared" si="468"/>
        <v>0</v>
      </c>
      <c r="DG61" s="299">
        <f t="shared" si="126"/>
        <v>0</v>
      </c>
      <c r="DH61" s="279">
        <f t="shared" si="469"/>
        <v>0</v>
      </c>
      <c r="DI61" s="299">
        <f t="shared" si="127"/>
        <v>0</v>
      </c>
      <c r="DJ61" s="279">
        <f t="shared" si="128"/>
        <v>0</v>
      </c>
      <c r="DK61" s="299">
        <f t="shared" si="129"/>
        <v>0</v>
      </c>
      <c r="DL61" s="279">
        <f t="shared" si="470"/>
        <v>0</v>
      </c>
      <c r="DM61" s="299">
        <f t="shared" si="130"/>
        <v>0</v>
      </c>
      <c r="DN61" s="279">
        <f t="shared" si="131"/>
        <v>0</v>
      </c>
      <c r="DO61" s="299">
        <f t="shared" si="132"/>
        <v>0</v>
      </c>
      <c r="DP61" s="279">
        <f t="shared" si="471"/>
        <v>0</v>
      </c>
      <c r="DQ61" s="299">
        <f t="shared" si="133"/>
        <v>0</v>
      </c>
      <c r="DR61" s="279">
        <f t="shared" si="134"/>
        <v>0</v>
      </c>
      <c r="DS61" s="299">
        <f t="shared" si="135"/>
        <v>0</v>
      </c>
      <c r="DT61" s="279">
        <f t="shared" si="472"/>
        <v>0</v>
      </c>
      <c r="DU61" s="299">
        <f t="shared" si="136"/>
        <v>0</v>
      </c>
      <c r="DV61" s="252">
        <f t="shared" si="137"/>
        <v>0</v>
      </c>
      <c r="DW61" s="251">
        <f t="shared" si="449"/>
        <v>0</v>
      </c>
      <c r="DY61" s="256">
        <v>0</v>
      </c>
      <c r="DZ61" s="2"/>
      <c r="EA61" s="254">
        <f t="shared" si="663"/>
        <v>0</v>
      </c>
      <c r="EB61" s="249">
        <f t="shared" si="384"/>
        <v>0</v>
      </c>
      <c r="EC61" s="250">
        <f t="shared" si="139"/>
        <v>0</v>
      </c>
      <c r="ED61" s="356">
        <f t="shared" si="385"/>
        <v>0</v>
      </c>
      <c r="EE61" s="250">
        <f t="shared" si="139"/>
        <v>0</v>
      </c>
      <c r="EF61" s="249">
        <f t="shared" si="386"/>
        <v>0</v>
      </c>
      <c r="EG61" s="250">
        <f t="shared" si="659"/>
        <v>0</v>
      </c>
      <c r="EH61" s="249">
        <f t="shared" si="387"/>
        <v>0</v>
      </c>
      <c r="EI61" s="250">
        <f t="shared" si="659"/>
        <v>0</v>
      </c>
      <c r="EJ61" s="249">
        <f t="shared" si="388"/>
        <v>0</v>
      </c>
      <c r="EK61" s="250">
        <f t="shared" si="143"/>
        <v>0</v>
      </c>
      <c r="EL61" s="249">
        <f t="shared" si="389"/>
        <v>0</v>
      </c>
      <c r="EM61" s="250">
        <f t="shared" si="144"/>
        <v>0</v>
      </c>
      <c r="EN61" s="249">
        <f t="shared" si="290"/>
        <v>0</v>
      </c>
      <c r="EO61" s="250">
        <f t="shared" si="145"/>
        <v>0</v>
      </c>
      <c r="EP61" s="249">
        <f t="shared" si="390"/>
        <v>0</v>
      </c>
      <c r="EQ61" s="250">
        <f t="shared" si="146"/>
        <v>0</v>
      </c>
      <c r="ER61" s="249">
        <f t="shared" si="292"/>
        <v>0</v>
      </c>
      <c r="ES61" s="250">
        <f t="shared" si="147"/>
        <v>0</v>
      </c>
      <c r="ET61" s="249">
        <f t="shared" si="391"/>
        <v>0</v>
      </c>
      <c r="EU61" s="250">
        <f t="shared" si="148"/>
        <v>0</v>
      </c>
      <c r="EV61" s="249">
        <f t="shared" si="294"/>
        <v>0</v>
      </c>
      <c r="EW61" s="250">
        <f t="shared" si="149"/>
        <v>0</v>
      </c>
      <c r="EX61" s="249">
        <f t="shared" si="392"/>
        <v>0</v>
      </c>
      <c r="EY61" s="250">
        <f t="shared" si="150"/>
        <v>0</v>
      </c>
      <c r="EZ61" s="252">
        <f t="shared" si="151"/>
        <v>0</v>
      </c>
      <c r="FA61" s="251">
        <f t="shared" si="664"/>
        <v>0</v>
      </c>
      <c r="FC61" s="1"/>
      <c r="FD61" s="2"/>
      <c r="FE61" s="257">
        <f t="shared" si="152"/>
        <v>0</v>
      </c>
      <c r="FF61" s="249">
        <f t="shared" si="153"/>
        <v>0</v>
      </c>
      <c r="FG61" s="250">
        <f t="shared" si="154"/>
        <v>0</v>
      </c>
      <c r="FH61" s="372">
        <f t="shared" si="473"/>
        <v>0</v>
      </c>
      <c r="FI61" s="339">
        <f t="shared" si="155"/>
        <v>0</v>
      </c>
      <c r="FJ61" s="372">
        <f t="shared" si="474"/>
        <v>0</v>
      </c>
      <c r="FK61" s="339">
        <f t="shared" si="155"/>
        <v>0</v>
      </c>
      <c r="FL61" s="372">
        <f t="shared" si="475"/>
        <v>0</v>
      </c>
      <c r="FM61" s="339">
        <f t="shared" si="156"/>
        <v>0</v>
      </c>
      <c r="FN61" s="372">
        <f t="shared" si="476"/>
        <v>0</v>
      </c>
      <c r="FO61" s="339">
        <f t="shared" si="157"/>
        <v>0</v>
      </c>
      <c r="FP61" s="372">
        <f t="shared" si="477"/>
        <v>0</v>
      </c>
      <c r="FQ61" s="339">
        <f t="shared" si="158"/>
        <v>0</v>
      </c>
      <c r="FR61" s="372">
        <f t="shared" si="159"/>
        <v>0</v>
      </c>
      <c r="FS61" s="339">
        <f t="shared" si="160"/>
        <v>0</v>
      </c>
      <c r="FT61" s="372">
        <f t="shared" si="478"/>
        <v>0</v>
      </c>
      <c r="FU61" s="339">
        <f t="shared" si="161"/>
        <v>0</v>
      </c>
      <c r="FV61" s="372">
        <f t="shared" si="162"/>
        <v>0</v>
      </c>
      <c r="FW61" s="339">
        <f t="shared" si="163"/>
        <v>0</v>
      </c>
      <c r="FX61" s="372">
        <f t="shared" si="479"/>
        <v>0</v>
      </c>
      <c r="FY61" s="339">
        <f t="shared" si="164"/>
        <v>0</v>
      </c>
      <c r="FZ61" s="372">
        <f t="shared" si="165"/>
        <v>0</v>
      </c>
      <c r="GA61" s="339">
        <f t="shared" si="166"/>
        <v>0</v>
      </c>
      <c r="GB61" s="372">
        <f t="shared" si="480"/>
        <v>0</v>
      </c>
      <c r="GC61" s="339">
        <f t="shared" si="167"/>
        <v>0</v>
      </c>
      <c r="GD61" s="252">
        <f t="shared" si="168"/>
        <v>0</v>
      </c>
      <c r="GE61" s="251">
        <f t="shared" si="411"/>
        <v>0</v>
      </c>
      <c r="GG61" s="1"/>
      <c r="GH61" s="2">
        <v>0.2</v>
      </c>
      <c r="GI61" s="257">
        <f t="shared" si="665"/>
        <v>0</v>
      </c>
      <c r="GJ61" s="249">
        <f t="shared" si="169"/>
        <v>0</v>
      </c>
      <c r="GK61" s="250">
        <f t="shared" si="170"/>
        <v>0</v>
      </c>
      <c r="GL61" s="249">
        <f t="shared" si="169"/>
        <v>0</v>
      </c>
      <c r="GM61" s="250">
        <f t="shared" si="170"/>
        <v>0</v>
      </c>
      <c r="GN61" s="249">
        <f t="shared" si="169"/>
        <v>0</v>
      </c>
      <c r="GO61" s="250">
        <f t="shared" si="171"/>
        <v>0</v>
      </c>
      <c r="GP61" s="249">
        <f t="shared" si="169"/>
        <v>0</v>
      </c>
      <c r="GQ61" s="250">
        <f t="shared" si="172"/>
        <v>0</v>
      </c>
      <c r="GR61" s="249">
        <f t="shared" si="173"/>
        <v>0</v>
      </c>
      <c r="GS61" s="250">
        <f t="shared" si="174"/>
        <v>0</v>
      </c>
      <c r="GT61" s="249">
        <f t="shared" si="175"/>
        <v>0</v>
      </c>
      <c r="GU61" s="250">
        <f t="shared" si="176"/>
        <v>0</v>
      </c>
      <c r="GV61" s="249">
        <f t="shared" si="177"/>
        <v>0</v>
      </c>
      <c r="GW61" s="250">
        <f t="shared" si="178"/>
        <v>0</v>
      </c>
      <c r="GX61" s="249">
        <f t="shared" si="179"/>
        <v>0</v>
      </c>
      <c r="GY61" s="250">
        <f t="shared" si="180"/>
        <v>0</v>
      </c>
      <c r="GZ61" s="249">
        <f t="shared" si="181"/>
        <v>0</v>
      </c>
      <c r="HA61" s="250">
        <f t="shared" si="182"/>
        <v>0</v>
      </c>
      <c r="HB61" s="249">
        <f t="shared" si="183"/>
        <v>0</v>
      </c>
      <c r="HC61" s="250">
        <f t="shared" si="184"/>
        <v>0</v>
      </c>
      <c r="HD61" s="249">
        <f t="shared" si="185"/>
        <v>0</v>
      </c>
      <c r="HE61" s="250">
        <f t="shared" si="186"/>
        <v>0</v>
      </c>
      <c r="HF61" s="249">
        <f t="shared" si="187"/>
        <v>0</v>
      </c>
      <c r="HG61" s="250">
        <f t="shared" si="188"/>
        <v>0</v>
      </c>
      <c r="HH61" s="252">
        <f t="shared" si="189"/>
        <v>0</v>
      </c>
      <c r="HI61" s="251">
        <f t="shared" si="666"/>
        <v>0</v>
      </c>
      <c r="HK61" s="1"/>
      <c r="HL61" s="2"/>
      <c r="HM61" s="257">
        <f t="shared" si="667"/>
        <v>0</v>
      </c>
      <c r="HN61" s="249">
        <f t="shared" si="190"/>
        <v>0</v>
      </c>
      <c r="HO61" s="250">
        <f t="shared" si="668"/>
        <v>0</v>
      </c>
      <c r="HP61" s="249">
        <f t="shared" si="192"/>
        <v>0</v>
      </c>
      <c r="HQ61" s="250">
        <f t="shared" si="193"/>
        <v>0</v>
      </c>
      <c r="HR61" s="249">
        <f t="shared" si="192"/>
        <v>0</v>
      </c>
      <c r="HS61" s="250">
        <f t="shared" si="193"/>
        <v>0</v>
      </c>
      <c r="HT61" s="249">
        <f t="shared" si="192"/>
        <v>0</v>
      </c>
      <c r="HU61" s="250">
        <f t="shared" si="194"/>
        <v>0</v>
      </c>
      <c r="HV61" s="249">
        <f t="shared" si="192"/>
        <v>0</v>
      </c>
      <c r="HW61" s="250">
        <f t="shared" si="195"/>
        <v>0</v>
      </c>
      <c r="HX61" s="249">
        <f t="shared" si="196"/>
        <v>0</v>
      </c>
      <c r="HY61" s="250">
        <f t="shared" si="197"/>
        <v>0</v>
      </c>
      <c r="HZ61" s="249">
        <f t="shared" si="198"/>
        <v>0</v>
      </c>
      <c r="IA61" s="250">
        <f t="shared" si="199"/>
        <v>0</v>
      </c>
      <c r="IB61" s="249">
        <f t="shared" si="200"/>
        <v>0</v>
      </c>
      <c r="IC61" s="250">
        <f t="shared" si="201"/>
        <v>0</v>
      </c>
      <c r="ID61" s="249">
        <f t="shared" si="202"/>
        <v>0</v>
      </c>
      <c r="IE61" s="250">
        <f t="shared" si="203"/>
        <v>0</v>
      </c>
      <c r="IF61" s="249">
        <f t="shared" si="204"/>
        <v>0</v>
      </c>
      <c r="IG61" s="250">
        <f t="shared" si="205"/>
        <v>0</v>
      </c>
      <c r="IH61" s="249">
        <f t="shared" si="206"/>
        <v>0</v>
      </c>
      <c r="II61" s="250">
        <f t="shared" si="207"/>
        <v>0</v>
      </c>
      <c r="IJ61" s="249">
        <f t="shared" si="208"/>
        <v>0</v>
      </c>
      <c r="IK61" s="250">
        <f t="shared" si="209"/>
        <v>0</v>
      </c>
      <c r="IL61" s="252">
        <f t="shared" si="210"/>
        <v>0</v>
      </c>
      <c r="IM61" s="251">
        <f t="shared" si="211"/>
        <v>0</v>
      </c>
      <c r="IO61" s="1"/>
      <c r="IP61" s="2">
        <v>8.3333333333333329E-2</v>
      </c>
      <c r="IQ61" s="257">
        <f t="shared" si="669"/>
        <v>0</v>
      </c>
      <c r="IR61" s="249">
        <f t="shared" si="212"/>
        <v>0</v>
      </c>
      <c r="IS61" s="250">
        <f t="shared" si="213"/>
        <v>0</v>
      </c>
      <c r="IT61" s="279">
        <f t="shared" si="401"/>
        <v>0</v>
      </c>
      <c r="IU61" s="289">
        <f t="shared" si="214"/>
        <v>0</v>
      </c>
      <c r="IV61" s="279">
        <f t="shared" si="402"/>
        <v>0</v>
      </c>
      <c r="IW61" s="289">
        <f t="shared" si="214"/>
        <v>0</v>
      </c>
      <c r="IX61" s="279">
        <f t="shared" si="403"/>
        <v>0</v>
      </c>
      <c r="IY61" s="289">
        <f t="shared" si="215"/>
        <v>0</v>
      </c>
      <c r="IZ61" s="279">
        <f t="shared" si="404"/>
        <v>0</v>
      </c>
      <c r="JA61" s="289">
        <f t="shared" si="216"/>
        <v>0</v>
      </c>
      <c r="JB61" s="279">
        <f t="shared" si="405"/>
        <v>0</v>
      </c>
      <c r="JC61" s="289">
        <f t="shared" si="217"/>
        <v>0</v>
      </c>
      <c r="JD61" s="279">
        <f t="shared" si="218"/>
        <v>0</v>
      </c>
      <c r="JE61" s="289">
        <f t="shared" si="219"/>
        <v>0</v>
      </c>
      <c r="JF61" s="279">
        <f t="shared" si="406"/>
        <v>0</v>
      </c>
      <c r="JG61" s="289">
        <f t="shared" si="220"/>
        <v>0</v>
      </c>
      <c r="JH61" s="279">
        <f t="shared" si="221"/>
        <v>0</v>
      </c>
      <c r="JI61" s="289">
        <f t="shared" si="222"/>
        <v>0</v>
      </c>
      <c r="JJ61" s="279">
        <f t="shared" si="407"/>
        <v>0</v>
      </c>
      <c r="JK61" s="289">
        <f t="shared" si="223"/>
        <v>0</v>
      </c>
      <c r="JL61" s="279">
        <f t="shared" si="224"/>
        <v>0</v>
      </c>
      <c r="JM61" s="289">
        <f t="shared" si="225"/>
        <v>0</v>
      </c>
      <c r="JN61" s="279">
        <f t="shared" si="408"/>
        <v>0</v>
      </c>
      <c r="JO61" s="289">
        <f t="shared" si="226"/>
        <v>0</v>
      </c>
      <c r="JP61" s="252">
        <f t="shared" si="227"/>
        <v>0</v>
      </c>
      <c r="JQ61" s="251">
        <f t="shared" si="228"/>
        <v>0</v>
      </c>
      <c r="JS61" s="1"/>
      <c r="JT61" s="2">
        <v>8.3333333333333329E-2</v>
      </c>
      <c r="JU61" s="257">
        <f t="shared" si="670"/>
        <v>0</v>
      </c>
      <c r="JV61" s="249">
        <f t="shared" si="229"/>
        <v>0</v>
      </c>
      <c r="JW61" s="250">
        <f t="shared" si="230"/>
        <v>0</v>
      </c>
      <c r="JX61" s="372">
        <f t="shared" si="671"/>
        <v>0</v>
      </c>
      <c r="JY61" s="339">
        <f t="shared" si="231"/>
        <v>0</v>
      </c>
      <c r="JZ61" s="372">
        <f t="shared" si="672"/>
        <v>0</v>
      </c>
      <c r="KA61" s="339">
        <f t="shared" si="231"/>
        <v>0</v>
      </c>
      <c r="KB61" s="372">
        <f t="shared" si="673"/>
        <v>0</v>
      </c>
      <c r="KC61" s="339">
        <f t="shared" si="232"/>
        <v>0</v>
      </c>
      <c r="KD61" s="372">
        <f t="shared" si="674"/>
        <v>0</v>
      </c>
      <c r="KE61" s="339">
        <f t="shared" si="233"/>
        <v>0</v>
      </c>
      <c r="KF61" s="372">
        <f t="shared" si="675"/>
        <v>0</v>
      </c>
      <c r="KG61" s="339">
        <f t="shared" si="234"/>
        <v>0</v>
      </c>
      <c r="KH61" s="372">
        <f t="shared" si="235"/>
        <v>0</v>
      </c>
      <c r="KI61" s="339">
        <f t="shared" si="236"/>
        <v>0</v>
      </c>
      <c r="KJ61" s="372">
        <f t="shared" si="676"/>
        <v>0</v>
      </c>
      <c r="KK61" s="339">
        <f t="shared" si="237"/>
        <v>0</v>
      </c>
      <c r="KL61" s="372">
        <f t="shared" si="238"/>
        <v>0</v>
      </c>
      <c r="KM61" s="339">
        <f t="shared" si="239"/>
        <v>0</v>
      </c>
      <c r="KN61" s="372">
        <f t="shared" si="677"/>
        <v>0</v>
      </c>
      <c r="KO61" s="339">
        <f t="shared" si="240"/>
        <v>0</v>
      </c>
      <c r="KP61" s="372">
        <f t="shared" si="241"/>
        <v>0</v>
      </c>
      <c r="KQ61" s="339">
        <f t="shared" si="242"/>
        <v>0</v>
      </c>
      <c r="KR61" s="372">
        <f t="shared" si="678"/>
        <v>0</v>
      </c>
      <c r="KS61" s="377">
        <f t="shared" si="243"/>
        <v>0</v>
      </c>
      <c r="KT61" s="379">
        <f t="shared" si="244"/>
        <v>0</v>
      </c>
      <c r="KU61" s="251">
        <f t="shared" si="679"/>
        <v>0</v>
      </c>
      <c r="KW61" s="1"/>
      <c r="KX61" s="2">
        <v>8.3333333333333329E-2</v>
      </c>
      <c r="KY61" s="254">
        <f t="shared" si="680"/>
        <v>0</v>
      </c>
      <c r="KZ61" s="249">
        <f t="shared" si="271"/>
        <v>0</v>
      </c>
      <c r="LA61" s="251">
        <f t="shared" si="681"/>
        <v>0</v>
      </c>
      <c r="LB61" s="279">
        <f t="shared" si="272"/>
        <v>0</v>
      </c>
      <c r="LC61" s="339">
        <f t="shared" si="246"/>
        <v>0</v>
      </c>
      <c r="LD61" s="279">
        <f t="shared" si="272"/>
        <v>0</v>
      </c>
      <c r="LE61" s="339">
        <f t="shared" si="246"/>
        <v>0</v>
      </c>
      <c r="LF61" s="279">
        <f t="shared" si="272"/>
        <v>0</v>
      </c>
      <c r="LG61" s="339">
        <f t="shared" si="247"/>
        <v>0</v>
      </c>
      <c r="LH61" s="279">
        <f t="shared" si="272"/>
        <v>0</v>
      </c>
      <c r="LI61" s="339">
        <f t="shared" si="248"/>
        <v>0</v>
      </c>
      <c r="LJ61" s="279">
        <f t="shared" si="273"/>
        <v>0</v>
      </c>
      <c r="LK61" s="339">
        <f t="shared" si="249"/>
        <v>0</v>
      </c>
      <c r="LL61" s="279">
        <f t="shared" si="274"/>
        <v>0</v>
      </c>
      <c r="LM61" s="339">
        <f t="shared" si="250"/>
        <v>0</v>
      </c>
      <c r="LN61" s="279">
        <f t="shared" si="275"/>
        <v>0</v>
      </c>
      <c r="LO61" s="339">
        <f t="shared" si="251"/>
        <v>0</v>
      </c>
      <c r="LP61" s="279">
        <f t="shared" si="276"/>
        <v>0</v>
      </c>
      <c r="LQ61" s="339">
        <f t="shared" si="252"/>
        <v>0</v>
      </c>
      <c r="LR61" s="279">
        <f t="shared" si="277"/>
        <v>0</v>
      </c>
      <c r="LS61" s="339">
        <f t="shared" si="253"/>
        <v>0</v>
      </c>
      <c r="LT61" s="279">
        <f t="shared" si="278"/>
        <v>0</v>
      </c>
      <c r="LU61" s="339">
        <f t="shared" si="254"/>
        <v>0</v>
      </c>
      <c r="LV61" s="279">
        <f t="shared" si="279"/>
        <v>0</v>
      </c>
      <c r="LW61" s="339">
        <f t="shared" si="255"/>
        <v>0</v>
      </c>
      <c r="LX61" s="252">
        <f t="shared" si="256"/>
        <v>0</v>
      </c>
      <c r="LY61" s="253">
        <f t="shared" si="257"/>
        <v>0</v>
      </c>
      <c r="MA61" s="249">
        <f t="shared" si="412"/>
        <v>0</v>
      </c>
      <c r="MB61" s="253">
        <f t="shared" si="258"/>
        <v>0</v>
      </c>
      <c r="MC61" s="397">
        <f t="shared" si="413"/>
        <v>0</v>
      </c>
      <c r="MD61" s="253">
        <f t="shared" si="259"/>
        <v>0</v>
      </c>
      <c r="ME61" s="397">
        <f t="shared" si="414"/>
        <v>0</v>
      </c>
      <c r="MF61" s="253">
        <f t="shared" si="259"/>
        <v>0</v>
      </c>
      <c r="MG61" s="397">
        <f t="shared" si="415"/>
        <v>0</v>
      </c>
      <c r="MH61" s="253">
        <f t="shared" si="260"/>
        <v>0</v>
      </c>
      <c r="MI61" s="397">
        <f t="shared" si="416"/>
        <v>0</v>
      </c>
      <c r="MJ61" s="253">
        <f t="shared" si="261"/>
        <v>0</v>
      </c>
      <c r="MK61" s="397">
        <f t="shared" si="417"/>
        <v>0</v>
      </c>
      <c r="ML61" s="253">
        <f t="shared" si="262"/>
        <v>0</v>
      </c>
      <c r="MM61" s="397">
        <f t="shared" si="418"/>
        <v>0</v>
      </c>
      <c r="MN61" s="253">
        <f t="shared" si="263"/>
        <v>0</v>
      </c>
      <c r="MO61" s="397">
        <f t="shared" si="419"/>
        <v>0</v>
      </c>
      <c r="MP61" s="253">
        <f t="shared" si="264"/>
        <v>0</v>
      </c>
      <c r="MQ61" s="397">
        <f t="shared" si="420"/>
        <v>0</v>
      </c>
      <c r="MR61" s="253">
        <f t="shared" si="265"/>
        <v>0</v>
      </c>
      <c r="MS61" s="397">
        <f t="shared" si="421"/>
        <v>0</v>
      </c>
      <c r="MT61" s="253">
        <f t="shared" si="266"/>
        <v>0</v>
      </c>
      <c r="MU61" s="397">
        <f t="shared" si="422"/>
        <v>0</v>
      </c>
      <c r="MV61" s="253">
        <f t="shared" si="267"/>
        <v>0</v>
      </c>
      <c r="MW61" s="397">
        <f t="shared" si="423"/>
        <v>0</v>
      </c>
      <c r="MX61" s="253">
        <f t="shared" si="268"/>
        <v>0</v>
      </c>
      <c r="MY61" s="252">
        <f t="shared" si="269"/>
        <v>0</v>
      </c>
      <c r="MZ61" s="251">
        <f t="shared" si="270"/>
        <v>0</v>
      </c>
    </row>
    <row r="62" spans="1:364" ht="52.8" x14ac:dyDescent="0.25">
      <c r="A62" s="533"/>
      <c r="B62" s="245" t="s">
        <v>132</v>
      </c>
      <c r="C62" s="246" t="s">
        <v>133</v>
      </c>
      <c r="D62" s="247" t="s">
        <v>28</v>
      </c>
      <c r="E62" s="4">
        <v>1</v>
      </c>
      <c r="F62" s="353">
        <v>89525.616698292215</v>
      </c>
      <c r="G62" s="353">
        <f t="shared" si="81"/>
        <v>93256.703352308657</v>
      </c>
      <c r="I62" s="30"/>
      <c r="J62" s="2">
        <v>8.3333333333333329E-2</v>
      </c>
      <c r="K62" s="248">
        <f t="shared" si="82"/>
        <v>0</v>
      </c>
      <c r="L62" s="249"/>
      <c r="M62" s="301">
        <f t="shared" si="445"/>
        <v>0</v>
      </c>
      <c r="N62" s="279">
        <f t="shared" si="450"/>
        <v>0</v>
      </c>
      <c r="O62" s="289">
        <f t="shared" si="682"/>
        <v>0</v>
      </c>
      <c r="P62" s="279">
        <f t="shared" si="451"/>
        <v>0</v>
      </c>
      <c r="Q62" s="289">
        <f t="shared" si="682"/>
        <v>0</v>
      </c>
      <c r="R62" s="279">
        <f t="shared" si="452"/>
        <v>0</v>
      </c>
      <c r="S62" s="289">
        <f t="shared" si="86"/>
        <v>0</v>
      </c>
      <c r="T62" s="279">
        <f t="shared" si="453"/>
        <v>0</v>
      </c>
      <c r="U62" s="289">
        <f t="shared" si="87"/>
        <v>0</v>
      </c>
      <c r="V62" s="279">
        <f t="shared" si="409"/>
        <v>0</v>
      </c>
      <c r="W62" s="289">
        <f t="shared" si="88"/>
        <v>0</v>
      </c>
      <c r="X62" s="279">
        <f t="shared" si="305"/>
        <v>0</v>
      </c>
      <c r="Y62" s="289">
        <f t="shared" si="89"/>
        <v>0</v>
      </c>
      <c r="Z62" s="279">
        <f t="shared" si="454"/>
        <v>0</v>
      </c>
      <c r="AA62" s="289">
        <f t="shared" si="90"/>
        <v>0</v>
      </c>
      <c r="AB62" s="279">
        <f t="shared" si="306"/>
        <v>0</v>
      </c>
      <c r="AC62" s="289">
        <f t="shared" si="91"/>
        <v>0</v>
      </c>
      <c r="AD62" s="279">
        <f t="shared" si="455"/>
        <v>0</v>
      </c>
      <c r="AE62" s="289">
        <f t="shared" si="92"/>
        <v>0</v>
      </c>
      <c r="AF62" s="279">
        <f t="shared" si="307"/>
        <v>0</v>
      </c>
      <c r="AG62" s="289">
        <f t="shared" si="308"/>
        <v>0</v>
      </c>
      <c r="AH62" s="249">
        <f t="shared" si="456"/>
        <v>0</v>
      </c>
      <c r="AI62" s="299">
        <f t="shared" si="309"/>
        <v>0</v>
      </c>
      <c r="AJ62" s="252">
        <f t="shared" si="94"/>
        <v>0</v>
      </c>
      <c r="AK62" s="312">
        <f t="shared" si="95"/>
        <v>0</v>
      </c>
      <c r="AM62" s="1"/>
      <c r="AN62" s="2">
        <v>8.3333333333333329E-2</v>
      </c>
      <c r="AO62" s="254">
        <f t="shared" si="660"/>
        <v>0</v>
      </c>
      <c r="AP62" s="249">
        <f t="shared" si="328"/>
        <v>0</v>
      </c>
      <c r="AQ62" s="301">
        <f t="shared" si="96"/>
        <v>0</v>
      </c>
      <c r="AR62" s="249">
        <f t="shared" si="329"/>
        <v>0</v>
      </c>
      <c r="AS62" s="301">
        <f t="shared" si="96"/>
        <v>0</v>
      </c>
      <c r="AT62" s="249">
        <f t="shared" si="330"/>
        <v>0</v>
      </c>
      <c r="AU62" s="301">
        <f t="shared" si="96"/>
        <v>0</v>
      </c>
      <c r="AV62" s="249">
        <f t="shared" si="331"/>
        <v>0</v>
      </c>
      <c r="AW62" s="301">
        <f t="shared" si="98"/>
        <v>0</v>
      </c>
      <c r="AX62" s="249">
        <f t="shared" si="5"/>
        <v>0</v>
      </c>
      <c r="AY62" s="301">
        <f t="shared" si="99"/>
        <v>0</v>
      </c>
      <c r="AZ62" s="249">
        <f t="shared" si="332"/>
        <v>0</v>
      </c>
      <c r="BA62" s="301">
        <f t="shared" si="100"/>
        <v>0</v>
      </c>
      <c r="BB62" s="249">
        <f t="shared" si="7"/>
        <v>0</v>
      </c>
      <c r="BC62" s="301">
        <f t="shared" si="101"/>
        <v>0</v>
      </c>
      <c r="BD62" s="249">
        <f t="shared" si="333"/>
        <v>0</v>
      </c>
      <c r="BE62" s="301">
        <f t="shared" si="102"/>
        <v>0</v>
      </c>
      <c r="BF62" s="249">
        <f t="shared" si="9"/>
        <v>0</v>
      </c>
      <c r="BG62" s="301">
        <f t="shared" si="103"/>
        <v>0</v>
      </c>
      <c r="BH62" s="249">
        <f t="shared" si="334"/>
        <v>0</v>
      </c>
      <c r="BI62" s="301">
        <f t="shared" si="658"/>
        <v>0</v>
      </c>
      <c r="BJ62" s="249">
        <f t="shared" si="335"/>
        <v>0</v>
      </c>
      <c r="BK62" s="301">
        <f t="shared" si="658"/>
        <v>0</v>
      </c>
      <c r="BL62" s="249">
        <f t="shared" si="661"/>
        <v>0</v>
      </c>
      <c r="BM62" s="299">
        <f t="shared" si="105"/>
        <v>0</v>
      </c>
      <c r="BN62" s="252">
        <f t="shared" si="106"/>
        <v>0</v>
      </c>
      <c r="BO62" s="312">
        <f t="shared" si="410"/>
        <v>0</v>
      </c>
      <c r="BQ62" s="1"/>
      <c r="BR62" s="2"/>
      <c r="BS62" s="255">
        <f t="shared" si="281"/>
        <v>0</v>
      </c>
      <c r="BT62" s="249">
        <f t="shared" si="280"/>
        <v>0</v>
      </c>
      <c r="BU62" s="336">
        <f t="shared" si="107"/>
        <v>0</v>
      </c>
      <c r="BV62" s="279">
        <f t="shared" si="457"/>
        <v>0</v>
      </c>
      <c r="BW62" s="339">
        <f t="shared" si="108"/>
        <v>0</v>
      </c>
      <c r="BX62" s="279">
        <f t="shared" si="458"/>
        <v>0</v>
      </c>
      <c r="BY62" s="339">
        <f t="shared" si="109"/>
        <v>0</v>
      </c>
      <c r="BZ62" s="279">
        <f t="shared" si="459"/>
        <v>0</v>
      </c>
      <c r="CA62" s="339">
        <f t="shared" si="110"/>
        <v>0</v>
      </c>
      <c r="CB62" s="279">
        <f t="shared" si="460"/>
        <v>0</v>
      </c>
      <c r="CC62" s="339">
        <f t="shared" si="111"/>
        <v>0</v>
      </c>
      <c r="CD62" s="279">
        <f t="shared" si="461"/>
        <v>0</v>
      </c>
      <c r="CE62" s="339">
        <f t="shared" si="112"/>
        <v>0</v>
      </c>
      <c r="CF62" s="279">
        <f t="shared" si="113"/>
        <v>0</v>
      </c>
      <c r="CG62" s="339">
        <f t="shared" si="114"/>
        <v>0</v>
      </c>
      <c r="CH62" s="279">
        <f t="shared" si="462"/>
        <v>0</v>
      </c>
      <c r="CI62" s="339">
        <f t="shared" si="115"/>
        <v>0</v>
      </c>
      <c r="CJ62" s="279">
        <f t="shared" si="116"/>
        <v>0</v>
      </c>
      <c r="CK62" s="339">
        <f t="shared" si="117"/>
        <v>0</v>
      </c>
      <c r="CL62" s="279">
        <f t="shared" si="463"/>
        <v>0</v>
      </c>
      <c r="CM62" s="339">
        <f t="shared" si="118"/>
        <v>0</v>
      </c>
      <c r="CN62" s="279">
        <f t="shared" si="119"/>
        <v>0</v>
      </c>
      <c r="CO62" s="339">
        <f t="shared" si="120"/>
        <v>0</v>
      </c>
      <c r="CP62" s="279">
        <f t="shared" si="464"/>
        <v>0</v>
      </c>
      <c r="CQ62" s="250">
        <f t="shared" si="662"/>
        <v>0</v>
      </c>
      <c r="CR62" s="252">
        <f t="shared" si="121"/>
        <v>0</v>
      </c>
      <c r="CS62" s="251">
        <f t="shared" si="448"/>
        <v>0</v>
      </c>
      <c r="CU62" s="1"/>
      <c r="CV62" s="2"/>
      <c r="CW62" s="255">
        <f t="shared" si="299"/>
        <v>0</v>
      </c>
      <c r="CX62" s="249">
        <f t="shared" si="122"/>
        <v>0</v>
      </c>
      <c r="CY62" s="250">
        <f t="shared" si="123"/>
        <v>0</v>
      </c>
      <c r="CZ62" s="279">
        <f t="shared" si="465"/>
        <v>0</v>
      </c>
      <c r="DA62" s="299">
        <f t="shared" si="123"/>
        <v>0</v>
      </c>
      <c r="DB62" s="279">
        <f t="shared" si="466"/>
        <v>0</v>
      </c>
      <c r="DC62" s="299">
        <f t="shared" si="124"/>
        <v>0</v>
      </c>
      <c r="DD62" s="279">
        <f t="shared" si="467"/>
        <v>0</v>
      </c>
      <c r="DE62" s="299">
        <f t="shared" si="125"/>
        <v>0</v>
      </c>
      <c r="DF62" s="279">
        <f t="shared" si="468"/>
        <v>0</v>
      </c>
      <c r="DG62" s="299">
        <f t="shared" si="126"/>
        <v>0</v>
      </c>
      <c r="DH62" s="279">
        <f t="shared" si="469"/>
        <v>0</v>
      </c>
      <c r="DI62" s="299">
        <f t="shared" si="127"/>
        <v>0</v>
      </c>
      <c r="DJ62" s="279">
        <f t="shared" si="128"/>
        <v>0</v>
      </c>
      <c r="DK62" s="299">
        <f t="shared" si="129"/>
        <v>0</v>
      </c>
      <c r="DL62" s="279">
        <f t="shared" si="470"/>
        <v>0</v>
      </c>
      <c r="DM62" s="299">
        <f t="shared" si="130"/>
        <v>0</v>
      </c>
      <c r="DN62" s="279">
        <f t="shared" si="131"/>
        <v>0</v>
      </c>
      <c r="DO62" s="299">
        <f t="shared" si="132"/>
        <v>0</v>
      </c>
      <c r="DP62" s="279">
        <f t="shared" si="471"/>
        <v>0</v>
      </c>
      <c r="DQ62" s="299">
        <f t="shared" si="133"/>
        <v>0</v>
      </c>
      <c r="DR62" s="279">
        <f t="shared" si="134"/>
        <v>0</v>
      </c>
      <c r="DS62" s="299">
        <f t="shared" si="135"/>
        <v>0</v>
      </c>
      <c r="DT62" s="279">
        <f t="shared" si="472"/>
        <v>0</v>
      </c>
      <c r="DU62" s="299">
        <f t="shared" si="136"/>
        <v>0</v>
      </c>
      <c r="DV62" s="252">
        <f t="shared" si="137"/>
        <v>0</v>
      </c>
      <c r="DW62" s="251">
        <f t="shared" si="449"/>
        <v>0</v>
      </c>
      <c r="DY62" s="256">
        <v>0</v>
      </c>
      <c r="DZ62" s="2"/>
      <c r="EA62" s="254">
        <f t="shared" si="663"/>
        <v>0</v>
      </c>
      <c r="EB62" s="249">
        <f t="shared" si="384"/>
        <v>0</v>
      </c>
      <c r="EC62" s="250">
        <f t="shared" si="139"/>
        <v>0</v>
      </c>
      <c r="ED62" s="356">
        <f t="shared" si="385"/>
        <v>0</v>
      </c>
      <c r="EE62" s="250">
        <f t="shared" si="139"/>
        <v>0</v>
      </c>
      <c r="EF62" s="249">
        <f t="shared" si="386"/>
        <v>0</v>
      </c>
      <c r="EG62" s="250">
        <f t="shared" si="659"/>
        <v>0</v>
      </c>
      <c r="EH62" s="249">
        <f t="shared" si="387"/>
        <v>0</v>
      </c>
      <c r="EI62" s="250">
        <f t="shared" si="659"/>
        <v>0</v>
      </c>
      <c r="EJ62" s="249">
        <f t="shared" si="388"/>
        <v>0</v>
      </c>
      <c r="EK62" s="250">
        <f t="shared" si="143"/>
        <v>0</v>
      </c>
      <c r="EL62" s="249">
        <f t="shared" si="389"/>
        <v>0</v>
      </c>
      <c r="EM62" s="250">
        <f t="shared" si="144"/>
        <v>0</v>
      </c>
      <c r="EN62" s="249">
        <f t="shared" si="290"/>
        <v>0</v>
      </c>
      <c r="EO62" s="250">
        <f t="shared" si="145"/>
        <v>0</v>
      </c>
      <c r="EP62" s="249">
        <f t="shared" si="390"/>
        <v>0</v>
      </c>
      <c r="EQ62" s="250">
        <f t="shared" si="146"/>
        <v>0</v>
      </c>
      <c r="ER62" s="249">
        <f t="shared" si="292"/>
        <v>0</v>
      </c>
      <c r="ES62" s="250">
        <f t="shared" si="147"/>
        <v>0</v>
      </c>
      <c r="ET62" s="249">
        <f t="shared" si="391"/>
        <v>0</v>
      </c>
      <c r="EU62" s="250">
        <f t="shared" si="148"/>
        <v>0</v>
      </c>
      <c r="EV62" s="249">
        <f t="shared" si="294"/>
        <v>0</v>
      </c>
      <c r="EW62" s="250">
        <f t="shared" si="149"/>
        <v>0</v>
      </c>
      <c r="EX62" s="249">
        <f t="shared" si="392"/>
        <v>0</v>
      </c>
      <c r="EY62" s="250">
        <f t="shared" si="150"/>
        <v>0</v>
      </c>
      <c r="EZ62" s="252">
        <f t="shared" si="151"/>
        <v>0</v>
      </c>
      <c r="FA62" s="251">
        <f t="shared" si="664"/>
        <v>0</v>
      </c>
      <c r="FC62" s="1"/>
      <c r="FD62" s="2"/>
      <c r="FE62" s="257">
        <f t="shared" si="152"/>
        <v>0</v>
      </c>
      <c r="FF62" s="249">
        <f t="shared" si="153"/>
        <v>0</v>
      </c>
      <c r="FG62" s="250">
        <f t="shared" si="154"/>
        <v>0</v>
      </c>
      <c r="FH62" s="372">
        <f t="shared" si="473"/>
        <v>0</v>
      </c>
      <c r="FI62" s="339">
        <f t="shared" si="155"/>
        <v>0</v>
      </c>
      <c r="FJ62" s="372">
        <f t="shared" si="474"/>
        <v>0</v>
      </c>
      <c r="FK62" s="339">
        <f t="shared" si="155"/>
        <v>0</v>
      </c>
      <c r="FL62" s="372">
        <f t="shared" si="475"/>
        <v>0</v>
      </c>
      <c r="FM62" s="339">
        <f t="shared" si="156"/>
        <v>0</v>
      </c>
      <c r="FN62" s="372">
        <f t="shared" si="476"/>
        <v>0</v>
      </c>
      <c r="FO62" s="339">
        <f t="shared" si="157"/>
        <v>0</v>
      </c>
      <c r="FP62" s="372">
        <f t="shared" si="477"/>
        <v>0</v>
      </c>
      <c r="FQ62" s="339">
        <f t="shared" si="158"/>
        <v>0</v>
      </c>
      <c r="FR62" s="372">
        <f t="shared" si="159"/>
        <v>0</v>
      </c>
      <c r="FS62" s="339">
        <f t="shared" si="160"/>
        <v>0</v>
      </c>
      <c r="FT62" s="372">
        <f t="shared" si="478"/>
        <v>0</v>
      </c>
      <c r="FU62" s="339">
        <f t="shared" si="161"/>
        <v>0</v>
      </c>
      <c r="FV62" s="372">
        <f t="shared" si="162"/>
        <v>0</v>
      </c>
      <c r="FW62" s="339">
        <f t="shared" si="163"/>
        <v>0</v>
      </c>
      <c r="FX62" s="372">
        <f t="shared" si="479"/>
        <v>0</v>
      </c>
      <c r="FY62" s="339">
        <f t="shared" si="164"/>
        <v>0</v>
      </c>
      <c r="FZ62" s="372">
        <f t="shared" si="165"/>
        <v>0</v>
      </c>
      <c r="GA62" s="339">
        <f t="shared" si="166"/>
        <v>0</v>
      </c>
      <c r="GB62" s="372">
        <f t="shared" si="480"/>
        <v>0</v>
      </c>
      <c r="GC62" s="339">
        <f t="shared" si="167"/>
        <v>0</v>
      </c>
      <c r="GD62" s="252">
        <f t="shared" si="168"/>
        <v>0</v>
      </c>
      <c r="GE62" s="251">
        <f t="shared" si="411"/>
        <v>0</v>
      </c>
      <c r="GG62" s="1"/>
      <c r="GH62" s="2">
        <v>0.2</v>
      </c>
      <c r="GI62" s="257">
        <f t="shared" si="665"/>
        <v>0</v>
      </c>
      <c r="GJ62" s="249">
        <f t="shared" si="169"/>
        <v>0</v>
      </c>
      <c r="GK62" s="250">
        <f t="shared" si="170"/>
        <v>0</v>
      </c>
      <c r="GL62" s="249">
        <f t="shared" si="169"/>
        <v>0</v>
      </c>
      <c r="GM62" s="250">
        <f t="shared" si="170"/>
        <v>0</v>
      </c>
      <c r="GN62" s="249">
        <f t="shared" si="169"/>
        <v>0</v>
      </c>
      <c r="GO62" s="250">
        <f t="shared" si="171"/>
        <v>0</v>
      </c>
      <c r="GP62" s="249">
        <f t="shared" si="169"/>
        <v>0</v>
      </c>
      <c r="GQ62" s="250">
        <f t="shared" si="172"/>
        <v>0</v>
      </c>
      <c r="GR62" s="249">
        <f t="shared" si="173"/>
        <v>0</v>
      </c>
      <c r="GS62" s="250">
        <f t="shared" si="174"/>
        <v>0</v>
      </c>
      <c r="GT62" s="249">
        <f t="shared" si="175"/>
        <v>0</v>
      </c>
      <c r="GU62" s="250">
        <f t="shared" si="176"/>
        <v>0</v>
      </c>
      <c r="GV62" s="249">
        <f t="shared" si="177"/>
        <v>0</v>
      </c>
      <c r="GW62" s="250">
        <f t="shared" si="178"/>
        <v>0</v>
      </c>
      <c r="GX62" s="249">
        <f t="shared" si="179"/>
        <v>0</v>
      </c>
      <c r="GY62" s="250">
        <f t="shared" si="180"/>
        <v>0</v>
      </c>
      <c r="GZ62" s="249">
        <f t="shared" si="181"/>
        <v>0</v>
      </c>
      <c r="HA62" s="250">
        <f t="shared" si="182"/>
        <v>0</v>
      </c>
      <c r="HB62" s="249">
        <f t="shared" si="183"/>
        <v>0</v>
      </c>
      <c r="HC62" s="250">
        <f t="shared" si="184"/>
        <v>0</v>
      </c>
      <c r="HD62" s="249">
        <f t="shared" si="185"/>
        <v>0</v>
      </c>
      <c r="HE62" s="250">
        <f t="shared" si="186"/>
        <v>0</v>
      </c>
      <c r="HF62" s="249">
        <f t="shared" si="187"/>
        <v>0</v>
      </c>
      <c r="HG62" s="250">
        <f t="shared" si="188"/>
        <v>0</v>
      </c>
      <c r="HH62" s="252">
        <f t="shared" si="189"/>
        <v>0</v>
      </c>
      <c r="HI62" s="251">
        <f t="shared" si="666"/>
        <v>0</v>
      </c>
      <c r="HK62" s="1"/>
      <c r="HL62" s="2"/>
      <c r="HM62" s="257">
        <f t="shared" si="667"/>
        <v>0</v>
      </c>
      <c r="HN62" s="249">
        <f t="shared" si="190"/>
        <v>0</v>
      </c>
      <c r="HO62" s="250">
        <f t="shared" si="668"/>
        <v>0</v>
      </c>
      <c r="HP62" s="249">
        <f t="shared" si="192"/>
        <v>0</v>
      </c>
      <c r="HQ62" s="250">
        <f t="shared" si="193"/>
        <v>0</v>
      </c>
      <c r="HR62" s="249">
        <f t="shared" si="192"/>
        <v>0</v>
      </c>
      <c r="HS62" s="250">
        <f t="shared" si="193"/>
        <v>0</v>
      </c>
      <c r="HT62" s="249">
        <f t="shared" si="192"/>
        <v>0</v>
      </c>
      <c r="HU62" s="250">
        <f t="shared" si="194"/>
        <v>0</v>
      </c>
      <c r="HV62" s="249">
        <f t="shared" si="192"/>
        <v>0</v>
      </c>
      <c r="HW62" s="250">
        <f t="shared" si="195"/>
        <v>0</v>
      </c>
      <c r="HX62" s="249">
        <f t="shared" si="196"/>
        <v>0</v>
      </c>
      <c r="HY62" s="250">
        <f t="shared" si="197"/>
        <v>0</v>
      </c>
      <c r="HZ62" s="249">
        <f t="shared" si="198"/>
        <v>0</v>
      </c>
      <c r="IA62" s="250">
        <f t="shared" si="199"/>
        <v>0</v>
      </c>
      <c r="IB62" s="249">
        <f t="shared" si="200"/>
        <v>0</v>
      </c>
      <c r="IC62" s="250">
        <f t="shared" si="201"/>
        <v>0</v>
      </c>
      <c r="ID62" s="249">
        <f t="shared" si="202"/>
        <v>0</v>
      </c>
      <c r="IE62" s="250">
        <f t="shared" si="203"/>
        <v>0</v>
      </c>
      <c r="IF62" s="249">
        <f t="shared" si="204"/>
        <v>0</v>
      </c>
      <c r="IG62" s="250">
        <f t="shared" si="205"/>
        <v>0</v>
      </c>
      <c r="IH62" s="249">
        <f t="shared" si="206"/>
        <v>0</v>
      </c>
      <c r="II62" s="250">
        <f t="shared" si="207"/>
        <v>0</v>
      </c>
      <c r="IJ62" s="249">
        <f t="shared" si="208"/>
        <v>0</v>
      </c>
      <c r="IK62" s="250">
        <f t="shared" si="209"/>
        <v>0</v>
      </c>
      <c r="IL62" s="252">
        <f t="shared" si="210"/>
        <v>0</v>
      </c>
      <c r="IM62" s="251">
        <f t="shared" si="211"/>
        <v>0</v>
      </c>
      <c r="IO62" s="1"/>
      <c r="IP62" s="2">
        <v>8.3333333333333329E-2</v>
      </c>
      <c r="IQ62" s="257">
        <f t="shared" si="669"/>
        <v>0</v>
      </c>
      <c r="IR62" s="249">
        <f t="shared" si="212"/>
        <v>0</v>
      </c>
      <c r="IS62" s="250">
        <f t="shared" si="213"/>
        <v>0</v>
      </c>
      <c r="IT62" s="279">
        <f t="shared" si="401"/>
        <v>0</v>
      </c>
      <c r="IU62" s="289">
        <f t="shared" si="214"/>
        <v>0</v>
      </c>
      <c r="IV62" s="279">
        <f t="shared" si="402"/>
        <v>0</v>
      </c>
      <c r="IW62" s="289">
        <f t="shared" si="214"/>
        <v>0</v>
      </c>
      <c r="IX62" s="279">
        <f t="shared" si="403"/>
        <v>0</v>
      </c>
      <c r="IY62" s="289">
        <f t="shared" si="215"/>
        <v>0</v>
      </c>
      <c r="IZ62" s="279">
        <f t="shared" si="404"/>
        <v>0</v>
      </c>
      <c r="JA62" s="289">
        <f t="shared" si="216"/>
        <v>0</v>
      </c>
      <c r="JB62" s="279">
        <f t="shared" si="405"/>
        <v>0</v>
      </c>
      <c r="JC62" s="289">
        <f t="shared" si="217"/>
        <v>0</v>
      </c>
      <c r="JD62" s="279">
        <f t="shared" si="218"/>
        <v>0</v>
      </c>
      <c r="JE62" s="289">
        <f t="shared" si="219"/>
        <v>0</v>
      </c>
      <c r="JF62" s="279">
        <f t="shared" si="406"/>
        <v>0</v>
      </c>
      <c r="JG62" s="289">
        <f t="shared" si="220"/>
        <v>0</v>
      </c>
      <c r="JH62" s="279">
        <f t="shared" si="221"/>
        <v>0</v>
      </c>
      <c r="JI62" s="289">
        <f t="shared" si="222"/>
        <v>0</v>
      </c>
      <c r="JJ62" s="279">
        <f t="shared" si="407"/>
        <v>0</v>
      </c>
      <c r="JK62" s="289">
        <f t="shared" si="223"/>
        <v>0</v>
      </c>
      <c r="JL62" s="279">
        <f t="shared" si="224"/>
        <v>0</v>
      </c>
      <c r="JM62" s="289">
        <f t="shared" si="225"/>
        <v>0</v>
      </c>
      <c r="JN62" s="279">
        <f t="shared" si="408"/>
        <v>0</v>
      </c>
      <c r="JO62" s="289">
        <f t="shared" si="226"/>
        <v>0</v>
      </c>
      <c r="JP62" s="252">
        <f t="shared" si="227"/>
        <v>0</v>
      </c>
      <c r="JQ62" s="251">
        <f t="shared" si="228"/>
        <v>0</v>
      </c>
      <c r="JS62" s="1"/>
      <c r="JT62" s="2">
        <v>8.3333333333333329E-2</v>
      </c>
      <c r="JU62" s="257">
        <f t="shared" si="670"/>
        <v>0</v>
      </c>
      <c r="JV62" s="249">
        <f t="shared" si="229"/>
        <v>0</v>
      </c>
      <c r="JW62" s="250">
        <f t="shared" si="230"/>
        <v>0</v>
      </c>
      <c r="JX62" s="372">
        <f t="shared" si="671"/>
        <v>0</v>
      </c>
      <c r="JY62" s="339">
        <f t="shared" si="231"/>
        <v>0</v>
      </c>
      <c r="JZ62" s="372">
        <f t="shared" si="672"/>
        <v>0</v>
      </c>
      <c r="KA62" s="339">
        <f t="shared" si="231"/>
        <v>0</v>
      </c>
      <c r="KB62" s="372">
        <f t="shared" si="673"/>
        <v>0</v>
      </c>
      <c r="KC62" s="339">
        <f t="shared" si="232"/>
        <v>0</v>
      </c>
      <c r="KD62" s="372">
        <f t="shared" si="674"/>
        <v>0</v>
      </c>
      <c r="KE62" s="339">
        <f t="shared" si="233"/>
        <v>0</v>
      </c>
      <c r="KF62" s="372">
        <f t="shared" si="675"/>
        <v>0</v>
      </c>
      <c r="KG62" s="339">
        <f t="shared" si="234"/>
        <v>0</v>
      </c>
      <c r="KH62" s="372">
        <f t="shared" si="235"/>
        <v>0</v>
      </c>
      <c r="KI62" s="339">
        <f t="shared" si="236"/>
        <v>0</v>
      </c>
      <c r="KJ62" s="372">
        <f t="shared" si="676"/>
        <v>0</v>
      </c>
      <c r="KK62" s="339">
        <f t="shared" si="237"/>
        <v>0</v>
      </c>
      <c r="KL62" s="372">
        <f t="shared" si="238"/>
        <v>0</v>
      </c>
      <c r="KM62" s="339">
        <f t="shared" si="239"/>
        <v>0</v>
      </c>
      <c r="KN62" s="372">
        <f t="shared" si="677"/>
        <v>0</v>
      </c>
      <c r="KO62" s="339">
        <f t="shared" si="240"/>
        <v>0</v>
      </c>
      <c r="KP62" s="372">
        <f t="shared" si="241"/>
        <v>0</v>
      </c>
      <c r="KQ62" s="339">
        <f t="shared" si="242"/>
        <v>0</v>
      </c>
      <c r="KR62" s="372">
        <f t="shared" si="678"/>
        <v>0</v>
      </c>
      <c r="KS62" s="377">
        <f t="shared" si="243"/>
        <v>0</v>
      </c>
      <c r="KT62" s="379">
        <f t="shared" si="244"/>
        <v>0</v>
      </c>
      <c r="KU62" s="251">
        <f t="shared" si="679"/>
        <v>0</v>
      </c>
      <c r="KW62" s="1"/>
      <c r="KX62" s="2">
        <v>8.3333333333333329E-2</v>
      </c>
      <c r="KY62" s="254">
        <f t="shared" si="680"/>
        <v>0</v>
      </c>
      <c r="KZ62" s="249">
        <f t="shared" si="271"/>
        <v>0</v>
      </c>
      <c r="LA62" s="251">
        <f t="shared" si="681"/>
        <v>0</v>
      </c>
      <c r="LB62" s="279">
        <f t="shared" si="272"/>
        <v>0</v>
      </c>
      <c r="LC62" s="339">
        <f t="shared" si="246"/>
        <v>0</v>
      </c>
      <c r="LD62" s="279">
        <f t="shared" si="272"/>
        <v>0</v>
      </c>
      <c r="LE62" s="339">
        <f t="shared" si="246"/>
        <v>0</v>
      </c>
      <c r="LF62" s="279">
        <f t="shared" si="272"/>
        <v>0</v>
      </c>
      <c r="LG62" s="339">
        <f t="shared" si="247"/>
        <v>0</v>
      </c>
      <c r="LH62" s="279">
        <f t="shared" si="272"/>
        <v>0</v>
      </c>
      <c r="LI62" s="339">
        <f t="shared" si="248"/>
        <v>0</v>
      </c>
      <c r="LJ62" s="279">
        <f t="shared" si="273"/>
        <v>0</v>
      </c>
      <c r="LK62" s="339">
        <f t="shared" si="249"/>
        <v>0</v>
      </c>
      <c r="LL62" s="279">
        <f t="shared" si="274"/>
        <v>0</v>
      </c>
      <c r="LM62" s="339">
        <f t="shared" si="250"/>
        <v>0</v>
      </c>
      <c r="LN62" s="279">
        <f t="shared" si="275"/>
        <v>0</v>
      </c>
      <c r="LO62" s="339">
        <f t="shared" si="251"/>
        <v>0</v>
      </c>
      <c r="LP62" s="279">
        <f t="shared" si="276"/>
        <v>0</v>
      </c>
      <c r="LQ62" s="339">
        <f t="shared" si="252"/>
        <v>0</v>
      </c>
      <c r="LR62" s="279">
        <f t="shared" si="277"/>
        <v>0</v>
      </c>
      <c r="LS62" s="339">
        <f t="shared" si="253"/>
        <v>0</v>
      </c>
      <c r="LT62" s="279">
        <f t="shared" si="278"/>
        <v>0</v>
      </c>
      <c r="LU62" s="339">
        <f t="shared" si="254"/>
        <v>0</v>
      </c>
      <c r="LV62" s="279">
        <f t="shared" si="279"/>
        <v>0</v>
      </c>
      <c r="LW62" s="339">
        <f t="shared" si="255"/>
        <v>0</v>
      </c>
      <c r="LX62" s="252">
        <f t="shared" si="256"/>
        <v>0</v>
      </c>
      <c r="LY62" s="253">
        <f t="shared" si="257"/>
        <v>0</v>
      </c>
      <c r="MA62" s="249">
        <f t="shared" si="412"/>
        <v>0</v>
      </c>
      <c r="MB62" s="253">
        <f t="shared" si="258"/>
        <v>0</v>
      </c>
      <c r="MC62" s="397">
        <f t="shared" si="413"/>
        <v>0</v>
      </c>
      <c r="MD62" s="253">
        <f t="shared" si="259"/>
        <v>0</v>
      </c>
      <c r="ME62" s="397">
        <f t="shared" si="414"/>
        <v>0</v>
      </c>
      <c r="MF62" s="253">
        <f t="shared" si="259"/>
        <v>0</v>
      </c>
      <c r="MG62" s="397">
        <f t="shared" si="415"/>
        <v>0</v>
      </c>
      <c r="MH62" s="253">
        <f t="shared" si="260"/>
        <v>0</v>
      </c>
      <c r="MI62" s="397">
        <f t="shared" si="416"/>
        <v>0</v>
      </c>
      <c r="MJ62" s="253">
        <f t="shared" si="261"/>
        <v>0</v>
      </c>
      <c r="MK62" s="397">
        <f t="shared" si="417"/>
        <v>0</v>
      </c>
      <c r="ML62" s="253">
        <f t="shared" si="262"/>
        <v>0</v>
      </c>
      <c r="MM62" s="397">
        <f t="shared" si="418"/>
        <v>0</v>
      </c>
      <c r="MN62" s="253">
        <f t="shared" si="263"/>
        <v>0</v>
      </c>
      <c r="MO62" s="397">
        <f t="shared" si="419"/>
        <v>0</v>
      </c>
      <c r="MP62" s="253">
        <f t="shared" si="264"/>
        <v>0</v>
      </c>
      <c r="MQ62" s="397">
        <f t="shared" si="420"/>
        <v>0</v>
      </c>
      <c r="MR62" s="253">
        <f t="shared" si="265"/>
        <v>0</v>
      </c>
      <c r="MS62" s="397">
        <f t="shared" si="421"/>
        <v>0</v>
      </c>
      <c r="MT62" s="253">
        <f t="shared" si="266"/>
        <v>0</v>
      </c>
      <c r="MU62" s="397">
        <f t="shared" si="422"/>
        <v>0</v>
      </c>
      <c r="MV62" s="253">
        <f t="shared" si="267"/>
        <v>0</v>
      </c>
      <c r="MW62" s="397">
        <f t="shared" si="423"/>
        <v>0</v>
      </c>
      <c r="MX62" s="253">
        <f t="shared" si="268"/>
        <v>0</v>
      </c>
      <c r="MY62" s="252">
        <f t="shared" si="269"/>
        <v>0</v>
      </c>
      <c r="MZ62" s="251">
        <f t="shared" si="270"/>
        <v>0</v>
      </c>
    </row>
    <row r="63" spans="1:364" ht="52.8" x14ac:dyDescent="0.25">
      <c r="A63" s="533"/>
      <c r="B63" s="245" t="s">
        <v>134</v>
      </c>
      <c r="C63" s="246" t="s">
        <v>135</v>
      </c>
      <c r="D63" s="247" t="s">
        <v>28</v>
      </c>
      <c r="E63" s="4">
        <v>1</v>
      </c>
      <c r="F63" s="353">
        <v>86952.087286527501</v>
      </c>
      <c r="G63" s="353">
        <f t="shared" si="81"/>
        <v>90575.919038583161</v>
      </c>
      <c r="I63" s="30"/>
      <c r="J63" s="2">
        <v>8.3333333333333329E-2</v>
      </c>
      <c r="K63" s="248">
        <f t="shared" si="82"/>
        <v>0</v>
      </c>
      <c r="L63" s="249"/>
      <c r="M63" s="301">
        <f t="shared" si="445"/>
        <v>0</v>
      </c>
      <c r="N63" s="279">
        <f t="shared" si="450"/>
        <v>0</v>
      </c>
      <c r="O63" s="289">
        <f t="shared" si="682"/>
        <v>0</v>
      </c>
      <c r="P63" s="279">
        <f t="shared" si="451"/>
        <v>0</v>
      </c>
      <c r="Q63" s="289">
        <f t="shared" si="682"/>
        <v>0</v>
      </c>
      <c r="R63" s="279">
        <f t="shared" si="452"/>
        <v>0</v>
      </c>
      <c r="S63" s="289">
        <f t="shared" si="86"/>
        <v>0</v>
      </c>
      <c r="T63" s="279">
        <f t="shared" si="453"/>
        <v>0</v>
      </c>
      <c r="U63" s="289">
        <f t="shared" si="87"/>
        <v>0</v>
      </c>
      <c r="V63" s="279">
        <f t="shared" si="409"/>
        <v>0</v>
      </c>
      <c r="W63" s="289">
        <f t="shared" si="88"/>
        <v>0</v>
      </c>
      <c r="X63" s="279">
        <f t="shared" si="305"/>
        <v>0</v>
      </c>
      <c r="Y63" s="289">
        <f t="shared" si="89"/>
        <v>0</v>
      </c>
      <c r="Z63" s="279">
        <f t="shared" si="454"/>
        <v>0</v>
      </c>
      <c r="AA63" s="289">
        <f t="shared" si="90"/>
        <v>0</v>
      </c>
      <c r="AB63" s="279">
        <f t="shared" si="306"/>
        <v>0</v>
      </c>
      <c r="AC63" s="289">
        <f t="shared" si="91"/>
        <v>0</v>
      </c>
      <c r="AD63" s="279">
        <f t="shared" si="455"/>
        <v>0</v>
      </c>
      <c r="AE63" s="289">
        <f t="shared" si="92"/>
        <v>0</v>
      </c>
      <c r="AF63" s="279">
        <f t="shared" si="307"/>
        <v>0</v>
      </c>
      <c r="AG63" s="289">
        <f t="shared" si="308"/>
        <v>0</v>
      </c>
      <c r="AH63" s="249">
        <f t="shared" si="456"/>
        <v>0</v>
      </c>
      <c r="AI63" s="299">
        <f t="shared" si="309"/>
        <v>0</v>
      </c>
      <c r="AJ63" s="252">
        <f t="shared" si="94"/>
        <v>0</v>
      </c>
      <c r="AK63" s="312">
        <f t="shared" si="95"/>
        <v>0</v>
      </c>
      <c r="AM63" s="1"/>
      <c r="AN63" s="2">
        <v>8.3333333333333329E-2</v>
      </c>
      <c r="AO63" s="254">
        <f t="shared" si="660"/>
        <v>0</v>
      </c>
      <c r="AP63" s="249">
        <f t="shared" si="328"/>
        <v>0</v>
      </c>
      <c r="AQ63" s="301">
        <f t="shared" si="96"/>
        <v>0</v>
      </c>
      <c r="AR63" s="249">
        <f t="shared" si="329"/>
        <v>0</v>
      </c>
      <c r="AS63" s="301">
        <f t="shared" si="96"/>
        <v>0</v>
      </c>
      <c r="AT63" s="249">
        <f t="shared" si="330"/>
        <v>0</v>
      </c>
      <c r="AU63" s="301">
        <f t="shared" si="96"/>
        <v>0</v>
      </c>
      <c r="AV63" s="249">
        <f t="shared" si="331"/>
        <v>0</v>
      </c>
      <c r="AW63" s="301">
        <f t="shared" si="98"/>
        <v>0</v>
      </c>
      <c r="AX63" s="249">
        <f t="shared" si="5"/>
        <v>0</v>
      </c>
      <c r="AY63" s="301">
        <f t="shared" si="99"/>
        <v>0</v>
      </c>
      <c r="AZ63" s="249">
        <f t="shared" si="332"/>
        <v>0</v>
      </c>
      <c r="BA63" s="301">
        <f t="shared" si="100"/>
        <v>0</v>
      </c>
      <c r="BB63" s="249">
        <f t="shared" si="7"/>
        <v>0</v>
      </c>
      <c r="BC63" s="301">
        <f t="shared" si="101"/>
        <v>0</v>
      </c>
      <c r="BD63" s="249">
        <f t="shared" si="333"/>
        <v>0</v>
      </c>
      <c r="BE63" s="301">
        <f t="shared" si="102"/>
        <v>0</v>
      </c>
      <c r="BF63" s="249">
        <f t="shared" si="9"/>
        <v>0</v>
      </c>
      <c r="BG63" s="301">
        <f t="shared" si="103"/>
        <v>0</v>
      </c>
      <c r="BH63" s="249">
        <f t="shared" si="334"/>
        <v>0</v>
      </c>
      <c r="BI63" s="301">
        <f t="shared" si="658"/>
        <v>0</v>
      </c>
      <c r="BJ63" s="249">
        <f t="shared" si="335"/>
        <v>0</v>
      </c>
      <c r="BK63" s="301">
        <f t="shared" si="658"/>
        <v>0</v>
      </c>
      <c r="BL63" s="249">
        <f t="shared" si="661"/>
        <v>0</v>
      </c>
      <c r="BM63" s="299">
        <f t="shared" si="105"/>
        <v>0</v>
      </c>
      <c r="BN63" s="252">
        <f t="shared" si="106"/>
        <v>0</v>
      </c>
      <c r="BO63" s="312">
        <f t="shared" si="410"/>
        <v>0</v>
      </c>
      <c r="BQ63" s="1"/>
      <c r="BR63" s="2"/>
      <c r="BS63" s="255">
        <f t="shared" si="281"/>
        <v>0</v>
      </c>
      <c r="BT63" s="249">
        <f t="shared" si="280"/>
        <v>0</v>
      </c>
      <c r="BU63" s="336">
        <f t="shared" si="107"/>
        <v>0</v>
      </c>
      <c r="BV63" s="279">
        <f t="shared" si="457"/>
        <v>0</v>
      </c>
      <c r="BW63" s="339">
        <f t="shared" si="108"/>
        <v>0</v>
      </c>
      <c r="BX63" s="279">
        <f t="shared" si="458"/>
        <v>0</v>
      </c>
      <c r="BY63" s="339">
        <f t="shared" si="109"/>
        <v>0</v>
      </c>
      <c r="BZ63" s="279">
        <f t="shared" si="459"/>
        <v>0</v>
      </c>
      <c r="CA63" s="339">
        <f t="shared" si="110"/>
        <v>0</v>
      </c>
      <c r="CB63" s="279">
        <f t="shared" si="460"/>
        <v>0</v>
      </c>
      <c r="CC63" s="339">
        <f t="shared" si="111"/>
        <v>0</v>
      </c>
      <c r="CD63" s="279">
        <f t="shared" si="461"/>
        <v>0</v>
      </c>
      <c r="CE63" s="339">
        <f t="shared" si="112"/>
        <v>0</v>
      </c>
      <c r="CF63" s="279">
        <f t="shared" si="113"/>
        <v>0</v>
      </c>
      <c r="CG63" s="339">
        <f t="shared" si="114"/>
        <v>0</v>
      </c>
      <c r="CH63" s="279">
        <f t="shared" si="462"/>
        <v>0</v>
      </c>
      <c r="CI63" s="339">
        <f t="shared" si="115"/>
        <v>0</v>
      </c>
      <c r="CJ63" s="279">
        <f t="shared" si="116"/>
        <v>0</v>
      </c>
      <c r="CK63" s="339">
        <f t="shared" si="117"/>
        <v>0</v>
      </c>
      <c r="CL63" s="279">
        <f t="shared" si="463"/>
        <v>0</v>
      </c>
      <c r="CM63" s="339">
        <f t="shared" si="118"/>
        <v>0</v>
      </c>
      <c r="CN63" s="279">
        <f t="shared" si="119"/>
        <v>0</v>
      </c>
      <c r="CO63" s="339">
        <f t="shared" si="120"/>
        <v>0</v>
      </c>
      <c r="CP63" s="279">
        <f t="shared" si="464"/>
        <v>0</v>
      </c>
      <c r="CQ63" s="250">
        <f t="shared" si="662"/>
        <v>0</v>
      </c>
      <c r="CR63" s="252">
        <f t="shared" si="121"/>
        <v>0</v>
      </c>
      <c r="CS63" s="251">
        <f t="shared" si="448"/>
        <v>0</v>
      </c>
      <c r="CU63" s="1"/>
      <c r="CV63" s="2"/>
      <c r="CW63" s="255">
        <f t="shared" si="299"/>
        <v>0</v>
      </c>
      <c r="CX63" s="249">
        <f t="shared" si="122"/>
        <v>0</v>
      </c>
      <c r="CY63" s="250">
        <f t="shared" si="123"/>
        <v>0</v>
      </c>
      <c r="CZ63" s="279">
        <f t="shared" si="465"/>
        <v>0</v>
      </c>
      <c r="DA63" s="299">
        <f t="shared" si="123"/>
        <v>0</v>
      </c>
      <c r="DB63" s="279">
        <f t="shared" si="466"/>
        <v>0</v>
      </c>
      <c r="DC63" s="299">
        <f t="shared" si="124"/>
        <v>0</v>
      </c>
      <c r="DD63" s="279">
        <f t="shared" si="467"/>
        <v>0</v>
      </c>
      <c r="DE63" s="299">
        <f t="shared" si="125"/>
        <v>0</v>
      </c>
      <c r="DF63" s="279">
        <f t="shared" si="468"/>
        <v>0</v>
      </c>
      <c r="DG63" s="299">
        <f t="shared" si="126"/>
        <v>0</v>
      </c>
      <c r="DH63" s="279">
        <f t="shared" si="469"/>
        <v>0</v>
      </c>
      <c r="DI63" s="299">
        <f t="shared" si="127"/>
        <v>0</v>
      </c>
      <c r="DJ63" s="279">
        <f t="shared" si="128"/>
        <v>0</v>
      </c>
      <c r="DK63" s="299">
        <f t="shared" si="129"/>
        <v>0</v>
      </c>
      <c r="DL63" s="279">
        <f t="shared" si="470"/>
        <v>0</v>
      </c>
      <c r="DM63" s="299">
        <f t="shared" si="130"/>
        <v>0</v>
      </c>
      <c r="DN63" s="279">
        <f t="shared" si="131"/>
        <v>0</v>
      </c>
      <c r="DO63" s="299">
        <f t="shared" si="132"/>
        <v>0</v>
      </c>
      <c r="DP63" s="279">
        <f t="shared" si="471"/>
        <v>0</v>
      </c>
      <c r="DQ63" s="299">
        <f t="shared" si="133"/>
        <v>0</v>
      </c>
      <c r="DR63" s="279">
        <f t="shared" si="134"/>
        <v>0</v>
      </c>
      <c r="DS63" s="299">
        <f t="shared" si="135"/>
        <v>0</v>
      </c>
      <c r="DT63" s="279">
        <f t="shared" si="472"/>
        <v>0</v>
      </c>
      <c r="DU63" s="299">
        <f t="shared" si="136"/>
        <v>0</v>
      </c>
      <c r="DV63" s="252">
        <f t="shared" si="137"/>
        <v>0</v>
      </c>
      <c r="DW63" s="251">
        <f t="shared" si="449"/>
        <v>0</v>
      </c>
      <c r="DY63" s="256">
        <v>0</v>
      </c>
      <c r="DZ63" s="2"/>
      <c r="EA63" s="254">
        <f t="shared" si="663"/>
        <v>0</v>
      </c>
      <c r="EB63" s="249">
        <f t="shared" si="384"/>
        <v>0</v>
      </c>
      <c r="EC63" s="250">
        <f t="shared" si="139"/>
        <v>0</v>
      </c>
      <c r="ED63" s="356">
        <f t="shared" si="385"/>
        <v>0</v>
      </c>
      <c r="EE63" s="250">
        <f t="shared" si="139"/>
        <v>0</v>
      </c>
      <c r="EF63" s="249">
        <f t="shared" si="386"/>
        <v>0</v>
      </c>
      <c r="EG63" s="250">
        <f t="shared" si="659"/>
        <v>0</v>
      </c>
      <c r="EH63" s="249">
        <f t="shared" si="387"/>
        <v>0</v>
      </c>
      <c r="EI63" s="250">
        <f t="shared" si="659"/>
        <v>0</v>
      </c>
      <c r="EJ63" s="249">
        <f t="shared" si="388"/>
        <v>0</v>
      </c>
      <c r="EK63" s="250">
        <f t="shared" si="143"/>
        <v>0</v>
      </c>
      <c r="EL63" s="249">
        <f t="shared" si="389"/>
        <v>0</v>
      </c>
      <c r="EM63" s="250">
        <f t="shared" si="144"/>
        <v>0</v>
      </c>
      <c r="EN63" s="249">
        <f t="shared" si="290"/>
        <v>0</v>
      </c>
      <c r="EO63" s="250">
        <f t="shared" si="145"/>
        <v>0</v>
      </c>
      <c r="EP63" s="249">
        <f t="shared" si="390"/>
        <v>0</v>
      </c>
      <c r="EQ63" s="250">
        <f t="shared" si="146"/>
        <v>0</v>
      </c>
      <c r="ER63" s="249">
        <f t="shared" si="292"/>
        <v>0</v>
      </c>
      <c r="ES63" s="250">
        <f t="shared" si="147"/>
        <v>0</v>
      </c>
      <c r="ET63" s="249">
        <f t="shared" si="391"/>
        <v>0</v>
      </c>
      <c r="EU63" s="250">
        <f t="shared" si="148"/>
        <v>0</v>
      </c>
      <c r="EV63" s="249">
        <f t="shared" si="294"/>
        <v>0</v>
      </c>
      <c r="EW63" s="250">
        <f t="shared" si="149"/>
        <v>0</v>
      </c>
      <c r="EX63" s="249">
        <f t="shared" si="392"/>
        <v>0</v>
      </c>
      <c r="EY63" s="250">
        <f t="shared" si="150"/>
        <v>0</v>
      </c>
      <c r="EZ63" s="252">
        <f t="shared" si="151"/>
        <v>0</v>
      </c>
      <c r="FA63" s="251">
        <f t="shared" si="664"/>
        <v>0</v>
      </c>
      <c r="FC63" s="1"/>
      <c r="FD63" s="2"/>
      <c r="FE63" s="257">
        <f t="shared" si="152"/>
        <v>0</v>
      </c>
      <c r="FF63" s="249">
        <f t="shared" si="153"/>
        <v>0</v>
      </c>
      <c r="FG63" s="250">
        <f t="shared" si="154"/>
        <v>0</v>
      </c>
      <c r="FH63" s="372">
        <f t="shared" si="473"/>
        <v>0</v>
      </c>
      <c r="FI63" s="339">
        <f t="shared" si="155"/>
        <v>0</v>
      </c>
      <c r="FJ63" s="372">
        <f t="shared" si="474"/>
        <v>0</v>
      </c>
      <c r="FK63" s="339">
        <f t="shared" si="155"/>
        <v>0</v>
      </c>
      <c r="FL63" s="372">
        <f t="shared" si="475"/>
        <v>0</v>
      </c>
      <c r="FM63" s="339">
        <f t="shared" si="156"/>
        <v>0</v>
      </c>
      <c r="FN63" s="372">
        <f t="shared" si="476"/>
        <v>0</v>
      </c>
      <c r="FO63" s="339">
        <f t="shared" si="157"/>
        <v>0</v>
      </c>
      <c r="FP63" s="372">
        <f t="shared" si="477"/>
        <v>0</v>
      </c>
      <c r="FQ63" s="339">
        <f t="shared" si="158"/>
        <v>0</v>
      </c>
      <c r="FR63" s="372">
        <f t="shared" si="159"/>
        <v>0</v>
      </c>
      <c r="FS63" s="339">
        <f t="shared" si="160"/>
        <v>0</v>
      </c>
      <c r="FT63" s="372">
        <f t="shared" si="478"/>
        <v>0</v>
      </c>
      <c r="FU63" s="339">
        <f t="shared" si="161"/>
        <v>0</v>
      </c>
      <c r="FV63" s="372">
        <f t="shared" si="162"/>
        <v>0</v>
      </c>
      <c r="FW63" s="339">
        <f t="shared" si="163"/>
        <v>0</v>
      </c>
      <c r="FX63" s="372">
        <f t="shared" si="479"/>
        <v>0</v>
      </c>
      <c r="FY63" s="339">
        <f t="shared" si="164"/>
        <v>0</v>
      </c>
      <c r="FZ63" s="372">
        <f t="shared" si="165"/>
        <v>0</v>
      </c>
      <c r="GA63" s="339">
        <f t="shared" si="166"/>
        <v>0</v>
      </c>
      <c r="GB63" s="372">
        <f t="shared" si="480"/>
        <v>0</v>
      </c>
      <c r="GC63" s="339">
        <f t="shared" si="167"/>
        <v>0</v>
      </c>
      <c r="GD63" s="252">
        <f t="shared" si="168"/>
        <v>0</v>
      </c>
      <c r="GE63" s="251">
        <f t="shared" si="411"/>
        <v>0</v>
      </c>
      <c r="GG63" s="1"/>
      <c r="GH63" s="2">
        <v>0.2</v>
      </c>
      <c r="GI63" s="257">
        <f t="shared" si="665"/>
        <v>0</v>
      </c>
      <c r="GJ63" s="249">
        <f t="shared" si="169"/>
        <v>0</v>
      </c>
      <c r="GK63" s="250">
        <f t="shared" si="170"/>
        <v>0</v>
      </c>
      <c r="GL63" s="249">
        <f t="shared" si="169"/>
        <v>0</v>
      </c>
      <c r="GM63" s="250">
        <f t="shared" si="170"/>
        <v>0</v>
      </c>
      <c r="GN63" s="249">
        <f t="shared" si="169"/>
        <v>0</v>
      </c>
      <c r="GO63" s="250">
        <f t="shared" si="171"/>
        <v>0</v>
      </c>
      <c r="GP63" s="249">
        <f t="shared" si="169"/>
        <v>0</v>
      </c>
      <c r="GQ63" s="250">
        <f t="shared" si="172"/>
        <v>0</v>
      </c>
      <c r="GR63" s="249">
        <f t="shared" si="173"/>
        <v>0</v>
      </c>
      <c r="GS63" s="250">
        <f t="shared" si="174"/>
        <v>0</v>
      </c>
      <c r="GT63" s="249">
        <f t="shared" si="175"/>
        <v>0</v>
      </c>
      <c r="GU63" s="250">
        <f t="shared" si="176"/>
        <v>0</v>
      </c>
      <c r="GV63" s="249">
        <f t="shared" si="177"/>
        <v>0</v>
      </c>
      <c r="GW63" s="250">
        <f t="shared" si="178"/>
        <v>0</v>
      </c>
      <c r="GX63" s="249">
        <f t="shared" si="179"/>
        <v>0</v>
      </c>
      <c r="GY63" s="250">
        <f t="shared" si="180"/>
        <v>0</v>
      </c>
      <c r="GZ63" s="249">
        <f t="shared" si="181"/>
        <v>0</v>
      </c>
      <c r="HA63" s="250">
        <f t="shared" si="182"/>
        <v>0</v>
      </c>
      <c r="HB63" s="249">
        <f t="shared" si="183"/>
        <v>0</v>
      </c>
      <c r="HC63" s="250">
        <f t="shared" si="184"/>
        <v>0</v>
      </c>
      <c r="HD63" s="249">
        <f t="shared" si="185"/>
        <v>0</v>
      </c>
      <c r="HE63" s="250">
        <f t="shared" si="186"/>
        <v>0</v>
      </c>
      <c r="HF63" s="249">
        <f t="shared" si="187"/>
        <v>0</v>
      </c>
      <c r="HG63" s="250">
        <f t="shared" si="188"/>
        <v>0</v>
      </c>
      <c r="HH63" s="252">
        <f t="shared" si="189"/>
        <v>0</v>
      </c>
      <c r="HI63" s="251">
        <f t="shared" si="666"/>
        <v>0</v>
      </c>
      <c r="HK63" s="1"/>
      <c r="HL63" s="2"/>
      <c r="HM63" s="257">
        <f t="shared" si="667"/>
        <v>0</v>
      </c>
      <c r="HN63" s="249">
        <f t="shared" si="190"/>
        <v>0</v>
      </c>
      <c r="HO63" s="250">
        <f t="shared" si="668"/>
        <v>0</v>
      </c>
      <c r="HP63" s="249">
        <f t="shared" si="192"/>
        <v>0</v>
      </c>
      <c r="HQ63" s="250">
        <f t="shared" si="193"/>
        <v>0</v>
      </c>
      <c r="HR63" s="249">
        <f t="shared" si="192"/>
        <v>0</v>
      </c>
      <c r="HS63" s="250">
        <f t="shared" si="193"/>
        <v>0</v>
      </c>
      <c r="HT63" s="249">
        <f t="shared" si="192"/>
        <v>0</v>
      </c>
      <c r="HU63" s="250">
        <f t="shared" si="194"/>
        <v>0</v>
      </c>
      <c r="HV63" s="249">
        <f t="shared" si="192"/>
        <v>0</v>
      </c>
      <c r="HW63" s="250">
        <f t="shared" si="195"/>
        <v>0</v>
      </c>
      <c r="HX63" s="249">
        <f t="shared" si="196"/>
        <v>0</v>
      </c>
      <c r="HY63" s="250">
        <f t="shared" si="197"/>
        <v>0</v>
      </c>
      <c r="HZ63" s="249">
        <f t="shared" si="198"/>
        <v>0</v>
      </c>
      <c r="IA63" s="250">
        <f t="shared" si="199"/>
        <v>0</v>
      </c>
      <c r="IB63" s="249">
        <f t="shared" si="200"/>
        <v>0</v>
      </c>
      <c r="IC63" s="250">
        <f t="shared" si="201"/>
        <v>0</v>
      </c>
      <c r="ID63" s="249">
        <f t="shared" si="202"/>
        <v>0</v>
      </c>
      <c r="IE63" s="250">
        <f t="shared" si="203"/>
        <v>0</v>
      </c>
      <c r="IF63" s="249">
        <f t="shared" si="204"/>
        <v>0</v>
      </c>
      <c r="IG63" s="250">
        <f t="shared" si="205"/>
        <v>0</v>
      </c>
      <c r="IH63" s="249">
        <f t="shared" si="206"/>
        <v>0</v>
      </c>
      <c r="II63" s="250">
        <f t="shared" si="207"/>
        <v>0</v>
      </c>
      <c r="IJ63" s="249">
        <f t="shared" si="208"/>
        <v>0</v>
      </c>
      <c r="IK63" s="250">
        <f t="shared" si="209"/>
        <v>0</v>
      </c>
      <c r="IL63" s="252">
        <f t="shared" si="210"/>
        <v>0</v>
      </c>
      <c r="IM63" s="251">
        <f t="shared" si="211"/>
        <v>0</v>
      </c>
      <c r="IO63" s="1"/>
      <c r="IP63" s="2">
        <v>8.3333333333333329E-2</v>
      </c>
      <c r="IQ63" s="257">
        <f t="shared" si="669"/>
        <v>0</v>
      </c>
      <c r="IR63" s="249">
        <f t="shared" si="212"/>
        <v>0</v>
      </c>
      <c r="IS63" s="250">
        <f t="shared" si="213"/>
        <v>0</v>
      </c>
      <c r="IT63" s="279">
        <f t="shared" si="401"/>
        <v>0</v>
      </c>
      <c r="IU63" s="289">
        <f t="shared" si="214"/>
        <v>0</v>
      </c>
      <c r="IV63" s="279">
        <f t="shared" si="402"/>
        <v>0</v>
      </c>
      <c r="IW63" s="289">
        <f t="shared" si="214"/>
        <v>0</v>
      </c>
      <c r="IX63" s="279">
        <f t="shared" si="403"/>
        <v>0</v>
      </c>
      <c r="IY63" s="289">
        <f t="shared" si="215"/>
        <v>0</v>
      </c>
      <c r="IZ63" s="279">
        <f t="shared" si="404"/>
        <v>0</v>
      </c>
      <c r="JA63" s="289">
        <f t="shared" si="216"/>
        <v>0</v>
      </c>
      <c r="JB63" s="279">
        <f t="shared" si="405"/>
        <v>0</v>
      </c>
      <c r="JC63" s="289">
        <f t="shared" si="217"/>
        <v>0</v>
      </c>
      <c r="JD63" s="279">
        <f t="shared" si="218"/>
        <v>0</v>
      </c>
      <c r="JE63" s="289">
        <f t="shared" si="219"/>
        <v>0</v>
      </c>
      <c r="JF63" s="279">
        <f t="shared" si="406"/>
        <v>0</v>
      </c>
      <c r="JG63" s="289">
        <f t="shared" si="220"/>
        <v>0</v>
      </c>
      <c r="JH63" s="279">
        <f t="shared" si="221"/>
        <v>0</v>
      </c>
      <c r="JI63" s="289">
        <f t="shared" si="222"/>
        <v>0</v>
      </c>
      <c r="JJ63" s="279">
        <f t="shared" si="407"/>
        <v>0</v>
      </c>
      <c r="JK63" s="289">
        <f t="shared" si="223"/>
        <v>0</v>
      </c>
      <c r="JL63" s="279">
        <f t="shared" si="224"/>
        <v>0</v>
      </c>
      <c r="JM63" s="289">
        <f t="shared" si="225"/>
        <v>0</v>
      </c>
      <c r="JN63" s="279">
        <f t="shared" si="408"/>
        <v>0</v>
      </c>
      <c r="JO63" s="289">
        <f t="shared" si="226"/>
        <v>0</v>
      </c>
      <c r="JP63" s="252">
        <f t="shared" si="227"/>
        <v>0</v>
      </c>
      <c r="JQ63" s="251">
        <f t="shared" si="228"/>
        <v>0</v>
      </c>
      <c r="JS63" s="1"/>
      <c r="JT63" s="2">
        <v>8.3333333333333329E-2</v>
      </c>
      <c r="JU63" s="257">
        <f t="shared" si="670"/>
        <v>0</v>
      </c>
      <c r="JV63" s="249">
        <f t="shared" si="229"/>
        <v>0</v>
      </c>
      <c r="JW63" s="250">
        <f t="shared" si="230"/>
        <v>0</v>
      </c>
      <c r="JX63" s="372">
        <f t="shared" si="671"/>
        <v>0</v>
      </c>
      <c r="JY63" s="339">
        <f t="shared" si="231"/>
        <v>0</v>
      </c>
      <c r="JZ63" s="372">
        <f t="shared" si="672"/>
        <v>0</v>
      </c>
      <c r="KA63" s="339">
        <f t="shared" si="231"/>
        <v>0</v>
      </c>
      <c r="KB63" s="372">
        <f t="shared" si="673"/>
        <v>0</v>
      </c>
      <c r="KC63" s="339">
        <f t="shared" si="232"/>
        <v>0</v>
      </c>
      <c r="KD63" s="372">
        <f t="shared" si="674"/>
        <v>0</v>
      </c>
      <c r="KE63" s="339">
        <f t="shared" si="233"/>
        <v>0</v>
      </c>
      <c r="KF63" s="372">
        <f t="shared" si="675"/>
        <v>0</v>
      </c>
      <c r="KG63" s="339">
        <f t="shared" si="234"/>
        <v>0</v>
      </c>
      <c r="KH63" s="372">
        <f t="shared" si="235"/>
        <v>0</v>
      </c>
      <c r="KI63" s="339">
        <f t="shared" si="236"/>
        <v>0</v>
      </c>
      <c r="KJ63" s="372">
        <f t="shared" si="676"/>
        <v>0</v>
      </c>
      <c r="KK63" s="339">
        <f t="shared" si="237"/>
        <v>0</v>
      </c>
      <c r="KL63" s="372">
        <f t="shared" si="238"/>
        <v>0</v>
      </c>
      <c r="KM63" s="339">
        <f t="shared" si="239"/>
        <v>0</v>
      </c>
      <c r="KN63" s="372">
        <f t="shared" si="677"/>
        <v>0</v>
      </c>
      <c r="KO63" s="339">
        <f t="shared" si="240"/>
        <v>0</v>
      </c>
      <c r="KP63" s="372">
        <f t="shared" si="241"/>
        <v>0</v>
      </c>
      <c r="KQ63" s="339">
        <f t="shared" si="242"/>
        <v>0</v>
      </c>
      <c r="KR63" s="372">
        <f t="shared" si="678"/>
        <v>0</v>
      </c>
      <c r="KS63" s="377">
        <f t="shared" si="243"/>
        <v>0</v>
      </c>
      <c r="KT63" s="379">
        <f t="shared" si="244"/>
        <v>0</v>
      </c>
      <c r="KU63" s="251">
        <f t="shared" si="679"/>
        <v>0</v>
      </c>
      <c r="KW63" s="1"/>
      <c r="KX63" s="2">
        <v>8.3333333333333329E-2</v>
      </c>
      <c r="KY63" s="254">
        <f t="shared" si="680"/>
        <v>0</v>
      </c>
      <c r="KZ63" s="249">
        <f t="shared" si="271"/>
        <v>0</v>
      </c>
      <c r="LA63" s="251">
        <f t="shared" si="681"/>
        <v>0</v>
      </c>
      <c r="LB63" s="279">
        <f t="shared" si="272"/>
        <v>0</v>
      </c>
      <c r="LC63" s="339">
        <f t="shared" si="246"/>
        <v>0</v>
      </c>
      <c r="LD63" s="279">
        <f t="shared" si="272"/>
        <v>0</v>
      </c>
      <c r="LE63" s="339">
        <f t="shared" si="246"/>
        <v>0</v>
      </c>
      <c r="LF63" s="279">
        <f t="shared" si="272"/>
        <v>0</v>
      </c>
      <c r="LG63" s="339">
        <f t="shared" si="247"/>
        <v>0</v>
      </c>
      <c r="LH63" s="279">
        <f t="shared" si="272"/>
        <v>0</v>
      </c>
      <c r="LI63" s="339">
        <f t="shared" si="248"/>
        <v>0</v>
      </c>
      <c r="LJ63" s="279">
        <f t="shared" si="273"/>
        <v>0</v>
      </c>
      <c r="LK63" s="339">
        <f t="shared" si="249"/>
        <v>0</v>
      </c>
      <c r="LL63" s="279">
        <f t="shared" si="274"/>
        <v>0</v>
      </c>
      <c r="LM63" s="339">
        <f t="shared" si="250"/>
        <v>0</v>
      </c>
      <c r="LN63" s="279">
        <f t="shared" si="275"/>
        <v>0</v>
      </c>
      <c r="LO63" s="339">
        <f t="shared" si="251"/>
        <v>0</v>
      </c>
      <c r="LP63" s="279">
        <f t="shared" si="276"/>
        <v>0</v>
      </c>
      <c r="LQ63" s="339">
        <f t="shared" si="252"/>
        <v>0</v>
      </c>
      <c r="LR63" s="279">
        <f t="shared" si="277"/>
        <v>0</v>
      </c>
      <c r="LS63" s="339">
        <f t="shared" si="253"/>
        <v>0</v>
      </c>
      <c r="LT63" s="279">
        <f t="shared" si="278"/>
        <v>0</v>
      </c>
      <c r="LU63" s="339">
        <f t="shared" si="254"/>
        <v>0</v>
      </c>
      <c r="LV63" s="279">
        <f t="shared" si="279"/>
        <v>0</v>
      </c>
      <c r="LW63" s="339">
        <f t="shared" si="255"/>
        <v>0</v>
      </c>
      <c r="LX63" s="252">
        <f t="shared" si="256"/>
        <v>0</v>
      </c>
      <c r="LY63" s="253">
        <f t="shared" si="257"/>
        <v>0</v>
      </c>
      <c r="MA63" s="249">
        <f t="shared" si="412"/>
        <v>0</v>
      </c>
      <c r="MB63" s="253">
        <f t="shared" si="258"/>
        <v>0</v>
      </c>
      <c r="MC63" s="397">
        <f t="shared" si="413"/>
        <v>0</v>
      </c>
      <c r="MD63" s="253">
        <f t="shared" si="259"/>
        <v>0</v>
      </c>
      <c r="ME63" s="397">
        <f t="shared" si="414"/>
        <v>0</v>
      </c>
      <c r="MF63" s="253">
        <f t="shared" si="259"/>
        <v>0</v>
      </c>
      <c r="MG63" s="397">
        <f t="shared" si="415"/>
        <v>0</v>
      </c>
      <c r="MH63" s="253">
        <f t="shared" si="260"/>
        <v>0</v>
      </c>
      <c r="MI63" s="397">
        <f t="shared" si="416"/>
        <v>0</v>
      </c>
      <c r="MJ63" s="253">
        <f t="shared" si="261"/>
        <v>0</v>
      </c>
      <c r="MK63" s="397">
        <f t="shared" si="417"/>
        <v>0</v>
      </c>
      <c r="ML63" s="253">
        <f t="shared" si="262"/>
        <v>0</v>
      </c>
      <c r="MM63" s="397">
        <f t="shared" si="418"/>
        <v>0</v>
      </c>
      <c r="MN63" s="253">
        <f t="shared" si="263"/>
        <v>0</v>
      </c>
      <c r="MO63" s="397">
        <f t="shared" si="419"/>
        <v>0</v>
      </c>
      <c r="MP63" s="253">
        <f t="shared" si="264"/>
        <v>0</v>
      </c>
      <c r="MQ63" s="397">
        <f t="shared" si="420"/>
        <v>0</v>
      </c>
      <c r="MR63" s="253">
        <f t="shared" si="265"/>
        <v>0</v>
      </c>
      <c r="MS63" s="397">
        <f t="shared" si="421"/>
        <v>0</v>
      </c>
      <c r="MT63" s="253">
        <f t="shared" si="266"/>
        <v>0</v>
      </c>
      <c r="MU63" s="397">
        <f t="shared" si="422"/>
        <v>0</v>
      </c>
      <c r="MV63" s="253">
        <f t="shared" si="267"/>
        <v>0</v>
      </c>
      <c r="MW63" s="397">
        <f t="shared" si="423"/>
        <v>0</v>
      </c>
      <c r="MX63" s="253">
        <f t="shared" si="268"/>
        <v>0</v>
      </c>
      <c r="MY63" s="252">
        <f t="shared" si="269"/>
        <v>0</v>
      </c>
      <c r="MZ63" s="251">
        <f t="shared" si="270"/>
        <v>0</v>
      </c>
    </row>
    <row r="64" spans="1:364" ht="52.8" x14ac:dyDescent="0.25">
      <c r="A64" s="533"/>
      <c r="B64" s="245" t="s">
        <v>136</v>
      </c>
      <c r="C64" s="246" t="s">
        <v>137</v>
      </c>
      <c r="D64" s="247" t="s">
        <v>28</v>
      </c>
      <c r="E64" s="4">
        <v>1</v>
      </c>
      <c r="F64" s="353">
        <v>84766.662713472484</v>
      </c>
      <c r="G64" s="353">
        <f t="shared" si="81"/>
        <v>88299.414294750153</v>
      </c>
      <c r="I64" s="30"/>
      <c r="J64" s="2">
        <v>8.3333333333333329E-2</v>
      </c>
      <c r="K64" s="248">
        <f t="shared" si="82"/>
        <v>0</v>
      </c>
      <c r="L64" s="249"/>
      <c r="M64" s="301">
        <f t="shared" si="445"/>
        <v>0</v>
      </c>
      <c r="N64" s="279">
        <f t="shared" si="450"/>
        <v>0</v>
      </c>
      <c r="O64" s="289">
        <f t="shared" si="682"/>
        <v>0</v>
      </c>
      <c r="P64" s="279">
        <f t="shared" si="451"/>
        <v>0</v>
      </c>
      <c r="Q64" s="289">
        <f t="shared" si="682"/>
        <v>0</v>
      </c>
      <c r="R64" s="279">
        <f t="shared" si="452"/>
        <v>0</v>
      </c>
      <c r="S64" s="289">
        <f t="shared" si="86"/>
        <v>0</v>
      </c>
      <c r="T64" s="279">
        <f t="shared" si="453"/>
        <v>0</v>
      </c>
      <c r="U64" s="289">
        <f t="shared" si="87"/>
        <v>0</v>
      </c>
      <c r="V64" s="279">
        <f t="shared" si="409"/>
        <v>0</v>
      </c>
      <c r="W64" s="289">
        <f t="shared" si="88"/>
        <v>0</v>
      </c>
      <c r="X64" s="279">
        <f t="shared" si="305"/>
        <v>0</v>
      </c>
      <c r="Y64" s="289">
        <f t="shared" si="89"/>
        <v>0</v>
      </c>
      <c r="Z64" s="279">
        <f t="shared" si="454"/>
        <v>0</v>
      </c>
      <c r="AA64" s="289">
        <f t="shared" si="90"/>
        <v>0</v>
      </c>
      <c r="AB64" s="279">
        <f t="shared" si="306"/>
        <v>0</v>
      </c>
      <c r="AC64" s="289">
        <f t="shared" si="91"/>
        <v>0</v>
      </c>
      <c r="AD64" s="279">
        <f t="shared" si="455"/>
        <v>0</v>
      </c>
      <c r="AE64" s="289">
        <f t="shared" si="92"/>
        <v>0</v>
      </c>
      <c r="AF64" s="279">
        <f t="shared" si="307"/>
        <v>0</v>
      </c>
      <c r="AG64" s="289">
        <f t="shared" si="308"/>
        <v>0</v>
      </c>
      <c r="AH64" s="249">
        <f t="shared" si="456"/>
        <v>0</v>
      </c>
      <c r="AI64" s="299">
        <f t="shared" si="309"/>
        <v>0</v>
      </c>
      <c r="AJ64" s="252">
        <f t="shared" si="94"/>
        <v>0</v>
      </c>
      <c r="AK64" s="312">
        <f t="shared" si="95"/>
        <v>0</v>
      </c>
      <c r="AM64" s="1"/>
      <c r="AN64" s="2">
        <v>8.3333333333333329E-2</v>
      </c>
      <c r="AO64" s="254">
        <f t="shared" si="660"/>
        <v>0</v>
      </c>
      <c r="AP64" s="249">
        <f t="shared" si="328"/>
        <v>0</v>
      </c>
      <c r="AQ64" s="301">
        <f t="shared" si="96"/>
        <v>0</v>
      </c>
      <c r="AR64" s="249">
        <f t="shared" si="329"/>
        <v>0</v>
      </c>
      <c r="AS64" s="301">
        <f t="shared" si="96"/>
        <v>0</v>
      </c>
      <c r="AT64" s="249">
        <f t="shared" si="330"/>
        <v>0</v>
      </c>
      <c r="AU64" s="301">
        <f t="shared" si="96"/>
        <v>0</v>
      </c>
      <c r="AV64" s="249">
        <f t="shared" si="331"/>
        <v>0</v>
      </c>
      <c r="AW64" s="301">
        <f t="shared" si="98"/>
        <v>0</v>
      </c>
      <c r="AX64" s="249">
        <f t="shared" si="5"/>
        <v>0</v>
      </c>
      <c r="AY64" s="301">
        <f t="shared" si="99"/>
        <v>0</v>
      </c>
      <c r="AZ64" s="249">
        <f t="shared" si="332"/>
        <v>0</v>
      </c>
      <c r="BA64" s="301">
        <f t="shared" si="100"/>
        <v>0</v>
      </c>
      <c r="BB64" s="249">
        <f t="shared" si="7"/>
        <v>0</v>
      </c>
      <c r="BC64" s="301">
        <f t="shared" si="101"/>
        <v>0</v>
      </c>
      <c r="BD64" s="249">
        <f t="shared" si="333"/>
        <v>0</v>
      </c>
      <c r="BE64" s="301">
        <f t="shared" si="102"/>
        <v>0</v>
      </c>
      <c r="BF64" s="249">
        <f t="shared" si="9"/>
        <v>0</v>
      </c>
      <c r="BG64" s="301">
        <f t="shared" si="103"/>
        <v>0</v>
      </c>
      <c r="BH64" s="249">
        <f t="shared" si="334"/>
        <v>0</v>
      </c>
      <c r="BI64" s="301">
        <f t="shared" si="658"/>
        <v>0</v>
      </c>
      <c r="BJ64" s="249">
        <f t="shared" si="335"/>
        <v>0</v>
      </c>
      <c r="BK64" s="301">
        <f t="shared" si="658"/>
        <v>0</v>
      </c>
      <c r="BL64" s="249">
        <f t="shared" si="661"/>
        <v>0</v>
      </c>
      <c r="BM64" s="299">
        <f t="shared" si="105"/>
        <v>0</v>
      </c>
      <c r="BN64" s="252">
        <f t="shared" si="106"/>
        <v>0</v>
      </c>
      <c r="BO64" s="312">
        <f t="shared" si="410"/>
        <v>0</v>
      </c>
      <c r="BQ64" s="1"/>
      <c r="BR64" s="2"/>
      <c r="BS64" s="255">
        <f t="shared" si="281"/>
        <v>0</v>
      </c>
      <c r="BT64" s="249">
        <f t="shared" si="280"/>
        <v>0</v>
      </c>
      <c r="BU64" s="336">
        <f t="shared" si="107"/>
        <v>0</v>
      </c>
      <c r="BV64" s="279">
        <f t="shared" si="457"/>
        <v>0</v>
      </c>
      <c r="BW64" s="339">
        <f t="shared" si="108"/>
        <v>0</v>
      </c>
      <c r="BX64" s="279">
        <f t="shared" si="458"/>
        <v>0</v>
      </c>
      <c r="BY64" s="339">
        <f t="shared" si="109"/>
        <v>0</v>
      </c>
      <c r="BZ64" s="279">
        <f t="shared" si="459"/>
        <v>0</v>
      </c>
      <c r="CA64" s="339">
        <f t="shared" si="110"/>
        <v>0</v>
      </c>
      <c r="CB64" s="279">
        <f t="shared" si="460"/>
        <v>0</v>
      </c>
      <c r="CC64" s="339">
        <f t="shared" si="111"/>
        <v>0</v>
      </c>
      <c r="CD64" s="279">
        <f t="shared" si="461"/>
        <v>0</v>
      </c>
      <c r="CE64" s="339">
        <f t="shared" si="112"/>
        <v>0</v>
      </c>
      <c r="CF64" s="279">
        <f t="shared" si="113"/>
        <v>0</v>
      </c>
      <c r="CG64" s="339">
        <f t="shared" si="114"/>
        <v>0</v>
      </c>
      <c r="CH64" s="279">
        <f t="shared" si="462"/>
        <v>0</v>
      </c>
      <c r="CI64" s="339">
        <f t="shared" si="115"/>
        <v>0</v>
      </c>
      <c r="CJ64" s="279">
        <f t="shared" si="116"/>
        <v>0</v>
      </c>
      <c r="CK64" s="339">
        <f t="shared" si="117"/>
        <v>0</v>
      </c>
      <c r="CL64" s="279">
        <f t="shared" si="463"/>
        <v>0</v>
      </c>
      <c r="CM64" s="339">
        <f t="shared" si="118"/>
        <v>0</v>
      </c>
      <c r="CN64" s="279">
        <f t="shared" si="119"/>
        <v>0</v>
      </c>
      <c r="CO64" s="339">
        <f t="shared" si="120"/>
        <v>0</v>
      </c>
      <c r="CP64" s="279">
        <f t="shared" si="464"/>
        <v>0</v>
      </c>
      <c r="CQ64" s="250">
        <f t="shared" si="662"/>
        <v>0</v>
      </c>
      <c r="CR64" s="252">
        <f t="shared" si="121"/>
        <v>0</v>
      </c>
      <c r="CS64" s="251">
        <f t="shared" si="448"/>
        <v>0</v>
      </c>
      <c r="CU64" s="1"/>
      <c r="CV64" s="2"/>
      <c r="CW64" s="255">
        <f t="shared" si="299"/>
        <v>0</v>
      </c>
      <c r="CX64" s="249">
        <f t="shared" si="122"/>
        <v>0</v>
      </c>
      <c r="CY64" s="250">
        <f t="shared" si="123"/>
        <v>0</v>
      </c>
      <c r="CZ64" s="279">
        <f t="shared" si="465"/>
        <v>0</v>
      </c>
      <c r="DA64" s="299">
        <f t="shared" si="123"/>
        <v>0</v>
      </c>
      <c r="DB64" s="279">
        <f t="shared" si="466"/>
        <v>0</v>
      </c>
      <c r="DC64" s="299">
        <f t="shared" si="124"/>
        <v>0</v>
      </c>
      <c r="DD64" s="279">
        <f t="shared" si="467"/>
        <v>0</v>
      </c>
      <c r="DE64" s="299">
        <f t="shared" si="125"/>
        <v>0</v>
      </c>
      <c r="DF64" s="279">
        <f t="shared" si="468"/>
        <v>0</v>
      </c>
      <c r="DG64" s="299">
        <f t="shared" si="126"/>
        <v>0</v>
      </c>
      <c r="DH64" s="279">
        <f t="shared" si="469"/>
        <v>0</v>
      </c>
      <c r="DI64" s="299">
        <f t="shared" si="127"/>
        <v>0</v>
      </c>
      <c r="DJ64" s="279">
        <f t="shared" si="128"/>
        <v>0</v>
      </c>
      <c r="DK64" s="299">
        <f t="shared" si="129"/>
        <v>0</v>
      </c>
      <c r="DL64" s="279">
        <f t="shared" si="470"/>
        <v>0</v>
      </c>
      <c r="DM64" s="299">
        <f t="shared" si="130"/>
        <v>0</v>
      </c>
      <c r="DN64" s="279">
        <f t="shared" si="131"/>
        <v>0</v>
      </c>
      <c r="DO64" s="299">
        <f t="shared" si="132"/>
        <v>0</v>
      </c>
      <c r="DP64" s="279">
        <f t="shared" si="471"/>
        <v>0</v>
      </c>
      <c r="DQ64" s="299">
        <f t="shared" si="133"/>
        <v>0</v>
      </c>
      <c r="DR64" s="279">
        <f t="shared" si="134"/>
        <v>0</v>
      </c>
      <c r="DS64" s="299">
        <f t="shared" si="135"/>
        <v>0</v>
      </c>
      <c r="DT64" s="279">
        <f t="shared" si="472"/>
        <v>0</v>
      </c>
      <c r="DU64" s="299">
        <f t="shared" si="136"/>
        <v>0</v>
      </c>
      <c r="DV64" s="252">
        <f t="shared" si="137"/>
        <v>0</v>
      </c>
      <c r="DW64" s="251">
        <f t="shared" si="449"/>
        <v>0</v>
      </c>
      <c r="DY64" s="256">
        <v>0</v>
      </c>
      <c r="DZ64" s="2"/>
      <c r="EA64" s="254">
        <f t="shared" si="663"/>
        <v>0</v>
      </c>
      <c r="EB64" s="249">
        <f t="shared" si="384"/>
        <v>0</v>
      </c>
      <c r="EC64" s="250">
        <f t="shared" si="139"/>
        <v>0</v>
      </c>
      <c r="ED64" s="356">
        <f t="shared" si="385"/>
        <v>0</v>
      </c>
      <c r="EE64" s="250">
        <f t="shared" si="139"/>
        <v>0</v>
      </c>
      <c r="EF64" s="249">
        <f t="shared" si="386"/>
        <v>0</v>
      </c>
      <c r="EG64" s="250">
        <f t="shared" si="659"/>
        <v>0</v>
      </c>
      <c r="EH64" s="249">
        <f t="shared" si="387"/>
        <v>0</v>
      </c>
      <c r="EI64" s="250">
        <f t="shared" si="659"/>
        <v>0</v>
      </c>
      <c r="EJ64" s="249">
        <f t="shared" si="388"/>
        <v>0</v>
      </c>
      <c r="EK64" s="250">
        <f t="shared" si="143"/>
        <v>0</v>
      </c>
      <c r="EL64" s="249">
        <f t="shared" si="389"/>
        <v>0</v>
      </c>
      <c r="EM64" s="250">
        <f t="shared" si="144"/>
        <v>0</v>
      </c>
      <c r="EN64" s="249">
        <f t="shared" si="290"/>
        <v>0</v>
      </c>
      <c r="EO64" s="250">
        <f t="shared" si="145"/>
        <v>0</v>
      </c>
      <c r="EP64" s="249">
        <f t="shared" si="390"/>
        <v>0</v>
      </c>
      <c r="EQ64" s="250">
        <f t="shared" si="146"/>
        <v>0</v>
      </c>
      <c r="ER64" s="249">
        <f t="shared" si="292"/>
        <v>0</v>
      </c>
      <c r="ES64" s="250">
        <f t="shared" si="147"/>
        <v>0</v>
      </c>
      <c r="ET64" s="249">
        <f t="shared" si="391"/>
        <v>0</v>
      </c>
      <c r="EU64" s="250">
        <f t="shared" si="148"/>
        <v>0</v>
      </c>
      <c r="EV64" s="249">
        <f t="shared" si="294"/>
        <v>0</v>
      </c>
      <c r="EW64" s="250">
        <f t="shared" si="149"/>
        <v>0</v>
      </c>
      <c r="EX64" s="249">
        <f t="shared" si="392"/>
        <v>0</v>
      </c>
      <c r="EY64" s="250">
        <f t="shared" si="150"/>
        <v>0</v>
      </c>
      <c r="EZ64" s="252">
        <f t="shared" si="151"/>
        <v>0</v>
      </c>
      <c r="FA64" s="251">
        <f t="shared" si="664"/>
        <v>0</v>
      </c>
      <c r="FC64" s="1"/>
      <c r="FD64" s="2"/>
      <c r="FE64" s="257">
        <f t="shared" si="152"/>
        <v>0</v>
      </c>
      <c r="FF64" s="249">
        <f t="shared" si="153"/>
        <v>0</v>
      </c>
      <c r="FG64" s="250">
        <f t="shared" si="154"/>
        <v>0</v>
      </c>
      <c r="FH64" s="372">
        <f t="shared" si="473"/>
        <v>0</v>
      </c>
      <c r="FI64" s="339">
        <f t="shared" si="155"/>
        <v>0</v>
      </c>
      <c r="FJ64" s="372">
        <f t="shared" si="474"/>
        <v>0</v>
      </c>
      <c r="FK64" s="339">
        <f t="shared" si="155"/>
        <v>0</v>
      </c>
      <c r="FL64" s="372">
        <f t="shared" si="475"/>
        <v>0</v>
      </c>
      <c r="FM64" s="339">
        <f t="shared" si="156"/>
        <v>0</v>
      </c>
      <c r="FN64" s="372">
        <f t="shared" si="476"/>
        <v>0</v>
      </c>
      <c r="FO64" s="339">
        <f t="shared" si="157"/>
        <v>0</v>
      </c>
      <c r="FP64" s="372">
        <f t="shared" si="477"/>
        <v>0</v>
      </c>
      <c r="FQ64" s="339">
        <f t="shared" si="158"/>
        <v>0</v>
      </c>
      <c r="FR64" s="372">
        <f t="shared" si="159"/>
        <v>0</v>
      </c>
      <c r="FS64" s="339">
        <f t="shared" si="160"/>
        <v>0</v>
      </c>
      <c r="FT64" s="372">
        <f t="shared" si="478"/>
        <v>0</v>
      </c>
      <c r="FU64" s="339">
        <f t="shared" si="161"/>
        <v>0</v>
      </c>
      <c r="FV64" s="372">
        <f t="shared" si="162"/>
        <v>0</v>
      </c>
      <c r="FW64" s="339">
        <f t="shared" si="163"/>
        <v>0</v>
      </c>
      <c r="FX64" s="372">
        <f t="shared" si="479"/>
        <v>0</v>
      </c>
      <c r="FY64" s="339">
        <f t="shared" si="164"/>
        <v>0</v>
      </c>
      <c r="FZ64" s="372">
        <f t="shared" si="165"/>
        <v>0</v>
      </c>
      <c r="GA64" s="339">
        <f t="shared" si="166"/>
        <v>0</v>
      </c>
      <c r="GB64" s="372">
        <f t="shared" si="480"/>
        <v>0</v>
      </c>
      <c r="GC64" s="339">
        <f t="shared" si="167"/>
        <v>0</v>
      </c>
      <c r="GD64" s="252">
        <f t="shared" si="168"/>
        <v>0</v>
      </c>
      <c r="GE64" s="251">
        <f t="shared" si="411"/>
        <v>0</v>
      </c>
      <c r="GG64" s="1"/>
      <c r="GH64" s="2">
        <v>0.2</v>
      </c>
      <c r="GI64" s="257">
        <f t="shared" si="665"/>
        <v>0</v>
      </c>
      <c r="GJ64" s="249">
        <f t="shared" si="169"/>
        <v>0</v>
      </c>
      <c r="GK64" s="250">
        <f t="shared" si="170"/>
        <v>0</v>
      </c>
      <c r="GL64" s="249">
        <f t="shared" si="169"/>
        <v>0</v>
      </c>
      <c r="GM64" s="250">
        <f t="shared" si="170"/>
        <v>0</v>
      </c>
      <c r="GN64" s="249">
        <f t="shared" si="169"/>
        <v>0</v>
      </c>
      <c r="GO64" s="250">
        <f t="shared" si="171"/>
        <v>0</v>
      </c>
      <c r="GP64" s="249">
        <f t="shared" si="169"/>
        <v>0</v>
      </c>
      <c r="GQ64" s="250">
        <f t="shared" si="172"/>
        <v>0</v>
      </c>
      <c r="GR64" s="249">
        <f t="shared" si="173"/>
        <v>0</v>
      </c>
      <c r="GS64" s="250">
        <f t="shared" si="174"/>
        <v>0</v>
      </c>
      <c r="GT64" s="249">
        <f t="shared" si="175"/>
        <v>0</v>
      </c>
      <c r="GU64" s="250">
        <f t="shared" si="176"/>
        <v>0</v>
      </c>
      <c r="GV64" s="249">
        <f t="shared" si="177"/>
        <v>0</v>
      </c>
      <c r="GW64" s="250">
        <f t="shared" si="178"/>
        <v>0</v>
      </c>
      <c r="GX64" s="249">
        <f t="shared" si="179"/>
        <v>0</v>
      </c>
      <c r="GY64" s="250">
        <f t="shared" si="180"/>
        <v>0</v>
      </c>
      <c r="GZ64" s="249">
        <f t="shared" si="181"/>
        <v>0</v>
      </c>
      <c r="HA64" s="250">
        <f t="shared" si="182"/>
        <v>0</v>
      </c>
      <c r="HB64" s="249">
        <f t="shared" si="183"/>
        <v>0</v>
      </c>
      <c r="HC64" s="250">
        <f t="shared" si="184"/>
        <v>0</v>
      </c>
      <c r="HD64" s="249">
        <f t="shared" si="185"/>
        <v>0</v>
      </c>
      <c r="HE64" s="250">
        <f t="shared" si="186"/>
        <v>0</v>
      </c>
      <c r="HF64" s="249">
        <f t="shared" si="187"/>
        <v>0</v>
      </c>
      <c r="HG64" s="250">
        <f t="shared" si="188"/>
        <v>0</v>
      </c>
      <c r="HH64" s="252">
        <f t="shared" si="189"/>
        <v>0</v>
      </c>
      <c r="HI64" s="251">
        <f t="shared" si="666"/>
        <v>0</v>
      </c>
      <c r="HK64" s="1"/>
      <c r="HL64" s="2"/>
      <c r="HM64" s="257">
        <f t="shared" si="667"/>
        <v>0</v>
      </c>
      <c r="HN64" s="249">
        <f t="shared" si="190"/>
        <v>0</v>
      </c>
      <c r="HO64" s="250">
        <f t="shared" si="668"/>
        <v>0</v>
      </c>
      <c r="HP64" s="249">
        <f t="shared" si="192"/>
        <v>0</v>
      </c>
      <c r="HQ64" s="250">
        <f t="shared" si="193"/>
        <v>0</v>
      </c>
      <c r="HR64" s="249">
        <f t="shared" si="192"/>
        <v>0</v>
      </c>
      <c r="HS64" s="250">
        <f t="shared" si="193"/>
        <v>0</v>
      </c>
      <c r="HT64" s="249">
        <f t="shared" si="192"/>
        <v>0</v>
      </c>
      <c r="HU64" s="250">
        <f t="shared" si="194"/>
        <v>0</v>
      </c>
      <c r="HV64" s="249">
        <f t="shared" si="192"/>
        <v>0</v>
      </c>
      <c r="HW64" s="250">
        <f t="shared" si="195"/>
        <v>0</v>
      </c>
      <c r="HX64" s="249">
        <f t="shared" si="196"/>
        <v>0</v>
      </c>
      <c r="HY64" s="250">
        <f t="shared" si="197"/>
        <v>0</v>
      </c>
      <c r="HZ64" s="249">
        <f t="shared" si="198"/>
        <v>0</v>
      </c>
      <c r="IA64" s="250">
        <f t="shared" si="199"/>
        <v>0</v>
      </c>
      <c r="IB64" s="249">
        <f t="shared" si="200"/>
        <v>0</v>
      </c>
      <c r="IC64" s="250">
        <f t="shared" si="201"/>
        <v>0</v>
      </c>
      <c r="ID64" s="249">
        <f t="shared" si="202"/>
        <v>0</v>
      </c>
      <c r="IE64" s="250">
        <f t="shared" si="203"/>
        <v>0</v>
      </c>
      <c r="IF64" s="249">
        <f t="shared" si="204"/>
        <v>0</v>
      </c>
      <c r="IG64" s="250">
        <f t="shared" si="205"/>
        <v>0</v>
      </c>
      <c r="IH64" s="249">
        <f t="shared" si="206"/>
        <v>0</v>
      </c>
      <c r="II64" s="250">
        <f t="shared" si="207"/>
        <v>0</v>
      </c>
      <c r="IJ64" s="249">
        <f t="shared" si="208"/>
        <v>0</v>
      </c>
      <c r="IK64" s="250">
        <f t="shared" si="209"/>
        <v>0</v>
      </c>
      <c r="IL64" s="252">
        <f t="shared" si="210"/>
        <v>0</v>
      </c>
      <c r="IM64" s="251">
        <f t="shared" si="211"/>
        <v>0</v>
      </c>
      <c r="IO64" s="1"/>
      <c r="IP64" s="2">
        <v>8.3333333333333329E-2</v>
      </c>
      <c r="IQ64" s="257">
        <f t="shared" si="669"/>
        <v>0</v>
      </c>
      <c r="IR64" s="249">
        <f t="shared" si="212"/>
        <v>0</v>
      </c>
      <c r="IS64" s="250">
        <f t="shared" si="213"/>
        <v>0</v>
      </c>
      <c r="IT64" s="279">
        <f t="shared" si="401"/>
        <v>0</v>
      </c>
      <c r="IU64" s="289">
        <f t="shared" si="214"/>
        <v>0</v>
      </c>
      <c r="IV64" s="279">
        <f t="shared" si="402"/>
        <v>0</v>
      </c>
      <c r="IW64" s="289">
        <f t="shared" si="214"/>
        <v>0</v>
      </c>
      <c r="IX64" s="279">
        <f t="shared" si="403"/>
        <v>0</v>
      </c>
      <c r="IY64" s="289">
        <f t="shared" si="215"/>
        <v>0</v>
      </c>
      <c r="IZ64" s="279">
        <f t="shared" si="404"/>
        <v>0</v>
      </c>
      <c r="JA64" s="289">
        <f t="shared" si="216"/>
        <v>0</v>
      </c>
      <c r="JB64" s="279">
        <f t="shared" si="405"/>
        <v>0</v>
      </c>
      <c r="JC64" s="289">
        <f t="shared" si="217"/>
        <v>0</v>
      </c>
      <c r="JD64" s="279">
        <f t="shared" si="218"/>
        <v>0</v>
      </c>
      <c r="JE64" s="289">
        <f t="shared" si="219"/>
        <v>0</v>
      </c>
      <c r="JF64" s="279">
        <f t="shared" si="406"/>
        <v>0</v>
      </c>
      <c r="JG64" s="289">
        <f t="shared" si="220"/>
        <v>0</v>
      </c>
      <c r="JH64" s="279">
        <f t="shared" si="221"/>
        <v>0</v>
      </c>
      <c r="JI64" s="289">
        <f t="shared" si="222"/>
        <v>0</v>
      </c>
      <c r="JJ64" s="279">
        <f t="shared" si="407"/>
        <v>0</v>
      </c>
      <c r="JK64" s="289">
        <f t="shared" si="223"/>
        <v>0</v>
      </c>
      <c r="JL64" s="279">
        <f t="shared" si="224"/>
        <v>0</v>
      </c>
      <c r="JM64" s="289">
        <f t="shared" si="225"/>
        <v>0</v>
      </c>
      <c r="JN64" s="279">
        <f t="shared" si="408"/>
        <v>0</v>
      </c>
      <c r="JO64" s="289">
        <f t="shared" si="226"/>
        <v>0</v>
      </c>
      <c r="JP64" s="252">
        <f t="shared" si="227"/>
        <v>0</v>
      </c>
      <c r="JQ64" s="251">
        <f t="shared" si="228"/>
        <v>0</v>
      </c>
      <c r="JS64" s="1"/>
      <c r="JT64" s="2">
        <v>8.3333333333333329E-2</v>
      </c>
      <c r="JU64" s="257">
        <f t="shared" si="670"/>
        <v>0</v>
      </c>
      <c r="JV64" s="249">
        <f t="shared" si="229"/>
        <v>0</v>
      </c>
      <c r="JW64" s="250">
        <f t="shared" si="230"/>
        <v>0</v>
      </c>
      <c r="JX64" s="372">
        <f t="shared" si="671"/>
        <v>0</v>
      </c>
      <c r="JY64" s="339">
        <f t="shared" si="231"/>
        <v>0</v>
      </c>
      <c r="JZ64" s="372">
        <f t="shared" si="672"/>
        <v>0</v>
      </c>
      <c r="KA64" s="339">
        <f t="shared" si="231"/>
        <v>0</v>
      </c>
      <c r="KB64" s="372">
        <f t="shared" si="673"/>
        <v>0</v>
      </c>
      <c r="KC64" s="339">
        <f t="shared" si="232"/>
        <v>0</v>
      </c>
      <c r="KD64" s="372">
        <f t="shared" si="674"/>
        <v>0</v>
      </c>
      <c r="KE64" s="339">
        <f t="shared" si="233"/>
        <v>0</v>
      </c>
      <c r="KF64" s="372">
        <f t="shared" si="675"/>
        <v>0</v>
      </c>
      <c r="KG64" s="339">
        <f t="shared" si="234"/>
        <v>0</v>
      </c>
      <c r="KH64" s="372">
        <f t="shared" si="235"/>
        <v>0</v>
      </c>
      <c r="KI64" s="339">
        <f t="shared" si="236"/>
        <v>0</v>
      </c>
      <c r="KJ64" s="372">
        <f t="shared" si="676"/>
        <v>0</v>
      </c>
      <c r="KK64" s="339">
        <f t="shared" si="237"/>
        <v>0</v>
      </c>
      <c r="KL64" s="372">
        <f t="shared" si="238"/>
        <v>0</v>
      </c>
      <c r="KM64" s="339">
        <f t="shared" si="239"/>
        <v>0</v>
      </c>
      <c r="KN64" s="372">
        <f t="shared" si="677"/>
        <v>0</v>
      </c>
      <c r="KO64" s="339">
        <f t="shared" si="240"/>
        <v>0</v>
      </c>
      <c r="KP64" s="372">
        <f t="shared" si="241"/>
        <v>0</v>
      </c>
      <c r="KQ64" s="339">
        <f t="shared" si="242"/>
        <v>0</v>
      </c>
      <c r="KR64" s="372">
        <f t="shared" si="678"/>
        <v>0</v>
      </c>
      <c r="KS64" s="377">
        <f t="shared" si="243"/>
        <v>0</v>
      </c>
      <c r="KT64" s="379">
        <f t="shared" si="244"/>
        <v>0</v>
      </c>
      <c r="KU64" s="251">
        <f t="shared" si="679"/>
        <v>0</v>
      </c>
      <c r="KW64" s="1"/>
      <c r="KX64" s="2">
        <v>8.3333333333333329E-2</v>
      </c>
      <c r="KY64" s="254">
        <f t="shared" si="680"/>
        <v>0</v>
      </c>
      <c r="KZ64" s="249">
        <f t="shared" si="271"/>
        <v>0</v>
      </c>
      <c r="LA64" s="251">
        <f t="shared" si="681"/>
        <v>0</v>
      </c>
      <c r="LB64" s="279">
        <f t="shared" si="272"/>
        <v>0</v>
      </c>
      <c r="LC64" s="339">
        <f t="shared" si="246"/>
        <v>0</v>
      </c>
      <c r="LD64" s="279">
        <f t="shared" si="272"/>
        <v>0</v>
      </c>
      <c r="LE64" s="339">
        <f t="shared" si="246"/>
        <v>0</v>
      </c>
      <c r="LF64" s="279">
        <f t="shared" si="272"/>
        <v>0</v>
      </c>
      <c r="LG64" s="339">
        <f t="shared" si="247"/>
        <v>0</v>
      </c>
      <c r="LH64" s="279">
        <f t="shared" si="272"/>
        <v>0</v>
      </c>
      <c r="LI64" s="339">
        <f t="shared" si="248"/>
        <v>0</v>
      </c>
      <c r="LJ64" s="279">
        <f t="shared" si="273"/>
        <v>0</v>
      </c>
      <c r="LK64" s="339">
        <f t="shared" si="249"/>
        <v>0</v>
      </c>
      <c r="LL64" s="279">
        <f t="shared" si="274"/>
        <v>0</v>
      </c>
      <c r="LM64" s="339">
        <f t="shared" si="250"/>
        <v>0</v>
      </c>
      <c r="LN64" s="279">
        <f t="shared" si="275"/>
        <v>0</v>
      </c>
      <c r="LO64" s="339">
        <f t="shared" si="251"/>
        <v>0</v>
      </c>
      <c r="LP64" s="279">
        <f t="shared" si="276"/>
        <v>0</v>
      </c>
      <c r="LQ64" s="339">
        <f t="shared" si="252"/>
        <v>0</v>
      </c>
      <c r="LR64" s="279">
        <f t="shared" si="277"/>
        <v>0</v>
      </c>
      <c r="LS64" s="339">
        <f t="shared" si="253"/>
        <v>0</v>
      </c>
      <c r="LT64" s="279">
        <f t="shared" si="278"/>
        <v>0</v>
      </c>
      <c r="LU64" s="339">
        <f t="shared" si="254"/>
        <v>0</v>
      </c>
      <c r="LV64" s="279">
        <f t="shared" si="279"/>
        <v>0</v>
      </c>
      <c r="LW64" s="339">
        <f t="shared" si="255"/>
        <v>0</v>
      </c>
      <c r="LX64" s="252">
        <f t="shared" si="256"/>
        <v>0</v>
      </c>
      <c r="LY64" s="253">
        <f t="shared" si="257"/>
        <v>0</v>
      </c>
      <c r="MA64" s="249">
        <f t="shared" si="412"/>
        <v>0</v>
      </c>
      <c r="MB64" s="253">
        <f t="shared" si="258"/>
        <v>0</v>
      </c>
      <c r="MC64" s="397">
        <f t="shared" si="413"/>
        <v>0</v>
      </c>
      <c r="MD64" s="253">
        <f t="shared" si="259"/>
        <v>0</v>
      </c>
      <c r="ME64" s="397">
        <f t="shared" si="414"/>
        <v>0</v>
      </c>
      <c r="MF64" s="253">
        <f t="shared" si="259"/>
        <v>0</v>
      </c>
      <c r="MG64" s="397">
        <f t="shared" si="415"/>
        <v>0</v>
      </c>
      <c r="MH64" s="253">
        <f t="shared" si="260"/>
        <v>0</v>
      </c>
      <c r="MI64" s="397">
        <f t="shared" si="416"/>
        <v>0</v>
      </c>
      <c r="MJ64" s="253">
        <f t="shared" si="261"/>
        <v>0</v>
      </c>
      <c r="MK64" s="397">
        <f t="shared" si="417"/>
        <v>0</v>
      </c>
      <c r="ML64" s="253">
        <f t="shared" si="262"/>
        <v>0</v>
      </c>
      <c r="MM64" s="397">
        <f t="shared" si="418"/>
        <v>0</v>
      </c>
      <c r="MN64" s="253">
        <f t="shared" si="263"/>
        <v>0</v>
      </c>
      <c r="MO64" s="397">
        <f t="shared" si="419"/>
        <v>0</v>
      </c>
      <c r="MP64" s="253">
        <f t="shared" si="264"/>
        <v>0</v>
      </c>
      <c r="MQ64" s="397">
        <f t="shared" si="420"/>
        <v>0</v>
      </c>
      <c r="MR64" s="253">
        <f t="shared" si="265"/>
        <v>0</v>
      </c>
      <c r="MS64" s="397">
        <f t="shared" si="421"/>
        <v>0</v>
      </c>
      <c r="MT64" s="253">
        <f t="shared" si="266"/>
        <v>0</v>
      </c>
      <c r="MU64" s="397">
        <f t="shared" si="422"/>
        <v>0</v>
      </c>
      <c r="MV64" s="253">
        <f t="shared" si="267"/>
        <v>0</v>
      </c>
      <c r="MW64" s="397">
        <f t="shared" si="423"/>
        <v>0</v>
      </c>
      <c r="MX64" s="253">
        <f t="shared" si="268"/>
        <v>0</v>
      </c>
      <c r="MY64" s="252">
        <f t="shared" si="269"/>
        <v>0</v>
      </c>
      <c r="MZ64" s="251">
        <f t="shared" si="270"/>
        <v>0</v>
      </c>
    </row>
    <row r="65" spans="1:364" ht="52.8" x14ac:dyDescent="0.25">
      <c r="A65" s="533"/>
      <c r="B65" s="245" t="s">
        <v>138</v>
      </c>
      <c r="C65" s="246" t="s">
        <v>139</v>
      </c>
      <c r="D65" s="247" t="s">
        <v>28</v>
      </c>
      <c r="E65" s="4">
        <v>1</v>
      </c>
      <c r="F65" s="353">
        <v>66774.786527514225</v>
      </c>
      <c r="G65" s="353">
        <f t="shared" si="81"/>
        <v>69557.705249841863</v>
      </c>
      <c r="I65" s="30"/>
      <c r="J65" s="2">
        <v>8.3333333333333329E-2</v>
      </c>
      <c r="K65" s="248">
        <f t="shared" si="82"/>
        <v>0</v>
      </c>
      <c r="L65" s="249"/>
      <c r="M65" s="301">
        <f t="shared" si="445"/>
        <v>0</v>
      </c>
      <c r="N65" s="279">
        <f t="shared" si="450"/>
        <v>0</v>
      </c>
      <c r="O65" s="289">
        <f t="shared" si="682"/>
        <v>0</v>
      </c>
      <c r="P65" s="279">
        <f t="shared" si="451"/>
        <v>0</v>
      </c>
      <c r="Q65" s="289">
        <f t="shared" si="682"/>
        <v>0</v>
      </c>
      <c r="R65" s="279">
        <f t="shared" si="452"/>
        <v>0</v>
      </c>
      <c r="S65" s="289">
        <f t="shared" si="86"/>
        <v>0</v>
      </c>
      <c r="T65" s="279">
        <f t="shared" si="453"/>
        <v>0</v>
      </c>
      <c r="U65" s="289">
        <f t="shared" si="87"/>
        <v>0</v>
      </c>
      <c r="V65" s="279">
        <f t="shared" si="409"/>
        <v>0</v>
      </c>
      <c r="W65" s="289">
        <f t="shared" si="88"/>
        <v>0</v>
      </c>
      <c r="X65" s="279">
        <f t="shared" si="305"/>
        <v>0</v>
      </c>
      <c r="Y65" s="289">
        <f t="shared" si="89"/>
        <v>0</v>
      </c>
      <c r="Z65" s="279">
        <f t="shared" si="454"/>
        <v>0</v>
      </c>
      <c r="AA65" s="289">
        <f t="shared" si="90"/>
        <v>0</v>
      </c>
      <c r="AB65" s="279">
        <f t="shared" si="306"/>
        <v>0</v>
      </c>
      <c r="AC65" s="289">
        <f t="shared" si="91"/>
        <v>0</v>
      </c>
      <c r="AD65" s="279">
        <f t="shared" si="455"/>
        <v>0</v>
      </c>
      <c r="AE65" s="289">
        <f t="shared" si="92"/>
        <v>0</v>
      </c>
      <c r="AF65" s="279">
        <f t="shared" si="307"/>
        <v>0</v>
      </c>
      <c r="AG65" s="289">
        <f t="shared" si="308"/>
        <v>0</v>
      </c>
      <c r="AH65" s="249">
        <f t="shared" si="456"/>
        <v>0</v>
      </c>
      <c r="AI65" s="299">
        <f t="shared" si="309"/>
        <v>0</v>
      </c>
      <c r="AJ65" s="252">
        <f t="shared" si="94"/>
        <v>0</v>
      </c>
      <c r="AK65" s="312">
        <f t="shared" si="95"/>
        <v>0</v>
      </c>
      <c r="AM65" s="1"/>
      <c r="AN65" s="2">
        <v>8.3333333333333329E-2</v>
      </c>
      <c r="AO65" s="254">
        <f t="shared" si="660"/>
        <v>0</v>
      </c>
      <c r="AP65" s="249">
        <f t="shared" si="328"/>
        <v>0</v>
      </c>
      <c r="AQ65" s="301">
        <f t="shared" si="96"/>
        <v>0</v>
      </c>
      <c r="AR65" s="249">
        <f t="shared" si="329"/>
        <v>0</v>
      </c>
      <c r="AS65" s="301">
        <f t="shared" si="96"/>
        <v>0</v>
      </c>
      <c r="AT65" s="249">
        <f t="shared" si="330"/>
        <v>0</v>
      </c>
      <c r="AU65" s="301">
        <f t="shared" si="96"/>
        <v>0</v>
      </c>
      <c r="AV65" s="249">
        <f t="shared" si="331"/>
        <v>0</v>
      </c>
      <c r="AW65" s="301">
        <f t="shared" si="98"/>
        <v>0</v>
      </c>
      <c r="AX65" s="249">
        <f t="shared" si="5"/>
        <v>0</v>
      </c>
      <c r="AY65" s="301">
        <f t="shared" si="99"/>
        <v>0</v>
      </c>
      <c r="AZ65" s="249">
        <f t="shared" si="332"/>
        <v>0</v>
      </c>
      <c r="BA65" s="301">
        <f t="shared" si="100"/>
        <v>0</v>
      </c>
      <c r="BB65" s="249">
        <f t="shared" si="7"/>
        <v>0</v>
      </c>
      <c r="BC65" s="301">
        <f t="shared" si="101"/>
        <v>0</v>
      </c>
      <c r="BD65" s="249">
        <f t="shared" si="333"/>
        <v>0</v>
      </c>
      <c r="BE65" s="301">
        <f t="shared" si="102"/>
        <v>0</v>
      </c>
      <c r="BF65" s="249">
        <f t="shared" si="9"/>
        <v>0</v>
      </c>
      <c r="BG65" s="301">
        <f t="shared" si="103"/>
        <v>0</v>
      </c>
      <c r="BH65" s="249">
        <f t="shared" si="334"/>
        <v>0</v>
      </c>
      <c r="BI65" s="301">
        <f t="shared" si="658"/>
        <v>0</v>
      </c>
      <c r="BJ65" s="249">
        <f t="shared" si="335"/>
        <v>0</v>
      </c>
      <c r="BK65" s="301">
        <f t="shared" si="658"/>
        <v>0</v>
      </c>
      <c r="BL65" s="249">
        <f t="shared" si="661"/>
        <v>0</v>
      </c>
      <c r="BM65" s="299">
        <f t="shared" si="105"/>
        <v>0</v>
      </c>
      <c r="BN65" s="252">
        <f t="shared" si="106"/>
        <v>0</v>
      </c>
      <c r="BO65" s="312">
        <f t="shared" si="410"/>
        <v>0</v>
      </c>
      <c r="BQ65" s="1"/>
      <c r="BR65" s="2"/>
      <c r="BS65" s="255">
        <f t="shared" si="281"/>
        <v>0</v>
      </c>
      <c r="BT65" s="249">
        <f t="shared" si="280"/>
        <v>0</v>
      </c>
      <c r="BU65" s="336">
        <f t="shared" si="107"/>
        <v>0</v>
      </c>
      <c r="BV65" s="279">
        <f t="shared" si="457"/>
        <v>0</v>
      </c>
      <c r="BW65" s="339">
        <f t="shared" si="108"/>
        <v>0</v>
      </c>
      <c r="BX65" s="279">
        <f t="shared" si="458"/>
        <v>0</v>
      </c>
      <c r="BY65" s="339">
        <f t="shared" si="109"/>
        <v>0</v>
      </c>
      <c r="BZ65" s="279">
        <f t="shared" si="459"/>
        <v>0</v>
      </c>
      <c r="CA65" s="339">
        <f t="shared" si="110"/>
        <v>0</v>
      </c>
      <c r="CB65" s="279">
        <f t="shared" si="460"/>
        <v>0</v>
      </c>
      <c r="CC65" s="339">
        <f t="shared" si="111"/>
        <v>0</v>
      </c>
      <c r="CD65" s="279">
        <f t="shared" si="461"/>
        <v>0</v>
      </c>
      <c r="CE65" s="339">
        <f t="shared" si="112"/>
        <v>0</v>
      </c>
      <c r="CF65" s="279">
        <f t="shared" si="113"/>
        <v>0</v>
      </c>
      <c r="CG65" s="339">
        <f t="shared" si="114"/>
        <v>0</v>
      </c>
      <c r="CH65" s="279">
        <f t="shared" si="462"/>
        <v>0</v>
      </c>
      <c r="CI65" s="339">
        <f t="shared" si="115"/>
        <v>0</v>
      </c>
      <c r="CJ65" s="279">
        <f t="shared" si="116"/>
        <v>0</v>
      </c>
      <c r="CK65" s="339">
        <f t="shared" si="117"/>
        <v>0</v>
      </c>
      <c r="CL65" s="279">
        <f t="shared" si="463"/>
        <v>0</v>
      </c>
      <c r="CM65" s="339">
        <f t="shared" si="118"/>
        <v>0</v>
      </c>
      <c r="CN65" s="279">
        <f t="shared" si="119"/>
        <v>0</v>
      </c>
      <c r="CO65" s="339">
        <f t="shared" si="120"/>
        <v>0</v>
      </c>
      <c r="CP65" s="279">
        <f t="shared" si="464"/>
        <v>0</v>
      </c>
      <c r="CQ65" s="250">
        <f t="shared" si="662"/>
        <v>0</v>
      </c>
      <c r="CR65" s="252">
        <f t="shared" si="121"/>
        <v>0</v>
      </c>
      <c r="CS65" s="251">
        <f t="shared" si="448"/>
        <v>0</v>
      </c>
      <c r="CU65" s="1"/>
      <c r="CV65" s="2"/>
      <c r="CW65" s="255">
        <f t="shared" si="299"/>
        <v>0</v>
      </c>
      <c r="CX65" s="249">
        <f t="shared" si="122"/>
        <v>0</v>
      </c>
      <c r="CY65" s="250">
        <f t="shared" si="123"/>
        <v>0</v>
      </c>
      <c r="CZ65" s="279">
        <f t="shared" si="465"/>
        <v>0</v>
      </c>
      <c r="DA65" s="299">
        <f t="shared" si="123"/>
        <v>0</v>
      </c>
      <c r="DB65" s="279">
        <f t="shared" si="466"/>
        <v>0</v>
      </c>
      <c r="DC65" s="299">
        <f t="shared" si="124"/>
        <v>0</v>
      </c>
      <c r="DD65" s="279">
        <f t="shared" si="467"/>
        <v>0</v>
      </c>
      <c r="DE65" s="299">
        <f t="shared" si="125"/>
        <v>0</v>
      </c>
      <c r="DF65" s="279">
        <f t="shared" si="468"/>
        <v>0</v>
      </c>
      <c r="DG65" s="299">
        <f t="shared" si="126"/>
        <v>0</v>
      </c>
      <c r="DH65" s="279">
        <f t="shared" si="469"/>
        <v>0</v>
      </c>
      <c r="DI65" s="299">
        <f t="shared" si="127"/>
        <v>0</v>
      </c>
      <c r="DJ65" s="279">
        <f t="shared" si="128"/>
        <v>0</v>
      </c>
      <c r="DK65" s="299">
        <f t="shared" si="129"/>
        <v>0</v>
      </c>
      <c r="DL65" s="279">
        <f t="shared" si="470"/>
        <v>0</v>
      </c>
      <c r="DM65" s="299">
        <f t="shared" si="130"/>
        <v>0</v>
      </c>
      <c r="DN65" s="279">
        <f t="shared" si="131"/>
        <v>0</v>
      </c>
      <c r="DO65" s="299">
        <f t="shared" si="132"/>
        <v>0</v>
      </c>
      <c r="DP65" s="279">
        <f t="shared" si="471"/>
        <v>0</v>
      </c>
      <c r="DQ65" s="299">
        <f t="shared" si="133"/>
        <v>0</v>
      </c>
      <c r="DR65" s="279">
        <f t="shared" si="134"/>
        <v>0</v>
      </c>
      <c r="DS65" s="299">
        <f t="shared" si="135"/>
        <v>0</v>
      </c>
      <c r="DT65" s="279">
        <f t="shared" si="472"/>
        <v>0</v>
      </c>
      <c r="DU65" s="299">
        <f t="shared" si="136"/>
        <v>0</v>
      </c>
      <c r="DV65" s="252">
        <f t="shared" si="137"/>
        <v>0</v>
      </c>
      <c r="DW65" s="251">
        <f t="shared" si="449"/>
        <v>0</v>
      </c>
      <c r="DY65" s="256">
        <v>0</v>
      </c>
      <c r="DZ65" s="2"/>
      <c r="EA65" s="254">
        <f t="shared" si="663"/>
        <v>0</v>
      </c>
      <c r="EB65" s="249">
        <f t="shared" si="384"/>
        <v>0</v>
      </c>
      <c r="EC65" s="250">
        <f t="shared" si="139"/>
        <v>0</v>
      </c>
      <c r="ED65" s="356">
        <f t="shared" si="385"/>
        <v>0</v>
      </c>
      <c r="EE65" s="250">
        <f t="shared" si="139"/>
        <v>0</v>
      </c>
      <c r="EF65" s="249">
        <f t="shared" si="386"/>
        <v>0</v>
      </c>
      <c r="EG65" s="250">
        <f t="shared" si="659"/>
        <v>0</v>
      </c>
      <c r="EH65" s="249">
        <f t="shared" si="387"/>
        <v>0</v>
      </c>
      <c r="EI65" s="250">
        <f t="shared" si="659"/>
        <v>0</v>
      </c>
      <c r="EJ65" s="249">
        <f t="shared" si="388"/>
        <v>0</v>
      </c>
      <c r="EK65" s="250">
        <f t="shared" si="143"/>
        <v>0</v>
      </c>
      <c r="EL65" s="249">
        <f t="shared" si="389"/>
        <v>0</v>
      </c>
      <c r="EM65" s="250">
        <f t="shared" si="144"/>
        <v>0</v>
      </c>
      <c r="EN65" s="249">
        <f t="shared" si="290"/>
        <v>0</v>
      </c>
      <c r="EO65" s="250">
        <f t="shared" si="145"/>
        <v>0</v>
      </c>
      <c r="EP65" s="249">
        <f t="shared" si="390"/>
        <v>0</v>
      </c>
      <c r="EQ65" s="250">
        <f t="shared" si="146"/>
        <v>0</v>
      </c>
      <c r="ER65" s="249">
        <f t="shared" si="292"/>
        <v>0</v>
      </c>
      <c r="ES65" s="250">
        <f t="shared" si="147"/>
        <v>0</v>
      </c>
      <c r="ET65" s="249">
        <f t="shared" si="391"/>
        <v>0</v>
      </c>
      <c r="EU65" s="250">
        <f t="shared" si="148"/>
        <v>0</v>
      </c>
      <c r="EV65" s="249">
        <f t="shared" si="294"/>
        <v>0</v>
      </c>
      <c r="EW65" s="250">
        <f t="shared" si="149"/>
        <v>0</v>
      </c>
      <c r="EX65" s="249">
        <f t="shared" si="392"/>
        <v>0</v>
      </c>
      <c r="EY65" s="250">
        <f t="shared" si="150"/>
        <v>0</v>
      </c>
      <c r="EZ65" s="252">
        <f t="shared" si="151"/>
        <v>0</v>
      </c>
      <c r="FA65" s="251">
        <f t="shared" si="664"/>
        <v>0</v>
      </c>
      <c r="FC65" s="1"/>
      <c r="FD65" s="2"/>
      <c r="FE65" s="257">
        <f t="shared" si="152"/>
        <v>0</v>
      </c>
      <c r="FF65" s="249">
        <f t="shared" si="153"/>
        <v>0</v>
      </c>
      <c r="FG65" s="250">
        <f t="shared" si="154"/>
        <v>0</v>
      </c>
      <c r="FH65" s="372">
        <f t="shared" si="473"/>
        <v>0</v>
      </c>
      <c r="FI65" s="339">
        <f t="shared" si="155"/>
        <v>0</v>
      </c>
      <c r="FJ65" s="372">
        <f t="shared" si="474"/>
        <v>0</v>
      </c>
      <c r="FK65" s="339">
        <f t="shared" si="155"/>
        <v>0</v>
      </c>
      <c r="FL65" s="372">
        <f t="shared" si="475"/>
        <v>0</v>
      </c>
      <c r="FM65" s="339">
        <f t="shared" si="156"/>
        <v>0</v>
      </c>
      <c r="FN65" s="372">
        <f t="shared" si="476"/>
        <v>0</v>
      </c>
      <c r="FO65" s="339">
        <f t="shared" si="157"/>
        <v>0</v>
      </c>
      <c r="FP65" s="372">
        <f t="shared" si="477"/>
        <v>0</v>
      </c>
      <c r="FQ65" s="339">
        <f t="shared" si="158"/>
        <v>0</v>
      </c>
      <c r="FR65" s="372">
        <f t="shared" si="159"/>
        <v>0</v>
      </c>
      <c r="FS65" s="339">
        <f t="shared" si="160"/>
        <v>0</v>
      </c>
      <c r="FT65" s="372">
        <f t="shared" si="478"/>
        <v>0</v>
      </c>
      <c r="FU65" s="339">
        <f t="shared" si="161"/>
        <v>0</v>
      </c>
      <c r="FV65" s="372">
        <f t="shared" si="162"/>
        <v>0</v>
      </c>
      <c r="FW65" s="339">
        <f t="shared" si="163"/>
        <v>0</v>
      </c>
      <c r="FX65" s="372">
        <f t="shared" si="479"/>
        <v>0</v>
      </c>
      <c r="FY65" s="339">
        <f t="shared" si="164"/>
        <v>0</v>
      </c>
      <c r="FZ65" s="372">
        <f t="shared" si="165"/>
        <v>0</v>
      </c>
      <c r="GA65" s="339">
        <f t="shared" si="166"/>
        <v>0</v>
      </c>
      <c r="GB65" s="372">
        <f t="shared" si="480"/>
        <v>0</v>
      </c>
      <c r="GC65" s="339">
        <f t="shared" si="167"/>
        <v>0</v>
      </c>
      <c r="GD65" s="252">
        <f t="shared" si="168"/>
        <v>0</v>
      </c>
      <c r="GE65" s="251">
        <f t="shared" si="411"/>
        <v>0</v>
      </c>
      <c r="GG65" s="1"/>
      <c r="GH65" s="2">
        <v>0.2</v>
      </c>
      <c r="GI65" s="257">
        <f t="shared" si="665"/>
        <v>0</v>
      </c>
      <c r="GJ65" s="249">
        <f t="shared" si="169"/>
        <v>0</v>
      </c>
      <c r="GK65" s="250">
        <f t="shared" si="170"/>
        <v>0</v>
      </c>
      <c r="GL65" s="249">
        <f t="shared" si="169"/>
        <v>0</v>
      </c>
      <c r="GM65" s="250">
        <f t="shared" si="170"/>
        <v>0</v>
      </c>
      <c r="GN65" s="249">
        <f t="shared" si="169"/>
        <v>0</v>
      </c>
      <c r="GO65" s="250">
        <f t="shared" si="171"/>
        <v>0</v>
      </c>
      <c r="GP65" s="249">
        <f t="shared" si="169"/>
        <v>0</v>
      </c>
      <c r="GQ65" s="250">
        <f t="shared" si="172"/>
        <v>0</v>
      </c>
      <c r="GR65" s="249">
        <f t="shared" si="173"/>
        <v>0</v>
      </c>
      <c r="GS65" s="250">
        <f t="shared" si="174"/>
        <v>0</v>
      </c>
      <c r="GT65" s="249">
        <f t="shared" si="175"/>
        <v>0</v>
      </c>
      <c r="GU65" s="250">
        <f t="shared" si="176"/>
        <v>0</v>
      </c>
      <c r="GV65" s="249">
        <f t="shared" si="177"/>
        <v>0</v>
      </c>
      <c r="GW65" s="250">
        <f t="shared" si="178"/>
        <v>0</v>
      </c>
      <c r="GX65" s="249">
        <f t="shared" si="179"/>
        <v>0</v>
      </c>
      <c r="GY65" s="250">
        <f t="shared" si="180"/>
        <v>0</v>
      </c>
      <c r="GZ65" s="249">
        <f t="shared" si="181"/>
        <v>0</v>
      </c>
      <c r="HA65" s="250">
        <f t="shared" si="182"/>
        <v>0</v>
      </c>
      <c r="HB65" s="249">
        <f t="shared" si="183"/>
        <v>0</v>
      </c>
      <c r="HC65" s="250">
        <f t="shared" si="184"/>
        <v>0</v>
      </c>
      <c r="HD65" s="249">
        <f t="shared" si="185"/>
        <v>0</v>
      </c>
      <c r="HE65" s="250">
        <f t="shared" si="186"/>
        <v>0</v>
      </c>
      <c r="HF65" s="249">
        <f t="shared" si="187"/>
        <v>0</v>
      </c>
      <c r="HG65" s="250">
        <f t="shared" si="188"/>
        <v>0</v>
      </c>
      <c r="HH65" s="252">
        <f t="shared" si="189"/>
        <v>0</v>
      </c>
      <c r="HI65" s="251">
        <f t="shared" si="666"/>
        <v>0</v>
      </c>
      <c r="HK65" s="1"/>
      <c r="HL65" s="2"/>
      <c r="HM65" s="257">
        <f t="shared" si="667"/>
        <v>0</v>
      </c>
      <c r="HN65" s="249">
        <f t="shared" si="190"/>
        <v>0</v>
      </c>
      <c r="HO65" s="250">
        <f t="shared" si="668"/>
        <v>0</v>
      </c>
      <c r="HP65" s="249">
        <f t="shared" si="192"/>
        <v>0</v>
      </c>
      <c r="HQ65" s="250">
        <f t="shared" si="193"/>
        <v>0</v>
      </c>
      <c r="HR65" s="249">
        <f t="shared" si="192"/>
        <v>0</v>
      </c>
      <c r="HS65" s="250">
        <f t="shared" si="193"/>
        <v>0</v>
      </c>
      <c r="HT65" s="249">
        <f t="shared" si="192"/>
        <v>0</v>
      </c>
      <c r="HU65" s="250">
        <f t="shared" si="194"/>
        <v>0</v>
      </c>
      <c r="HV65" s="249">
        <f t="shared" si="192"/>
        <v>0</v>
      </c>
      <c r="HW65" s="250">
        <f t="shared" si="195"/>
        <v>0</v>
      </c>
      <c r="HX65" s="249">
        <f t="shared" si="196"/>
        <v>0</v>
      </c>
      <c r="HY65" s="250">
        <f t="shared" si="197"/>
        <v>0</v>
      </c>
      <c r="HZ65" s="249">
        <f t="shared" si="198"/>
        <v>0</v>
      </c>
      <c r="IA65" s="250">
        <f t="shared" si="199"/>
        <v>0</v>
      </c>
      <c r="IB65" s="249">
        <f t="shared" si="200"/>
        <v>0</v>
      </c>
      <c r="IC65" s="250">
        <f t="shared" si="201"/>
        <v>0</v>
      </c>
      <c r="ID65" s="249">
        <f t="shared" si="202"/>
        <v>0</v>
      </c>
      <c r="IE65" s="250">
        <f t="shared" si="203"/>
        <v>0</v>
      </c>
      <c r="IF65" s="249">
        <f t="shared" si="204"/>
        <v>0</v>
      </c>
      <c r="IG65" s="250">
        <f t="shared" si="205"/>
        <v>0</v>
      </c>
      <c r="IH65" s="249">
        <f t="shared" si="206"/>
        <v>0</v>
      </c>
      <c r="II65" s="250">
        <f t="shared" si="207"/>
        <v>0</v>
      </c>
      <c r="IJ65" s="249">
        <f t="shared" si="208"/>
        <v>0</v>
      </c>
      <c r="IK65" s="250">
        <f t="shared" si="209"/>
        <v>0</v>
      </c>
      <c r="IL65" s="252">
        <f t="shared" si="210"/>
        <v>0</v>
      </c>
      <c r="IM65" s="251">
        <f t="shared" si="211"/>
        <v>0</v>
      </c>
      <c r="IO65" s="1"/>
      <c r="IP65" s="2">
        <v>8.3333333333333329E-2</v>
      </c>
      <c r="IQ65" s="257">
        <f t="shared" si="669"/>
        <v>0</v>
      </c>
      <c r="IR65" s="249">
        <f t="shared" si="212"/>
        <v>0</v>
      </c>
      <c r="IS65" s="250">
        <f t="shared" si="213"/>
        <v>0</v>
      </c>
      <c r="IT65" s="279">
        <f t="shared" si="401"/>
        <v>0</v>
      </c>
      <c r="IU65" s="289">
        <f t="shared" si="214"/>
        <v>0</v>
      </c>
      <c r="IV65" s="279">
        <f t="shared" si="402"/>
        <v>0</v>
      </c>
      <c r="IW65" s="289">
        <f t="shared" si="214"/>
        <v>0</v>
      </c>
      <c r="IX65" s="279">
        <f t="shared" si="403"/>
        <v>0</v>
      </c>
      <c r="IY65" s="289">
        <f t="shared" si="215"/>
        <v>0</v>
      </c>
      <c r="IZ65" s="279">
        <f t="shared" si="404"/>
        <v>0</v>
      </c>
      <c r="JA65" s="289">
        <f t="shared" si="216"/>
        <v>0</v>
      </c>
      <c r="JB65" s="279">
        <f t="shared" si="405"/>
        <v>0</v>
      </c>
      <c r="JC65" s="289">
        <f t="shared" si="217"/>
        <v>0</v>
      </c>
      <c r="JD65" s="279">
        <f t="shared" si="218"/>
        <v>0</v>
      </c>
      <c r="JE65" s="289">
        <f t="shared" si="219"/>
        <v>0</v>
      </c>
      <c r="JF65" s="279">
        <f t="shared" si="406"/>
        <v>0</v>
      </c>
      <c r="JG65" s="289">
        <f t="shared" si="220"/>
        <v>0</v>
      </c>
      <c r="JH65" s="279">
        <f t="shared" si="221"/>
        <v>0</v>
      </c>
      <c r="JI65" s="289">
        <f t="shared" si="222"/>
        <v>0</v>
      </c>
      <c r="JJ65" s="279">
        <f t="shared" si="407"/>
        <v>0</v>
      </c>
      <c r="JK65" s="289">
        <f t="shared" si="223"/>
        <v>0</v>
      </c>
      <c r="JL65" s="279">
        <f t="shared" si="224"/>
        <v>0</v>
      </c>
      <c r="JM65" s="289">
        <f t="shared" si="225"/>
        <v>0</v>
      </c>
      <c r="JN65" s="279">
        <f t="shared" si="408"/>
        <v>0</v>
      </c>
      <c r="JO65" s="289">
        <f t="shared" si="226"/>
        <v>0</v>
      </c>
      <c r="JP65" s="252">
        <f t="shared" si="227"/>
        <v>0</v>
      </c>
      <c r="JQ65" s="251">
        <f t="shared" si="228"/>
        <v>0</v>
      </c>
      <c r="JS65" s="1"/>
      <c r="JT65" s="2">
        <v>8.3333333333333329E-2</v>
      </c>
      <c r="JU65" s="257">
        <f t="shared" si="670"/>
        <v>0</v>
      </c>
      <c r="JV65" s="249">
        <f t="shared" si="229"/>
        <v>0</v>
      </c>
      <c r="JW65" s="250">
        <f t="shared" si="230"/>
        <v>0</v>
      </c>
      <c r="JX65" s="372">
        <f t="shared" si="671"/>
        <v>0</v>
      </c>
      <c r="JY65" s="339">
        <f t="shared" si="231"/>
        <v>0</v>
      </c>
      <c r="JZ65" s="372">
        <f t="shared" si="672"/>
        <v>0</v>
      </c>
      <c r="KA65" s="339">
        <f t="shared" si="231"/>
        <v>0</v>
      </c>
      <c r="KB65" s="372">
        <f t="shared" si="673"/>
        <v>0</v>
      </c>
      <c r="KC65" s="339">
        <f t="shared" si="232"/>
        <v>0</v>
      </c>
      <c r="KD65" s="372">
        <f t="shared" si="674"/>
        <v>0</v>
      </c>
      <c r="KE65" s="339">
        <f t="shared" si="233"/>
        <v>0</v>
      </c>
      <c r="KF65" s="372">
        <f t="shared" si="675"/>
        <v>0</v>
      </c>
      <c r="KG65" s="339">
        <f t="shared" si="234"/>
        <v>0</v>
      </c>
      <c r="KH65" s="372">
        <f t="shared" si="235"/>
        <v>0</v>
      </c>
      <c r="KI65" s="339">
        <f t="shared" si="236"/>
        <v>0</v>
      </c>
      <c r="KJ65" s="372">
        <f t="shared" si="676"/>
        <v>0</v>
      </c>
      <c r="KK65" s="339">
        <f t="shared" si="237"/>
        <v>0</v>
      </c>
      <c r="KL65" s="372">
        <f t="shared" si="238"/>
        <v>0</v>
      </c>
      <c r="KM65" s="339">
        <f t="shared" si="239"/>
        <v>0</v>
      </c>
      <c r="KN65" s="372">
        <f t="shared" si="677"/>
        <v>0</v>
      </c>
      <c r="KO65" s="339">
        <f t="shared" si="240"/>
        <v>0</v>
      </c>
      <c r="KP65" s="372">
        <f t="shared" si="241"/>
        <v>0</v>
      </c>
      <c r="KQ65" s="339">
        <f t="shared" si="242"/>
        <v>0</v>
      </c>
      <c r="KR65" s="372">
        <f t="shared" si="678"/>
        <v>0</v>
      </c>
      <c r="KS65" s="377">
        <f t="shared" si="243"/>
        <v>0</v>
      </c>
      <c r="KT65" s="379">
        <f t="shared" si="244"/>
        <v>0</v>
      </c>
      <c r="KU65" s="251">
        <f t="shared" si="679"/>
        <v>0</v>
      </c>
      <c r="KW65" s="1"/>
      <c r="KX65" s="2">
        <v>8.3333333333333329E-2</v>
      </c>
      <c r="KY65" s="254">
        <f t="shared" si="680"/>
        <v>0</v>
      </c>
      <c r="KZ65" s="249">
        <f t="shared" si="271"/>
        <v>0</v>
      </c>
      <c r="LA65" s="251">
        <f t="shared" si="681"/>
        <v>0</v>
      </c>
      <c r="LB65" s="279">
        <f t="shared" si="272"/>
        <v>0</v>
      </c>
      <c r="LC65" s="339">
        <f t="shared" si="246"/>
        <v>0</v>
      </c>
      <c r="LD65" s="279">
        <f t="shared" si="272"/>
        <v>0</v>
      </c>
      <c r="LE65" s="339">
        <f t="shared" si="246"/>
        <v>0</v>
      </c>
      <c r="LF65" s="279">
        <f t="shared" si="272"/>
        <v>0</v>
      </c>
      <c r="LG65" s="339">
        <f t="shared" si="247"/>
        <v>0</v>
      </c>
      <c r="LH65" s="279">
        <f t="shared" si="272"/>
        <v>0</v>
      </c>
      <c r="LI65" s="339">
        <f t="shared" si="248"/>
        <v>0</v>
      </c>
      <c r="LJ65" s="279">
        <f t="shared" si="273"/>
        <v>0</v>
      </c>
      <c r="LK65" s="339">
        <f t="shared" si="249"/>
        <v>0</v>
      </c>
      <c r="LL65" s="279">
        <f t="shared" si="274"/>
        <v>0</v>
      </c>
      <c r="LM65" s="339">
        <f t="shared" si="250"/>
        <v>0</v>
      </c>
      <c r="LN65" s="279">
        <f t="shared" si="275"/>
        <v>0</v>
      </c>
      <c r="LO65" s="339">
        <f t="shared" si="251"/>
        <v>0</v>
      </c>
      <c r="LP65" s="279">
        <f t="shared" si="276"/>
        <v>0</v>
      </c>
      <c r="LQ65" s="339">
        <f t="shared" si="252"/>
        <v>0</v>
      </c>
      <c r="LR65" s="279">
        <f t="shared" si="277"/>
        <v>0</v>
      </c>
      <c r="LS65" s="339">
        <f t="shared" si="253"/>
        <v>0</v>
      </c>
      <c r="LT65" s="279">
        <f t="shared" si="278"/>
        <v>0</v>
      </c>
      <c r="LU65" s="339">
        <f t="shared" si="254"/>
        <v>0</v>
      </c>
      <c r="LV65" s="279">
        <f t="shared" si="279"/>
        <v>0</v>
      </c>
      <c r="LW65" s="339">
        <f t="shared" si="255"/>
        <v>0</v>
      </c>
      <c r="LX65" s="252">
        <f t="shared" si="256"/>
        <v>0</v>
      </c>
      <c r="LY65" s="253">
        <f t="shared" si="257"/>
        <v>0</v>
      </c>
      <c r="MA65" s="249">
        <f t="shared" si="412"/>
        <v>0</v>
      </c>
      <c r="MB65" s="253">
        <f t="shared" si="258"/>
        <v>0</v>
      </c>
      <c r="MC65" s="397">
        <f t="shared" si="413"/>
        <v>0</v>
      </c>
      <c r="MD65" s="253">
        <f t="shared" si="259"/>
        <v>0</v>
      </c>
      <c r="ME65" s="397">
        <f t="shared" si="414"/>
        <v>0</v>
      </c>
      <c r="MF65" s="253">
        <f t="shared" si="259"/>
        <v>0</v>
      </c>
      <c r="MG65" s="397">
        <f t="shared" si="415"/>
        <v>0</v>
      </c>
      <c r="MH65" s="253">
        <f t="shared" si="260"/>
        <v>0</v>
      </c>
      <c r="MI65" s="397">
        <f t="shared" si="416"/>
        <v>0</v>
      </c>
      <c r="MJ65" s="253">
        <f t="shared" si="261"/>
        <v>0</v>
      </c>
      <c r="MK65" s="397">
        <f t="shared" si="417"/>
        <v>0</v>
      </c>
      <c r="ML65" s="253">
        <f t="shared" si="262"/>
        <v>0</v>
      </c>
      <c r="MM65" s="397">
        <f t="shared" si="418"/>
        <v>0</v>
      </c>
      <c r="MN65" s="253">
        <f t="shared" si="263"/>
        <v>0</v>
      </c>
      <c r="MO65" s="397">
        <f t="shared" si="419"/>
        <v>0</v>
      </c>
      <c r="MP65" s="253">
        <f t="shared" si="264"/>
        <v>0</v>
      </c>
      <c r="MQ65" s="397">
        <f t="shared" si="420"/>
        <v>0</v>
      </c>
      <c r="MR65" s="253">
        <f t="shared" si="265"/>
        <v>0</v>
      </c>
      <c r="MS65" s="397">
        <f t="shared" si="421"/>
        <v>0</v>
      </c>
      <c r="MT65" s="253">
        <f t="shared" si="266"/>
        <v>0</v>
      </c>
      <c r="MU65" s="397">
        <f t="shared" si="422"/>
        <v>0</v>
      </c>
      <c r="MV65" s="253">
        <f t="shared" si="267"/>
        <v>0</v>
      </c>
      <c r="MW65" s="397">
        <f t="shared" si="423"/>
        <v>0</v>
      </c>
      <c r="MX65" s="253">
        <f t="shared" si="268"/>
        <v>0</v>
      </c>
      <c r="MY65" s="252">
        <f t="shared" si="269"/>
        <v>0</v>
      </c>
      <c r="MZ65" s="251">
        <f t="shared" si="270"/>
        <v>0</v>
      </c>
    </row>
    <row r="66" spans="1:364" ht="52.8" x14ac:dyDescent="0.25">
      <c r="A66" s="533"/>
      <c r="B66" s="245" t="s">
        <v>140</v>
      </c>
      <c r="C66" s="246" t="s">
        <v>141</v>
      </c>
      <c r="D66" s="247" t="s">
        <v>28</v>
      </c>
      <c r="E66" s="4">
        <v>1</v>
      </c>
      <c r="F66" s="353">
        <v>73628.884013282732</v>
      </c>
      <c r="G66" s="353">
        <f t="shared" si="81"/>
        <v>76697.455407969639</v>
      </c>
      <c r="I66" s="30"/>
      <c r="J66" s="2">
        <v>8.3333333333333329E-2</v>
      </c>
      <c r="K66" s="248">
        <f t="shared" si="82"/>
        <v>0</v>
      </c>
      <c r="L66" s="249"/>
      <c r="M66" s="301">
        <f t="shared" si="445"/>
        <v>0</v>
      </c>
      <c r="N66" s="279">
        <f t="shared" si="450"/>
        <v>0</v>
      </c>
      <c r="O66" s="289">
        <f t="shared" si="682"/>
        <v>0</v>
      </c>
      <c r="P66" s="279">
        <f t="shared" si="451"/>
        <v>0</v>
      </c>
      <c r="Q66" s="289">
        <f t="shared" si="682"/>
        <v>0</v>
      </c>
      <c r="R66" s="279">
        <f t="shared" si="452"/>
        <v>0</v>
      </c>
      <c r="S66" s="289">
        <f t="shared" si="86"/>
        <v>0</v>
      </c>
      <c r="T66" s="279">
        <f t="shared" si="453"/>
        <v>0</v>
      </c>
      <c r="U66" s="289">
        <f t="shared" si="87"/>
        <v>0</v>
      </c>
      <c r="V66" s="279">
        <f t="shared" si="409"/>
        <v>0</v>
      </c>
      <c r="W66" s="289">
        <f t="shared" si="88"/>
        <v>0</v>
      </c>
      <c r="X66" s="279">
        <f t="shared" si="305"/>
        <v>0</v>
      </c>
      <c r="Y66" s="289">
        <f t="shared" si="89"/>
        <v>0</v>
      </c>
      <c r="Z66" s="279">
        <f t="shared" si="454"/>
        <v>0</v>
      </c>
      <c r="AA66" s="289">
        <f t="shared" si="90"/>
        <v>0</v>
      </c>
      <c r="AB66" s="279">
        <f t="shared" si="306"/>
        <v>0</v>
      </c>
      <c r="AC66" s="289">
        <f t="shared" si="91"/>
        <v>0</v>
      </c>
      <c r="AD66" s="279">
        <f t="shared" si="455"/>
        <v>0</v>
      </c>
      <c r="AE66" s="289">
        <f t="shared" si="92"/>
        <v>0</v>
      </c>
      <c r="AF66" s="279">
        <f t="shared" si="307"/>
        <v>0</v>
      </c>
      <c r="AG66" s="289">
        <f t="shared" si="308"/>
        <v>0</v>
      </c>
      <c r="AH66" s="249">
        <f t="shared" si="456"/>
        <v>0</v>
      </c>
      <c r="AI66" s="299">
        <f t="shared" si="309"/>
        <v>0</v>
      </c>
      <c r="AJ66" s="252">
        <f t="shared" si="94"/>
        <v>0</v>
      </c>
      <c r="AK66" s="312">
        <f t="shared" si="95"/>
        <v>0</v>
      </c>
      <c r="AM66" s="1"/>
      <c r="AN66" s="2">
        <v>8.3333333333333329E-2</v>
      </c>
      <c r="AO66" s="254">
        <f t="shared" si="660"/>
        <v>0</v>
      </c>
      <c r="AP66" s="249">
        <f t="shared" si="328"/>
        <v>0</v>
      </c>
      <c r="AQ66" s="301">
        <f t="shared" si="96"/>
        <v>0</v>
      </c>
      <c r="AR66" s="249">
        <f t="shared" si="329"/>
        <v>0</v>
      </c>
      <c r="AS66" s="301">
        <f t="shared" si="96"/>
        <v>0</v>
      </c>
      <c r="AT66" s="249">
        <f t="shared" si="330"/>
        <v>0</v>
      </c>
      <c r="AU66" s="301">
        <f t="shared" si="96"/>
        <v>0</v>
      </c>
      <c r="AV66" s="249">
        <f t="shared" si="331"/>
        <v>0</v>
      </c>
      <c r="AW66" s="301">
        <f t="shared" si="98"/>
        <v>0</v>
      </c>
      <c r="AX66" s="249">
        <f t="shared" si="5"/>
        <v>0</v>
      </c>
      <c r="AY66" s="301">
        <f t="shared" si="99"/>
        <v>0</v>
      </c>
      <c r="AZ66" s="249">
        <f t="shared" si="332"/>
        <v>0</v>
      </c>
      <c r="BA66" s="301">
        <f t="shared" si="100"/>
        <v>0</v>
      </c>
      <c r="BB66" s="249">
        <f t="shared" si="7"/>
        <v>0</v>
      </c>
      <c r="BC66" s="301">
        <f t="shared" si="101"/>
        <v>0</v>
      </c>
      <c r="BD66" s="249">
        <f t="shared" si="333"/>
        <v>0</v>
      </c>
      <c r="BE66" s="301">
        <f t="shared" si="102"/>
        <v>0</v>
      </c>
      <c r="BF66" s="249">
        <f t="shared" si="9"/>
        <v>0</v>
      </c>
      <c r="BG66" s="301">
        <f t="shared" si="103"/>
        <v>0</v>
      </c>
      <c r="BH66" s="249">
        <f t="shared" si="334"/>
        <v>0</v>
      </c>
      <c r="BI66" s="301">
        <f t="shared" si="658"/>
        <v>0</v>
      </c>
      <c r="BJ66" s="249">
        <f t="shared" si="335"/>
        <v>0</v>
      </c>
      <c r="BK66" s="301">
        <f t="shared" si="658"/>
        <v>0</v>
      </c>
      <c r="BL66" s="249">
        <f t="shared" si="661"/>
        <v>0</v>
      </c>
      <c r="BM66" s="299">
        <f t="shared" si="105"/>
        <v>0</v>
      </c>
      <c r="BN66" s="252">
        <f t="shared" si="106"/>
        <v>0</v>
      </c>
      <c r="BO66" s="312">
        <f t="shared" si="410"/>
        <v>0</v>
      </c>
      <c r="BQ66" s="1"/>
      <c r="BR66" s="2"/>
      <c r="BS66" s="255">
        <f t="shared" si="281"/>
        <v>0</v>
      </c>
      <c r="BT66" s="249">
        <f t="shared" si="280"/>
        <v>0</v>
      </c>
      <c r="BU66" s="336">
        <f t="shared" si="107"/>
        <v>0</v>
      </c>
      <c r="BV66" s="279">
        <f t="shared" si="457"/>
        <v>0</v>
      </c>
      <c r="BW66" s="339">
        <f t="shared" si="108"/>
        <v>0</v>
      </c>
      <c r="BX66" s="279">
        <f t="shared" si="458"/>
        <v>0</v>
      </c>
      <c r="BY66" s="339">
        <f t="shared" si="109"/>
        <v>0</v>
      </c>
      <c r="BZ66" s="279">
        <f t="shared" si="459"/>
        <v>0</v>
      </c>
      <c r="CA66" s="339">
        <f t="shared" si="110"/>
        <v>0</v>
      </c>
      <c r="CB66" s="279">
        <f t="shared" si="460"/>
        <v>0</v>
      </c>
      <c r="CC66" s="339">
        <f t="shared" si="111"/>
        <v>0</v>
      </c>
      <c r="CD66" s="279">
        <f t="shared" si="461"/>
        <v>0</v>
      </c>
      <c r="CE66" s="339">
        <f t="shared" si="112"/>
        <v>0</v>
      </c>
      <c r="CF66" s="279">
        <f t="shared" si="113"/>
        <v>0</v>
      </c>
      <c r="CG66" s="339">
        <f t="shared" si="114"/>
        <v>0</v>
      </c>
      <c r="CH66" s="279">
        <f t="shared" si="462"/>
        <v>0</v>
      </c>
      <c r="CI66" s="339">
        <f t="shared" si="115"/>
        <v>0</v>
      </c>
      <c r="CJ66" s="279">
        <f t="shared" si="116"/>
        <v>0</v>
      </c>
      <c r="CK66" s="339">
        <f t="shared" si="117"/>
        <v>0</v>
      </c>
      <c r="CL66" s="279">
        <f t="shared" si="463"/>
        <v>0</v>
      </c>
      <c r="CM66" s="339">
        <f t="shared" si="118"/>
        <v>0</v>
      </c>
      <c r="CN66" s="279">
        <f t="shared" si="119"/>
        <v>0</v>
      </c>
      <c r="CO66" s="339">
        <f t="shared" si="120"/>
        <v>0</v>
      </c>
      <c r="CP66" s="279">
        <f t="shared" si="464"/>
        <v>0</v>
      </c>
      <c r="CQ66" s="250">
        <f t="shared" si="662"/>
        <v>0</v>
      </c>
      <c r="CR66" s="252">
        <f t="shared" si="121"/>
        <v>0</v>
      </c>
      <c r="CS66" s="251">
        <f t="shared" si="448"/>
        <v>0</v>
      </c>
      <c r="CU66" s="1"/>
      <c r="CV66" s="2"/>
      <c r="CW66" s="255">
        <f t="shared" si="299"/>
        <v>0</v>
      </c>
      <c r="CX66" s="249">
        <f t="shared" si="122"/>
        <v>0</v>
      </c>
      <c r="CY66" s="250">
        <f t="shared" si="123"/>
        <v>0</v>
      </c>
      <c r="CZ66" s="279">
        <f t="shared" si="465"/>
        <v>0</v>
      </c>
      <c r="DA66" s="299">
        <f t="shared" si="123"/>
        <v>0</v>
      </c>
      <c r="DB66" s="279">
        <f t="shared" si="466"/>
        <v>0</v>
      </c>
      <c r="DC66" s="299">
        <f t="shared" si="124"/>
        <v>0</v>
      </c>
      <c r="DD66" s="279">
        <f t="shared" si="467"/>
        <v>0</v>
      </c>
      <c r="DE66" s="299">
        <f t="shared" si="125"/>
        <v>0</v>
      </c>
      <c r="DF66" s="279">
        <f t="shared" si="468"/>
        <v>0</v>
      </c>
      <c r="DG66" s="299">
        <f t="shared" si="126"/>
        <v>0</v>
      </c>
      <c r="DH66" s="279">
        <f t="shared" si="469"/>
        <v>0</v>
      </c>
      <c r="DI66" s="299">
        <f t="shared" si="127"/>
        <v>0</v>
      </c>
      <c r="DJ66" s="279">
        <f t="shared" si="128"/>
        <v>0</v>
      </c>
      <c r="DK66" s="299">
        <f t="shared" si="129"/>
        <v>0</v>
      </c>
      <c r="DL66" s="279">
        <f t="shared" si="470"/>
        <v>0</v>
      </c>
      <c r="DM66" s="299">
        <f t="shared" si="130"/>
        <v>0</v>
      </c>
      <c r="DN66" s="279">
        <f t="shared" si="131"/>
        <v>0</v>
      </c>
      <c r="DO66" s="299">
        <f t="shared" si="132"/>
        <v>0</v>
      </c>
      <c r="DP66" s="279">
        <f t="shared" si="471"/>
        <v>0</v>
      </c>
      <c r="DQ66" s="299">
        <f t="shared" si="133"/>
        <v>0</v>
      </c>
      <c r="DR66" s="279">
        <f t="shared" si="134"/>
        <v>0</v>
      </c>
      <c r="DS66" s="299">
        <f t="shared" si="135"/>
        <v>0</v>
      </c>
      <c r="DT66" s="279">
        <f t="shared" si="472"/>
        <v>0</v>
      </c>
      <c r="DU66" s="299">
        <f t="shared" si="136"/>
        <v>0</v>
      </c>
      <c r="DV66" s="252">
        <f t="shared" si="137"/>
        <v>0</v>
      </c>
      <c r="DW66" s="251">
        <f t="shared" si="449"/>
        <v>0</v>
      </c>
      <c r="DY66" s="256">
        <v>0</v>
      </c>
      <c r="DZ66" s="2"/>
      <c r="EA66" s="254">
        <f t="shared" si="663"/>
        <v>0</v>
      </c>
      <c r="EB66" s="249">
        <f t="shared" si="384"/>
        <v>0</v>
      </c>
      <c r="EC66" s="250">
        <f t="shared" si="139"/>
        <v>0</v>
      </c>
      <c r="ED66" s="356">
        <f t="shared" si="385"/>
        <v>0</v>
      </c>
      <c r="EE66" s="250">
        <f t="shared" si="139"/>
        <v>0</v>
      </c>
      <c r="EF66" s="249">
        <f t="shared" si="386"/>
        <v>0</v>
      </c>
      <c r="EG66" s="250">
        <f t="shared" si="659"/>
        <v>0</v>
      </c>
      <c r="EH66" s="249">
        <f t="shared" si="387"/>
        <v>0</v>
      </c>
      <c r="EI66" s="250">
        <f t="shared" si="659"/>
        <v>0</v>
      </c>
      <c r="EJ66" s="249">
        <f t="shared" si="388"/>
        <v>0</v>
      </c>
      <c r="EK66" s="250">
        <f t="shared" si="143"/>
        <v>0</v>
      </c>
      <c r="EL66" s="249">
        <f t="shared" si="389"/>
        <v>0</v>
      </c>
      <c r="EM66" s="250">
        <f t="shared" si="144"/>
        <v>0</v>
      </c>
      <c r="EN66" s="249">
        <f t="shared" si="290"/>
        <v>0</v>
      </c>
      <c r="EO66" s="250">
        <f t="shared" si="145"/>
        <v>0</v>
      </c>
      <c r="EP66" s="249">
        <f t="shared" si="390"/>
        <v>0</v>
      </c>
      <c r="EQ66" s="250">
        <f t="shared" si="146"/>
        <v>0</v>
      </c>
      <c r="ER66" s="249">
        <f t="shared" si="292"/>
        <v>0</v>
      </c>
      <c r="ES66" s="250">
        <f t="shared" si="147"/>
        <v>0</v>
      </c>
      <c r="ET66" s="249">
        <f t="shared" si="391"/>
        <v>0</v>
      </c>
      <c r="EU66" s="250">
        <f t="shared" si="148"/>
        <v>0</v>
      </c>
      <c r="EV66" s="249">
        <f t="shared" si="294"/>
        <v>0</v>
      </c>
      <c r="EW66" s="250">
        <f t="shared" si="149"/>
        <v>0</v>
      </c>
      <c r="EX66" s="249">
        <f t="shared" si="392"/>
        <v>0</v>
      </c>
      <c r="EY66" s="250">
        <f t="shared" si="150"/>
        <v>0</v>
      </c>
      <c r="EZ66" s="252">
        <f t="shared" si="151"/>
        <v>0</v>
      </c>
      <c r="FA66" s="251">
        <f t="shared" si="664"/>
        <v>0</v>
      </c>
      <c r="FC66" s="1"/>
      <c r="FD66" s="2"/>
      <c r="FE66" s="257">
        <f t="shared" si="152"/>
        <v>0</v>
      </c>
      <c r="FF66" s="249">
        <f t="shared" si="153"/>
        <v>0</v>
      </c>
      <c r="FG66" s="250">
        <f t="shared" si="154"/>
        <v>0</v>
      </c>
      <c r="FH66" s="372">
        <f t="shared" si="473"/>
        <v>0</v>
      </c>
      <c r="FI66" s="339">
        <f t="shared" si="155"/>
        <v>0</v>
      </c>
      <c r="FJ66" s="372">
        <f t="shared" si="474"/>
        <v>0</v>
      </c>
      <c r="FK66" s="339">
        <f t="shared" si="155"/>
        <v>0</v>
      </c>
      <c r="FL66" s="372">
        <f t="shared" si="475"/>
        <v>0</v>
      </c>
      <c r="FM66" s="339">
        <f t="shared" si="156"/>
        <v>0</v>
      </c>
      <c r="FN66" s="372">
        <f t="shared" si="476"/>
        <v>0</v>
      </c>
      <c r="FO66" s="339">
        <f t="shared" si="157"/>
        <v>0</v>
      </c>
      <c r="FP66" s="372">
        <f t="shared" si="477"/>
        <v>0</v>
      </c>
      <c r="FQ66" s="339">
        <f t="shared" si="158"/>
        <v>0</v>
      </c>
      <c r="FR66" s="372">
        <f t="shared" si="159"/>
        <v>0</v>
      </c>
      <c r="FS66" s="339">
        <f t="shared" si="160"/>
        <v>0</v>
      </c>
      <c r="FT66" s="372">
        <f t="shared" si="478"/>
        <v>0</v>
      </c>
      <c r="FU66" s="339">
        <f t="shared" si="161"/>
        <v>0</v>
      </c>
      <c r="FV66" s="372">
        <f t="shared" si="162"/>
        <v>0</v>
      </c>
      <c r="FW66" s="339">
        <f t="shared" si="163"/>
        <v>0</v>
      </c>
      <c r="FX66" s="372">
        <f t="shared" si="479"/>
        <v>0</v>
      </c>
      <c r="FY66" s="339">
        <f t="shared" si="164"/>
        <v>0</v>
      </c>
      <c r="FZ66" s="372">
        <f t="shared" si="165"/>
        <v>0</v>
      </c>
      <c r="GA66" s="339">
        <f t="shared" si="166"/>
        <v>0</v>
      </c>
      <c r="GB66" s="372">
        <f t="shared" si="480"/>
        <v>0</v>
      </c>
      <c r="GC66" s="339">
        <f t="shared" si="167"/>
        <v>0</v>
      </c>
      <c r="GD66" s="252">
        <f t="shared" si="168"/>
        <v>0</v>
      </c>
      <c r="GE66" s="251">
        <f t="shared" si="411"/>
        <v>0</v>
      </c>
      <c r="GG66" s="1"/>
      <c r="GH66" s="2">
        <v>0.2</v>
      </c>
      <c r="GI66" s="257">
        <f t="shared" si="665"/>
        <v>0</v>
      </c>
      <c r="GJ66" s="249">
        <f t="shared" si="169"/>
        <v>0</v>
      </c>
      <c r="GK66" s="250">
        <f t="shared" si="170"/>
        <v>0</v>
      </c>
      <c r="GL66" s="249">
        <f t="shared" si="169"/>
        <v>0</v>
      </c>
      <c r="GM66" s="250">
        <f t="shared" si="170"/>
        <v>0</v>
      </c>
      <c r="GN66" s="249">
        <f t="shared" si="169"/>
        <v>0</v>
      </c>
      <c r="GO66" s="250">
        <f t="shared" si="171"/>
        <v>0</v>
      </c>
      <c r="GP66" s="249">
        <f t="shared" si="169"/>
        <v>0</v>
      </c>
      <c r="GQ66" s="250">
        <f t="shared" si="172"/>
        <v>0</v>
      </c>
      <c r="GR66" s="249">
        <f t="shared" si="173"/>
        <v>0</v>
      </c>
      <c r="GS66" s="250">
        <f t="shared" si="174"/>
        <v>0</v>
      </c>
      <c r="GT66" s="249">
        <f t="shared" si="175"/>
        <v>0</v>
      </c>
      <c r="GU66" s="250">
        <f t="shared" si="176"/>
        <v>0</v>
      </c>
      <c r="GV66" s="249">
        <f t="shared" si="177"/>
        <v>0</v>
      </c>
      <c r="GW66" s="250">
        <f t="shared" si="178"/>
        <v>0</v>
      </c>
      <c r="GX66" s="249">
        <f t="shared" si="179"/>
        <v>0</v>
      </c>
      <c r="GY66" s="250">
        <f t="shared" si="180"/>
        <v>0</v>
      </c>
      <c r="GZ66" s="249">
        <f t="shared" si="181"/>
        <v>0</v>
      </c>
      <c r="HA66" s="250">
        <f t="shared" si="182"/>
        <v>0</v>
      </c>
      <c r="HB66" s="249">
        <f t="shared" si="183"/>
        <v>0</v>
      </c>
      <c r="HC66" s="250">
        <f t="shared" si="184"/>
        <v>0</v>
      </c>
      <c r="HD66" s="249">
        <f t="shared" si="185"/>
        <v>0</v>
      </c>
      <c r="HE66" s="250">
        <f t="shared" si="186"/>
        <v>0</v>
      </c>
      <c r="HF66" s="249">
        <f t="shared" si="187"/>
        <v>0</v>
      </c>
      <c r="HG66" s="250">
        <f t="shared" si="188"/>
        <v>0</v>
      </c>
      <c r="HH66" s="252">
        <f t="shared" si="189"/>
        <v>0</v>
      </c>
      <c r="HI66" s="251">
        <f t="shared" si="666"/>
        <v>0</v>
      </c>
      <c r="HK66" s="1"/>
      <c r="HL66" s="2"/>
      <c r="HM66" s="257">
        <f t="shared" si="667"/>
        <v>0</v>
      </c>
      <c r="HN66" s="249">
        <f t="shared" si="190"/>
        <v>0</v>
      </c>
      <c r="HO66" s="250">
        <f t="shared" si="668"/>
        <v>0</v>
      </c>
      <c r="HP66" s="249">
        <f t="shared" si="192"/>
        <v>0</v>
      </c>
      <c r="HQ66" s="250">
        <f t="shared" si="193"/>
        <v>0</v>
      </c>
      <c r="HR66" s="249">
        <f t="shared" si="192"/>
        <v>0</v>
      </c>
      <c r="HS66" s="250">
        <f t="shared" si="193"/>
        <v>0</v>
      </c>
      <c r="HT66" s="249">
        <f t="shared" si="192"/>
        <v>0</v>
      </c>
      <c r="HU66" s="250">
        <f t="shared" si="194"/>
        <v>0</v>
      </c>
      <c r="HV66" s="249">
        <f t="shared" si="192"/>
        <v>0</v>
      </c>
      <c r="HW66" s="250">
        <f t="shared" si="195"/>
        <v>0</v>
      </c>
      <c r="HX66" s="249">
        <f t="shared" si="196"/>
        <v>0</v>
      </c>
      <c r="HY66" s="250">
        <f t="shared" si="197"/>
        <v>0</v>
      </c>
      <c r="HZ66" s="249">
        <f t="shared" si="198"/>
        <v>0</v>
      </c>
      <c r="IA66" s="250">
        <f t="shared" si="199"/>
        <v>0</v>
      </c>
      <c r="IB66" s="249">
        <f t="shared" si="200"/>
        <v>0</v>
      </c>
      <c r="IC66" s="250">
        <f t="shared" si="201"/>
        <v>0</v>
      </c>
      <c r="ID66" s="249">
        <f t="shared" si="202"/>
        <v>0</v>
      </c>
      <c r="IE66" s="250">
        <f t="shared" si="203"/>
        <v>0</v>
      </c>
      <c r="IF66" s="249">
        <f t="shared" si="204"/>
        <v>0</v>
      </c>
      <c r="IG66" s="250">
        <f t="shared" si="205"/>
        <v>0</v>
      </c>
      <c r="IH66" s="249">
        <f t="shared" si="206"/>
        <v>0</v>
      </c>
      <c r="II66" s="250">
        <f t="shared" si="207"/>
        <v>0</v>
      </c>
      <c r="IJ66" s="249">
        <f t="shared" si="208"/>
        <v>0</v>
      </c>
      <c r="IK66" s="250">
        <f t="shared" si="209"/>
        <v>0</v>
      </c>
      <c r="IL66" s="252">
        <f t="shared" si="210"/>
        <v>0</v>
      </c>
      <c r="IM66" s="251">
        <f t="shared" si="211"/>
        <v>0</v>
      </c>
      <c r="IO66" s="1"/>
      <c r="IP66" s="2">
        <v>8.3333333333333329E-2</v>
      </c>
      <c r="IQ66" s="257">
        <f t="shared" si="669"/>
        <v>0</v>
      </c>
      <c r="IR66" s="249">
        <f t="shared" si="212"/>
        <v>0</v>
      </c>
      <c r="IS66" s="250">
        <f t="shared" si="213"/>
        <v>0</v>
      </c>
      <c r="IT66" s="279">
        <f t="shared" si="401"/>
        <v>0</v>
      </c>
      <c r="IU66" s="289">
        <f t="shared" si="214"/>
        <v>0</v>
      </c>
      <c r="IV66" s="279">
        <f t="shared" si="402"/>
        <v>0</v>
      </c>
      <c r="IW66" s="289">
        <f t="shared" si="214"/>
        <v>0</v>
      </c>
      <c r="IX66" s="279">
        <f t="shared" si="403"/>
        <v>0</v>
      </c>
      <c r="IY66" s="289">
        <f t="shared" si="215"/>
        <v>0</v>
      </c>
      <c r="IZ66" s="279">
        <f t="shared" si="404"/>
        <v>0</v>
      </c>
      <c r="JA66" s="289">
        <f t="shared" si="216"/>
        <v>0</v>
      </c>
      <c r="JB66" s="279">
        <f t="shared" si="405"/>
        <v>0</v>
      </c>
      <c r="JC66" s="289">
        <f t="shared" si="217"/>
        <v>0</v>
      </c>
      <c r="JD66" s="279">
        <f t="shared" si="218"/>
        <v>0</v>
      </c>
      <c r="JE66" s="289">
        <f t="shared" si="219"/>
        <v>0</v>
      </c>
      <c r="JF66" s="279">
        <f t="shared" si="406"/>
        <v>0</v>
      </c>
      <c r="JG66" s="289">
        <f t="shared" si="220"/>
        <v>0</v>
      </c>
      <c r="JH66" s="279">
        <f t="shared" si="221"/>
        <v>0</v>
      </c>
      <c r="JI66" s="289">
        <f t="shared" si="222"/>
        <v>0</v>
      </c>
      <c r="JJ66" s="279">
        <f t="shared" si="407"/>
        <v>0</v>
      </c>
      <c r="JK66" s="289">
        <f t="shared" si="223"/>
        <v>0</v>
      </c>
      <c r="JL66" s="279">
        <f t="shared" si="224"/>
        <v>0</v>
      </c>
      <c r="JM66" s="289">
        <f t="shared" si="225"/>
        <v>0</v>
      </c>
      <c r="JN66" s="279">
        <f t="shared" si="408"/>
        <v>0</v>
      </c>
      <c r="JO66" s="289">
        <f t="shared" si="226"/>
        <v>0</v>
      </c>
      <c r="JP66" s="252">
        <f t="shared" si="227"/>
        <v>0</v>
      </c>
      <c r="JQ66" s="251">
        <f t="shared" si="228"/>
        <v>0</v>
      </c>
      <c r="JS66" s="1"/>
      <c r="JT66" s="2">
        <v>8.3333333333333329E-2</v>
      </c>
      <c r="JU66" s="257">
        <f t="shared" si="670"/>
        <v>0</v>
      </c>
      <c r="JV66" s="249">
        <f t="shared" si="229"/>
        <v>0</v>
      </c>
      <c r="JW66" s="250">
        <f t="shared" si="230"/>
        <v>0</v>
      </c>
      <c r="JX66" s="372">
        <f t="shared" si="671"/>
        <v>0</v>
      </c>
      <c r="JY66" s="339">
        <f t="shared" si="231"/>
        <v>0</v>
      </c>
      <c r="JZ66" s="372">
        <f t="shared" si="672"/>
        <v>0</v>
      </c>
      <c r="KA66" s="339">
        <f t="shared" si="231"/>
        <v>0</v>
      </c>
      <c r="KB66" s="372">
        <f t="shared" si="673"/>
        <v>0</v>
      </c>
      <c r="KC66" s="339">
        <f t="shared" si="232"/>
        <v>0</v>
      </c>
      <c r="KD66" s="372">
        <f t="shared" si="674"/>
        <v>0</v>
      </c>
      <c r="KE66" s="339">
        <f t="shared" si="233"/>
        <v>0</v>
      </c>
      <c r="KF66" s="372">
        <f t="shared" si="675"/>
        <v>0</v>
      </c>
      <c r="KG66" s="339">
        <f t="shared" si="234"/>
        <v>0</v>
      </c>
      <c r="KH66" s="372">
        <f t="shared" si="235"/>
        <v>0</v>
      </c>
      <c r="KI66" s="339">
        <f t="shared" si="236"/>
        <v>0</v>
      </c>
      <c r="KJ66" s="372">
        <f t="shared" si="676"/>
        <v>0</v>
      </c>
      <c r="KK66" s="339">
        <f t="shared" si="237"/>
        <v>0</v>
      </c>
      <c r="KL66" s="372">
        <f t="shared" si="238"/>
        <v>0</v>
      </c>
      <c r="KM66" s="339">
        <f t="shared" si="239"/>
        <v>0</v>
      </c>
      <c r="KN66" s="372">
        <f t="shared" si="677"/>
        <v>0</v>
      </c>
      <c r="KO66" s="339">
        <f t="shared" si="240"/>
        <v>0</v>
      </c>
      <c r="KP66" s="372">
        <f t="shared" si="241"/>
        <v>0</v>
      </c>
      <c r="KQ66" s="339">
        <f t="shared" si="242"/>
        <v>0</v>
      </c>
      <c r="KR66" s="372">
        <f t="shared" si="678"/>
        <v>0</v>
      </c>
      <c r="KS66" s="377">
        <f t="shared" si="243"/>
        <v>0</v>
      </c>
      <c r="KT66" s="379">
        <f t="shared" si="244"/>
        <v>0</v>
      </c>
      <c r="KU66" s="251">
        <f t="shared" si="679"/>
        <v>0</v>
      </c>
      <c r="KW66" s="1"/>
      <c r="KX66" s="2">
        <v>8.3333333333333329E-2</v>
      </c>
      <c r="KY66" s="254">
        <f t="shared" si="680"/>
        <v>0</v>
      </c>
      <c r="KZ66" s="249">
        <f t="shared" si="271"/>
        <v>0</v>
      </c>
      <c r="LA66" s="251">
        <f t="shared" si="681"/>
        <v>0</v>
      </c>
      <c r="LB66" s="279">
        <f t="shared" si="272"/>
        <v>0</v>
      </c>
      <c r="LC66" s="339">
        <f t="shared" si="246"/>
        <v>0</v>
      </c>
      <c r="LD66" s="279">
        <f t="shared" si="272"/>
        <v>0</v>
      </c>
      <c r="LE66" s="339">
        <f t="shared" si="246"/>
        <v>0</v>
      </c>
      <c r="LF66" s="279">
        <f t="shared" si="272"/>
        <v>0</v>
      </c>
      <c r="LG66" s="339">
        <f t="shared" si="247"/>
        <v>0</v>
      </c>
      <c r="LH66" s="279">
        <f t="shared" si="272"/>
        <v>0</v>
      </c>
      <c r="LI66" s="339">
        <f t="shared" si="248"/>
        <v>0</v>
      </c>
      <c r="LJ66" s="279">
        <f t="shared" si="273"/>
        <v>0</v>
      </c>
      <c r="LK66" s="339">
        <f t="shared" si="249"/>
        <v>0</v>
      </c>
      <c r="LL66" s="279">
        <f t="shared" si="274"/>
        <v>0</v>
      </c>
      <c r="LM66" s="339">
        <f t="shared" si="250"/>
        <v>0</v>
      </c>
      <c r="LN66" s="279">
        <f t="shared" si="275"/>
        <v>0</v>
      </c>
      <c r="LO66" s="339">
        <f t="shared" si="251"/>
        <v>0</v>
      </c>
      <c r="LP66" s="279">
        <f t="shared" si="276"/>
        <v>0</v>
      </c>
      <c r="LQ66" s="339">
        <f t="shared" si="252"/>
        <v>0</v>
      </c>
      <c r="LR66" s="279">
        <f t="shared" si="277"/>
        <v>0</v>
      </c>
      <c r="LS66" s="339">
        <f t="shared" si="253"/>
        <v>0</v>
      </c>
      <c r="LT66" s="279">
        <f t="shared" si="278"/>
        <v>0</v>
      </c>
      <c r="LU66" s="339">
        <f t="shared" si="254"/>
        <v>0</v>
      </c>
      <c r="LV66" s="279">
        <f t="shared" si="279"/>
        <v>0</v>
      </c>
      <c r="LW66" s="339">
        <f t="shared" si="255"/>
        <v>0</v>
      </c>
      <c r="LX66" s="252">
        <f t="shared" si="256"/>
        <v>0</v>
      </c>
      <c r="LY66" s="253">
        <f t="shared" si="257"/>
        <v>0</v>
      </c>
      <c r="MA66" s="249">
        <f t="shared" si="412"/>
        <v>0</v>
      </c>
      <c r="MB66" s="253">
        <f t="shared" si="258"/>
        <v>0</v>
      </c>
      <c r="MC66" s="397">
        <f t="shared" si="413"/>
        <v>0</v>
      </c>
      <c r="MD66" s="253">
        <f t="shared" si="259"/>
        <v>0</v>
      </c>
      <c r="ME66" s="397">
        <f t="shared" si="414"/>
        <v>0</v>
      </c>
      <c r="MF66" s="253">
        <f t="shared" si="259"/>
        <v>0</v>
      </c>
      <c r="MG66" s="397">
        <f t="shared" si="415"/>
        <v>0</v>
      </c>
      <c r="MH66" s="253">
        <f t="shared" si="260"/>
        <v>0</v>
      </c>
      <c r="MI66" s="397">
        <f t="shared" si="416"/>
        <v>0</v>
      </c>
      <c r="MJ66" s="253">
        <f t="shared" si="261"/>
        <v>0</v>
      </c>
      <c r="MK66" s="397">
        <f t="shared" si="417"/>
        <v>0</v>
      </c>
      <c r="ML66" s="253">
        <f t="shared" si="262"/>
        <v>0</v>
      </c>
      <c r="MM66" s="397">
        <f t="shared" si="418"/>
        <v>0</v>
      </c>
      <c r="MN66" s="253">
        <f t="shared" si="263"/>
        <v>0</v>
      </c>
      <c r="MO66" s="397">
        <f t="shared" si="419"/>
        <v>0</v>
      </c>
      <c r="MP66" s="253">
        <f t="shared" si="264"/>
        <v>0</v>
      </c>
      <c r="MQ66" s="397">
        <f t="shared" si="420"/>
        <v>0</v>
      </c>
      <c r="MR66" s="253">
        <f t="shared" si="265"/>
        <v>0</v>
      </c>
      <c r="MS66" s="397">
        <f t="shared" si="421"/>
        <v>0</v>
      </c>
      <c r="MT66" s="253">
        <f t="shared" si="266"/>
        <v>0</v>
      </c>
      <c r="MU66" s="397">
        <f t="shared" si="422"/>
        <v>0</v>
      </c>
      <c r="MV66" s="253">
        <f t="shared" si="267"/>
        <v>0</v>
      </c>
      <c r="MW66" s="397">
        <f t="shared" si="423"/>
        <v>0</v>
      </c>
      <c r="MX66" s="253">
        <f t="shared" si="268"/>
        <v>0</v>
      </c>
      <c r="MY66" s="252">
        <f t="shared" si="269"/>
        <v>0</v>
      </c>
      <c r="MZ66" s="251">
        <f t="shared" si="270"/>
        <v>0</v>
      </c>
    </row>
    <row r="67" spans="1:364" ht="39.6" x14ac:dyDescent="0.25">
      <c r="A67" s="533"/>
      <c r="B67" s="245" t="s">
        <v>142</v>
      </c>
      <c r="C67" s="246" t="s">
        <v>143</v>
      </c>
      <c r="D67" s="247" t="s">
        <v>28</v>
      </c>
      <c r="E67" s="4">
        <v>1</v>
      </c>
      <c r="F67" s="353">
        <v>67698.351518026553</v>
      </c>
      <c r="G67" s="353">
        <f t="shared" si="81"/>
        <v>70519.760910815923</v>
      </c>
      <c r="I67" s="30"/>
      <c r="J67" s="2">
        <v>8.3333333333333329E-2</v>
      </c>
      <c r="K67" s="248">
        <f t="shared" si="82"/>
        <v>0</v>
      </c>
      <c r="L67" s="249"/>
      <c r="M67" s="301">
        <f t="shared" si="445"/>
        <v>0</v>
      </c>
      <c r="N67" s="279">
        <f t="shared" si="450"/>
        <v>0</v>
      </c>
      <c r="O67" s="289">
        <f t="shared" si="682"/>
        <v>0</v>
      </c>
      <c r="P67" s="279">
        <f t="shared" si="451"/>
        <v>0</v>
      </c>
      <c r="Q67" s="289">
        <f t="shared" si="682"/>
        <v>0</v>
      </c>
      <c r="R67" s="279">
        <f t="shared" si="452"/>
        <v>0</v>
      </c>
      <c r="S67" s="289">
        <f t="shared" si="86"/>
        <v>0</v>
      </c>
      <c r="T67" s="279">
        <f t="shared" si="453"/>
        <v>0</v>
      </c>
      <c r="U67" s="289">
        <f t="shared" si="87"/>
        <v>0</v>
      </c>
      <c r="V67" s="279">
        <f t="shared" si="409"/>
        <v>0</v>
      </c>
      <c r="W67" s="289">
        <f t="shared" si="88"/>
        <v>0</v>
      </c>
      <c r="X67" s="279">
        <f t="shared" si="305"/>
        <v>0</v>
      </c>
      <c r="Y67" s="289">
        <f t="shared" si="89"/>
        <v>0</v>
      </c>
      <c r="Z67" s="279">
        <f t="shared" si="454"/>
        <v>0</v>
      </c>
      <c r="AA67" s="289">
        <f t="shared" si="90"/>
        <v>0</v>
      </c>
      <c r="AB67" s="279">
        <f t="shared" si="306"/>
        <v>0</v>
      </c>
      <c r="AC67" s="289">
        <f t="shared" si="91"/>
        <v>0</v>
      </c>
      <c r="AD67" s="279">
        <f t="shared" si="455"/>
        <v>0</v>
      </c>
      <c r="AE67" s="289">
        <f t="shared" si="92"/>
        <v>0</v>
      </c>
      <c r="AF67" s="279">
        <f t="shared" si="307"/>
        <v>0</v>
      </c>
      <c r="AG67" s="289">
        <f t="shared" si="308"/>
        <v>0</v>
      </c>
      <c r="AH67" s="249">
        <f t="shared" si="456"/>
        <v>0</v>
      </c>
      <c r="AI67" s="299">
        <f t="shared" si="309"/>
        <v>0</v>
      </c>
      <c r="AJ67" s="252">
        <f t="shared" si="94"/>
        <v>0</v>
      </c>
      <c r="AK67" s="312">
        <f t="shared" si="95"/>
        <v>0</v>
      </c>
      <c r="AM67" s="1"/>
      <c r="AN67" s="2">
        <v>8.3333333333333329E-2</v>
      </c>
      <c r="AO67" s="254">
        <f t="shared" si="660"/>
        <v>0</v>
      </c>
      <c r="AP67" s="249">
        <f t="shared" si="328"/>
        <v>0</v>
      </c>
      <c r="AQ67" s="301">
        <f t="shared" si="96"/>
        <v>0</v>
      </c>
      <c r="AR67" s="249">
        <f t="shared" si="329"/>
        <v>0</v>
      </c>
      <c r="AS67" s="301">
        <f t="shared" si="96"/>
        <v>0</v>
      </c>
      <c r="AT67" s="249">
        <f t="shared" si="330"/>
        <v>0</v>
      </c>
      <c r="AU67" s="301">
        <f t="shared" si="96"/>
        <v>0</v>
      </c>
      <c r="AV67" s="249">
        <f t="shared" si="331"/>
        <v>0</v>
      </c>
      <c r="AW67" s="301">
        <f t="shared" si="98"/>
        <v>0</v>
      </c>
      <c r="AX67" s="249">
        <f t="shared" si="5"/>
        <v>0</v>
      </c>
      <c r="AY67" s="301">
        <f t="shared" si="99"/>
        <v>0</v>
      </c>
      <c r="AZ67" s="249">
        <f t="shared" si="332"/>
        <v>0</v>
      </c>
      <c r="BA67" s="301">
        <f t="shared" si="100"/>
        <v>0</v>
      </c>
      <c r="BB67" s="249">
        <f t="shared" si="7"/>
        <v>0</v>
      </c>
      <c r="BC67" s="301">
        <f t="shared" si="101"/>
        <v>0</v>
      </c>
      <c r="BD67" s="249">
        <f t="shared" si="333"/>
        <v>0</v>
      </c>
      <c r="BE67" s="301">
        <f t="shared" si="102"/>
        <v>0</v>
      </c>
      <c r="BF67" s="249">
        <f t="shared" si="9"/>
        <v>0</v>
      </c>
      <c r="BG67" s="301">
        <f t="shared" si="103"/>
        <v>0</v>
      </c>
      <c r="BH67" s="249">
        <f t="shared" si="334"/>
        <v>0</v>
      </c>
      <c r="BI67" s="301">
        <f t="shared" si="658"/>
        <v>0</v>
      </c>
      <c r="BJ67" s="249">
        <f t="shared" si="335"/>
        <v>0</v>
      </c>
      <c r="BK67" s="301">
        <f t="shared" si="658"/>
        <v>0</v>
      </c>
      <c r="BL67" s="249">
        <f t="shared" si="661"/>
        <v>0</v>
      </c>
      <c r="BM67" s="299">
        <f t="shared" si="105"/>
        <v>0</v>
      </c>
      <c r="BN67" s="252">
        <f t="shared" si="106"/>
        <v>0</v>
      </c>
      <c r="BO67" s="312">
        <f t="shared" si="410"/>
        <v>0</v>
      </c>
      <c r="BQ67" s="1"/>
      <c r="BR67" s="2"/>
      <c r="BS67" s="255">
        <f t="shared" si="281"/>
        <v>0</v>
      </c>
      <c r="BT67" s="249">
        <f t="shared" si="280"/>
        <v>0</v>
      </c>
      <c r="BU67" s="336">
        <f t="shared" si="107"/>
        <v>0</v>
      </c>
      <c r="BV67" s="279">
        <f t="shared" si="457"/>
        <v>0</v>
      </c>
      <c r="BW67" s="339">
        <f t="shared" si="108"/>
        <v>0</v>
      </c>
      <c r="BX67" s="279">
        <f t="shared" si="458"/>
        <v>0</v>
      </c>
      <c r="BY67" s="339">
        <f t="shared" si="109"/>
        <v>0</v>
      </c>
      <c r="BZ67" s="279">
        <f t="shared" si="459"/>
        <v>0</v>
      </c>
      <c r="CA67" s="339">
        <f t="shared" si="110"/>
        <v>0</v>
      </c>
      <c r="CB67" s="279">
        <f t="shared" si="460"/>
        <v>0</v>
      </c>
      <c r="CC67" s="339">
        <f t="shared" si="111"/>
        <v>0</v>
      </c>
      <c r="CD67" s="279">
        <f t="shared" si="461"/>
        <v>0</v>
      </c>
      <c r="CE67" s="339">
        <f t="shared" si="112"/>
        <v>0</v>
      </c>
      <c r="CF67" s="279">
        <f t="shared" si="113"/>
        <v>0</v>
      </c>
      <c r="CG67" s="339">
        <f t="shared" si="114"/>
        <v>0</v>
      </c>
      <c r="CH67" s="279">
        <f t="shared" si="462"/>
        <v>0</v>
      </c>
      <c r="CI67" s="339">
        <f t="shared" si="115"/>
        <v>0</v>
      </c>
      <c r="CJ67" s="279">
        <f t="shared" si="116"/>
        <v>0</v>
      </c>
      <c r="CK67" s="339">
        <f t="shared" si="117"/>
        <v>0</v>
      </c>
      <c r="CL67" s="279">
        <f t="shared" si="463"/>
        <v>0</v>
      </c>
      <c r="CM67" s="339">
        <f t="shared" si="118"/>
        <v>0</v>
      </c>
      <c r="CN67" s="279">
        <f t="shared" si="119"/>
        <v>0</v>
      </c>
      <c r="CO67" s="339">
        <f t="shared" si="120"/>
        <v>0</v>
      </c>
      <c r="CP67" s="279">
        <f t="shared" si="464"/>
        <v>0</v>
      </c>
      <c r="CQ67" s="250">
        <f t="shared" si="662"/>
        <v>0</v>
      </c>
      <c r="CR67" s="252">
        <f t="shared" si="121"/>
        <v>0</v>
      </c>
      <c r="CS67" s="251">
        <f t="shared" si="448"/>
        <v>0</v>
      </c>
      <c r="CU67" s="1"/>
      <c r="CV67" s="2"/>
      <c r="CW67" s="255">
        <f t="shared" si="299"/>
        <v>0</v>
      </c>
      <c r="CX67" s="249">
        <f t="shared" si="122"/>
        <v>0</v>
      </c>
      <c r="CY67" s="250">
        <f t="shared" si="123"/>
        <v>0</v>
      </c>
      <c r="CZ67" s="279">
        <f t="shared" si="465"/>
        <v>0</v>
      </c>
      <c r="DA67" s="299">
        <f t="shared" si="123"/>
        <v>0</v>
      </c>
      <c r="DB67" s="279">
        <f t="shared" si="466"/>
        <v>0</v>
      </c>
      <c r="DC67" s="299">
        <f t="shared" si="124"/>
        <v>0</v>
      </c>
      <c r="DD67" s="279">
        <f t="shared" si="467"/>
        <v>0</v>
      </c>
      <c r="DE67" s="299">
        <f t="shared" si="125"/>
        <v>0</v>
      </c>
      <c r="DF67" s="279">
        <f t="shared" si="468"/>
        <v>0</v>
      </c>
      <c r="DG67" s="299">
        <f t="shared" si="126"/>
        <v>0</v>
      </c>
      <c r="DH67" s="279">
        <f t="shared" si="469"/>
        <v>0</v>
      </c>
      <c r="DI67" s="299">
        <f t="shared" si="127"/>
        <v>0</v>
      </c>
      <c r="DJ67" s="279">
        <f t="shared" si="128"/>
        <v>0</v>
      </c>
      <c r="DK67" s="299">
        <f t="shared" si="129"/>
        <v>0</v>
      </c>
      <c r="DL67" s="279">
        <f t="shared" si="470"/>
        <v>0</v>
      </c>
      <c r="DM67" s="299">
        <f t="shared" si="130"/>
        <v>0</v>
      </c>
      <c r="DN67" s="279">
        <f t="shared" si="131"/>
        <v>0</v>
      </c>
      <c r="DO67" s="299">
        <f t="shared" si="132"/>
        <v>0</v>
      </c>
      <c r="DP67" s="279">
        <f t="shared" si="471"/>
        <v>0</v>
      </c>
      <c r="DQ67" s="299">
        <f t="shared" si="133"/>
        <v>0</v>
      </c>
      <c r="DR67" s="279">
        <f t="shared" si="134"/>
        <v>0</v>
      </c>
      <c r="DS67" s="299">
        <f t="shared" si="135"/>
        <v>0</v>
      </c>
      <c r="DT67" s="279">
        <f t="shared" si="472"/>
        <v>0</v>
      </c>
      <c r="DU67" s="299">
        <f t="shared" si="136"/>
        <v>0</v>
      </c>
      <c r="DV67" s="252">
        <f t="shared" si="137"/>
        <v>0</v>
      </c>
      <c r="DW67" s="251">
        <f t="shared" si="449"/>
        <v>0</v>
      </c>
      <c r="DY67" s="256">
        <v>0</v>
      </c>
      <c r="DZ67" s="2"/>
      <c r="EA67" s="254">
        <f t="shared" si="663"/>
        <v>0</v>
      </c>
      <c r="EB67" s="249">
        <f t="shared" si="384"/>
        <v>0</v>
      </c>
      <c r="EC67" s="250">
        <f t="shared" si="139"/>
        <v>0</v>
      </c>
      <c r="ED67" s="356">
        <f t="shared" si="385"/>
        <v>0</v>
      </c>
      <c r="EE67" s="250">
        <f t="shared" si="139"/>
        <v>0</v>
      </c>
      <c r="EF67" s="249">
        <f t="shared" si="386"/>
        <v>0</v>
      </c>
      <c r="EG67" s="250">
        <f t="shared" si="659"/>
        <v>0</v>
      </c>
      <c r="EH67" s="249">
        <f t="shared" si="387"/>
        <v>0</v>
      </c>
      <c r="EI67" s="250">
        <f t="shared" si="659"/>
        <v>0</v>
      </c>
      <c r="EJ67" s="249">
        <f t="shared" si="388"/>
        <v>0</v>
      </c>
      <c r="EK67" s="250">
        <f t="shared" si="143"/>
        <v>0</v>
      </c>
      <c r="EL67" s="249">
        <f t="shared" si="389"/>
        <v>0</v>
      </c>
      <c r="EM67" s="250">
        <f t="shared" si="144"/>
        <v>0</v>
      </c>
      <c r="EN67" s="249">
        <f t="shared" si="290"/>
        <v>0</v>
      </c>
      <c r="EO67" s="250">
        <f t="shared" si="145"/>
        <v>0</v>
      </c>
      <c r="EP67" s="249">
        <f t="shared" si="390"/>
        <v>0</v>
      </c>
      <c r="EQ67" s="250">
        <f t="shared" si="146"/>
        <v>0</v>
      </c>
      <c r="ER67" s="249">
        <f t="shared" si="292"/>
        <v>0</v>
      </c>
      <c r="ES67" s="250">
        <f t="shared" si="147"/>
        <v>0</v>
      </c>
      <c r="ET67" s="249">
        <f t="shared" si="391"/>
        <v>0</v>
      </c>
      <c r="EU67" s="250">
        <f t="shared" si="148"/>
        <v>0</v>
      </c>
      <c r="EV67" s="249">
        <f t="shared" si="294"/>
        <v>0</v>
      </c>
      <c r="EW67" s="250">
        <f t="shared" si="149"/>
        <v>0</v>
      </c>
      <c r="EX67" s="249">
        <f t="shared" si="392"/>
        <v>0</v>
      </c>
      <c r="EY67" s="250">
        <f t="shared" si="150"/>
        <v>0</v>
      </c>
      <c r="EZ67" s="252">
        <f t="shared" si="151"/>
        <v>0</v>
      </c>
      <c r="FA67" s="251">
        <f t="shared" si="664"/>
        <v>0</v>
      </c>
      <c r="FC67" s="1"/>
      <c r="FD67" s="2"/>
      <c r="FE67" s="257">
        <f t="shared" si="152"/>
        <v>0</v>
      </c>
      <c r="FF67" s="249">
        <f t="shared" si="153"/>
        <v>0</v>
      </c>
      <c r="FG67" s="250">
        <f t="shared" si="154"/>
        <v>0</v>
      </c>
      <c r="FH67" s="372">
        <f t="shared" si="473"/>
        <v>0</v>
      </c>
      <c r="FI67" s="339">
        <f t="shared" si="155"/>
        <v>0</v>
      </c>
      <c r="FJ67" s="372">
        <f t="shared" si="474"/>
        <v>0</v>
      </c>
      <c r="FK67" s="339">
        <f t="shared" si="155"/>
        <v>0</v>
      </c>
      <c r="FL67" s="372">
        <f t="shared" si="475"/>
        <v>0</v>
      </c>
      <c r="FM67" s="339">
        <f t="shared" si="156"/>
        <v>0</v>
      </c>
      <c r="FN67" s="372">
        <f t="shared" si="476"/>
        <v>0</v>
      </c>
      <c r="FO67" s="339">
        <f t="shared" si="157"/>
        <v>0</v>
      </c>
      <c r="FP67" s="372">
        <f t="shared" si="477"/>
        <v>0</v>
      </c>
      <c r="FQ67" s="339">
        <f t="shared" si="158"/>
        <v>0</v>
      </c>
      <c r="FR67" s="372">
        <f t="shared" si="159"/>
        <v>0</v>
      </c>
      <c r="FS67" s="339">
        <f t="shared" si="160"/>
        <v>0</v>
      </c>
      <c r="FT67" s="372">
        <f t="shared" si="478"/>
        <v>0</v>
      </c>
      <c r="FU67" s="339">
        <f t="shared" si="161"/>
        <v>0</v>
      </c>
      <c r="FV67" s="372">
        <f t="shared" si="162"/>
        <v>0</v>
      </c>
      <c r="FW67" s="339">
        <f t="shared" si="163"/>
        <v>0</v>
      </c>
      <c r="FX67" s="372">
        <f t="shared" si="479"/>
        <v>0</v>
      </c>
      <c r="FY67" s="339">
        <f t="shared" si="164"/>
        <v>0</v>
      </c>
      <c r="FZ67" s="372">
        <f t="shared" si="165"/>
        <v>0</v>
      </c>
      <c r="GA67" s="339">
        <f t="shared" si="166"/>
        <v>0</v>
      </c>
      <c r="GB67" s="372">
        <f t="shared" si="480"/>
        <v>0</v>
      </c>
      <c r="GC67" s="339">
        <f t="shared" si="167"/>
        <v>0</v>
      </c>
      <c r="GD67" s="252">
        <f t="shared" si="168"/>
        <v>0</v>
      </c>
      <c r="GE67" s="251">
        <f t="shared" si="411"/>
        <v>0</v>
      </c>
      <c r="GG67" s="1"/>
      <c r="GH67" s="2">
        <v>0.2</v>
      </c>
      <c r="GI67" s="257">
        <f t="shared" si="665"/>
        <v>0</v>
      </c>
      <c r="GJ67" s="249">
        <f t="shared" si="169"/>
        <v>0</v>
      </c>
      <c r="GK67" s="250">
        <f t="shared" si="170"/>
        <v>0</v>
      </c>
      <c r="GL67" s="249">
        <f t="shared" si="169"/>
        <v>0</v>
      </c>
      <c r="GM67" s="250">
        <f t="shared" si="170"/>
        <v>0</v>
      </c>
      <c r="GN67" s="249">
        <f t="shared" si="169"/>
        <v>0</v>
      </c>
      <c r="GO67" s="250">
        <f t="shared" si="171"/>
        <v>0</v>
      </c>
      <c r="GP67" s="249">
        <f t="shared" si="169"/>
        <v>0</v>
      </c>
      <c r="GQ67" s="250">
        <f t="shared" si="172"/>
        <v>0</v>
      </c>
      <c r="GR67" s="249">
        <f t="shared" si="173"/>
        <v>0</v>
      </c>
      <c r="GS67" s="250">
        <f t="shared" si="174"/>
        <v>0</v>
      </c>
      <c r="GT67" s="249">
        <f t="shared" si="175"/>
        <v>0</v>
      </c>
      <c r="GU67" s="250">
        <f t="shared" si="176"/>
        <v>0</v>
      </c>
      <c r="GV67" s="249">
        <f t="shared" si="177"/>
        <v>0</v>
      </c>
      <c r="GW67" s="250">
        <f t="shared" si="178"/>
        <v>0</v>
      </c>
      <c r="GX67" s="249">
        <f t="shared" si="179"/>
        <v>0</v>
      </c>
      <c r="GY67" s="250">
        <f t="shared" si="180"/>
        <v>0</v>
      </c>
      <c r="GZ67" s="249">
        <f t="shared" si="181"/>
        <v>0</v>
      </c>
      <c r="HA67" s="250">
        <f t="shared" si="182"/>
        <v>0</v>
      </c>
      <c r="HB67" s="249">
        <f t="shared" si="183"/>
        <v>0</v>
      </c>
      <c r="HC67" s="250">
        <f t="shared" si="184"/>
        <v>0</v>
      </c>
      <c r="HD67" s="249">
        <f t="shared" si="185"/>
        <v>0</v>
      </c>
      <c r="HE67" s="250">
        <f t="shared" si="186"/>
        <v>0</v>
      </c>
      <c r="HF67" s="249">
        <f t="shared" si="187"/>
        <v>0</v>
      </c>
      <c r="HG67" s="250">
        <f t="shared" si="188"/>
        <v>0</v>
      </c>
      <c r="HH67" s="252">
        <f t="shared" si="189"/>
        <v>0</v>
      </c>
      <c r="HI67" s="251">
        <f t="shared" si="666"/>
        <v>0</v>
      </c>
      <c r="HK67" s="1"/>
      <c r="HL67" s="2"/>
      <c r="HM67" s="257">
        <f t="shared" si="667"/>
        <v>0</v>
      </c>
      <c r="HN67" s="249">
        <f t="shared" si="190"/>
        <v>0</v>
      </c>
      <c r="HO67" s="250">
        <f t="shared" si="668"/>
        <v>0</v>
      </c>
      <c r="HP67" s="249">
        <f t="shared" si="192"/>
        <v>0</v>
      </c>
      <c r="HQ67" s="250">
        <f t="shared" si="193"/>
        <v>0</v>
      </c>
      <c r="HR67" s="249">
        <f t="shared" si="192"/>
        <v>0</v>
      </c>
      <c r="HS67" s="250">
        <f t="shared" si="193"/>
        <v>0</v>
      </c>
      <c r="HT67" s="249">
        <f t="shared" si="192"/>
        <v>0</v>
      </c>
      <c r="HU67" s="250">
        <f t="shared" si="194"/>
        <v>0</v>
      </c>
      <c r="HV67" s="249">
        <f t="shared" si="192"/>
        <v>0</v>
      </c>
      <c r="HW67" s="250">
        <f t="shared" si="195"/>
        <v>0</v>
      </c>
      <c r="HX67" s="249">
        <f t="shared" si="196"/>
        <v>0</v>
      </c>
      <c r="HY67" s="250">
        <f t="shared" si="197"/>
        <v>0</v>
      </c>
      <c r="HZ67" s="249">
        <f t="shared" si="198"/>
        <v>0</v>
      </c>
      <c r="IA67" s="250">
        <f t="shared" si="199"/>
        <v>0</v>
      </c>
      <c r="IB67" s="249">
        <f t="shared" si="200"/>
        <v>0</v>
      </c>
      <c r="IC67" s="250">
        <f t="shared" si="201"/>
        <v>0</v>
      </c>
      <c r="ID67" s="249">
        <f t="shared" si="202"/>
        <v>0</v>
      </c>
      <c r="IE67" s="250">
        <f t="shared" si="203"/>
        <v>0</v>
      </c>
      <c r="IF67" s="249">
        <f t="shared" si="204"/>
        <v>0</v>
      </c>
      <c r="IG67" s="250">
        <f t="shared" si="205"/>
        <v>0</v>
      </c>
      <c r="IH67" s="249">
        <f t="shared" si="206"/>
        <v>0</v>
      </c>
      <c r="II67" s="250">
        <f t="shared" si="207"/>
        <v>0</v>
      </c>
      <c r="IJ67" s="249">
        <f t="shared" si="208"/>
        <v>0</v>
      </c>
      <c r="IK67" s="250">
        <f t="shared" si="209"/>
        <v>0</v>
      </c>
      <c r="IL67" s="252">
        <f t="shared" si="210"/>
        <v>0</v>
      </c>
      <c r="IM67" s="251">
        <f t="shared" si="211"/>
        <v>0</v>
      </c>
      <c r="IO67" s="1"/>
      <c r="IP67" s="2">
        <v>8.3333333333333329E-2</v>
      </c>
      <c r="IQ67" s="257">
        <f t="shared" si="669"/>
        <v>0</v>
      </c>
      <c r="IR67" s="249">
        <f t="shared" si="212"/>
        <v>0</v>
      </c>
      <c r="IS67" s="250">
        <f t="shared" si="213"/>
        <v>0</v>
      </c>
      <c r="IT67" s="279">
        <f t="shared" si="401"/>
        <v>0</v>
      </c>
      <c r="IU67" s="289">
        <f t="shared" si="214"/>
        <v>0</v>
      </c>
      <c r="IV67" s="279">
        <f t="shared" si="402"/>
        <v>0</v>
      </c>
      <c r="IW67" s="289">
        <f t="shared" si="214"/>
        <v>0</v>
      </c>
      <c r="IX67" s="279">
        <f t="shared" si="403"/>
        <v>0</v>
      </c>
      <c r="IY67" s="289">
        <f t="shared" si="215"/>
        <v>0</v>
      </c>
      <c r="IZ67" s="279">
        <f t="shared" si="404"/>
        <v>0</v>
      </c>
      <c r="JA67" s="289">
        <f t="shared" si="216"/>
        <v>0</v>
      </c>
      <c r="JB67" s="279">
        <f t="shared" si="405"/>
        <v>0</v>
      </c>
      <c r="JC67" s="289">
        <f t="shared" si="217"/>
        <v>0</v>
      </c>
      <c r="JD67" s="279">
        <f t="shared" si="218"/>
        <v>0</v>
      </c>
      <c r="JE67" s="289">
        <f t="shared" si="219"/>
        <v>0</v>
      </c>
      <c r="JF67" s="279">
        <f t="shared" si="406"/>
        <v>0</v>
      </c>
      <c r="JG67" s="289">
        <f t="shared" si="220"/>
        <v>0</v>
      </c>
      <c r="JH67" s="279">
        <f t="shared" si="221"/>
        <v>0</v>
      </c>
      <c r="JI67" s="289">
        <f t="shared" si="222"/>
        <v>0</v>
      </c>
      <c r="JJ67" s="279">
        <f t="shared" si="407"/>
        <v>0</v>
      </c>
      <c r="JK67" s="289">
        <f t="shared" si="223"/>
        <v>0</v>
      </c>
      <c r="JL67" s="279">
        <f t="shared" si="224"/>
        <v>0</v>
      </c>
      <c r="JM67" s="289">
        <f t="shared" si="225"/>
        <v>0</v>
      </c>
      <c r="JN67" s="279">
        <f t="shared" si="408"/>
        <v>0</v>
      </c>
      <c r="JO67" s="289">
        <f t="shared" si="226"/>
        <v>0</v>
      </c>
      <c r="JP67" s="252">
        <f t="shared" si="227"/>
        <v>0</v>
      </c>
      <c r="JQ67" s="251">
        <f t="shared" si="228"/>
        <v>0</v>
      </c>
      <c r="JS67" s="1"/>
      <c r="JT67" s="2">
        <v>8.3333333333333329E-2</v>
      </c>
      <c r="JU67" s="257">
        <f t="shared" si="670"/>
        <v>0</v>
      </c>
      <c r="JV67" s="249">
        <f t="shared" si="229"/>
        <v>0</v>
      </c>
      <c r="JW67" s="250">
        <f t="shared" si="230"/>
        <v>0</v>
      </c>
      <c r="JX67" s="372">
        <f t="shared" si="671"/>
        <v>0</v>
      </c>
      <c r="JY67" s="339">
        <f t="shared" si="231"/>
        <v>0</v>
      </c>
      <c r="JZ67" s="372">
        <f t="shared" si="672"/>
        <v>0</v>
      </c>
      <c r="KA67" s="339">
        <f t="shared" si="231"/>
        <v>0</v>
      </c>
      <c r="KB67" s="372">
        <f t="shared" si="673"/>
        <v>0</v>
      </c>
      <c r="KC67" s="339">
        <f t="shared" si="232"/>
        <v>0</v>
      </c>
      <c r="KD67" s="372">
        <f t="shared" si="674"/>
        <v>0</v>
      </c>
      <c r="KE67" s="339">
        <f t="shared" si="233"/>
        <v>0</v>
      </c>
      <c r="KF67" s="372">
        <f t="shared" si="675"/>
        <v>0</v>
      </c>
      <c r="KG67" s="339">
        <f t="shared" si="234"/>
        <v>0</v>
      </c>
      <c r="KH67" s="372">
        <f t="shared" si="235"/>
        <v>0</v>
      </c>
      <c r="KI67" s="339">
        <f t="shared" si="236"/>
        <v>0</v>
      </c>
      <c r="KJ67" s="372">
        <f t="shared" si="676"/>
        <v>0</v>
      </c>
      <c r="KK67" s="339">
        <f t="shared" si="237"/>
        <v>0</v>
      </c>
      <c r="KL67" s="372">
        <f t="shared" si="238"/>
        <v>0</v>
      </c>
      <c r="KM67" s="339">
        <f t="shared" si="239"/>
        <v>0</v>
      </c>
      <c r="KN67" s="372">
        <f t="shared" si="677"/>
        <v>0</v>
      </c>
      <c r="KO67" s="339">
        <f t="shared" si="240"/>
        <v>0</v>
      </c>
      <c r="KP67" s="372">
        <f t="shared" si="241"/>
        <v>0</v>
      </c>
      <c r="KQ67" s="339">
        <f t="shared" si="242"/>
        <v>0</v>
      </c>
      <c r="KR67" s="372">
        <f t="shared" si="678"/>
        <v>0</v>
      </c>
      <c r="KS67" s="377">
        <f t="shared" si="243"/>
        <v>0</v>
      </c>
      <c r="KT67" s="379">
        <f t="shared" si="244"/>
        <v>0</v>
      </c>
      <c r="KU67" s="251">
        <f t="shared" si="679"/>
        <v>0</v>
      </c>
      <c r="KW67" s="1"/>
      <c r="KX67" s="2">
        <v>8.3333333333333329E-2</v>
      </c>
      <c r="KY67" s="254">
        <f t="shared" si="680"/>
        <v>0</v>
      </c>
      <c r="KZ67" s="249">
        <f t="shared" si="271"/>
        <v>0</v>
      </c>
      <c r="LA67" s="251">
        <f t="shared" si="681"/>
        <v>0</v>
      </c>
      <c r="LB67" s="279">
        <f t="shared" si="272"/>
        <v>0</v>
      </c>
      <c r="LC67" s="339">
        <f t="shared" si="246"/>
        <v>0</v>
      </c>
      <c r="LD67" s="279">
        <f t="shared" si="272"/>
        <v>0</v>
      </c>
      <c r="LE67" s="339">
        <f t="shared" si="246"/>
        <v>0</v>
      </c>
      <c r="LF67" s="279">
        <f t="shared" si="272"/>
        <v>0</v>
      </c>
      <c r="LG67" s="339">
        <f t="shared" si="247"/>
        <v>0</v>
      </c>
      <c r="LH67" s="279">
        <f t="shared" si="272"/>
        <v>0</v>
      </c>
      <c r="LI67" s="339">
        <f t="shared" si="248"/>
        <v>0</v>
      </c>
      <c r="LJ67" s="279">
        <f t="shared" si="273"/>
        <v>0</v>
      </c>
      <c r="LK67" s="339">
        <f t="shared" si="249"/>
        <v>0</v>
      </c>
      <c r="LL67" s="279">
        <f t="shared" si="274"/>
        <v>0</v>
      </c>
      <c r="LM67" s="339">
        <f t="shared" si="250"/>
        <v>0</v>
      </c>
      <c r="LN67" s="279">
        <f t="shared" si="275"/>
        <v>0</v>
      </c>
      <c r="LO67" s="339">
        <f t="shared" si="251"/>
        <v>0</v>
      </c>
      <c r="LP67" s="279">
        <f t="shared" si="276"/>
        <v>0</v>
      </c>
      <c r="LQ67" s="339">
        <f t="shared" si="252"/>
        <v>0</v>
      </c>
      <c r="LR67" s="279">
        <f t="shared" si="277"/>
        <v>0</v>
      </c>
      <c r="LS67" s="339">
        <f t="shared" si="253"/>
        <v>0</v>
      </c>
      <c r="LT67" s="279">
        <f t="shared" si="278"/>
        <v>0</v>
      </c>
      <c r="LU67" s="339">
        <f t="shared" si="254"/>
        <v>0</v>
      </c>
      <c r="LV67" s="279">
        <f t="shared" si="279"/>
        <v>0</v>
      </c>
      <c r="LW67" s="339">
        <f t="shared" si="255"/>
        <v>0</v>
      </c>
      <c r="LX67" s="252">
        <f t="shared" si="256"/>
        <v>0</v>
      </c>
      <c r="LY67" s="253">
        <f t="shared" si="257"/>
        <v>0</v>
      </c>
      <c r="MA67" s="249">
        <f t="shared" si="412"/>
        <v>0</v>
      </c>
      <c r="MB67" s="253">
        <f t="shared" si="258"/>
        <v>0</v>
      </c>
      <c r="MC67" s="397">
        <f t="shared" si="413"/>
        <v>0</v>
      </c>
      <c r="MD67" s="253">
        <f t="shared" si="259"/>
        <v>0</v>
      </c>
      <c r="ME67" s="397">
        <f t="shared" si="414"/>
        <v>0</v>
      </c>
      <c r="MF67" s="253">
        <f t="shared" si="259"/>
        <v>0</v>
      </c>
      <c r="MG67" s="397">
        <f t="shared" si="415"/>
        <v>0</v>
      </c>
      <c r="MH67" s="253">
        <f t="shared" si="260"/>
        <v>0</v>
      </c>
      <c r="MI67" s="397">
        <f t="shared" si="416"/>
        <v>0</v>
      </c>
      <c r="MJ67" s="253">
        <f t="shared" si="261"/>
        <v>0</v>
      </c>
      <c r="MK67" s="397">
        <f t="shared" si="417"/>
        <v>0</v>
      </c>
      <c r="ML67" s="253">
        <f t="shared" si="262"/>
        <v>0</v>
      </c>
      <c r="MM67" s="397">
        <f t="shared" si="418"/>
        <v>0</v>
      </c>
      <c r="MN67" s="253">
        <f t="shared" si="263"/>
        <v>0</v>
      </c>
      <c r="MO67" s="397">
        <f t="shared" si="419"/>
        <v>0</v>
      </c>
      <c r="MP67" s="253">
        <f t="shared" si="264"/>
        <v>0</v>
      </c>
      <c r="MQ67" s="397">
        <f t="shared" si="420"/>
        <v>0</v>
      </c>
      <c r="MR67" s="253">
        <f t="shared" si="265"/>
        <v>0</v>
      </c>
      <c r="MS67" s="397">
        <f t="shared" si="421"/>
        <v>0</v>
      </c>
      <c r="MT67" s="253">
        <f t="shared" si="266"/>
        <v>0</v>
      </c>
      <c r="MU67" s="397">
        <f t="shared" si="422"/>
        <v>0</v>
      </c>
      <c r="MV67" s="253">
        <f t="shared" si="267"/>
        <v>0</v>
      </c>
      <c r="MW67" s="397">
        <f t="shared" si="423"/>
        <v>0</v>
      </c>
      <c r="MX67" s="253">
        <f t="shared" si="268"/>
        <v>0</v>
      </c>
      <c r="MY67" s="252">
        <f t="shared" si="269"/>
        <v>0</v>
      </c>
      <c r="MZ67" s="251">
        <f t="shared" si="270"/>
        <v>0</v>
      </c>
    </row>
    <row r="68" spans="1:364" ht="52.8" x14ac:dyDescent="0.25">
      <c r="A68" s="533"/>
      <c r="B68" s="245" t="s">
        <v>144</v>
      </c>
      <c r="C68" s="246" t="s">
        <v>145</v>
      </c>
      <c r="D68" s="247" t="s">
        <v>28</v>
      </c>
      <c r="E68" s="4">
        <v>1</v>
      </c>
      <c r="F68" s="353">
        <v>77823.321869070205</v>
      </c>
      <c r="G68" s="353">
        <f t="shared" si="81"/>
        <v>81066.701454775452</v>
      </c>
      <c r="I68" s="30"/>
      <c r="J68" s="2">
        <v>8.3333333333333329E-2</v>
      </c>
      <c r="K68" s="248">
        <f t="shared" si="82"/>
        <v>0</v>
      </c>
      <c r="L68" s="249"/>
      <c r="M68" s="301">
        <f t="shared" si="445"/>
        <v>0</v>
      </c>
      <c r="N68" s="279">
        <f t="shared" si="450"/>
        <v>0</v>
      </c>
      <c r="O68" s="289">
        <f t="shared" si="682"/>
        <v>0</v>
      </c>
      <c r="P68" s="279">
        <f t="shared" si="451"/>
        <v>0</v>
      </c>
      <c r="Q68" s="289">
        <f t="shared" si="682"/>
        <v>0</v>
      </c>
      <c r="R68" s="279">
        <f t="shared" si="452"/>
        <v>0</v>
      </c>
      <c r="S68" s="289">
        <f t="shared" si="86"/>
        <v>0</v>
      </c>
      <c r="T68" s="279">
        <f t="shared" si="453"/>
        <v>0</v>
      </c>
      <c r="U68" s="289">
        <f t="shared" si="87"/>
        <v>0</v>
      </c>
      <c r="V68" s="279">
        <f t="shared" si="409"/>
        <v>0</v>
      </c>
      <c r="W68" s="289">
        <f t="shared" si="88"/>
        <v>0</v>
      </c>
      <c r="X68" s="279">
        <f t="shared" si="305"/>
        <v>0</v>
      </c>
      <c r="Y68" s="289">
        <f t="shared" si="89"/>
        <v>0</v>
      </c>
      <c r="Z68" s="279">
        <f t="shared" si="454"/>
        <v>0</v>
      </c>
      <c r="AA68" s="289">
        <f t="shared" si="90"/>
        <v>0</v>
      </c>
      <c r="AB68" s="279">
        <f t="shared" si="306"/>
        <v>0</v>
      </c>
      <c r="AC68" s="289">
        <f t="shared" si="91"/>
        <v>0</v>
      </c>
      <c r="AD68" s="279">
        <f t="shared" si="455"/>
        <v>0</v>
      </c>
      <c r="AE68" s="289">
        <f t="shared" si="92"/>
        <v>0</v>
      </c>
      <c r="AF68" s="279">
        <f t="shared" si="307"/>
        <v>0</v>
      </c>
      <c r="AG68" s="289">
        <f t="shared" si="308"/>
        <v>0</v>
      </c>
      <c r="AH68" s="249">
        <f t="shared" si="456"/>
        <v>0</v>
      </c>
      <c r="AI68" s="299">
        <f t="shared" si="309"/>
        <v>0</v>
      </c>
      <c r="AJ68" s="252">
        <f t="shared" si="94"/>
        <v>0</v>
      </c>
      <c r="AK68" s="312">
        <f t="shared" si="95"/>
        <v>0</v>
      </c>
      <c r="AM68" s="1"/>
      <c r="AN68" s="2">
        <v>8.3333333333333329E-2</v>
      </c>
      <c r="AO68" s="254">
        <f t="shared" si="660"/>
        <v>0</v>
      </c>
      <c r="AP68" s="249">
        <f t="shared" si="328"/>
        <v>0</v>
      </c>
      <c r="AQ68" s="301">
        <f t="shared" si="96"/>
        <v>0</v>
      </c>
      <c r="AR68" s="249">
        <f t="shared" si="329"/>
        <v>0</v>
      </c>
      <c r="AS68" s="301">
        <f t="shared" si="96"/>
        <v>0</v>
      </c>
      <c r="AT68" s="249">
        <f t="shared" si="330"/>
        <v>0</v>
      </c>
      <c r="AU68" s="301">
        <f t="shared" si="96"/>
        <v>0</v>
      </c>
      <c r="AV68" s="249">
        <f t="shared" si="331"/>
        <v>0</v>
      </c>
      <c r="AW68" s="301">
        <f t="shared" si="98"/>
        <v>0</v>
      </c>
      <c r="AX68" s="249">
        <f t="shared" si="5"/>
        <v>0</v>
      </c>
      <c r="AY68" s="301">
        <f t="shared" si="99"/>
        <v>0</v>
      </c>
      <c r="AZ68" s="249">
        <f t="shared" si="332"/>
        <v>0</v>
      </c>
      <c r="BA68" s="301">
        <f t="shared" si="100"/>
        <v>0</v>
      </c>
      <c r="BB68" s="249">
        <f t="shared" si="7"/>
        <v>0</v>
      </c>
      <c r="BC68" s="301">
        <f t="shared" si="101"/>
        <v>0</v>
      </c>
      <c r="BD68" s="249">
        <f t="shared" si="333"/>
        <v>0</v>
      </c>
      <c r="BE68" s="301">
        <f t="shared" si="102"/>
        <v>0</v>
      </c>
      <c r="BF68" s="249">
        <f t="shared" si="9"/>
        <v>0</v>
      </c>
      <c r="BG68" s="301">
        <f t="shared" si="103"/>
        <v>0</v>
      </c>
      <c r="BH68" s="249">
        <f t="shared" si="334"/>
        <v>0</v>
      </c>
      <c r="BI68" s="301">
        <f t="shared" si="658"/>
        <v>0</v>
      </c>
      <c r="BJ68" s="249">
        <f t="shared" si="335"/>
        <v>0</v>
      </c>
      <c r="BK68" s="301">
        <f t="shared" si="658"/>
        <v>0</v>
      </c>
      <c r="BL68" s="249">
        <f t="shared" si="661"/>
        <v>0</v>
      </c>
      <c r="BM68" s="299">
        <f t="shared" si="105"/>
        <v>0</v>
      </c>
      <c r="BN68" s="252">
        <f t="shared" si="106"/>
        <v>0</v>
      </c>
      <c r="BO68" s="312">
        <f t="shared" si="410"/>
        <v>0</v>
      </c>
      <c r="BQ68" s="1"/>
      <c r="BR68" s="2"/>
      <c r="BS68" s="255">
        <f t="shared" si="281"/>
        <v>0</v>
      </c>
      <c r="BT68" s="249">
        <f t="shared" si="280"/>
        <v>0</v>
      </c>
      <c r="BU68" s="336">
        <f t="shared" si="107"/>
        <v>0</v>
      </c>
      <c r="BV68" s="279">
        <f t="shared" si="457"/>
        <v>0</v>
      </c>
      <c r="BW68" s="339">
        <f t="shared" si="108"/>
        <v>0</v>
      </c>
      <c r="BX68" s="279">
        <f t="shared" si="458"/>
        <v>0</v>
      </c>
      <c r="BY68" s="339">
        <f t="shared" si="109"/>
        <v>0</v>
      </c>
      <c r="BZ68" s="279">
        <f t="shared" si="459"/>
        <v>0</v>
      </c>
      <c r="CA68" s="339">
        <f t="shared" si="110"/>
        <v>0</v>
      </c>
      <c r="CB68" s="279">
        <f t="shared" si="460"/>
        <v>0</v>
      </c>
      <c r="CC68" s="339">
        <f t="shared" si="111"/>
        <v>0</v>
      </c>
      <c r="CD68" s="279">
        <f t="shared" si="461"/>
        <v>0</v>
      </c>
      <c r="CE68" s="339">
        <f t="shared" si="112"/>
        <v>0</v>
      </c>
      <c r="CF68" s="279">
        <f t="shared" si="113"/>
        <v>0</v>
      </c>
      <c r="CG68" s="339">
        <f t="shared" si="114"/>
        <v>0</v>
      </c>
      <c r="CH68" s="279">
        <f t="shared" si="462"/>
        <v>0</v>
      </c>
      <c r="CI68" s="339">
        <f t="shared" si="115"/>
        <v>0</v>
      </c>
      <c r="CJ68" s="279">
        <f t="shared" si="116"/>
        <v>0</v>
      </c>
      <c r="CK68" s="339">
        <f t="shared" si="117"/>
        <v>0</v>
      </c>
      <c r="CL68" s="279">
        <f t="shared" si="463"/>
        <v>0</v>
      </c>
      <c r="CM68" s="339">
        <f t="shared" si="118"/>
        <v>0</v>
      </c>
      <c r="CN68" s="279">
        <f t="shared" si="119"/>
        <v>0</v>
      </c>
      <c r="CO68" s="339">
        <f t="shared" si="120"/>
        <v>0</v>
      </c>
      <c r="CP68" s="279">
        <f t="shared" si="464"/>
        <v>0</v>
      </c>
      <c r="CQ68" s="250">
        <f t="shared" si="662"/>
        <v>0</v>
      </c>
      <c r="CR68" s="252">
        <f t="shared" si="121"/>
        <v>0</v>
      </c>
      <c r="CS68" s="251">
        <f t="shared" si="448"/>
        <v>0</v>
      </c>
      <c r="CU68" s="1"/>
      <c r="CV68" s="2"/>
      <c r="CW68" s="255">
        <f t="shared" si="299"/>
        <v>0</v>
      </c>
      <c r="CX68" s="249">
        <f t="shared" si="122"/>
        <v>0</v>
      </c>
      <c r="CY68" s="250">
        <f t="shared" si="123"/>
        <v>0</v>
      </c>
      <c r="CZ68" s="279">
        <f t="shared" si="465"/>
        <v>0</v>
      </c>
      <c r="DA68" s="299">
        <f t="shared" si="123"/>
        <v>0</v>
      </c>
      <c r="DB68" s="279">
        <f t="shared" si="466"/>
        <v>0</v>
      </c>
      <c r="DC68" s="299">
        <f t="shared" si="124"/>
        <v>0</v>
      </c>
      <c r="DD68" s="279">
        <f t="shared" si="467"/>
        <v>0</v>
      </c>
      <c r="DE68" s="299">
        <f t="shared" si="125"/>
        <v>0</v>
      </c>
      <c r="DF68" s="279">
        <f t="shared" si="468"/>
        <v>0</v>
      </c>
      <c r="DG68" s="299">
        <f t="shared" si="126"/>
        <v>0</v>
      </c>
      <c r="DH68" s="279">
        <f t="shared" si="469"/>
        <v>0</v>
      </c>
      <c r="DI68" s="299">
        <f t="shared" si="127"/>
        <v>0</v>
      </c>
      <c r="DJ68" s="279">
        <f t="shared" si="128"/>
        <v>0</v>
      </c>
      <c r="DK68" s="299">
        <f t="shared" si="129"/>
        <v>0</v>
      </c>
      <c r="DL68" s="279">
        <f t="shared" si="470"/>
        <v>0</v>
      </c>
      <c r="DM68" s="299">
        <f t="shared" si="130"/>
        <v>0</v>
      </c>
      <c r="DN68" s="279">
        <f t="shared" si="131"/>
        <v>0</v>
      </c>
      <c r="DO68" s="299">
        <f t="shared" si="132"/>
        <v>0</v>
      </c>
      <c r="DP68" s="279">
        <f t="shared" si="471"/>
        <v>0</v>
      </c>
      <c r="DQ68" s="299">
        <f t="shared" si="133"/>
        <v>0</v>
      </c>
      <c r="DR68" s="279">
        <f t="shared" si="134"/>
        <v>0</v>
      </c>
      <c r="DS68" s="299">
        <f t="shared" si="135"/>
        <v>0</v>
      </c>
      <c r="DT68" s="279">
        <f t="shared" si="472"/>
        <v>0</v>
      </c>
      <c r="DU68" s="299">
        <f t="shared" si="136"/>
        <v>0</v>
      </c>
      <c r="DV68" s="252">
        <f t="shared" si="137"/>
        <v>0</v>
      </c>
      <c r="DW68" s="251">
        <f t="shared" si="449"/>
        <v>0</v>
      </c>
      <c r="DY68" s="256">
        <v>0</v>
      </c>
      <c r="DZ68" s="2"/>
      <c r="EA68" s="254">
        <f t="shared" si="663"/>
        <v>0</v>
      </c>
      <c r="EB68" s="249">
        <f t="shared" si="384"/>
        <v>0</v>
      </c>
      <c r="EC68" s="250">
        <f t="shared" si="139"/>
        <v>0</v>
      </c>
      <c r="ED68" s="356">
        <f t="shared" si="385"/>
        <v>0</v>
      </c>
      <c r="EE68" s="250">
        <f t="shared" si="139"/>
        <v>0</v>
      </c>
      <c r="EF68" s="249">
        <f t="shared" si="386"/>
        <v>0</v>
      </c>
      <c r="EG68" s="250">
        <f t="shared" si="659"/>
        <v>0</v>
      </c>
      <c r="EH68" s="249">
        <f t="shared" si="387"/>
        <v>0</v>
      </c>
      <c r="EI68" s="250">
        <f t="shared" si="659"/>
        <v>0</v>
      </c>
      <c r="EJ68" s="249">
        <f t="shared" si="388"/>
        <v>0</v>
      </c>
      <c r="EK68" s="250">
        <f t="shared" si="143"/>
        <v>0</v>
      </c>
      <c r="EL68" s="249">
        <f t="shared" si="389"/>
        <v>0</v>
      </c>
      <c r="EM68" s="250">
        <f t="shared" si="144"/>
        <v>0</v>
      </c>
      <c r="EN68" s="249">
        <f t="shared" si="290"/>
        <v>0</v>
      </c>
      <c r="EO68" s="250">
        <f t="shared" si="145"/>
        <v>0</v>
      </c>
      <c r="EP68" s="249">
        <f t="shared" si="390"/>
        <v>0</v>
      </c>
      <c r="EQ68" s="250">
        <f t="shared" si="146"/>
        <v>0</v>
      </c>
      <c r="ER68" s="249">
        <f t="shared" si="292"/>
        <v>0</v>
      </c>
      <c r="ES68" s="250">
        <f t="shared" si="147"/>
        <v>0</v>
      </c>
      <c r="ET68" s="249">
        <f t="shared" si="391"/>
        <v>0</v>
      </c>
      <c r="EU68" s="250">
        <f t="shared" si="148"/>
        <v>0</v>
      </c>
      <c r="EV68" s="249">
        <f t="shared" si="294"/>
        <v>0</v>
      </c>
      <c r="EW68" s="250">
        <f t="shared" si="149"/>
        <v>0</v>
      </c>
      <c r="EX68" s="249">
        <f t="shared" si="392"/>
        <v>0</v>
      </c>
      <c r="EY68" s="250">
        <f t="shared" si="150"/>
        <v>0</v>
      </c>
      <c r="EZ68" s="252">
        <f t="shared" si="151"/>
        <v>0</v>
      </c>
      <c r="FA68" s="251">
        <f t="shared" si="664"/>
        <v>0</v>
      </c>
      <c r="FC68" s="1"/>
      <c r="FD68" s="2"/>
      <c r="FE68" s="257">
        <f t="shared" si="152"/>
        <v>0</v>
      </c>
      <c r="FF68" s="249">
        <f t="shared" si="153"/>
        <v>0</v>
      </c>
      <c r="FG68" s="250">
        <f t="shared" si="154"/>
        <v>0</v>
      </c>
      <c r="FH68" s="372">
        <f t="shared" si="473"/>
        <v>0</v>
      </c>
      <c r="FI68" s="339">
        <f t="shared" si="155"/>
        <v>0</v>
      </c>
      <c r="FJ68" s="372">
        <f t="shared" si="474"/>
        <v>0</v>
      </c>
      <c r="FK68" s="339">
        <f t="shared" si="155"/>
        <v>0</v>
      </c>
      <c r="FL68" s="372">
        <f t="shared" si="475"/>
        <v>0</v>
      </c>
      <c r="FM68" s="339">
        <f t="shared" si="156"/>
        <v>0</v>
      </c>
      <c r="FN68" s="372">
        <f t="shared" si="476"/>
        <v>0</v>
      </c>
      <c r="FO68" s="339">
        <f t="shared" si="157"/>
        <v>0</v>
      </c>
      <c r="FP68" s="372">
        <f t="shared" si="477"/>
        <v>0</v>
      </c>
      <c r="FQ68" s="339">
        <f t="shared" si="158"/>
        <v>0</v>
      </c>
      <c r="FR68" s="372">
        <f t="shared" si="159"/>
        <v>0</v>
      </c>
      <c r="FS68" s="339">
        <f t="shared" si="160"/>
        <v>0</v>
      </c>
      <c r="FT68" s="372">
        <f t="shared" si="478"/>
        <v>0</v>
      </c>
      <c r="FU68" s="339">
        <f t="shared" si="161"/>
        <v>0</v>
      </c>
      <c r="FV68" s="372">
        <f t="shared" si="162"/>
        <v>0</v>
      </c>
      <c r="FW68" s="339">
        <f t="shared" si="163"/>
        <v>0</v>
      </c>
      <c r="FX68" s="372">
        <f t="shared" si="479"/>
        <v>0</v>
      </c>
      <c r="FY68" s="339">
        <f t="shared" si="164"/>
        <v>0</v>
      </c>
      <c r="FZ68" s="372">
        <f t="shared" si="165"/>
        <v>0</v>
      </c>
      <c r="GA68" s="339">
        <f t="shared" si="166"/>
        <v>0</v>
      </c>
      <c r="GB68" s="372">
        <f t="shared" si="480"/>
        <v>0</v>
      </c>
      <c r="GC68" s="339">
        <f t="shared" si="167"/>
        <v>0</v>
      </c>
      <c r="GD68" s="252">
        <f t="shared" si="168"/>
        <v>0</v>
      </c>
      <c r="GE68" s="251">
        <f t="shared" si="411"/>
        <v>0</v>
      </c>
      <c r="GG68" s="1"/>
      <c r="GH68" s="2">
        <v>0.2</v>
      </c>
      <c r="GI68" s="257">
        <f t="shared" si="665"/>
        <v>0</v>
      </c>
      <c r="GJ68" s="249">
        <f t="shared" si="169"/>
        <v>0</v>
      </c>
      <c r="GK68" s="250">
        <f t="shared" si="170"/>
        <v>0</v>
      </c>
      <c r="GL68" s="249">
        <f t="shared" si="169"/>
        <v>0</v>
      </c>
      <c r="GM68" s="250">
        <f t="shared" si="170"/>
        <v>0</v>
      </c>
      <c r="GN68" s="249">
        <f t="shared" si="169"/>
        <v>0</v>
      </c>
      <c r="GO68" s="250">
        <f t="shared" si="171"/>
        <v>0</v>
      </c>
      <c r="GP68" s="249">
        <f t="shared" si="169"/>
        <v>0</v>
      </c>
      <c r="GQ68" s="250">
        <f t="shared" si="172"/>
        <v>0</v>
      </c>
      <c r="GR68" s="249">
        <f t="shared" si="173"/>
        <v>0</v>
      </c>
      <c r="GS68" s="250">
        <f t="shared" si="174"/>
        <v>0</v>
      </c>
      <c r="GT68" s="249">
        <f t="shared" si="175"/>
        <v>0</v>
      </c>
      <c r="GU68" s="250">
        <f t="shared" si="176"/>
        <v>0</v>
      </c>
      <c r="GV68" s="249">
        <f t="shared" si="177"/>
        <v>0</v>
      </c>
      <c r="GW68" s="250">
        <f t="shared" si="178"/>
        <v>0</v>
      </c>
      <c r="GX68" s="249">
        <f t="shared" si="179"/>
        <v>0</v>
      </c>
      <c r="GY68" s="250">
        <f t="shared" si="180"/>
        <v>0</v>
      </c>
      <c r="GZ68" s="249">
        <f t="shared" si="181"/>
        <v>0</v>
      </c>
      <c r="HA68" s="250">
        <f t="shared" si="182"/>
        <v>0</v>
      </c>
      <c r="HB68" s="249">
        <f t="shared" si="183"/>
        <v>0</v>
      </c>
      <c r="HC68" s="250">
        <f t="shared" si="184"/>
        <v>0</v>
      </c>
      <c r="HD68" s="249">
        <f t="shared" si="185"/>
        <v>0</v>
      </c>
      <c r="HE68" s="250">
        <f t="shared" si="186"/>
        <v>0</v>
      </c>
      <c r="HF68" s="249">
        <f t="shared" si="187"/>
        <v>0</v>
      </c>
      <c r="HG68" s="250">
        <f t="shared" si="188"/>
        <v>0</v>
      </c>
      <c r="HH68" s="252">
        <f t="shared" si="189"/>
        <v>0</v>
      </c>
      <c r="HI68" s="251">
        <f t="shared" si="666"/>
        <v>0</v>
      </c>
      <c r="HK68" s="1"/>
      <c r="HL68" s="2"/>
      <c r="HM68" s="257">
        <f t="shared" si="667"/>
        <v>0</v>
      </c>
      <c r="HN68" s="249">
        <f t="shared" si="190"/>
        <v>0</v>
      </c>
      <c r="HO68" s="250">
        <f t="shared" si="668"/>
        <v>0</v>
      </c>
      <c r="HP68" s="249">
        <f t="shared" si="192"/>
        <v>0</v>
      </c>
      <c r="HQ68" s="250">
        <f t="shared" si="193"/>
        <v>0</v>
      </c>
      <c r="HR68" s="249">
        <f t="shared" si="192"/>
        <v>0</v>
      </c>
      <c r="HS68" s="250">
        <f t="shared" si="193"/>
        <v>0</v>
      </c>
      <c r="HT68" s="249">
        <f t="shared" si="192"/>
        <v>0</v>
      </c>
      <c r="HU68" s="250">
        <f t="shared" si="194"/>
        <v>0</v>
      </c>
      <c r="HV68" s="249">
        <f t="shared" si="192"/>
        <v>0</v>
      </c>
      <c r="HW68" s="250">
        <f t="shared" si="195"/>
        <v>0</v>
      </c>
      <c r="HX68" s="249">
        <f t="shared" si="196"/>
        <v>0</v>
      </c>
      <c r="HY68" s="250">
        <f t="shared" si="197"/>
        <v>0</v>
      </c>
      <c r="HZ68" s="249">
        <f t="shared" si="198"/>
        <v>0</v>
      </c>
      <c r="IA68" s="250">
        <f t="shared" si="199"/>
        <v>0</v>
      </c>
      <c r="IB68" s="249">
        <f t="shared" si="200"/>
        <v>0</v>
      </c>
      <c r="IC68" s="250">
        <f t="shared" si="201"/>
        <v>0</v>
      </c>
      <c r="ID68" s="249">
        <f t="shared" si="202"/>
        <v>0</v>
      </c>
      <c r="IE68" s="250">
        <f t="shared" si="203"/>
        <v>0</v>
      </c>
      <c r="IF68" s="249">
        <f t="shared" si="204"/>
        <v>0</v>
      </c>
      <c r="IG68" s="250">
        <f t="shared" si="205"/>
        <v>0</v>
      </c>
      <c r="IH68" s="249">
        <f t="shared" si="206"/>
        <v>0</v>
      </c>
      <c r="II68" s="250">
        <f t="shared" si="207"/>
        <v>0</v>
      </c>
      <c r="IJ68" s="249">
        <f t="shared" si="208"/>
        <v>0</v>
      </c>
      <c r="IK68" s="250">
        <f t="shared" si="209"/>
        <v>0</v>
      </c>
      <c r="IL68" s="252">
        <f t="shared" si="210"/>
        <v>0</v>
      </c>
      <c r="IM68" s="251">
        <f t="shared" si="211"/>
        <v>0</v>
      </c>
      <c r="IO68" s="1"/>
      <c r="IP68" s="2">
        <v>8.3333333333333329E-2</v>
      </c>
      <c r="IQ68" s="257">
        <f t="shared" si="669"/>
        <v>0</v>
      </c>
      <c r="IR68" s="249">
        <f t="shared" si="212"/>
        <v>0</v>
      </c>
      <c r="IS68" s="250">
        <f t="shared" si="213"/>
        <v>0</v>
      </c>
      <c r="IT68" s="279">
        <f t="shared" si="401"/>
        <v>0</v>
      </c>
      <c r="IU68" s="289">
        <f t="shared" si="214"/>
        <v>0</v>
      </c>
      <c r="IV68" s="279">
        <f t="shared" si="402"/>
        <v>0</v>
      </c>
      <c r="IW68" s="289">
        <f t="shared" si="214"/>
        <v>0</v>
      </c>
      <c r="IX68" s="279">
        <f t="shared" si="403"/>
        <v>0</v>
      </c>
      <c r="IY68" s="289">
        <f t="shared" si="215"/>
        <v>0</v>
      </c>
      <c r="IZ68" s="279">
        <f t="shared" si="404"/>
        <v>0</v>
      </c>
      <c r="JA68" s="289">
        <f t="shared" si="216"/>
        <v>0</v>
      </c>
      <c r="JB68" s="279">
        <f t="shared" si="405"/>
        <v>0</v>
      </c>
      <c r="JC68" s="289">
        <f t="shared" si="217"/>
        <v>0</v>
      </c>
      <c r="JD68" s="279">
        <f t="shared" si="218"/>
        <v>0</v>
      </c>
      <c r="JE68" s="289">
        <f t="shared" si="219"/>
        <v>0</v>
      </c>
      <c r="JF68" s="279">
        <f t="shared" si="406"/>
        <v>0</v>
      </c>
      <c r="JG68" s="289">
        <f t="shared" si="220"/>
        <v>0</v>
      </c>
      <c r="JH68" s="279">
        <f t="shared" si="221"/>
        <v>0</v>
      </c>
      <c r="JI68" s="289">
        <f t="shared" si="222"/>
        <v>0</v>
      </c>
      <c r="JJ68" s="279">
        <f t="shared" si="407"/>
        <v>0</v>
      </c>
      <c r="JK68" s="289">
        <f t="shared" si="223"/>
        <v>0</v>
      </c>
      <c r="JL68" s="279">
        <f t="shared" si="224"/>
        <v>0</v>
      </c>
      <c r="JM68" s="289">
        <f t="shared" si="225"/>
        <v>0</v>
      </c>
      <c r="JN68" s="279">
        <f t="shared" si="408"/>
        <v>0</v>
      </c>
      <c r="JO68" s="289">
        <f t="shared" si="226"/>
        <v>0</v>
      </c>
      <c r="JP68" s="252">
        <f t="shared" si="227"/>
        <v>0</v>
      </c>
      <c r="JQ68" s="251">
        <f t="shared" si="228"/>
        <v>0</v>
      </c>
      <c r="JS68" s="1"/>
      <c r="JT68" s="2">
        <v>8.3333333333333329E-2</v>
      </c>
      <c r="JU68" s="257">
        <f t="shared" si="670"/>
        <v>0</v>
      </c>
      <c r="JV68" s="249">
        <f t="shared" si="229"/>
        <v>0</v>
      </c>
      <c r="JW68" s="250">
        <f t="shared" si="230"/>
        <v>0</v>
      </c>
      <c r="JX68" s="372">
        <f t="shared" si="671"/>
        <v>0</v>
      </c>
      <c r="JY68" s="339">
        <f t="shared" si="231"/>
        <v>0</v>
      </c>
      <c r="JZ68" s="372">
        <f t="shared" si="672"/>
        <v>0</v>
      </c>
      <c r="KA68" s="339">
        <f t="shared" si="231"/>
        <v>0</v>
      </c>
      <c r="KB68" s="372">
        <f t="shared" si="673"/>
        <v>0</v>
      </c>
      <c r="KC68" s="339">
        <f t="shared" si="232"/>
        <v>0</v>
      </c>
      <c r="KD68" s="372">
        <f t="shared" si="674"/>
        <v>0</v>
      </c>
      <c r="KE68" s="339">
        <f t="shared" si="233"/>
        <v>0</v>
      </c>
      <c r="KF68" s="372">
        <f t="shared" si="675"/>
        <v>0</v>
      </c>
      <c r="KG68" s="339">
        <f t="shared" si="234"/>
        <v>0</v>
      </c>
      <c r="KH68" s="372">
        <f t="shared" si="235"/>
        <v>0</v>
      </c>
      <c r="KI68" s="339">
        <f t="shared" si="236"/>
        <v>0</v>
      </c>
      <c r="KJ68" s="372">
        <f t="shared" si="676"/>
        <v>0</v>
      </c>
      <c r="KK68" s="339">
        <f t="shared" si="237"/>
        <v>0</v>
      </c>
      <c r="KL68" s="372">
        <f t="shared" si="238"/>
        <v>0</v>
      </c>
      <c r="KM68" s="339">
        <f t="shared" si="239"/>
        <v>0</v>
      </c>
      <c r="KN68" s="372">
        <f t="shared" si="677"/>
        <v>0</v>
      </c>
      <c r="KO68" s="339">
        <f t="shared" si="240"/>
        <v>0</v>
      </c>
      <c r="KP68" s="372">
        <f t="shared" si="241"/>
        <v>0</v>
      </c>
      <c r="KQ68" s="339">
        <f t="shared" si="242"/>
        <v>0</v>
      </c>
      <c r="KR68" s="372">
        <f t="shared" si="678"/>
        <v>0</v>
      </c>
      <c r="KS68" s="377">
        <f t="shared" si="243"/>
        <v>0</v>
      </c>
      <c r="KT68" s="379">
        <f t="shared" si="244"/>
        <v>0</v>
      </c>
      <c r="KU68" s="251">
        <f t="shared" si="679"/>
        <v>0</v>
      </c>
      <c r="KW68" s="1"/>
      <c r="KX68" s="2">
        <v>8.3333333333333329E-2</v>
      </c>
      <c r="KY68" s="254">
        <f t="shared" si="680"/>
        <v>0</v>
      </c>
      <c r="KZ68" s="249">
        <f t="shared" si="271"/>
        <v>0</v>
      </c>
      <c r="LA68" s="251">
        <f t="shared" si="681"/>
        <v>0</v>
      </c>
      <c r="LB68" s="279">
        <f t="shared" si="272"/>
        <v>0</v>
      </c>
      <c r="LC68" s="339">
        <f t="shared" si="246"/>
        <v>0</v>
      </c>
      <c r="LD68" s="279">
        <f t="shared" si="272"/>
        <v>0</v>
      </c>
      <c r="LE68" s="339">
        <f t="shared" si="246"/>
        <v>0</v>
      </c>
      <c r="LF68" s="279">
        <f t="shared" si="272"/>
        <v>0</v>
      </c>
      <c r="LG68" s="339">
        <f t="shared" si="247"/>
        <v>0</v>
      </c>
      <c r="LH68" s="279">
        <f t="shared" si="272"/>
        <v>0</v>
      </c>
      <c r="LI68" s="339">
        <f t="shared" si="248"/>
        <v>0</v>
      </c>
      <c r="LJ68" s="279">
        <f t="shared" si="273"/>
        <v>0</v>
      </c>
      <c r="LK68" s="339">
        <f t="shared" si="249"/>
        <v>0</v>
      </c>
      <c r="LL68" s="279">
        <f t="shared" si="274"/>
        <v>0</v>
      </c>
      <c r="LM68" s="339">
        <f t="shared" si="250"/>
        <v>0</v>
      </c>
      <c r="LN68" s="279">
        <f t="shared" si="275"/>
        <v>0</v>
      </c>
      <c r="LO68" s="339">
        <f t="shared" si="251"/>
        <v>0</v>
      </c>
      <c r="LP68" s="279">
        <f t="shared" si="276"/>
        <v>0</v>
      </c>
      <c r="LQ68" s="339">
        <f t="shared" si="252"/>
        <v>0</v>
      </c>
      <c r="LR68" s="279">
        <f t="shared" si="277"/>
        <v>0</v>
      </c>
      <c r="LS68" s="339">
        <f t="shared" si="253"/>
        <v>0</v>
      </c>
      <c r="LT68" s="279">
        <f t="shared" si="278"/>
        <v>0</v>
      </c>
      <c r="LU68" s="339">
        <f t="shared" si="254"/>
        <v>0</v>
      </c>
      <c r="LV68" s="279">
        <f t="shared" si="279"/>
        <v>0</v>
      </c>
      <c r="LW68" s="339">
        <f t="shared" si="255"/>
        <v>0</v>
      </c>
      <c r="LX68" s="252">
        <f t="shared" si="256"/>
        <v>0</v>
      </c>
      <c r="LY68" s="253">
        <f t="shared" si="257"/>
        <v>0</v>
      </c>
      <c r="MA68" s="249">
        <f t="shared" si="412"/>
        <v>0</v>
      </c>
      <c r="MB68" s="253">
        <f t="shared" si="258"/>
        <v>0</v>
      </c>
      <c r="MC68" s="397">
        <f t="shared" si="413"/>
        <v>0</v>
      </c>
      <c r="MD68" s="253">
        <f t="shared" si="259"/>
        <v>0</v>
      </c>
      <c r="ME68" s="397">
        <f t="shared" si="414"/>
        <v>0</v>
      </c>
      <c r="MF68" s="253">
        <f t="shared" si="259"/>
        <v>0</v>
      </c>
      <c r="MG68" s="397">
        <f t="shared" si="415"/>
        <v>0</v>
      </c>
      <c r="MH68" s="253">
        <f t="shared" si="260"/>
        <v>0</v>
      </c>
      <c r="MI68" s="397">
        <f t="shared" si="416"/>
        <v>0</v>
      </c>
      <c r="MJ68" s="253">
        <f t="shared" si="261"/>
        <v>0</v>
      </c>
      <c r="MK68" s="397">
        <f t="shared" si="417"/>
        <v>0</v>
      </c>
      <c r="ML68" s="253">
        <f t="shared" si="262"/>
        <v>0</v>
      </c>
      <c r="MM68" s="397">
        <f t="shared" si="418"/>
        <v>0</v>
      </c>
      <c r="MN68" s="253">
        <f t="shared" si="263"/>
        <v>0</v>
      </c>
      <c r="MO68" s="397">
        <f t="shared" si="419"/>
        <v>0</v>
      </c>
      <c r="MP68" s="253">
        <f t="shared" si="264"/>
        <v>0</v>
      </c>
      <c r="MQ68" s="397">
        <f t="shared" si="420"/>
        <v>0</v>
      </c>
      <c r="MR68" s="253">
        <f t="shared" si="265"/>
        <v>0</v>
      </c>
      <c r="MS68" s="397">
        <f t="shared" si="421"/>
        <v>0</v>
      </c>
      <c r="MT68" s="253">
        <f t="shared" si="266"/>
        <v>0</v>
      </c>
      <c r="MU68" s="397">
        <f t="shared" si="422"/>
        <v>0</v>
      </c>
      <c r="MV68" s="253">
        <f t="shared" si="267"/>
        <v>0</v>
      </c>
      <c r="MW68" s="397">
        <f t="shared" si="423"/>
        <v>0</v>
      </c>
      <c r="MX68" s="253">
        <f t="shared" si="268"/>
        <v>0</v>
      </c>
      <c r="MY68" s="252">
        <f t="shared" si="269"/>
        <v>0</v>
      </c>
      <c r="MZ68" s="251">
        <f t="shared" si="270"/>
        <v>0</v>
      </c>
    </row>
    <row r="69" spans="1:364" ht="52.8" x14ac:dyDescent="0.25">
      <c r="A69" s="533"/>
      <c r="B69" s="245" t="s">
        <v>146</v>
      </c>
      <c r="C69" s="246" t="s">
        <v>147</v>
      </c>
      <c r="D69" s="247" t="s">
        <v>28</v>
      </c>
      <c r="E69" s="4">
        <v>1</v>
      </c>
      <c r="F69" s="353">
        <v>69541.330645161288</v>
      </c>
      <c r="G69" s="353">
        <f t="shared" si="81"/>
        <v>72439.548387096773</v>
      </c>
      <c r="I69" s="30"/>
      <c r="J69" s="2">
        <v>8.3333333333333329E-2</v>
      </c>
      <c r="K69" s="248">
        <f t="shared" si="82"/>
        <v>0</v>
      </c>
      <c r="L69" s="249"/>
      <c r="M69" s="301">
        <f t="shared" si="445"/>
        <v>0</v>
      </c>
      <c r="N69" s="279">
        <f t="shared" si="450"/>
        <v>0</v>
      </c>
      <c r="O69" s="289">
        <f t="shared" si="682"/>
        <v>0</v>
      </c>
      <c r="P69" s="279">
        <f t="shared" si="451"/>
        <v>0</v>
      </c>
      <c r="Q69" s="289">
        <f t="shared" si="682"/>
        <v>0</v>
      </c>
      <c r="R69" s="279">
        <f t="shared" si="452"/>
        <v>0</v>
      </c>
      <c r="S69" s="289">
        <f t="shared" si="86"/>
        <v>0</v>
      </c>
      <c r="T69" s="279">
        <f t="shared" si="453"/>
        <v>0</v>
      </c>
      <c r="U69" s="289">
        <f t="shared" si="87"/>
        <v>0</v>
      </c>
      <c r="V69" s="279">
        <f t="shared" si="409"/>
        <v>0</v>
      </c>
      <c r="W69" s="289">
        <f t="shared" si="88"/>
        <v>0</v>
      </c>
      <c r="X69" s="279">
        <f t="shared" si="305"/>
        <v>0</v>
      </c>
      <c r="Y69" s="289">
        <f t="shared" si="89"/>
        <v>0</v>
      </c>
      <c r="Z69" s="279">
        <f t="shared" si="454"/>
        <v>0</v>
      </c>
      <c r="AA69" s="289">
        <f t="shared" si="90"/>
        <v>0</v>
      </c>
      <c r="AB69" s="279">
        <f t="shared" si="306"/>
        <v>0</v>
      </c>
      <c r="AC69" s="289">
        <f t="shared" si="91"/>
        <v>0</v>
      </c>
      <c r="AD69" s="279">
        <f t="shared" si="455"/>
        <v>0</v>
      </c>
      <c r="AE69" s="289">
        <f t="shared" si="92"/>
        <v>0</v>
      </c>
      <c r="AF69" s="279">
        <f t="shared" si="307"/>
        <v>0</v>
      </c>
      <c r="AG69" s="289">
        <f t="shared" si="308"/>
        <v>0</v>
      </c>
      <c r="AH69" s="249">
        <f t="shared" si="456"/>
        <v>0</v>
      </c>
      <c r="AI69" s="299">
        <f t="shared" si="309"/>
        <v>0</v>
      </c>
      <c r="AJ69" s="252">
        <f t="shared" si="94"/>
        <v>0</v>
      </c>
      <c r="AK69" s="312">
        <f t="shared" si="95"/>
        <v>0</v>
      </c>
      <c r="AM69" s="1"/>
      <c r="AN69" s="2">
        <v>8.3333333333333329E-2</v>
      </c>
      <c r="AO69" s="254">
        <f t="shared" si="660"/>
        <v>0</v>
      </c>
      <c r="AP69" s="249">
        <f t="shared" si="328"/>
        <v>0</v>
      </c>
      <c r="AQ69" s="301">
        <f t="shared" ref="AQ69:AS110" si="683">+AP69*$G69</f>
        <v>0</v>
      </c>
      <c r="AR69" s="249">
        <f t="shared" si="329"/>
        <v>0</v>
      </c>
      <c r="AS69" s="301">
        <f t="shared" si="683"/>
        <v>0</v>
      </c>
      <c r="AT69" s="249">
        <f t="shared" si="330"/>
        <v>0</v>
      </c>
      <c r="AU69" s="301">
        <f t="shared" ref="AU69:AU110" si="684">+AT69*$G69</f>
        <v>0</v>
      </c>
      <c r="AV69" s="249">
        <f t="shared" si="331"/>
        <v>0</v>
      </c>
      <c r="AW69" s="301">
        <f t="shared" si="98"/>
        <v>0</v>
      </c>
      <c r="AX69" s="249">
        <f t="shared" si="5"/>
        <v>0</v>
      </c>
      <c r="AY69" s="301">
        <f t="shared" si="99"/>
        <v>0</v>
      </c>
      <c r="AZ69" s="249">
        <f t="shared" si="332"/>
        <v>0</v>
      </c>
      <c r="BA69" s="301">
        <f t="shared" si="100"/>
        <v>0</v>
      </c>
      <c r="BB69" s="249">
        <f t="shared" si="7"/>
        <v>0</v>
      </c>
      <c r="BC69" s="301">
        <f t="shared" si="101"/>
        <v>0</v>
      </c>
      <c r="BD69" s="249">
        <f t="shared" si="333"/>
        <v>0</v>
      </c>
      <c r="BE69" s="301">
        <f t="shared" si="102"/>
        <v>0</v>
      </c>
      <c r="BF69" s="249">
        <f t="shared" si="9"/>
        <v>0</v>
      </c>
      <c r="BG69" s="301">
        <f t="shared" si="103"/>
        <v>0</v>
      </c>
      <c r="BH69" s="249">
        <f t="shared" si="334"/>
        <v>0</v>
      </c>
      <c r="BI69" s="301">
        <f t="shared" si="658"/>
        <v>0</v>
      </c>
      <c r="BJ69" s="249">
        <f t="shared" si="335"/>
        <v>0</v>
      </c>
      <c r="BK69" s="301">
        <f t="shared" si="658"/>
        <v>0</v>
      </c>
      <c r="BL69" s="249">
        <f t="shared" si="661"/>
        <v>0</v>
      </c>
      <c r="BM69" s="299">
        <f t="shared" si="105"/>
        <v>0</v>
      </c>
      <c r="BN69" s="252">
        <f t="shared" si="106"/>
        <v>0</v>
      </c>
      <c r="BO69" s="312">
        <f t="shared" ref="BO69:BO100" si="685">+BN69*G69</f>
        <v>0</v>
      </c>
      <c r="BQ69" s="1"/>
      <c r="BR69" s="2"/>
      <c r="BS69" s="255">
        <f t="shared" si="281"/>
        <v>0</v>
      </c>
      <c r="BT69" s="249">
        <f t="shared" si="280"/>
        <v>0</v>
      </c>
      <c r="BU69" s="336">
        <f t="shared" si="107"/>
        <v>0</v>
      </c>
      <c r="BV69" s="279">
        <f t="shared" si="457"/>
        <v>0</v>
      </c>
      <c r="BW69" s="339">
        <f t="shared" si="108"/>
        <v>0</v>
      </c>
      <c r="BX69" s="279">
        <f t="shared" si="457"/>
        <v>0</v>
      </c>
      <c r="BY69" s="339">
        <f t="shared" si="109"/>
        <v>0</v>
      </c>
      <c r="BZ69" s="279">
        <f t="shared" si="457"/>
        <v>0</v>
      </c>
      <c r="CA69" s="339">
        <f t="shared" si="110"/>
        <v>0</v>
      </c>
      <c r="CB69" s="279">
        <f t="shared" si="457"/>
        <v>0</v>
      </c>
      <c r="CC69" s="339">
        <f t="shared" si="111"/>
        <v>0</v>
      </c>
      <c r="CD69" s="279">
        <f t="shared" si="457"/>
        <v>0</v>
      </c>
      <c r="CE69" s="339">
        <f t="shared" si="112"/>
        <v>0</v>
      </c>
      <c r="CF69" s="279">
        <f t="shared" si="457"/>
        <v>0</v>
      </c>
      <c r="CG69" s="339">
        <f t="shared" si="114"/>
        <v>0</v>
      </c>
      <c r="CH69" s="279">
        <f t="shared" si="457"/>
        <v>0</v>
      </c>
      <c r="CI69" s="339">
        <f t="shared" si="115"/>
        <v>0</v>
      </c>
      <c r="CJ69" s="279">
        <f t="shared" si="116"/>
        <v>0</v>
      </c>
      <c r="CK69" s="339">
        <f t="shared" si="117"/>
        <v>0</v>
      </c>
      <c r="CL69" s="279">
        <f t="shared" si="463"/>
        <v>0</v>
      </c>
      <c r="CM69" s="339">
        <f t="shared" si="118"/>
        <v>0</v>
      </c>
      <c r="CN69" s="279">
        <f t="shared" si="119"/>
        <v>0</v>
      </c>
      <c r="CO69" s="339">
        <f t="shared" si="120"/>
        <v>0</v>
      </c>
      <c r="CP69" s="279">
        <f t="shared" si="464"/>
        <v>0</v>
      </c>
      <c r="CQ69" s="250">
        <f t="shared" si="662"/>
        <v>0</v>
      </c>
      <c r="CR69" s="252">
        <f t="shared" si="121"/>
        <v>0</v>
      </c>
      <c r="CS69" s="251">
        <f t="shared" si="448"/>
        <v>0</v>
      </c>
      <c r="CU69" s="1"/>
      <c r="CV69" s="2"/>
      <c r="CW69" s="255">
        <f t="shared" si="299"/>
        <v>0</v>
      </c>
      <c r="CX69" s="249">
        <f t="shared" si="122"/>
        <v>0</v>
      </c>
      <c r="CY69" s="250">
        <f t="shared" si="123"/>
        <v>0</v>
      </c>
      <c r="CZ69" s="279">
        <f t="shared" si="465"/>
        <v>0</v>
      </c>
      <c r="DA69" s="299">
        <f t="shared" si="123"/>
        <v>0</v>
      </c>
      <c r="DB69" s="279">
        <f t="shared" si="466"/>
        <v>0</v>
      </c>
      <c r="DC69" s="299">
        <f t="shared" si="124"/>
        <v>0</v>
      </c>
      <c r="DD69" s="279">
        <f t="shared" si="467"/>
        <v>0</v>
      </c>
      <c r="DE69" s="299">
        <f t="shared" si="125"/>
        <v>0</v>
      </c>
      <c r="DF69" s="279">
        <f t="shared" si="468"/>
        <v>0</v>
      </c>
      <c r="DG69" s="299">
        <f t="shared" si="126"/>
        <v>0</v>
      </c>
      <c r="DH69" s="279">
        <f t="shared" si="469"/>
        <v>0</v>
      </c>
      <c r="DI69" s="299">
        <f t="shared" si="127"/>
        <v>0</v>
      </c>
      <c r="DJ69" s="279">
        <f t="shared" si="128"/>
        <v>0</v>
      </c>
      <c r="DK69" s="299">
        <f t="shared" si="129"/>
        <v>0</v>
      </c>
      <c r="DL69" s="279">
        <f t="shared" si="470"/>
        <v>0</v>
      </c>
      <c r="DM69" s="299">
        <f t="shared" si="130"/>
        <v>0</v>
      </c>
      <c r="DN69" s="279">
        <f t="shared" si="131"/>
        <v>0</v>
      </c>
      <c r="DO69" s="299">
        <f t="shared" si="132"/>
        <v>0</v>
      </c>
      <c r="DP69" s="279">
        <f t="shared" si="471"/>
        <v>0</v>
      </c>
      <c r="DQ69" s="299">
        <f t="shared" si="133"/>
        <v>0</v>
      </c>
      <c r="DR69" s="279">
        <f t="shared" si="134"/>
        <v>0</v>
      </c>
      <c r="DS69" s="299">
        <f t="shared" si="135"/>
        <v>0</v>
      </c>
      <c r="DT69" s="279">
        <f t="shared" si="472"/>
        <v>0</v>
      </c>
      <c r="DU69" s="299">
        <f t="shared" si="136"/>
        <v>0</v>
      </c>
      <c r="DV69" s="252">
        <f t="shared" si="137"/>
        <v>0</v>
      </c>
      <c r="DW69" s="251">
        <f t="shared" si="449"/>
        <v>0</v>
      </c>
      <c r="DY69" s="256">
        <v>0</v>
      </c>
      <c r="DZ69" s="2"/>
      <c r="EA69" s="254">
        <f t="shared" si="663"/>
        <v>0</v>
      </c>
      <c r="EB69" s="249">
        <f t="shared" si="384"/>
        <v>0</v>
      </c>
      <c r="EC69" s="250">
        <f t="shared" si="139"/>
        <v>0</v>
      </c>
      <c r="ED69" s="356">
        <f t="shared" si="385"/>
        <v>0</v>
      </c>
      <c r="EE69" s="250">
        <f t="shared" si="139"/>
        <v>0</v>
      </c>
      <c r="EF69" s="249">
        <f t="shared" si="386"/>
        <v>0</v>
      </c>
      <c r="EG69" s="250">
        <f t="shared" si="659"/>
        <v>0</v>
      </c>
      <c r="EH69" s="249">
        <f t="shared" si="387"/>
        <v>0</v>
      </c>
      <c r="EI69" s="250">
        <f t="shared" si="659"/>
        <v>0</v>
      </c>
      <c r="EJ69" s="249">
        <f t="shared" si="388"/>
        <v>0</v>
      </c>
      <c r="EK69" s="250">
        <f t="shared" si="143"/>
        <v>0</v>
      </c>
      <c r="EL69" s="249">
        <f t="shared" si="389"/>
        <v>0</v>
      </c>
      <c r="EM69" s="250">
        <f t="shared" si="144"/>
        <v>0</v>
      </c>
      <c r="EN69" s="249">
        <f t="shared" si="290"/>
        <v>0</v>
      </c>
      <c r="EO69" s="250">
        <f t="shared" si="145"/>
        <v>0</v>
      </c>
      <c r="EP69" s="249">
        <f t="shared" si="390"/>
        <v>0</v>
      </c>
      <c r="EQ69" s="250">
        <f t="shared" si="146"/>
        <v>0</v>
      </c>
      <c r="ER69" s="249">
        <f t="shared" si="292"/>
        <v>0</v>
      </c>
      <c r="ES69" s="250">
        <f t="shared" si="147"/>
        <v>0</v>
      </c>
      <c r="ET69" s="249">
        <f t="shared" si="391"/>
        <v>0</v>
      </c>
      <c r="EU69" s="250">
        <f t="shared" si="148"/>
        <v>0</v>
      </c>
      <c r="EV69" s="249">
        <f t="shared" si="294"/>
        <v>0</v>
      </c>
      <c r="EW69" s="250">
        <f t="shared" si="149"/>
        <v>0</v>
      </c>
      <c r="EX69" s="249">
        <f t="shared" si="392"/>
        <v>0</v>
      </c>
      <c r="EY69" s="250">
        <f t="shared" si="150"/>
        <v>0</v>
      </c>
      <c r="EZ69" s="252">
        <f t="shared" si="151"/>
        <v>0</v>
      </c>
      <c r="FA69" s="251">
        <f t="shared" si="664"/>
        <v>0</v>
      </c>
      <c r="FC69" s="1"/>
      <c r="FD69" s="2"/>
      <c r="FE69" s="257">
        <f t="shared" si="152"/>
        <v>0</v>
      </c>
      <c r="FF69" s="249">
        <f t="shared" si="153"/>
        <v>0</v>
      </c>
      <c r="FG69" s="250">
        <f t="shared" si="154"/>
        <v>0</v>
      </c>
      <c r="FH69" s="372">
        <f t="shared" si="473"/>
        <v>0</v>
      </c>
      <c r="FI69" s="339">
        <f t="shared" si="155"/>
        <v>0</v>
      </c>
      <c r="FJ69" s="372">
        <f t="shared" si="474"/>
        <v>0</v>
      </c>
      <c r="FK69" s="339">
        <f t="shared" si="155"/>
        <v>0</v>
      </c>
      <c r="FL69" s="372">
        <f t="shared" si="475"/>
        <v>0</v>
      </c>
      <c r="FM69" s="339">
        <f t="shared" si="156"/>
        <v>0</v>
      </c>
      <c r="FN69" s="372">
        <f t="shared" si="476"/>
        <v>0</v>
      </c>
      <c r="FO69" s="339">
        <f t="shared" si="157"/>
        <v>0</v>
      </c>
      <c r="FP69" s="372">
        <f t="shared" si="477"/>
        <v>0</v>
      </c>
      <c r="FQ69" s="339">
        <f t="shared" si="158"/>
        <v>0</v>
      </c>
      <c r="FR69" s="372">
        <f t="shared" si="159"/>
        <v>0</v>
      </c>
      <c r="FS69" s="339">
        <f t="shared" si="160"/>
        <v>0</v>
      </c>
      <c r="FT69" s="372">
        <f t="shared" si="478"/>
        <v>0</v>
      </c>
      <c r="FU69" s="339">
        <f t="shared" si="161"/>
        <v>0</v>
      </c>
      <c r="FV69" s="372">
        <f t="shared" si="162"/>
        <v>0</v>
      </c>
      <c r="FW69" s="339">
        <f t="shared" si="163"/>
        <v>0</v>
      </c>
      <c r="FX69" s="372">
        <f t="shared" si="479"/>
        <v>0</v>
      </c>
      <c r="FY69" s="339">
        <f t="shared" si="164"/>
        <v>0</v>
      </c>
      <c r="FZ69" s="372">
        <f t="shared" si="165"/>
        <v>0</v>
      </c>
      <c r="GA69" s="339">
        <f t="shared" si="166"/>
        <v>0</v>
      </c>
      <c r="GB69" s="372">
        <f t="shared" si="480"/>
        <v>0</v>
      </c>
      <c r="GC69" s="339">
        <f t="shared" si="167"/>
        <v>0</v>
      </c>
      <c r="GD69" s="252">
        <f t="shared" si="168"/>
        <v>0</v>
      </c>
      <c r="GE69" s="251">
        <f t="shared" ref="GE69:GE100" si="686">+GD69*G69</f>
        <v>0</v>
      </c>
      <c r="GG69" s="1"/>
      <c r="GH69" s="2">
        <v>0.2</v>
      </c>
      <c r="GI69" s="257">
        <f t="shared" si="665"/>
        <v>0</v>
      </c>
      <c r="GJ69" s="249">
        <f t="shared" si="169"/>
        <v>0</v>
      </c>
      <c r="GK69" s="250">
        <f t="shared" si="170"/>
        <v>0</v>
      </c>
      <c r="GL69" s="249">
        <f t="shared" si="169"/>
        <v>0</v>
      </c>
      <c r="GM69" s="250">
        <f t="shared" si="170"/>
        <v>0</v>
      </c>
      <c r="GN69" s="249">
        <f t="shared" si="169"/>
        <v>0</v>
      </c>
      <c r="GO69" s="250">
        <f t="shared" si="171"/>
        <v>0</v>
      </c>
      <c r="GP69" s="249">
        <f t="shared" si="169"/>
        <v>0</v>
      </c>
      <c r="GQ69" s="250">
        <f t="shared" si="172"/>
        <v>0</v>
      </c>
      <c r="GR69" s="249">
        <f t="shared" si="173"/>
        <v>0</v>
      </c>
      <c r="GS69" s="250">
        <f t="shared" si="174"/>
        <v>0</v>
      </c>
      <c r="GT69" s="249">
        <f t="shared" si="175"/>
        <v>0</v>
      </c>
      <c r="GU69" s="250">
        <f t="shared" si="176"/>
        <v>0</v>
      </c>
      <c r="GV69" s="249">
        <f t="shared" si="177"/>
        <v>0</v>
      </c>
      <c r="GW69" s="250">
        <f t="shared" si="178"/>
        <v>0</v>
      </c>
      <c r="GX69" s="249">
        <f t="shared" si="179"/>
        <v>0</v>
      </c>
      <c r="GY69" s="250">
        <f t="shared" si="180"/>
        <v>0</v>
      </c>
      <c r="GZ69" s="249">
        <f t="shared" si="181"/>
        <v>0</v>
      </c>
      <c r="HA69" s="250">
        <f t="shared" si="182"/>
        <v>0</v>
      </c>
      <c r="HB69" s="249">
        <f t="shared" si="183"/>
        <v>0</v>
      </c>
      <c r="HC69" s="250">
        <f t="shared" si="184"/>
        <v>0</v>
      </c>
      <c r="HD69" s="249">
        <f t="shared" si="185"/>
        <v>0</v>
      </c>
      <c r="HE69" s="250">
        <f t="shared" si="186"/>
        <v>0</v>
      </c>
      <c r="HF69" s="249">
        <f t="shared" si="187"/>
        <v>0</v>
      </c>
      <c r="HG69" s="250">
        <f t="shared" si="188"/>
        <v>0</v>
      </c>
      <c r="HH69" s="252">
        <f t="shared" si="189"/>
        <v>0</v>
      </c>
      <c r="HI69" s="251">
        <f t="shared" si="666"/>
        <v>0</v>
      </c>
      <c r="HK69" s="1"/>
      <c r="HL69" s="2"/>
      <c r="HM69" s="257">
        <f t="shared" si="667"/>
        <v>0</v>
      </c>
      <c r="HN69" s="249">
        <f t="shared" si="190"/>
        <v>0</v>
      </c>
      <c r="HO69" s="250">
        <f t="shared" si="668"/>
        <v>0</v>
      </c>
      <c r="HP69" s="249">
        <f t="shared" si="192"/>
        <v>0</v>
      </c>
      <c r="HQ69" s="250">
        <f t="shared" si="193"/>
        <v>0</v>
      </c>
      <c r="HR69" s="249">
        <f t="shared" si="192"/>
        <v>0</v>
      </c>
      <c r="HS69" s="250">
        <f t="shared" si="193"/>
        <v>0</v>
      </c>
      <c r="HT69" s="249">
        <f t="shared" si="192"/>
        <v>0</v>
      </c>
      <c r="HU69" s="250">
        <f t="shared" si="194"/>
        <v>0</v>
      </c>
      <c r="HV69" s="249">
        <f t="shared" ref="HV69" si="687">+$HK69*$HL69</f>
        <v>0</v>
      </c>
      <c r="HW69" s="250">
        <f t="shared" si="195"/>
        <v>0</v>
      </c>
      <c r="HX69" s="249">
        <f t="shared" si="196"/>
        <v>0</v>
      </c>
      <c r="HY69" s="250">
        <f t="shared" si="197"/>
        <v>0</v>
      </c>
      <c r="HZ69" s="249">
        <f t="shared" si="198"/>
        <v>0</v>
      </c>
      <c r="IA69" s="250">
        <f t="shared" si="199"/>
        <v>0</v>
      </c>
      <c r="IB69" s="249">
        <f t="shared" si="200"/>
        <v>0</v>
      </c>
      <c r="IC69" s="250">
        <f t="shared" si="201"/>
        <v>0</v>
      </c>
      <c r="ID69" s="249">
        <f t="shared" si="202"/>
        <v>0</v>
      </c>
      <c r="IE69" s="250">
        <f t="shared" si="203"/>
        <v>0</v>
      </c>
      <c r="IF69" s="249">
        <f t="shared" si="204"/>
        <v>0</v>
      </c>
      <c r="IG69" s="250">
        <f t="shared" si="205"/>
        <v>0</v>
      </c>
      <c r="IH69" s="249">
        <f t="shared" si="206"/>
        <v>0</v>
      </c>
      <c r="II69" s="250">
        <f t="shared" si="207"/>
        <v>0</v>
      </c>
      <c r="IJ69" s="249">
        <f t="shared" si="208"/>
        <v>0</v>
      </c>
      <c r="IK69" s="250">
        <f t="shared" si="209"/>
        <v>0</v>
      </c>
      <c r="IL69" s="252">
        <f t="shared" si="210"/>
        <v>0</v>
      </c>
      <c r="IM69" s="251">
        <f t="shared" si="211"/>
        <v>0</v>
      </c>
      <c r="IO69" s="1"/>
      <c r="IP69" s="2">
        <v>8.3333333333333329E-2</v>
      </c>
      <c r="IQ69" s="257">
        <f t="shared" si="669"/>
        <v>0</v>
      </c>
      <c r="IR69" s="249">
        <f t="shared" si="212"/>
        <v>0</v>
      </c>
      <c r="IS69" s="250">
        <f t="shared" si="213"/>
        <v>0</v>
      </c>
      <c r="IT69" s="279">
        <f t="shared" si="401"/>
        <v>0</v>
      </c>
      <c r="IU69" s="289">
        <f t="shared" si="214"/>
        <v>0</v>
      </c>
      <c r="IV69" s="279">
        <f t="shared" si="402"/>
        <v>0</v>
      </c>
      <c r="IW69" s="289">
        <f t="shared" si="214"/>
        <v>0</v>
      </c>
      <c r="IX69" s="279">
        <f t="shared" si="403"/>
        <v>0</v>
      </c>
      <c r="IY69" s="289">
        <f t="shared" si="215"/>
        <v>0</v>
      </c>
      <c r="IZ69" s="279">
        <f t="shared" si="404"/>
        <v>0</v>
      </c>
      <c r="JA69" s="289">
        <f t="shared" si="216"/>
        <v>0</v>
      </c>
      <c r="JB69" s="279">
        <f t="shared" si="405"/>
        <v>0</v>
      </c>
      <c r="JC69" s="289">
        <f t="shared" si="217"/>
        <v>0</v>
      </c>
      <c r="JD69" s="279">
        <f t="shared" si="218"/>
        <v>0</v>
      </c>
      <c r="JE69" s="289">
        <f t="shared" si="219"/>
        <v>0</v>
      </c>
      <c r="JF69" s="279">
        <f t="shared" si="406"/>
        <v>0</v>
      </c>
      <c r="JG69" s="289">
        <f t="shared" si="220"/>
        <v>0</v>
      </c>
      <c r="JH69" s="279">
        <f t="shared" si="221"/>
        <v>0</v>
      </c>
      <c r="JI69" s="289">
        <f t="shared" si="222"/>
        <v>0</v>
      </c>
      <c r="JJ69" s="279">
        <f t="shared" si="407"/>
        <v>0</v>
      </c>
      <c r="JK69" s="289">
        <f t="shared" si="223"/>
        <v>0</v>
      </c>
      <c r="JL69" s="279">
        <f t="shared" si="224"/>
        <v>0</v>
      </c>
      <c r="JM69" s="289">
        <f t="shared" si="225"/>
        <v>0</v>
      </c>
      <c r="JN69" s="279">
        <f t="shared" si="408"/>
        <v>0</v>
      </c>
      <c r="JO69" s="289">
        <f t="shared" si="226"/>
        <v>0</v>
      </c>
      <c r="JP69" s="252">
        <f t="shared" si="227"/>
        <v>0</v>
      </c>
      <c r="JQ69" s="251">
        <f t="shared" si="228"/>
        <v>0</v>
      </c>
      <c r="JS69" s="1"/>
      <c r="JT69" s="2">
        <v>8.3333333333333329E-2</v>
      </c>
      <c r="JU69" s="257">
        <f t="shared" si="670"/>
        <v>0</v>
      </c>
      <c r="JV69" s="249">
        <f t="shared" si="229"/>
        <v>0</v>
      </c>
      <c r="JW69" s="250">
        <f t="shared" si="230"/>
        <v>0</v>
      </c>
      <c r="JX69" s="372">
        <f t="shared" si="671"/>
        <v>0</v>
      </c>
      <c r="JY69" s="339">
        <f t="shared" si="231"/>
        <v>0</v>
      </c>
      <c r="JZ69" s="372">
        <f t="shared" si="672"/>
        <v>0</v>
      </c>
      <c r="KA69" s="339">
        <f t="shared" si="231"/>
        <v>0</v>
      </c>
      <c r="KB69" s="372">
        <f t="shared" si="673"/>
        <v>0</v>
      </c>
      <c r="KC69" s="339">
        <f t="shared" si="232"/>
        <v>0</v>
      </c>
      <c r="KD69" s="372">
        <f t="shared" si="674"/>
        <v>0</v>
      </c>
      <c r="KE69" s="339">
        <f t="shared" si="233"/>
        <v>0</v>
      </c>
      <c r="KF69" s="372">
        <f t="shared" si="675"/>
        <v>0</v>
      </c>
      <c r="KG69" s="339">
        <f t="shared" si="234"/>
        <v>0</v>
      </c>
      <c r="KH69" s="372">
        <f t="shared" si="235"/>
        <v>0</v>
      </c>
      <c r="KI69" s="339">
        <f t="shared" si="236"/>
        <v>0</v>
      </c>
      <c r="KJ69" s="372">
        <f t="shared" si="676"/>
        <v>0</v>
      </c>
      <c r="KK69" s="339">
        <f t="shared" si="237"/>
        <v>0</v>
      </c>
      <c r="KL69" s="372">
        <f t="shared" si="238"/>
        <v>0</v>
      </c>
      <c r="KM69" s="339">
        <f t="shared" si="239"/>
        <v>0</v>
      </c>
      <c r="KN69" s="372">
        <f t="shared" si="677"/>
        <v>0</v>
      </c>
      <c r="KO69" s="339">
        <f t="shared" si="240"/>
        <v>0</v>
      </c>
      <c r="KP69" s="372">
        <f t="shared" si="241"/>
        <v>0</v>
      </c>
      <c r="KQ69" s="339">
        <f t="shared" si="242"/>
        <v>0</v>
      </c>
      <c r="KR69" s="372">
        <f t="shared" si="678"/>
        <v>0</v>
      </c>
      <c r="KS69" s="377">
        <f t="shared" si="243"/>
        <v>0</v>
      </c>
      <c r="KT69" s="379">
        <f t="shared" si="244"/>
        <v>0</v>
      </c>
      <c r="KU69" s="251">
        <f t="shared" si="679"/>
        <v>0</v>
      </c>
      <c r="KW69" s="1"/>
      <c r="KX69" s="2">
        <v>8.3333333333333329E-2</v>
      </c>
      <c r="KY69" s="254">
        <f t="shared" si="680"/>
        <v>0</v>
      </c>
      <c r="KZ69" s="249">
        <f t="shared" si="271"/>
        <v>0</v>
      </c>
      <c r="LA69" s="251">
        <f t="shared" si="681"/>
        <v>0</v>
      </c>
      <c r="LB69" s="279">
        <f t="shared" si="272"/>
        <v>0</v>
      </c>
      <c r="LC69" s="339">
        <f t="shared" si="246"/>
        <v>0</v>
      </c>
      <c r="LD69" s="279">
        <f t="shared" si="272"/>
        <v>0</v>
      </c>
      <c r="LE69" s="339">
        <f t="shared" si="246"/>
        <v>0</v>
      </c>
      <c r="LF69" s="279">
        <f t="shared" si="272"/>
        <v>0</v>
      </c>
      <c r="LG69" s="339">
        <f t="shared" si="247"/>
        <v>0</v>
      </c>
      <c r="LH69" s="279">
        <f t="shared" si="272"/>
        <v>0</v>
      </c>
      <c r="LI69" s="339">
        <f t="shared" si="248"/>
        <v>0</v>
      </c>
      <c r="LJ69" s="279">
        <f t="shared" si="273"/>
        <v>0</v>
      </c>
      <c r="LK69" s="339">
        <f t="shared" si="249"/>
        <v>0</v>
      </c>
      <c r="LL69" s="279">
        <f t="shared" si="274"/>
        <v>0</v>
      </c>
      <c r="LM69" s="339">
        <f t="shared" si="250"/>
        <v>0</v>
      </c>
      <c r="LN69" s="279">
        <f t="shared" si="275"/>
        <v>0</v>
      </c>
      <c r="LO69" s="339">
        <f t="shared" si="251"/>
        <v>0</v>
      </c>
      <c r="LP69" s="279">
        <f t="shared" si="276"/>
        <v>0</v>
      </c>
      <c r="LQ69" s="339">
        <f t="shared" si="252"/>
        <v>0</v>
      </c>
      <c r="LR69" s="279">
        <f t="shared" si="277"/>
        <v>0</v>
      </c>
      <c r="LS69" s="339">
        <f t="shared" si="253"/>
        <v>0</v>
      </c>
      <c r="LT69" s="279">
        <f t="shared" si="278"/>
        <v>0</v>
      </c>
      <c r="LU69" s="339">
        <f t="shared" si="254"/>
        <v>0</v>
      </c>
      <c r="LV69" s="279">
        <f t="shared" si="279"/>
        <v>0</v>
      </c>
      <c r="LW69" s="339">
        <f t="shared" si="255"/>
        <v>0</v>
      </c>
      <c r="LX69" s="252">
        <f t="shared" si="256"/>
        <v>0</v>
      </c>
      <c r="LY69" s="253">
        <f t="shared" si="257"/>
        <v>0</v>
      </c>
      <c r="MA69" s="249">
        <f t="shared" ref="MA69:MA100" si="688">+L69+AP69+BT69+CX69+EB69+FF69+GJ69+HN69+IR69+JV69+KZ69</f>
        <v>0</v>
      </c>
      <c r="MB69" s="253">
        <f t="shared" si="258"/>
        <v>0</v>
      </c>
      <c r="MC69" s="397">
        <f t="shared" ref="MC69:MC100" si="689">+N69+AR69+BV69+CZ69+ED69+FH69+GL69+HP69+IT69+JX69+LB69</f>
        <v>0</v>
      </c>
      <c r="MD69" s="253">
        <f t="shared" si="259"/>
        <v>0</v>
      </c>
      <c r="ME69" s="397">
        <f t="shared" ref="ME69:ME100" si="690">+P69+AT69+BX69+DB69+EF69+FJ69+GN69+HR69+IV69+JZ69+LD69</f>
        <v>0</v>
      </c>
      <c r="MF69" s="253">
        <f t="shared" si="259"/>
        <v>0</v>
      </c>
      <c r="MG69" s="397">
        <f t="shared" ref="MG69:MG100" si="691">+R69+AV69+BZ69+DD69+EH69+FL69+GP69+HT69+IX69+KB69+LF69</f>
        <v>0</v>
      </c>
      <c r="MH69" s="253">
        <f t="shared" si="260"/>
        <v>0</v>
      </c>
      <c r="MI69" s="397">
        <f t="shared" ref="MI69:MI100" si="692">+T69+AX69+CB69+DF69+EJ69+FN69+GR69+HV69+IZ69+KD69+LH69</f>
        <v>0</v>
      </c>
      <c r="MJ69" s="253">
        <f t="shared" si="261"/>
        <v>0</v>
      </c>
      <c r="MK69" s="397">
        <f t="shared" ref="MK69:MK100" si="693">+V69+AZ69+CD69+DH69+EL69+FP69+GT69+HX69+JB69+KF69+LJ69</f>
        <v>0</v>
      </c>
      <c r="ML69" s="253">
        <f t="shared" si="262"/>
        <v>0</v>
      </c>
      <c r="MM69" s="397">
        <f t="shared" ref="MM69:MM100" si="694">+X69+BB69+CF69+DJ69+EN69+FR69+GV69+HZ69+JD69+KH69+LL69</f>
        <v>0</v>
      </c>
      <c r="MN69" s="253">
        <f t="shared" si="263"/>
        <v>0</v>
      </c>
      <c r="MO69" s="397">
        <f t="shared" ref="MO69:MO100" si="695">+Z69+BD69+CH69+DL69+EP69+FT69+GX69+IB69+JF69+KJ69+LN69</f>
        <v>0</v>
      </c>
      <c r="MP69" s="253">
        <f t="shared" si="264"/>
        <v>0</v>
      </c>
      <c r="MQ69" s="397">
        <f t="shared" ref="MQ69:MQ100" si="696">+AB69+BF69+CJ69+DN69+ER69+FV69+GZ69+ID69+JH69+KL69+LP69</f>
        <v>0</v>
      </c>
      <c r="MR69" s="253">
        <f t="shared" si="265"/>
        <v>0</v>
      </c>
      <c r="MS69" s="397">
        <f t="shared" ref="MS69:MS100" si="697">+AD69+BH69+CL69+DP69+ET69+FX69+HB69+IF69+JJ69+KN69+LR69</f>
        <v>0</v>
      </c>
      <c r="MT69" s="253">
        <f t="shared" si="266"/>
        <v>0</v>
      </c>
      <c r="MU69" s="397">
        <f t="shared" ref="MU69:MU100" si="698">+AF69+BJ69+CN69+DR69+EV69+FZ69+HD69+IH69+JL69+KP69+LT69</f>
        <v>0</v>
      </c>
      <c r="MV69" s="253">
        <f t="shared" si="267"/>
        <v>0</v>
      </c>
      <c r="MW69" s="397">
        <f t="shared" ref="MW69:MW100" si="699">+AH69+BL69+CP69+DT69+EX69+GB69+HF69+IJ69+JN69+KR69+LV69</f>
        <v>0</v>
      </c>
      <c r="MX69" s="253">
        <f t="shared" si="268"/>
        <v>0</v>
      </c>
      <c r="MY69" s="252">
        <f t="shared" si="269"/>
        <v>0</v>
      </c>
      <c r="MZ69" s="251">
        <f t="shared" si="270"/>
        <v>0</v>
      </c>
    </row>
    <row r="70" spans="1:364" ht="52.8" x14ac:dyDescent="0.25">
      <c r="A70" s="533"/>
      <c r="B70" s="245" t="s">
        <v>148</v>
      </c>
      <c r="C70" s="246" t="s">
        <v>149</v>
      </c>
      <c r="D70" s="247" t="s">
        <v>28</v>
      </c>
      <c r="E70" s="4">
        <v>1</v>
      </c>
      <c r="F70" s="353">
        <v>69533.028937381401</v>
      </c>
      <c r="G70" s="353">
        <f t="shared" ref="G70:G110" si="700">+F70*(1+$G$2)</f>
        <v>72430.900695762175</v>
      </c>
      <c r="I70" s="30"/>
      <c r="J70" s="2">
        <v>8.3333333333333329E-2</v>
      </c>
      <c r="K70" s="248">
        <f t="shared" ref="K70:K110" si="701">+(I70*J70)*G70</f>
        <v>0</v>
      </c>
      <c r="L70" s="249"/>
      <c r="M70" s="301">
        <f t="shared" si="445"/>
        <v>0</v>
      </c>
      <c r="N70" s="279">
        <f t="shared" si="450"/>
        <v>0</v>
      </c>
      <c r="O70" s="289">
        <f t="shared" si="682"/>
        <v>0</v>
      </c>
      <c r="P70" s="279">
        <f t="shared" si="451"/>
        <v>0</v>
      </c>
      <c r="Q70" s="289">
        <f t="shared" si="682"/>
        <v>0</v>
      </c>
      <c r="R70" s="279">
        <f t="shared" si="452"/>
        <v>0</v>
      </c>
      <c r="S70" s="289">
        <f t="shared" ref="S70:S110" si="702">+R70*$G70</f>
        <v>0</v>
      </c>
      <c r="T70" s="279">
        <f t="shared" si="453"/>
        <v>0</v>
      </c>
      <c r="U70" s="289">
        <f t="shared" ref="U70:U110" si="703">+T70*$G70</f>
        <v>0</v>
      </c>
      <c r="V70" s="279">
        <f t="shared" si="409"/>
        <v>0</v>
      </c>
      <c r="W70" s="289">
        <f t="shared" ref="W70:W110" si="704">+V70*$G70</f>
        <v>0</v>
      </c>
      <c r="X70" s="279">
        <f t="shared" si="305"/>
        <v>0</v>
      </c>
      <c r="Y70" s="289">
        <f t="shared" ref="Y70:Y110" si="705">+X70*$G70</f>
        <v>0</v>
      </c>
      <c r="Z70" s="279">
        <f t="shared" si="454"/>
        <v>0</v>
      </c>
      <c r="AA70" s="289">
        <f t="shared" ref="AA70:AA110" si="706">+Z70*$G70</f>
        <v>0</v>
      </c>
      <c r="AB70" s="279">
        <f t="shared" si="306"/>
        <v>0</v>
      </c>
      <c r="AC70" s="289">
        <f t="shared" ref="AC70:AC110" si="707">+AB70*$G70</f>
        <v>0</v>
      </c>
      <c r="AD70" s="279">
        <f t="shared" si="455"/>
        <v>0</v>
      </c>
      <c r="AE70" s="289">
        <f t="shared" ref="AE70:AE110" si="708">+AD70*$G70</f>
        <v>0</v>
      </c>
      <c r="AF70" s="279">
        <f t="shared" si="307"/>
        <v>0</v>
      </c>
      <c r="AG70" s="289">
        <f t="shared" si="308"/>
        <v>0</v>
      </c>
      <c r="AH70" s="249">
        <f t="shared" si="456"/>
        <v>0</v>
      </c>
      <c r="AI70" s="299">
        <f t="shared" si="309"/>
        <v>0</v>
      </c>
      <c r="AJ70" s="252">
        <f t="shared" ref="AJ70:AJ110" si="709">+L70+N70+P70+R70+T70+V70+X70+Z70+AB70+AD70+AF70+AH70</f>
        <v>0</v>
      </c>
      <c r="AK70" s="312">
        <f t="shared" ref="AK70:AK110" si="710">+AJ70*$G70</f>
        <v>0</v>
      </c>
      <c r="AM70" s="1"/>
      <c r="AN70" s="2">
        <v>8.3333333333333329E-2</v>
      </c>
      <c r="AO70" s="254">
        <f t="shared" si="660"/>
        <v>0</v>
      </c>
      <c r="AP70" s="249">
        <f t="shared" si="328"/>
        <v>0</v>
      </c>
      <c r="AQ70" s="301">
        <f t="shared" si="683"/>
        <v>0</v>
      </c>
      <c r="AR70" s="249">
        <f t="shared" si="329"/>
        <v>0</v>
      </c>
      <c r="AS70" s="301">
        <f t="shared" si="683"/>
        <v>0</v>
      </c>
      <c r="AT70" s="249">
        <f t="shared" si="330"/>
        <v>0</v>
      </c>
      <c r="AU70" s="301">
        <f t="shared" si="684"/>
        <v>0</v>
      </c>
      <c r="AV70" s="249">
        <f t="shared" si="331"/>
        <v>0</v>
      </c>
      <c r="AW70" s="301">
        <f t="shared" ref="AW70:AW110" si="711">+AV70*$G70</f>
        <v>0</v>
      </c>
      <c r="AX70" s="249">
        <f t="shared" si="5"/>
        <v>0</v>
      </c>
      <c r="AY70" s="301">
        <f t="shared" ref="AY70:AY110" si="712">+AX70*$G70</f>
        <v>0</v>
      </c>
      <c r="AZ70" s="249">
        <f t="shared" si="332"/>
        <v>0</v>
      </c>
      <c r="BA70" s="301">
        <f t="shared" ref="BA70:BA110" si="713">+AZ70*$G70</f>
        <v>0</v>
      </c>
      <c r="BB70" s="249">
        <f t="shared" si="7"/>
        <v>0</v>
      </c>
      <c r="BC70" s="301">
        <f t="shared" ref="BC70:BC110" si="714">+BB70*$G70</f>
        <v>0</v>
      </c>
      <c r="BD70" s="249">
        <f t="shared" si="333"/>
        <v>0</v>
      </c>
      <c r="BE70" s="301">
        <f t="shared" ref="BE70:BE110" si="715">+BD70*$G70</f>
        <v>0</v>
      </c>
      <c r="BF70" s="249">
        <f t="shared" si="9"/>
        <v>0</v>
      </c>
      <c r="BG70" s="301">
        <f t="shared" ref="BG70:BG110" si="716">+BF70*$G70</f>
        <v>0</v>
      </c>
      <c r="BH70" s="249">
        <f t="shared" si="334"/>
        <v>0</v>
      </c>
      <c r="BI70" s="301">
        <f t="shared" ref="BI70:BK85" si="717">+BH70*$G70</f>
        <v>0</v>
      </c>
      <c r="BJ70" s="249">
        <f t="shared" si="335"/>
        <v>0</v>
      </c>
      <c r="BK70" s="301">
        <f t="shared" si="717"/>
        <v>0</v>
      </c>
      <c r="BL70" s="249">
        <f t="shared" si="661"/>
        <v>0</v>
      </c>
      <c r="BM70" s="299">
        <f t="shared" ref="BM70:BM110" si="718">+BL70*$G70</f>
        <v>0</v>
      </c>
      <c r="BN70" s="252">
        <f t="shared" ref="BN70:BN110" si="719">+AP70+AR70+AT70+AV70+AX70+AZ70+BB70+BD70+BF70+BH70+BJ70+BL70</f>
        <v>0</v>
      </c>
      <c r="BO70" s="312">
        <f t="shared" si="685"/>
        <v>0</v>
      </c>
      <c r="BQ70" s="1"/>
      <c r="BR70" s="2"/>
      <c r="BS70" s="255">
        <f t="shared" si="281"/>
        <v>0</v>
      </c>
      <c r="BT70" s="249">
        <f t="shared" si="280"/>
        <v>0</v>
      </c>
      <c r="BU70" s="336">
        <f t="shared" ref="BU70:BU110" si="720">+BT70*$G70</f>
        <v>0</v>
      </c>
      <c r="BV70" s="279">
        <f t="shared" ref="BV70:CH106" si="721">+$BQ70*$BR70</f>
        <v>0</v>
      </c>
      <c r="BW70" s="339">
        <f t="shared" ref="BW70:BW110" si="722">+BV70*$G70</f>
        <v>0</v>
      </c>
      <c r="BX70" s="279">
        <f t="shared" si="721"/>
        <v>0</v>
      </c>
      <c r="BY70" s="339">
        <f t="shared" ref="BY70:BY110" si="723">+BX70*$G70</f>
        <v>0</v>
      </c>
      <c r="BZ70" s="279">
        <f t="shared" si="721"/>
        <v>0</v>
      </c>
      <c r="CA70" s="339">
        <f t="shared" ref="CA70:CA110" si="724">+BZ70*$G70</f>
        <v>0</v>
      </c>
      <c r="CB70" s="279">
        <f t="shared" si="721"/>
        <v>0</v>
      </c>
      <c r="CC70" s="339">
        <f t="shared" ref="CC70:CC110" si="725">+CB70*$G70</f>
        <v>0</v>
      </c>
      <c r="CD70" s="279">
        <f t="shared" si="721"/>
        <v>0</v>
      </c>
      <c r="CE70" s="339">
        <f t="shared" ref="CE70:CE110" si="726">+CD70*$G70</f>
        <v>0</v>
      </c>
      <c r="CF70" s="279">
        <f t="shared" si="721"/>
        <v>0</v>
      </c>
      <c r="CG70" s="339">
        <f t="shared" ref="CG70:CG110" si="727">+CF70*$G70</f>
        <v>0</v>
      </c>
      <c r="CH70" s="279">
        <f t="shared" si="721"/>
        <v>0</v>
      </c>
      <c r="CI70" s="339">
        <f t="shared" ref="CI70:CI110" si="728">+CH70*$G70</f>
        <v>0</v>
      </c>
      <c r="CJ70" s="279">
        <f t="shared" ref="CJ70:CJ110" si="729">+$BQ70*$BR70</f>
        <v>0</v>
      </c>
      <c r="CK70" s="339">
        <f t="shared" ref="CK70:CK110" si="730">+CJ70*$G70</f>
        <v>0</v>
      </c>
      <c r="CL70" s="279">
        <f t="shared" si="463"/>
        <v>0</v>
      </c>
      <c r="CM70" s="339">
        <f t="shared" ref="CM70:CM110" si="731">+CL70*$G70</f>
        <v>0</v>
      </c>
      <c r="CN70" s="279">
        <f t="shared" ref="CN70:CN110" si="732">+$BQ70*$BR70</f>
        <v>0</v>
      </c>
      <c r="CO70" s="339">
        <f t="shared" ref="CO70:CO110" si="733">+CN70*$G70</f>
        <v>0</v>
      </c>
      <c r="CP70" s="279">
        <f t="shared" si="464"/>
        <v>0</v>
      </c>
      <c r="CQ70" s="250">
        <f t="shared" si="662"/>
        <v>0</v>
      </c>
      <c r="CR70" s="252">
        <f t="shared" ref="CR70:CR110" si="734">+BT70+BV70+BX70+BZ70+CB70+CD70+CF70+CH70+CJ70+CL70+CN70+CP70</f>
        <v>0</v>
      </c>
      <c r="CS70" s="251">
        <f t="shared" si="448"/>
        <v>0</v>
      </c>
      <c r="CU70" s="1"/>
      <c r="CV70" s="2"/>
      <c r="CW70" s="255">
        <f t="shared" si="299"/>
        <v>0</v>
      </c>
      <c r="CX70" s="249">
        <f t="shared" ref="CX70:CX110" si="735">+$CU70*$CV70</f>
        <v>0</v>
      </c>
      <c r="CY70" s="250">
        <f t="shared" ref="CY70:DA110" si="736">+CX70*$G70</f>
        <v>0</v>
      </c>
      <c r="CZ70" s="279">
        <f t="shared" si="465"/>
        <v>0</v>
      </c>
      <c r="DA70" s="299">
        <f t="shared" si="736"/>
        <v>0</v>
      </c>
      <c r="DB70" s="279">
        <f t="shared" si="465"/>
        <v>0</v>
      </c>
      <c r="DC70" s="299">
        <f t="shared" ref="DC70:DC110" si="737">+DB70*$G70</f>
        <v>0</v>
      </c>
      <c r="DD70" s="279">
        <f t="shared" si="465"/>
        <v>0</v>
      </c>
      <c r="DE70" s="299">
        <f t="shared" ref="DE70:DE110" si="738">+DD70*$G70</f>
        <v>0</v>
      </c>
      <c r="DF70" s="279">
        <f t="shared" si="465"/>
        <v>0</v>
      </c>
      <c r="DG70" s="299">
        <f t="shared" ref="DG70:DG110" si="739">+DF70*$G70</f>
        <v>0</v>
      </c>
      <c r="DH70" s="279">
        <f t="shared" si="465"/>
        <v>0</v>
      </c>
      <c r="DI70" s="299">
        <f t="shared" ref="DI70:DI110" si="740">+DH70*$G70</f>
        <v>0</v>
      </c>
      <c r="DJ70" s="279">
        <f t="shared" si="465"/>
        <v>0</v>
      </c>
      <c r="DK70" s="299">
        <f t="shared" ref="DK70:DK110" si="741">+DJ70*$G70</f>
        <v>0</v>
      </c>
      <c r="DL70" s="279">
        <f t="shared" si="465"/>
        <v>0</v>
      </c>
      <c r="DM70" s="299">
        <f t="shared" ref="DM70:DM110" si="742">+DL70*$G70</f>
        <v>0</v>
      </c>
      <c r="DN70" s="279">
        <f t="shared" ref="DN70:DN110" si="743">+$CU70*$CV70</f>
        <v>0</v>
      </c>
      <c r="DO70" s="299">
        <f t="shared" ref="DO70:DO110" si="744">+DN70*$G70</f>
        <v>0</v>
      </c>
      <c r="DP70" s="279">
        <f t="shared" si="471"/>
        <v>0</v>
      </c>
      <c r="DQ70" s="299">
        <f t="shared" ref="DQ70:DQ110" si="745">+DP70*$G70</f>
        <v>0</v>
      </c>
      <c r="DR70" s="279">
        <f t="shared" ref="DR70:DR110" si="746">+$CU70*$CV70</f>
        <v>0</v>
      </c>
      <c r="DS70" s="299">
        <f t="shared" ref="DS70:DS110" si="747">+DR70*$G70</f>
        <v>0</v>
      </c>
      <c r="DT70" s="279">
        <f t="shared" si="472"/>
        <v>0</v>
      </c>
      <c r="DU70" s="299">
        <f t="shared" ref="DU70:DU110" si="748">+DT70*$G70</f>
        <v>0</v>
      </c>
      <c r="DV70" s="252">
        <f t="shared" ref="DV70:DV110" si="749">+CX70+CZ70+DB70+DD70+DF70+DH70+DJ70+DL70+DN70+DP70+DR70+DT70</f>
        <v>0</v>
      </c>
      <c r="DW70" s="251">
        <f t="shared" si="449"/>
        <v>0</v>
      </c>
      <c r="DY70" s="256">
        <v>0</v>
      </c>
      <c r="DZ70" s="2"/>
      <c r="EA70" s="254">
        <f t="shared" si="663"/>
        <v>0</v>
      </c>
      <c r="EB70" s="249">
        <f t="shared" si="384"/>
        <v>0</v>
      </c>
      <c r="EC70" s="250">
        <f t="shared" ref="EC70:EE110" si="750">+EB70*$G70</f>
        <v>0</v>
      </c>
      <c r="ED70" s="356">
        <f t="shared" si="384"/>
        <v>0</v>
      </c>
      <c r="EE70" s="250">
        <f t="shared" si="750"/>
        <v>0</v>
      </c>
      <c r="EF70" s="249">
        <f t="shared" si="386"/>
        <v>0</v>
      </c>
      <c r="EG70" s="250">
        <f t="shared" ref="EG70:EI85" si="751">+EF70*$G70</f>
        <v>0</v>
      </c>
      <c r="EH70" s="249">
        <f t="shared" si="386"/>
        <v>0</v>
      </c>
      <c r="EI70" s="250">
        <f t="shared" si="751"/>
        <v>0</v>
      </c>
      <c r="EJ70" s="249">
        <f t="shared" si="386"/>
        <v>0</v>
      </c>
      <c r="EK70" s="250">
        <f t="shared" ref="EK70:EK110" si="752">+EJ70*$G70</f>
        <v>0</v>
      </c>
      <c r="EL70" s="249">
        <f t="shared" si="386"/>
        <v>0</v>
      </c>
      <c r="EM70" s="250">
        <f t="shared" ref="EM70:EM110" si="753">+EL70*$G70</f>
        <v>0</v>
      </c>
      <c r="EN70" s="249">
        <f t="shared" si="386"/>
        <v>0</v>
      </c>
      <c r="EO70" s="250">
        <f t="shared" ref="EO70:EO110" si="754">+EN70*$G70</f>
        <v>0</v>
      </c>
      <c r="EP70" s="249">
        <f t="shared" si="386"/>
        <v>0</v>
      </c>
      <c r="EQ70" s="250">
        <f t="shared" ref="EQ70:EQ110" si="755">+EP70*$G70</f>
        <v>0</v>
      </c>
      <c r="ER70" s="249">
        <f t="shared" si="386"/>
        <v>0</v>
      </c>
      <c r="ES70" s="250">
        <f t="shared" ref="ES70:ES110" si="756">+ER70*$G70</f>
        <v>0</v>
      </c>
      <c r="ET70" s="249">
        <f t="shared" si="391"/>
        <v>0</v>
      </c>
      <c r="EU70" s="250">
        <f t="shared" ref="EU70:EU110" si="757">+ET70*$G70</f>
        <v>0</v>
      </c>
      <c r="EV70" s="249">
        <f t="shared" ref="EV70:EV110" si="758">+$DY70*$DZ70</f>
        <v>0</v>
      </c>
      <c r="EW70" s="250">
        <f t="shared" ref="EW70:EW110" si="759">+EV70*$G70</f>
        <v>0</v>
      </c>
      <c r="EX70" s="249">
        <f t="shared" si="392"/>
        <v>0</v>
      </c>
      <c r="EY70" s="250">
        <f t="shared" ref="EY70:EY110" si="760">+EX70*$G70</f>
        <v>0</v>
      </c>
      <c r="EZ70" s="252">
        <f t="shared" ref="EZ70:EZ110" si="761">+EB70+ED70+EF70+EH70+EJ70+EL70+EN70+EP70+ER70+ET70+EV70+EX70</f>
        <v>0</v>
      </c>
      <c r="FA70" s="251">
        <f t="shared" si="664"/>
        <v>0</v>
      </c>
      <c r="FC70" s="1"/>
      <c r="FD70" s="2"/>
      <c r="FE70" s="257">
        <f t="shared" si="152"/>
        <v>0</v>
      </c>
      <c r="FF70" s="249">
        <f t="shared" ref="FF70:FF110" si="762">+$FC70*$FD70</f>
        <v>0</v>
      </c>
      <c r="FG70" s="250">
        <f t="shared" ref="FG70:FG110" si="763">+FF70*$G70</f>
        <v>0</v>
      </c>
      <c r="FH70" s="372">
        <f t="shared" si="473"/>
        <v>0</v>
      </c>
      <c r="FI70" s="339">
        <f t="shared" ref="FI70:FK110" si="764">+FH70*$G70</f>
        <v>0</v>
      </c>
      <c r="FJ70" s="372">
        <f t="shared" si="473"/>
        <v>0</v>
      </c>
      <c r="FK70" s="339">
        <f t="shared" si="764"/>
        <v>0</v>
      </c>
      <c r="FL70" s="372">
        <f t="shared" si="473"/>
        <v>0</v>
      </c>
      <c r="FM70" s="339">
        <f t="shared" ref="FM70:FM110" si="765">+FL70*$G70</f>
        <v>0</v>
      </c>
      <c r="FN70" s="372">
        <f t="shared" si="473"/>
        <v>0</v>
      </c>
      <c r="FO70" s="339">
        <f t="shared" ref="FO70:FO110" si="766">+FN70*$G70</f>
        <v>0</v>
      </c>
      <c r="FP70" s="372">
        <f t="shared" si="473"/>
        <v>0</v>
      </c>
      <c r="FQ70" s="339">
        <f t="shared" ref="FQ70:FQ110" si="767">+FP70*$G70</f>
        <v>0</v>
      </c>
      <c r="FR70" s="372">
        <f t="shared" si="473"/>
        <v>0</v>
      </c>
      <c r="FS70" s="339">
        <f t="shared" ref="FS70:FS110" si="768">+FR70*$G70</f>
        <v>0</v>
      </c>
      <c r="FT70" s="372">
        <f t="shared" si="473"/>
        <v>0</v>
      </c>
      <c r="FU70" s="339">
        <f t="shared" ref="FU70:FU110" si="769">+FT70*$G70</f>
        <v>0</v>
      </c>
      <c r="FV70" s="372">
        <f t="shared" ref="FV70:FV110" si="770">+$FC70*$FD70</f>
        <v>0</v>
      </c>
      <c r="FW70" s="339">
        <f t="shared" ref="FW70:FW110" si="771">+FV70*$G70</f>
        <v>0</v>
      </c>
      <c r="FX70" s="372">
        <f t="shared" si="479"/>
        <v>0</v>
      </c>
      <c r="FY70" s="339">
        <f t="shared" ref="FY70:FY110" si="772">+FX70*$G70</f>
        <v>0</v>
      </c>
      <c r="FZ70" s="372">
        <f t="shared" ref="FZ70:FZ110" si="773">+$FC70*$FD70</f>
        <v>0</v>
      </c>
      <c r="GA70" s="339">
        <f t="shared" ref="GA70:GA110" si="774">+FZ70*$G70</f>
        <v>0</v>
      </c>
      <c r="GB70" s="372">
        <f t="shared" si="480"/>
        <v>0</v>
      </c>
      <c r="GC70" s="339">
        <f t="shared" ref="GC70:GC110" si="775">+GB70*$G70</f>
        <v>0</v>
      </c>
      <c r="GD70" s="252">
        <f t="shared" ref="GD70:GD110" si="776">+FF70+FH70+FJ70+FL70+FN70+FP70+FR70+FT70+FV70+FX70+FZ70+GB70</f>
        <v>0</v>
      </c>
      <c r="GE70" s="251">
        <f t="shared" si="686"/>
        <v>0</v>
      </c>
      <c r="GG70" s="1"/>
      <c r="GH70" s="2">
        <v>0.2</v>
      </c>
      <c r="GI70" s="257">
        <f t="shared" si="665"/>
        <v>0</v>
      </c>
      <c r="GJ70" s="249">
        <f t="shared" ref="GJ70:GV106" si="777">+$GG70*$GH70</f>
        <v>0</v>
      </c>
      <c r="GK70" s="250">
        <f t="shared" ref="GK70:GM110" si="778">+GJ70*$G70</f>
        <v>0</v>
      </c>
      <c r="GL70" s="249">
        <f t="shared" si="777"/>
        <v>0</v>
      </c>
      <c r="GM70" s="250">
        <f t="shared" si="778"/>
        <v>0</v>
      </c>
      <c r="GN70" s="249">
        <f t="shared" si="777"/>
        <v>0</v>
      </c>
      <c r="GO70" s="250">
        <f t="shared" ref="GO70:GO84" si="779">+GN70*$G70</f>
        <v>0</v>
      </c>
      <c r="GP70" s="249">
        <f t="shared" si="777"/>
        <v>0</v>
      </c>
      <c r="GQ70" s="250">
        <f t="shared" ref="GQ70:GQ84" si="780">+GP70*$G70</f>
        <v>0</v>
      </c>
      <c r="GR70" s="249">
        <f t="shared" si="777"/>
        <v>0</v>
      </c>
      <c r="GS70" s="250">
        <f t="shared" ref="GS70:GS84" si="781">+GR70*$G70</f>
        <v>0</v>
      </c>
      <c r="GT70" s="249">
        <f t="shared" si="777"/>
        <v>0</v>
      </c>
      <c r="GU70" s="250">
        <f t="shared" ref="GU70:GU84" si="782">+GT70*$G70</f>
        <v>0</v>
      </c>
      <c r="GV70" s="249">
        <f t="shared" si="777"/>
        <v>0</v>
      </c>
      <c r="GW70" s="250">
        <f t="shared" ref="GW70:GW84" si="783">+GV70*$G70</f>
        <v>0</v>
      </c>
      <c r="GX70" s="249">
        <f t="shared" ref="GX70:GX110" si="784">+$GG70*$GH70</f>
        <v>0</v>
      </c>
      <c r="GY70" s="250">
        <f t="shared" ref="GY70:GY84" si="785">+GX70*$G70</f>
        <v>0</v>
      </c>
      <c r="GZ70" s="249">
        <f t="shared" ref="GZ70:GZ110" si="786">+$GG70*$GH70</f>
        <v>0</v>
      </c>
      <c r="HA70" s="250">
        <f t="shared" ref="HA70:HA84" si="787">+GZ70*$G70</f>
        <v>0</v>
      </c>
      <c r="HB70" s="249">
        <f t="shared" ref="HB70:HB110" si="788">+$GG70*$GH70</f>
        <v>0</v>
      </c>
      <c r="HC70" s="250">
        <f t="shared" ref="HC70:HC84" si="789">+HB70*$G70</f>
        <v>0</v>
      </c>
      <c r="HD70" s="249">
        <f t="shared" ref="HD70:HD110" si="790">+$GG70*$GH70</f>
        <v>0</v>
      </c>
      <c r="HE70" s="250">
        <f t="shared" ref="HE70:HE84" si="791">+HD70*$G70</f>
        <v>0</v>
      </c>
      <c r="HF70" s="249">
        <f t="shared" ref="HF70:HF110" si="792">+$GG70*$GH70</f>
        <v>0</v>
      </c>
      <c r="HG70" s="250">
        <f t="shared" ref="HG70:HG84" si="793">+HF70*$G70</f>
        <v>0</v>
      </c>
      <c r="HH70" s="252">
        <f t="shared" ref="HH70:HH110" si="794">+GJ70+GL70+GN70+GP70+GR70+GT70+GV70+GX70+GZ70+HB70+HD70+HF70</f>
        <v>0</v>
      </c>
      <c r="HI70" s="251">
        <f t="shared" si="666"/>
        <v>0</v>
      </c>
      <c r="HK70" s="1"/>
      <c r="HL70" s="2"/>
      <c r="HM70" s="257">
        <f t="shared" si="667"/>
        <v>0</v>
      </c>
      <c r="HN70" s="249">
        <f t="shared" ref="HN70:HN110" si="795">+$HK70*$HL70</f>
        <v>0</v>
      </c>
      <c r="HO70" s="250">
        <f t="shared" si="668"/>
        <v>0</v>
      </c>
      <c r="HP70" s="249">
        <f t="shared" ref="HP70:IB106" si="796">+$HK70*$HL70</f>
        <v>0</v>
      </c>
      <c r="HQ70" s="250">
        <f t="shared" ref="HQ70:HS110" si="797">+HP70*$G70</f>
        <v>0</v>
      </c>
      <c r="HR70" s="249">
        <f t="shared" si="796"/>
        <v>0</v>
      </c>
      <c r="HS70" s="250">
        <f t="shared" si="797"/>
        <v>0</v>
      </c>
      <c r="HT70" s="249">
        <f t="shared" si="796"/>
        <v>0</v>
      </c>
      <c r="HU70" s="250">
        <f t="shared" ref="HU70:HU110" si="798">+HT70*$G70</f>
        <v>0</v>
      </c>
      <c r="HV70" s="249">
        <f t="shared" si="796"/>
        <v>0</v>
      </c>
      <c r="HW70" s="250">
        <f t="shared" ref="HW70:HW110" si="799">+HV70*$G70</f>
        <v>0</v>
      </c>
      <c r="HX70" s="249">
        <f t="shared" si="796"/>
        <v>0</v>
      </c>
      <c r="HY70" s="250">
        <f t="shared" ref="HY70:HY110" si="800">+HX70*$G70</f>
        <v>0</v>
      </c>
      <c r="HZ70" s="249">
        <f t="shared" si="796"/>
        <v>0</v>
      </c>
      <c r="IA70" s="250">
        <f t="shared" ref="IA70:IA110" si="801">+HZ70*$G70</f>
        <v>0</v>
      </c>
      <c r="IB70" s="249">
        <f t="shared" si="796"/>
        <v>0</v>
      </c>
      <c r="IC70" s="250">
        <f t="shared" ref="IC70:IC110" si="802">+IB70*$G70</f>
        <v>0</v>
      </c>
      <c r="ID70" s="249">
        <f t="shared" ref="ID70:ID110" si="803">+$HK70*$HL70</f>
        <v>0</v>
      </c>
      <c r="IE70" s="250">
        <f t="shared" ref="IE70:IE110" si="804">+ID70*$G70</f>
        <v>0</v>
      </c>
      <c r="IF70" s="249">
        <f t="shared" ref="IF70:IF110" si="805">+$HK70*$HL70</f>
        <v>0</v>
      </c>
      <c r="IG70" s="250">
        <f t="shared" ref="IG70:IG110" si="806">+IF70*$G70</f>
        <v>0</v>
      </c>
      <c r="IH70" s="249">
        <f t="shared" ref="IH70:IH110" si="807">+$HK70*$HL70</f>
        <v>0</v>
      </c>
      <c r="II70" s="250">
        <f t="shared" ref="II70:II110" si="808">+IH70*$G70</f>
        <v>0</v>
      </c>
      <c r="IJ70" s="249">
        <f t="shared" ref="IJ70:IJ110" si="809">+$HK70*$HL70</f>
        <v>0</v>
      </c>
      <c r="IK70" s="250">
        <f t="shared" ref="IK70:IK110" si="810">+IJ70*$G70</f>
        <v>0</v>
      </c>
      <c r="IL70" s="252">
        <f t="shared" ref="IL70:IL110" si="811">+HN70+HP70+HR70+HT70+HV70+HX70+HZ70+IB70+ID70+IF70+IH70+IJ70</f>
        <v>0</v>
      </c>
      <c r="IM70" s="251">
        <f t="shared" ref="IM70:IM110" si="812">+IL70*$G70</f>
        <v>0</v>
      </c>
      <c r="IO70" s="1"/>
      <c r="IP70" s="2">
        <v>8.3333333333333329E-2</v>
      </c>
      <c r="IQ70" s="257">
        <f t="shared" si="669"/>
        <v>0</v>
      </c>
      <c r="IR70" s="249">
        <f t="shared" ref="IR70:IR110" si="813">+$IO70*$IP70</f>
        <v>0</v>
      </c>
      <c r="IS70" s="250">
        <f t="shared" ref="IS70:IS110" si="814">+IR70*$G70</f>
        <v>0</v>
      </c>
      <c r="IT70" s="279">
        <f t="shared" si="401"/>
        <v>0</v>
      </c>
      <c r="IU70" s="289">
        <f t="shared" ref="IU70:IW110" si="815">+IT70*$G70</f>
        <v>0</v>
      </c>
      <c r="IV70" s="279">
        <f t="shared" si="401"/>
        <v>0</v>
      </c>
      <c r="IW70" s="289">
        <f t="shared" si="815"/>
        <v>0</v>
      </c>
      <c r="IX70" s="279">
        <f t="shared" si="401"/>
        <v>0</v>
      </c>
      <c r="IY70" s="289">
        <f t="shared" ref="IY70:IY110" si="816">+IX70*$G70</f>
        <v>0</v>
      </c>
      <c r="IZ70" s="279">
        <f t="shared" si="401"/>
        <v>0</v>
      </c>
      <c r="JA70" s="289">
        <f t="shared" ref="JA70:JA110" si="817">+IZ70*$G70</f>
        <v>0</v>
      </c>
      <c r="JB70" s="279">
        <f t="shared" si="401"/>
        <v>0</v>
      </c>
      <c r="JC70" s="289">
        <f t="shared" ref="JC70:JC110" si="818">+JB70*$G70</f>
        <v>0</v>
      </c>
      <c r="JD70" s="279">
        <f t="shared" si="401"/>
        <v>0</v>
      </c>
      <c r="JE70" s="289">
        <f t="shared" ref="JE70:JE110" si="819">+JD70*$G70</f>
        <v>0</v>
      </c>
      <c r="JF70" s="279">
        <f t="shared" si="401"/>
        <v>0</v>
      </c>
      <c r="JG70" s="289">
        <f t="shared" ref="JG70:JG110" si="820">+JF70*$G70</f>
        <v>0</v>
      </c>
      <c r="JH70" s="279">
        <f t="shared" ref="JH70:JH110" si="821">+$IO70*$IP70</f>
        <v>0</v>
      </c>
      <c r="JI70" s="289">
        <f t="shared" ref="JI70:JI110" si="822">+JH70*$G70</f>
        <v>0</v>
      </c>
      <c r="JJ70" s="279">
        <f t="shared" si="407"/>
        <v>0</v>
      </c>
      <c r="JK70" s="289">
        <f t="shared" ref="JK70:JK110" si="823">+JJ70*$G70</f>
        <v>0</v>
      </c>
      <c r="JL70" s="279">
        <f t="shared" ref="JL70:JL110" si="824">+$IO70*$IP70</f>
        <v>0</v>
      </c>
      <c r="JM70" s="289">
        <f t="shared" ref="JM70:JM110" si="825">+JL70*$G70</f>
        <v>0</v>
      </c>
      <c r="JN70" s="279">
        <f t="shared" si="408"/>
        <v>0</v>
      </c>
      <c r="JO70" s="289">
        <f t="shared" ref="JO70:JO110" si="826">+JN70*$G70</f>
        <v>0</v>
      </c>
      <c r="JP70" s="252">
        <f t="shared" ref="JP70:JP110" si="827">+IR70+IT70+IV70+IX70+IZ70+JB70+JD70+JF70+JH70+JJ70+JL70+JN70</f>
        <v>0</v>
      </c>
      <c r="JQ70" s="251">
        <f t="shared" ref="JQ70:JQ110" si="828">+JP70*$G70</f>
        <v>0</v>
      </c>
      <c r="JS70" s="1"/>
      <c r="JT70" s="2">
        <v>8.3333333333333329E-2</v>
      </c>
      <c r="JU70" s="257">
        <f t="shared" si="670"/>
        <v>0</v>
      </c>
      <c r="JV70" s="249">
        <f t="shared" ref="JV70:JV110" si="829">+$JS70*$JT70</f>
        <v>0</v>
      </c>
      <c r="JW70" s="250">
        <f t="shared" ref="JW70:JW110" si="830">+JV70*$G70</f>
        <v>0</v>
      </c>
      <c r="JX70" s="372">
        <f t="shared" si="671"/>
        <v>0</v>
      </c>
      <c r="JY70" s="339">
        <f t="shared" ref="JY70:KA110" si="831">+JX70*$G70</f>
        <v>0</v>
      </c>
      <c r="JZ70" s="372">
        <f t="shared" si="671"/>
        <v>0</v>
      </c>
      <c r="KA70" s="339">
        <f t="shared" si="831"/>
        <v>0</v>
      </c>
      <c r="KB70" s="372">
        <f t="shared" si="671"/>
        <v>0</v>
      </c>
      <c r="KC70" s="339">
        <f t="shared" ref="KC70:KC110" si="832">+KB70*$G70</f>
        <v>0</v>
      </c>
      <c r="KD70" s="372">
        <f t="shared" si="671"/>
        <v>0</v>
      </c>
      <c r="KE70" s="339">
        <f t="shared" ref="KE70:KE110" si="833">+KD70*$G70</f>
        <v>0</v>
      </c>
      <c r="KF70" s="372">
        <f t="shared" si="671"/>
        <v>0</v>
      </c>
      <c r="KG70" s="339">
        <f t="shared" ref="KG70:KG110" si="834">+KF70*$G70</f>
        <v>0</v>
      </c>
      <c r="KH70" s="372">
        <f t="shared" si="671"/>
        <v>0</v>
      </c>
      <c r="KI70" s="339">
        <f t="shared" ref="KI70:KI110" si="835">+KH70*$G70</f>
        <v>0</v>
      </c>
      <c r="KJ70" s="372">
        <f t="shared" si="671"/>
        <v>0</v>
      </c>
      <c r="KK70" s="339">
        <f t="shared" ref="KK70:KK110" si="836">+KJ70*$G70</f>
        <v>0</v>
      </c>
      <c r="KL70" s="372">
        <f t="shared" ref="KL70:KL110" si="837">+$JS70*$JT70</f>
        <v>0</v>
      </c>
      <c r="KM70" s="339">
        <f t="shared" ref="KM70:KM110" si="838">+KL70*$G70</f>
        <v>0</v>
      </c>
      <c r="KN70" s="372">
        <f t="shared" si="677"/>
        <v>0</v>
      </c>
      <c r="KO70" s="339">
        <f t="shared" ref="KO70:KO110" si="839">+KN70*$G70</f>
        <v>0</v>
      </c>
      <c r="KP70" s="372">
        <f t="shared" ref="KP70:KP110" si="840">+$JS70*$JT70</f>
        <v>0</v>
      </c>
      <c r="KQ70" s="339">
        <f t="shared" ref="KQ70:KQ110" si="841">+KP70*$G70</f>
        <v>0</v>
      </c>
      <c r="KR70" s="372">
        <f t="shared" si="678"/>
        <v>0</v>
      </c>
      <c r="KS70" s="377">
        <f t="shared" ref="KS70:KS110" si="842">+KR70*$G70</f>
        <v>0</v>
      </c>
      <c r="KT70" s="379">
        <f t="shared" ref="KT70:KT110" si="843">+JV70+JX70+JZ70+KB70+KD70+KF70+KH70+KJ70+KL70+KN70+KP70+KR70</f>
        <v>0</v>
      </c>
      <c r="KU70" s="251">
        <f t="shared" si="679"/>
        <v>0</v>
      </c>
      <c r="KW70" s="1"/>
      <c r="KX70" s="2">
        <v>8.3333333333333329E-2</v>
      </c>
      <c r="KY70" s="254">
        <f t="shared" si="680"/>
        <v>0</v>
      </c>
      <c r="KZ70" s="249">
        <f t="shared" si="271"/>
        <v>0</v>
      </c>
      <c r="LA70" s="251">
        <f t="shared" si="681"/>
        <v>0</v>
      </c>
      <c r="LB70" s="279">
        <f t="shared" ref="LB70:LN106" si="844">+$KW70*$KX70</f>
        <v>0</v>
      </c>
      <c r="LC70" s="339">
        <f t="shared" ref="LC70:LE110" si="845">+LB70*$G70</f>
        <v>0</v>
      </c>
      <c r="LD70" s="279">
        <f t="shared" si="844"/>
        <v>0</v>
      </c>
      <c r="LE70" s="339">
        <f t="shared" si="845"/>
        <v>0</v>
      </c>
      <c r="LF70" s="279">
        <f t="shared" si="844"/>
        <v>0</v>
      </c>
      <c r="LG70" s="339">
        <f t="shared" ref="LG70:LG110" si="846">+LF70*$G70</f>
        <v>0</v>
      </c>
      <c r="LH70" s="279">
        <f t="shared" si="844"/>
        <v>0</v>
      </c>
      <c r="LI70" s="339">
        <f t="shared" ref="LI70:LI110" si="847">+LH70*$G70</f>
        <v>0</v>
      </c>
      <c r="LJ70" s="279">
        <f t="shared" si="844"/>
        <v>0</v>
      </c>
      <c r="LK70" s="339">
        <f t="shared" ref="LK70:LK110" si="848">+LJ70*$G70</f>
        <v>0</v>
      </c>
      <c r="LL70" s="279">
        <f t="shared" si="844"/>
        <v>0</v>
      </c>
      <c r="LM70" s="339">
        <f t="shared" ref="LM70:LM110" si="849">+LL70*$G70</f>
        <v>0</v>
      </c>
      <c r="LN70" s="279">
        <f t="shared" si="844"/>
        <v>0</v>
      </c>
      <c r="LO70" s="339">
        <f t="shared" ref="LO70:LO110" si="850">+LN70*$G70</f>
        <v>0</v>
      </c>
      <c r="LP70" s="279">
        <f t="shared" si="276"/>
        <v>0</v>
      </c>
      <c r="LQ70" s="339">
        <f t="shared" ref="LQ70:LQ110" si="851">+LP70*$G70</f>
        <v>0</v>
      </c>
      <c r="LR70" s="279">
        <f t="shared" si="277"/>
        <v>0</v>
      </c>
      <c r="LS70" s="339">
        <f t="shared" ref="LS70:LS110" si="852">+LR70*$G70</f>
        <v>0</v>
      </c>
      <c r="LT70" s="279">
        <f t="shared" si="278"/>
        <v>0</v>
      </c>
      <c r="LU70" s="339">
        <f t="shared" ref="LU70:LU110" si="853">+LT70*$G70</f>
        <v>0</v>
      </c>
      <c r="LV70" s="279">
        <f t="shared" si="279"/>
        <v>0</v>
      </c>
      <c r="LW70" s="339">
        <f t="shared" ref="LW70:LW110" si="854">+LV70*$G70</f>
        <v>0</v>
      </c>
      <c r="LX70" s="252">
        <f t="shared" ref="LX70:LX110" si="855">+KZ70+LB70+LD70+LF70+LH70+LJ70+LL70+LN70+LP70+LR70+LT70+LV70</f>
        <v>0</v>
      </c>
      <c r="LY70" s="253">
        <f t="shared" ref="LY70:LY110" si="856">+LX70*$G70</f>
        <v>0</v>
      </c>
      <c r="MA70" s="249">
        <f t="shared" si="688"/>
        <v>0</v>
      </c>
      <c r="MB70" s="253">
        <f t="shared" ref="MB70:MB110" si="857">+MA70*$G70</f>
        <v>0</v>
      </c>
      <c r="MC70" s="397">
        <f t="shared" si="689"/>
        <v>0</v>
      </c>
      <c r="MD70" s="253">
        <f t="shared" ref="MD70:MF110" si="858">+MC70*$G70</f>
        <v>0</v>
      </c>
      <c r="ME70" s="397">
        <f t="shared" si="690"/>
        <v>0</v>
      </c>
      <c r="MF70" s="253">
        <f t="shared" si="858"/>
        <v>0</v>
      </c>
      <c r="MG70" s="397">
        <f t="shared" si="691"/>
        <v>0</v>
      </c>
      <c r="MH70" s="253">
        <f t="shared" ref="MH70:MH110" si="859">+MG70*$G70</f>
        <v>0</v>
      </c>
      <c r="MI70" s="397">
        <f t="shared" si="692"/>
        <v>0</v>
      </c>
      <c r="MJ70" s="253">
        <f t="shared" ref="MJ70:MJ110" si="860">+MI70*$G70</f>
        <v>0</v>
      </c>
      <c r="MK70" s="397">
        <f t="shared" si="693"/>
        <v>0</v>
      </c>
      <c r="ML70" s="253">
        <f t="shared" ref="ML70:ML110" si="861">+MK70*$G70</f>
        <v>0</v>
      </c>
      <c r="MM70" s="397">
        <f t="shared" si="694"/>
        <v>0</v>
      </c>
      <c r="MN70" s="253">
        <f t="shared" ref="MN70:MN110" si="862">+MM70*$G70</f>
        <v>0</v>
      </c>
      <c r="MO70" s="397">
        <f t="shared" si="695"/>
        <v>0</v>
      </c>
      <c r="MP70" s="253">
        <f t="shared" ref="MP70:MP110" si="863">+MO70*$G70</f>
        <v>0</v>
      </c>
      <c r="MQ70" s="397">
        <f t="shared" si="696"/>
        <v>0</v>
      </c>
      <c r="MR70" s="253">
        <f t="shared" ref="MR70:MR110" si="864">+MQ70*$G70</f>
        <v>0</v>
      </c>
      <c r="MS70" s="397">
        <f t="shared" si="697"/>
        <v>0</v>
      </c>
      <c r="MT70" s="253">
        <f t="shared" ref="MT70:MT110" si="865">+MS70*$G70</f>
        <v>0</v>
      </c>
      <c r="MU70" s="397">
        <f t="shared" si="698"/>
        <v>0</v>
      </c>
      <c r="MV70" s="253">
        <f t="shared" ref="MV70:MV110" si="866">+MU70*$G70</f>
        <v>0</v>
      </c>
      <c r="MW70" s="397">
        <f t="shared" si="699"/>
        <v>0</v>
      </c>
      <c r="MX70" s="253">
        <f t="shared" ref="MX70:MX110" si="867">+MW70*$G70</f>
        <v>0</v>
      </c>
      <c r="MY70" s="252">
        <f t="shared" ref="MY70:MY110" si="868">+MA70+MC70+ME70+MG70+MI70+MK70+MM70+MO70+MQ70+MS70+MU70+MW70</f>
        <v>0</v>
      </c>
      <c r="MZ70" s="251">
        <f t="shared" ref="MZ70:MZ110" si="869">+MY70*$G70</f>
        <v>0</v>
      </c>
    </row>
    <row r="71" spans="1:364" ht="66" x14ac:dyDescent="0.25">
      <c r="A71" s="533"/>
      <c r="B71" s="245" t="s">
        <v>150</v>
      </c>
      <c r="C71" s="246" t="s">
        <v>151</v>
      </c>
      <c r="D71" s="247" t="s">
        <v>28</v>
      </c>
      <c r="E71" s="4">
        <v>1</v>
      </c>
      <c r="F71" s="353">
        <v>77823.321869070205</v>
      </c>
      <c r="G71" s="353">
        <f t="shared" si="700"/>
        <v>81066.701454775452</v>
      </c>
      <c r="I71" s="30"/>
      <c r="J71" s="2">
        <v>8.3333333333333329E-2</v>
      </c>
      <c r="K71" s="248">
        <f t="shared" si="701"/>
        <v>0</v>
      </c>
      <c r="L71" s="249"/>
      <c r="M71" s="301">
        <f t="shared" si="445"/>
        <v>0</v>
      </c>
      <c r="N71" s="279">
        <f t="shared" si="450"/>
        <v>0</v>
      </c>
      <c r="O71" s="289">
        <f t="shared" si="682"/>
        <v>0</v>
      </c>
      <c r="P71" s="279">
        <f t="shared" si="451"/>
        <v>0</v>
      </c>
      <c r="Q71" s="289">
        <f t="shared" si="682"/>
        <v>0</v>
      </c>
      <c r="R71" s="279">
        <f t="shared" si="452"/>
        <v>0</v>
      </c>
      <c r="S71" s="289">
        <f t="shared" si="702"/>
        <v>0</v>
      </c>
      <c r="T71" s="279">
        <f t="shared" si="453"/>
        <v>0</v>
      </c>
      <c r="U71" s="289">
        <f t="shared" si="703"/>
        <v>0</v>
      </c>
      <c r="V71" s="279">
        <f t="shared" si="409"/>
        <v>0</v>
      </c>
      <c r="W71" s="289">
        <f t="shared" si="704"/>
        <v>0</v>
      </c>
      <c r="X71" s="279">
        <f t="shared" si="305"/>
        <v>0</v>
      </c>
      <c r="Y71" s="289">
        <f t="shared" si="705"/>
        <v>0</v>
      </c>
      <c r="Z71" s="279">
        <f t="shared" si="454"/>
        <v>0</v>
      </c>
      <c r="AA71" s="289">
        <f t="shared" si="706"/>
        <v>0</v>
      </c>
      <c r="AB71" s="279">
        <f t="shared" si="306"/>
        <v>0</v>
      </c>
      <c r="AC71" s="289">
        <f t="shared" si="707"/>
        <v>0</v>
      </c>
      <c r="AD71" s="279">
        <f t="shared" si="455"/>
        <v>0</v>
      </c>
      <c r="AE71" s="289">
        <f t="shared" si="708"/>
        <v>0</v>
      </c>
      <c r="AF71" s="279">
        <f t="shared" si="307"/>
        <v>0</v>
      </c>
      <c r="AG71" s="289">
        <f t="shared" si="308"/>
        <v>0</v>
      </c>
      <c r="AH71" s="249">
        <f t="shared" si="456"/>
        <v>0</v>
      </c>
      <c r="AI71" s="299">
        <f t="shared" si="309"/>
        <v>0</v>
      </c>
      <c r="AJ71" s="252">
        <f t="shared" si="709"/>
        <v>0</v>
      </c>
      <c r="AK71" s="312">
        <f t="shared" si="710"/>
        <v>0</v>
      </c>
      <c r="AM71" s="1"/>
      <c r="AN71" s="2">
        <v>8.3333333333333329E-2</v>
      </c>
      <c r="AO71" s="254">
        <f t="shared" si="660"/>
        <v>0</v>
      </c>
      <c r="AP71" s="249">
        <f t="shared" si="328"/>
        <v>0</v>
      </c>
      <c r="AQ71" s="301">
        <f t="shared" si="683"/>
        <v>0</v>
      </c>
      <c r="AR71" s="249">
        <f t="shared" si="329"/>
        <v>0</v>
      </c>
      <c r="AS71" s="301">
        <f t="shared" si="683"/>
        <v>0</v>
      </c>
      <c r="AT71" s="249">
        <f t="shared" si="330"/>
        <v>0</v>
      </c>
      <c r="AU71" s="301">
        <f t="shared" si="684"/>
        <v>0</v>
      </c>
      <c r="AV71" s="249">
        <f t="shared" si="331"/>
        <v>0</v>
      </c>
      <c r="AW71" s="301">
        <f t="shared" si="711"/>
        <v>0</v>
      </c>
      <c r="AX71" s="249">
        <f t="shared" si="5"/>
        <v>0</v>
      </c>
      <c r="AY71" s="301">
        <f t="shared" si="712"/>
        <v>0</v>
      </c>
      <c r="AZ71" s="249">
        <f t="shared" si="332"/>
        <v>0</v>
      </c>
      <c r="BA71" s="301">
        <f t="shared" si="713"/>
        <v>0</v>
      </c>
      <c r="BB71" s="249">
        <f t="shared" si="7"/>
        <v>0</v>
      </c>
      <c r="BC71" s="301">
        <f t="shared" si="714"/>
        <v>0</v>
      </c>
      <c r="BD71" s="249">
        <f t="shared" si="333"/>
        <v>0</v>
      </c>
      <c r="BE71" s="301">
        <f t="shared" si="715"/>
        <v>0</v>
      </c>
      <c r="BF71" s="249">
        <f t="shared" si="9"/>
        <v>0</v>
      </c>
      <c r="BG71" s="301">
        <f t="shared" si="716"/>
        <v>0</v>
      </c>
      <c r="BH71" s="249">
        <f t="shared" si="334"/>
        <v>0</v>
      </c>
      <c r="BI71" s="301">
        <f t="shared" si="717"/>
        <v>0</v>
      </c>
      <c r="BJ71" s="249">
        <f t="shared" si="335"/>
        <v>0</v>
      </c>
      <c r="BK71" s="301">
        <f t="shared" si="717"/>
        <v>0</v>
      </c>
      <c r="BL71" s="249">
        <f t="shared" si="661"/>
        <v>0</v>
      </c>
      <c r="BM71" s="299">
        <f t="shared" si="718"/>
        <v>0</v>
      </c>
      <c r="BN71" s="252">
        <f t="shared" si="719"/>
        <v>0</v>
      </c>
      <c r="BO71" s="312">
        <f t="shared" si="685"/>
        <v>0</v>
      </c>
      <c r="BQ71" s="1"/>
      <c r="BR71" s="2"/>
      <c r="BS71" s="255">
        <f t="shared" si="281"/>
        <v>0</v>
      </c>
      <c r="BT71" s="249">
        <f t="shared" si="280"/>
        <v>0</v>
      </c>
      <c r="BU71" s="336">
        <f t="shared" si="720"/>
        <v>0</v>
      </c>
      <c r="BV71" s="279">
        <f t="shared" si="721"/>
        <v>0</v>
      </c>
      <c r="BW71" s="339">
        <f t="shared" si="722"/>
        <v>0</v>
      </c>
      <c r="BX71" s="279">
        <f t="shared" si="721"/>
        <v>0</v>
      </c>
      <c r="BY71" s="339">
        <f t="shared" si="723"/>
        <v>0</v>
      </c>
      <c r="BZ71" s="279">
        <f t="shared" si="721"/>
        <v>0</v>
      </c>
      <c r="CA71" s="339">
        <f t="shared" si="724"/>
        <v>0</v>
      </c>
      <c r="CB71" s="279">
        <f t="shared" si="721"/>
        <v>0</v>
      </c>
      <c r="CC71" s="339">
        <f t="shared" si="725"/>
        <v>0</v>
      </c>
      <c r="CD71" s="279">
        <f t="shared" si="721"/>
        <v>0</v>
      </c>
      <c r="CE71" s="339">
        <f t="shared" si="726"/>
        <v>0</v>
      </c>
      <c r="CF71" s="279">
        <f t="shared" si="721"/>
        <v>0</v>
      </c>
      <c r="CG71" s="339">
        <f t="shared" si="727"/>
        <v>0</v>
      </c>
      <c r="CH71" s="279">
        <f t="shared" si="721"/>
        <v>0</v>
      </c>
      <c r="CI71" s="339">
        <f t="shared" si="728"/>
        <v>0</v>
      </c>
      <c r="CJ71" s="279">
        <f t="shared" si="729"/>
        <v>0</v>
      </c>
      <c r="CK71" s="339">
        <f t="shared" si="730"/>
        <v>0</v>
      </c>
      <c r="CL71" s="279">
        <f t="shared" si="463"/>
        <v>0</v>
      </c>
      <c r="CM71" s="339">
        <f t="shared" si="731"/>
        <v>0</v>
      </c>
      <c r="CN71" s="279">
        <f t="shared" si="732"/>
        <v>0</v>
      </c>
      <c r="CO71" s="339">
        <f t="shared" si="733"/>
        <v>0</v>
      </c>
      <c r="CP71" s="279">
        <f t="shared" si="464"/>
        <v>0</v>
      </c>
      <c r="CQ71" s="250">
        <f t="shared" si="662"/>
        <v>0</v>
      </c>
      <c r="CR71" s="252">
        <f t="shared" si="734"/>
        <v>0</v>
      </c>
      <c r="CS71" s="251">
        <f t="shared" si="448"/>
        <v>0</v>
      </c>
      <c r="CU71" s="1"/>
      <c r="CV71" s="2"/>
      <c r="CW71" s="255">
        <f t="shared" si="299"/>
        <v>0</v>
      </c>
      <c r="CX71" s="249">
        <f t="shared" si="735"/>
        <v>0</v>
      </c>
      <c r="CY71" s="250">
        <f t="shared" si="736"/>
        <v>0</v>
      </c>
      <c r="CZ71" s="279">
        <f t="shared" ref="CZ71:DL107" si="870">+$CU71*$CV71</f>
        <v>0</v>
      </c>
      <c r="DA71" s="299">
        <f t="shared" si="736"/>
        <v>0</v>
      </c>
      <c r="DB71" s="279">
        <f t="shared" si="870"/>
        <v>0</v>
      </c>
      <c r="DC71" s="299">
        <f t="shared" si="737"/>
        <v>0</v>
      </c>
      <c r="DD71" s="279">
        <f t="shared" si="870"/>
        <v>0</v>
      </c>
      <c r="DE71" s="299">
        <f t="shared" si="738"/>
        <v>0</v>
      </c>
      <c r="DF71" s="279">
        <f t="shared" si="870"/>
        <v>0</v>
      </c>
      <c r="DG71" s="299">
        <f t="shared" si="739"/>
        <v>0</v>
      </c>
      <c r="DH71" s="279">
        <f t="shared" si="870"/>
        <v>0</v>
      </c>
      <c r="DI71" s="299">
        <f t="shared" si="740"/>
        <v>0</v>
      </c>
      <c r="DJ71" s="279">
        <f t="shared" si="870"/>
        <v>0</v>
      </c>
      <c r="DK71" s="299">
        <f t="shared" si="741"/>
        <v>0</v>
      </c>
      <c r="DL71" s="279">
        <f t="shared" si="870"/>
        <v>0</v>
      </c>
      <c r="DM71" s="299">
        <f t="shared" si="742"/>
        <v>0</v>
      </c>
      <c r="DN71" s="279">
        <f t="shared" si="743"/>
        <v>0</v>
      </c>
      <c r="DO71" s="299">
        <f t="shared" si="744"/>
        <v>0</v>
      </c>
      <c r="DP71" s="279">
        <f t="shared" si="471"/>
        <v>0</v>
      </c>
      <c r="DQ71" s="299">
        <f t="shared" si="745"/>
        <v>0</v>
      </c>
      <c r="DR71" s="279">
        <f t="shared" si="746"/>
        <v>0</v>
      </c>
      <c r="DS71" s="299">
        <f t="shared" si="747"/>
        <v>0</v>
      </c>
      <c r="DT71" s="279">
        <f t="shared" si="472"/>
        <v>0</v>
      </c>
      <c r="DU71" s="299">
        <f t="shared" si="748"/>
        <v>0</v>
      </c>
      <c r="DV71" s="252">
        <f t="shared" si="749"/>
        <v>0</v>
      </c>
      <c r="DW71" s="251">
        <f t="shared" si="449"/>
        <v>0</v>
      </c>
      <c r="DY71" s="256">
        <v>0</v>
      </c>
      <c r="DZ71" s="2"/>
      <c r="EA71" s="254">
        <f t="shared" si="663"/>
        <v>0</v>
      </c>
      <c r="EB71" s="249">
        <f t="shared" ref="EB71:ED110" si="871">+$DY71*$DZ71</f>
        <v>0</v>
      </c>
      <c r="EC71" s="250">
        <f t="shared" si="750"/>
        <v>0</v>
      </c>
      <c r="ED71" s="356">
        <f t="shared" si="871"/>
        <v>0</v>
      </c>
      <c r="EE71" s="250">
        <f t="shared" si="750"/>
        <v>0</v>
      </c>
      <c r="EF71" s="249">
        <f t="shared" ref="EF71:ER107" si="872">+$DY71*$DZ71</f>
        <v>0</v>
      </c>
      <c r="EG71" s="250">
        <f t="shared" si="751"/>
        <v>0</v>
      </c>
      <c r="EH71" s="249">
        <f t="shared" si="872"/>
        <v>0</v>
      </c>
      <c r="EI71" s="250">
        <f t="shared" si="751"/>
        <v>0</v>
      </c>
      <c r="EJ71" s="249">
        <f t="shared" si="872"/>
        <v>0</v>
      </c>
      <c r="EK71" s="250">
        <f t="shared" si="752"/>
        <v>0</v>
      </c>
      <c r="EL71" s="249">
        <f t="shared" si="872"/>
        <v>0</v>
      </c>
      <c r="EM71" s="250">
        <f t="shared" si="753"/>
        <v>0</v>
      </c>
      <c r="EN71" s="249">
        <f t="shared" si="872"/>
        <v>0</v>
      </c>
      <c r="EO71" s="250">
        <f t="shared" si="754"/>
        <v>0</v>
      </c>
      <c r="EP71" s="249">
        <f t="shared" si="872"/>
        <v>0</v>
      </c>
      <c r="EQ71" s="250">
        <f t="shared" si="755"/>
        <v>0</v>
      </c>
      <c r="ER71" s="249">
        <f t="shared" si="872"/>
        <v>0</v>
      </c>
      <c r="ES71" s="250">
        <f t="shared" si="756"/>
        <v>0</v>
      </c>
      <c r="ET71" s="249">
        <f t="shared" si="391"/>
        <v>0</v>
      </c>
      <c r="EU71" s="250">
        <f t="shared" si="757"/>
        <v>0</v>
      </c>
      <c r="EV71" s="249">
        <f t="shared" si="758"/>
        <v>0</v>
      </c>
      <c r="EW71" s="250">
        <f t="shared" si="759"/>
        <v>0</v>
      </c>
      <c r="EX71" s="249">
        <f t="shared" si="392"/>
        <v>0</v>
      </c>
      <c r="EY71" s="250">
        <f t="shared" si="760"/>
        <v>0</v>
      </c>
      <c r="EZ71" s="252">
        <f t="shared" si="761"/>
        <v>0</v>
      </c>
      <c r="FA71" s="251">
        <f t="shared" si="664"/>
        <v>0</v>
      </c>
      <c r="FC71" s="1"/>
      <c r="FD71" s="2"/>
      <c r="FE71" s="257">
        <f t="shared" si="152"/>
        <v>0</v>
      </c>
      <c r="FF71" s="249">
        <f t="shared" si="762"/>
        <v>0</v>
      </c>
      <c r="FG71" s="250">
        <f t="shared" si="763"/>
        <v>0</v>
      </c>
      <c r="FH71" s="372">
        <f t="shared" ref="FH71:FT107" si="873">+$FC71*$FD71</f>
        <v>0</v>
      </c>
      <c r="FI71" s="339">
        <f t="shared" si="764"/>
        <v>0</v>
      </c>
      <c r="FJ71" s="372">
        <f t="shared" si="873"/>
        <v>0</v>
      </c>
      <c r="FK71" s="339">
        <f t="shared" si="764"/>
        <v>0</v>
      </c>
      <c r="FL71" s="372">
        <f t="shared" si="873"/>
        <v>0</v>
      </c>
      <c r="FM71" s="339">
        <f t="shared" si="765"/>
        <v>0</v>
      </c>
      <c r="FN71" s="372">
        <f t="shared" si="873"/>
        <v>0</v>
      </c>
      <c r="FO71" s="339">
        <f t="shared" si="766"/>
        <v>0</v>
      </c>
      <c r="FP71" s="372">
        <f t="shared" si="873"/>
        <v>0</v>
      </c>
      <c r="FQ71" s="339">
        <f t="shared" si="767"/>
        <v>0</v>
      </c>
      <c r="FR71" s="372">
        <f t="shared" si="873"/>
        <v>0</v>
      </c>
      <c r="FS71" s="339">
        <f t="shared" si="768"/>
        <v>0</v>
      </c>
      <c r="FT71" s="372">
        <f t="shared" si="873"/>
        <v>0</v>
      </c>
      <c r="FU71" s="339">
        <f t="shared" si="769"/>
        <v>0</v>
      </c>
      <c r="FV71" s="372">
        <f t="shared" si="770"/>
        <v>0</v>
      </c>
      <c r="FW71" s="339">
        <f t="shared" si="771"/>
        <v>0</v>
      </c>
      <c r="FX71" s="372">
        <f t="shared" si="479"/>
        <v>0</v>
      </c>
      <c r="FY71" s="339">
        <f t="shared" si="772"/>
        <v>0</v>
      </c>
      <c r="FZ71" s="372">
        <f t="shared" si="773"/>
        <v>0</v>
      </c>
      <c r="GA71" s="339">
        <f t="shared" si="774"/>
        <v>0</v>
      </c>
      <c r="GB71" s="372">
        <f t="shared" si="480"/>
        <v>0</v>
      </c>
      <c r="GC71" s="339">
        <f t="shared" si="775"/>
        <v>0</v>
      </c>
      <c r="GD71" s="252">
        <f t="shared" si="776"/>
        <v>0</v>
      </c>
      <c r="GE71" s="251">
        <f t="shared" si="686"/>
        <v>0</v>
      </c>
      <c r="GG71" s="1"/>
      <c r="GH71" s="2">
        <v>0.2</v>
      </c>
      <c r="GI71" s="257">
        <f t="shared" si="665"/>
        <v>0</v>
      </c>
      <c r="GJ71" s="249">
        <f t="shared" si="777"/>
        <v>0</v>
      </c>
      <c r="GK71" s="250">
        <f t="shared" si="778"/>
        <v>0</v>
      </c>
      <c r="GL71" s="249">
        <f t="shared" si="777"/>
        <v>0</v>
      </c>
      <c r="GM71" s="250">
        <f t="shared" si="778"/>
        <v>0</v>
      </c>
      <c r="GN71" s="249">
        <f t="shared" si="777"/>
        <v>0</v>
      </c>
      <c r="GO71" s="250">
        <f t="shared" si="779"/>
        <v>0</v>
      </c>
      <c r="GP71" s="249">
        <f t="shared" si="777"/>
        <v>0</v>
      </c>
      <c r="GQ71" s="250">
        <f t="shared" si="780"/>
        <v>0</v>
      </c>
      <c r="GR71" s="249">
        <f t="shared" si="777"/>
        <v>0</v>
      </c>
      <c r="GS71" s="250">
        <f t="shared" si="781"/>
        <v>0</v>
      </c>
      <c r="GT71" s="249">
        <f t="shared" si="777"/>
        <v>0</v>
      </c>
      <c r="GU71" s="250">
        <f t="shared" si="782"/>
        <v>0</v>
      </c>
      <c r="GV71" s="249">
        <f t="shared" si="777"/>
        <v>0</v>
      </c>
      <c r="GW71" s="250">
        <f t="shared" si="783"/>
        <v>0</v>
      </c>
      <c r="GX71" s="249">
        <f t="shared" si="784"/>
        <v>0</v>
      </c>
      <c r="GY71" s="250">
        <f t="shared" si="785"/>
        <v>0</v>
      </c>
      <c r="GZ71" s="249">
        <f t="shared" si="786"/>
        <v>0</v>
      </c>
      <c r="HA71" s="250">
        <f t="shared" si="787"/>
        <v>0</v>
      </c>
      <c r="HB71" s="249">
        <f t="shared" si="788"/>
        <v>0</v>
      </c>
      <c r="HC71" s="250">
        <f t="shared" si="789"/>
        <v>0</v>
      </c>
      <c r="HD71" s="249">
        <f t="shared" si="790"/>
        <v>0</v>
      </c>
      <c r="HE71" s="250">
        <f t="shared" si="791"/>
        <v>0</v>
      </c>
      <c r="HF71" s="249">
        <f t="shared" si="792"/>
        <v>0</v>
      </c>
      <c r="HG71" s="250">
        <f t="shared" si="793"/>
        <v>0</v>
      </c>
      <c r="HH71" s="252">
        <f t="shared" si="794"/>
        <v>0</v>
      </c>
      <c r="HI71" s="251">
        <f t="shared" si="666"/>
        <v>0</v>
      </c>
      <c r="HK71" s="1"/>
      <c r="HL71" s="2"/>
      <c r="HM71" s="257">
        <f t="shared" si="667"/>
        <v>0</v>
      </c>
      <c r="HN71" s="249">
        <f t="shared" si="795"/>
        <v>0</v>
      </c>
      <c r="HO71" s="250">
        <f t="shared" si="668"/>
        <v>0</v>
      </c>
      <c r="HP71" s="249">
        <f t="shared" si="796"/>
        <v>0</v>
      </c>
      <c r="HQ71" s="250">
        <f t="shared" si="797"/>
        <v>0</v>
      </c>
      <c r="HR71" s="249">
        <f t="shared" si="796"/>
        <v>0</v>
      </c>
      <c r="HS71" s="250">
        <f t="shared" si="797"/>
        <v>0</v>
      </c>
      <c r="HT71" s="249">
        <f t="shared" si="796"/>
        <v>0</v>
      </c>
      <c r="HU71" s="250">
        <f t="shared" si="798"/>
        <v>0</v>
      </c>
      <c r="HV71" s="249">
        <f t="shared" si="796"/>
        <v>0</v>
      </c>
      <c r="HW71" s="250">
        <f t="shared" si="799"/>
        <v>0</v>
      </c>
      <c r="HX71" s="249">
        <f t="shared" si="796"/>
        <v>0</v>
      </c>
      <c r="HY71" s="250">
        <f t="shared" si="800"/>
        <v>0</v>
      </c>
      <c r="HZ71" s="249">
        <f t="shared" si="796"/>
        <v>0</v>
      </c>
      <c r="IA71" s="250">
        <f t="shared" si="801"/>
        <v>0</v>
      </c>
      <c r="IB71" s="249">
        <f t="shared" si="796"/>
        <v>0</v>
      </c>
      <c r="IC71" s="250">
        <f t="shared" si="802"/>
        <v>0</v>
      </c>
      <c r="ID71" s="249">
        <f t="shared" si="803"/>
        <v>0</v>
      </c>
      <c r="IE71" s="250">
        <f t="shared" si="804"/>
        <v>0</v>
      </c>
      <c r="IF71" s="249">
        <f t="shared" si="805"/>
        <v>0</v>
      </c>
      <c r="IG71" s="250">
        <f t="shared" si="806"/>
        <v>0</v>
      </c>
      <c r="IH71" s="249">
        <f t="shared" si="807"/>
        <v>0</v>
      </c>
      <c r="II71" s="250">
        <f t="shared" si="808"/>
        <v>0</v>
      </c>
      <c r="IJ71" s="249">
        <f t="shared" si="809"/>
        <v>0</v>
      </c>
      <c r="IK71" s="250">
        <f t="shared" si="810"/>
        <v>0</v>
      </c>
      <c r="IL71" s="252">
        <f t="shared" si="811"/>
        <v>0</v>
      </c>
      <c r="IM71" s="251">
        <f t="shared" si="812"/>
        <v>0</v>
      </c>
      <c r="IO71" s="1"/>
      <c r="IP71" s="2">
        <v>8.3333333333333329E-2</v>
      </c>
      <c r="IQ71" s="257">
        <f t="shared" si="669"/>
        <v>0</v>
      </c>
      <c r="IR71" s="249">
        <f t="shared" si="813"/>
        <v>0</v>
      </c>
      <c r="IS71" s="250">
        <f t="shared" si="814"/>
        <v>0</v>
      </c>
      <c r="IT71" s="279">
        <f t="shared" ref="IT71:JF107" si="874">+$IO71*$IP71</f>
        <v>0</v>
      </c>
      <c r="IU71" s="289">
        <f t="shared" si="815"/>
        <v>0</v>
      </c>
      <c r="IV71" s="279">
        <f t="shared" si="874"/>
        <v>0</v>
      </c>
      <c r="IW71" s="289">
        <f t="shared" si="815"/>
        <v>0</v>
      </c>
      <c r="IX71" s="279">
        <f t="shared" si="874"/>
        <v>0</v>
      </c>
      <c r="IY71" s="289">
        <f t="shared" si="816"/>
        <v>0</v>
      </c>
      <c r="IZ71" s="279">
        <f t="shared" si="874"/>
        <v>0</v>
      </c>
      <c r="JA71" s="289">
        <f t="shared" si="817"/>
        <v>0</v>
      </c>
      <c r="JB71" s="279">
        <f t="shared" si="874"/>
        <v>0</v>
      </c>
      <c r="JC71" s="289">
        <f t="shared" si="818"/>
        <v>0</v>
      </c>
      <c r="JD71" s="279">
        <f t="shared" si="874"/>
        <v>0</v>
      </c>
      <c r="JE71" s="289">
        <f t="shared" si="819"/>
        <v>0</v>
      </c>
      <c r="JF71" s="279">
        <f t="shared" si="874"/>
        <v>0</v>
      </c>
      <c r="JG71" s="289">
        <f t="shared" si="820"/>
        <v>0</v>
      </c>
      <c r="JH71" s="279">
        <f t="shared" si="821"/>
        <v>0</v>
      </c>
      <c r="JI71" s="289">
        <f t="shared" si="822"/>
        <v>0</v>
      </c>
      <c r="JJ71" s="279">
        <f t="shared" si="407"/>
        <v>0</v>
      </c>
      <c r="JK71" s="289">
        <f t="shared" si="823"/>
        <v>0</v>
      </c>
      <c r="JL71" s="279">
        <f t="shared" si="824"/>
        <v>0</v>
      </c>
      <c r="JM71" s="289">
        <f t="shared" si="825"/>
        <v>0</v>
      </c>
      <c r="JN71" s="279">
        <f t="shared" si="408"/>
        <v>0</v>
      </c>
      <c r="JO71" s="289">
        <f t="shared" si="826"/>
        <v>0</v>
      </c>
      <c r="JP71" s="252">
        <f t="shared" si="827"/>
        <v>0</v>
      </c>
      <c r="JQ71" s="251">
        <f t="shared" si="828"/>
        <v>0</v>
      </c>
      <c r="JS71" s="1"/>
      <c r="JT71" s="2">
        <v>8.3333333333333329E-2</v>
      </c>
      <c r="JU71" s="257">
        <f t="shared" si="670"/>
        <v>0</v>
      </c>
      <c r="JV71" s="249">
        <f t="shared" si="829"/>
        <v>0</v>
      </c>
      <c r="JW71" s="250">
        <f t="shared" si="830"/>
        <v>0</v>
      </c>
      <c r="JX71" s="372">
        <f t="shared" ref="JX71:KJ107" si="875">+$JS71*$JT71</f>
        <v>0</v>
      </c>
      <c r="JY71" s="339">
        <f t="shared" si="831"/>
        <v>0</v>
      </c>
      <c r="JZ71" s="372">
        <f t="shared" si="875"/>
        <v>0</v>
      </c>
      <c r="KA71" s="339">
        <f t="shared" si="831"/>
        <v>0</v>
      </c>
      <c r="KB71" s="372">
        <f t="shared" si="875"/>
        <v>0</v>
      </c>
      <c r="KC71" s="339">
        <f t="shared" si="832"/>
        <v>0</v>
      </c>
      <c r="KD71" s="372">
        <f t="shared" si="875"/>
        <v>0</v>
      </c>
      <c r="KE71" s="339">
        <f t="shared" si="833"/>
        <v>0</v>
      </c>
      <c r="KF71" s="372">
        <f t="shared" si="875"/>
        <v>0</v>
      </c>
      <c r="KG71" s="339">
        <f t="shared" si="834"/>
        <v>0</v>
      </c>
      <c r="KH71" s="372">
        <f t="shared" si="875"/>
        <v>0</v>
      </c>
      <c r="KI71" s="339">
        <f t="shared" si="835"/>
        <v>0</v>
      </c>
      <c r="KJ71" s="372">
        <f t="shared" si="875"/>
        <v>0</v>
      </c>
      <c r="KK71" s="339">
        <f t="shared" si="836"/>
        <v>0</v>
      </c>
      <c r="KL71" s="372">
        <f t="shared" si="837"/>
        <v>0</v>
      </c>
      <c r="KM71" s="339">
        <f t="shared" si="838"/>
        <v>0</v>
      </c>
      <c r="KN71" s="372">
        <f t="shared" si="677"/>
        <v>0</v>
      </c>
      <c r="KO71" s="339">
        <f t="shared" si="839"/>
        <v>0</v>
      </c>
      <c r="KP71" s="372">
        <f t="shared" si="840"/>
        <v>0</v>
      </c>
      <c r="KQ71" s="339">
        <f t="shared" si="841"/>
        <v>0</v>
      </c>
      <c r="KR71" s="372">
        <f t="shared" si="678"/>
        <v>0</v>
      </c>
      <c r="KS71" s="377">
        <f t="shared" si="842"/>
        <v>0</v>
      </c>
      <c r="KT71" s="379">
        <f t="shared" si="843"/>
        <v>0</v>
      </c>
      <c r="KU71" s="251">
        <f t="shared" si="679"/>
        <v>0</v>
      </c>
      <c r="KW71" s="1"/>
      <c r="KX71" s="2">
        <v>8.3333333333333329E-2</v>
      </c>
      <c r="KY71" s="254">
        <f t="shared" si="680"/>
        <v>0</v>
      </c>
      <c r="KZ71" s="249">
        <f t="shared" ref="KZ71:KZ110" si="876">+$KW71*$KX71</f>
        <v>0</v>
      </c>
      <c r="LA71" s="251">
        <f t="shared" si="681"/>
        <v>0</v>
      </c>
      <c r="LB71" s="279">
        <f t="shared" si="844"/>
        <v>0</v>
      </c>
      <c r="LC71" s="339">
        <f t="shared" si="845"/>
        <v>0</v>
      </c>
      <c r="LD71" s="279">
        <f t="shared" si="844"/>
        <v>0</v>
      </c>
      <c r="LE71" s="339">
        <f t="shared" si="845"/>
        <v>0</v>
      </c>
      <c r="LF71" s="279">
        <f t="shared" si="844"/>
        <v>0</v>
      </c>
      <c r="LG71" s="339">
        <f t="shared" si="846"/>
        <v>0</v>
      </c>
      <c r="LH71" s="279">
        <f t="shared" si="844"/>
        <v>0</v>
      </c>
      <c r="LI71" s="339">
        <f t="shared" si="847"/>
        <v>0</v>
      </c>
      <c r="LJ71" s="279">
        <f t="shared" si="844"/>
        <v>0</v>
      </c>
      <c r="LK71" s="339">
        <f t="shared" si="848"/>
        <v>0</v>
      </c>
      <c r="LL71" s="279">
        <f t="shared" si="844"/>
        <v>0</v>
      </c>
      <c r="LM71" s="339">
        <f t="shared" si="849"/>
        <v>0</v>
      </c>
      <c r="LN71" s="279">
        <f t="shared" si="844"/>
        <v>0</v>
      </c>
      <c r="LO71" s="339">
        <f t="shared" si="850"/>
        <v>0</v>
      </c>
      <c r="LP71" s="279">
        <f t="shared" ref="LP71:LP110" si="877">+$KW71*$KX71</f>
        <v>0</v>
      </c>
      <c r="LQ71" s="339">
        <f t="shared" si="851"/>
        <v>0</v>
      </c>
      <c r="LR71" s="279">
        <f t="shared" ref="LR71:LR110" si="878">+$KW71*$KX71</f>
        <v>0</v>
      </c>
      <c r="LS71" s="339">
        <f t="shared" si="852"/>
        <v>0</v>
      </c>
      <c r="LT71" s="279">
        <f t="shared" ref="LT71:LT110" si="879">+$KW71*$KX71</f>
        <v>0</v>
      </c>
      <c r="LU71" s="339">
        <f t="shared" si="853"/>
        <v>0</v>
      </c>
      <c r="LV71" s="279">
        <f t="shared" ref="LV71:LV110" si="880">+$KW71*$KX71</f>
        <v>0</v>
      </c>
      <c r="LW71" s="339">
        <f t="shared" si="854"/>
        <v>0</v>
      </c>
      <c r="LX71" s="252">
        <f t="shared" si="855"/>
        <v>0</v>
      </c>
      <c r="LY71" s="253">
        <f t="shared" si="856"/>
        <v>0</v>
      </c>
      <c r="MA71" s="249">
        <f t="shared" si="688"/>
        <v>0</v>
      </c>
      <c r="MB71" s="253">
        <f t="shared" si="857"/>
        <v>0</v>
      </c>
      <c r="MC71" s="397">
        <f t="shared" si="689"/>
        <v>0</v>
      </c>
      <c r="MD71" s="253">
        <f t="shared" si="858"/>
        <v>0</v>
      </c>
      <c r="ME71" s="397">
        <f t="shared" si="690"/>
        <v>0</v>
      </c>
      <c r="MF71" s="253">
        <f t="shared" si="858"/>
        <v>0</v>
      </c>
      <c r="MG71" s="397">
        <f t="shared" si="691"/>
        <v>0</v>
      </c>
      <c r="MH71" s="253">
        <f t="shared" si="859"/>
        <v>0</v>
      </c>
      <c r="MI71" s="397">
        <f t="shared" si="692"/>
        <v>0</v>
      </c>
      <c r="MJ71" s="253">
        <f t="shared" si="860"/>
        <v>0</v>
      </c>
      <c r="MK71" s="397">
        <f t="shared" si="693"/>
        <v>0</v>
      </c>
      <c r="ML71" s="253">
        <f t="shared" si="861"/>
        <v>0</v>
      </c>
      <c r="MM71" s="397">
        <f t="shared" si="694"/>
        <v>0</v>
      </c>
      <c r="MN71" s="253">
        <f t="shared" si="862"/>
        <v>0</v>
      </c>
      <c r="MO71" s="397">
        <f t="shared" si="695"/>
        <v>0</v>
      </c>
      <c r="MP71" s="253">
        <f t="shared" si="863"/>
        <v>0</v>
      </c>
      <c r="MQ71" s="397">
        <f t="shared" si="696"/>
        <v>0</v>
      </c>
      <c r="MR71" s="253">
        <f t="shared" si="864"/>
        <v>0</v>
      </c>
      <c r="MS71" s="397">
        <f t="shared" si="697"/>
        <v>0</v>
      </c>
      <c r="MT71" s="253">
        <f t="shared" si="865"/>
        <v>0</v>
      </c>
      <c r="MU71" s="397">
        <f t="shared" si="698"/>
        <v>0</v>
      </c>
      <c r="MV71" s="253">
        <f t="shared" si="866"/>
        <v>0</v>
      </c>
      <c r="MW71" s="397">
        <f t="shared" si="699"/>
        <v>0</v>
      </c>
      <c r="MX71" s="253">
        <f t="shared" si="867"/>
        <v>0</v>
      </c>
      <c r="MY71" s="252">
        <f t="shared" si="868"/>
        <v>0</v>
      </c>
      <c r="MZ71" s="251">
        <f t="shared" si="869"/>
        <v>0</v>
      </c>
    </row>
    <row r="72" spans="1:364" ht="52.8" x14ac:dyDescent="0.25">
      <c r="A72" s="533"/>
      <c r="B72" s="245" t="s">
        <v>152</v>
      </c>
      <c r="C72" s="246" t="s">
        <v>153</v>
      </c>
      <c r="D72" s="247" t="s">
        <v>28</v>
      </c>
      <c r="E72" s="4">
        <v>1</v>
      </c>
      <c r="F72" s="353">
        <v>77421.726755218202</v>
      </c>
      <c r="G72" s="353">
        <f t="shared" si="700"/>
        <v>80648.369386464241</v>
      </c>
      <c r="I72" s="30"/>
      <c r="J72" s="2">
        <v>8.3333333333333329E-2</v>
      </c>
      <c r="K72" s="248">
        <f t="shared" si="701"/>
        <v>0</v>
      </c>
      <c r="L72" s="249"/>
      <c r="M72" s="301">
        <f t="shared" si="445"/>
        <v>0</v>
      </c>
      <c r="N72" s="279">
        <f t="shared" si="450"/>
        <v>0</v>
      </c>
      <c r="O72" s="289">
        <f t="shared" si="682"/>
        <v>0</v>
      </c>
      <c r="P72" s="279">
        <f t="shared" si="451"/>
        <v>0</v>
      </c>
      <c r="Q72" s="289">
        <f t="shared" si="682"/>
        <v>0</v>
      </c>
      <c r="R72" s="279">
        <f t="shared" si="452"/>
        <v>0</v>
      </c>
      <c r="S72" s="289">
        <f t="shared" si="702"/>
        <v>0</v>
      </c>
      <c r="T72" s="279">
        <f t="shared" si="453"/>
        <v>0</v>
      </c>
      <c r="U72" s="289">
        <f t="shared" si="703"/>
        <v>0</v>
      </c>
      <c r="V72" s="279">
        <f t="shared" si="409"/>
        <v>0</v>
      </c>
      <c r="W72" s="289">
        <f t="shared" si="704"/>
        <v>0</v>
      </c>
      <c r="X72" s="279">
        <f t="shared" si="305"/>
        <v>0</v>
      </c>
      <c r="Y72" s="289">
        <f t="shared" si="705"/>
        <v>0</v>
      </c>
      <c r="Z72" s="279">
        <f t="shared" si="454"/>
        <v>0</v>
      </c>
      <c r="AA72" s="289">
        <f t="shared" si="706"/>
        <v>0</v>
      </c>
      <c r="AB72" s="279">
        <f t="shared" si="306"/>
        <v>0</v>
      </c>
      <c r="AC72" s="289">
        <f t="shared" si="707"/>
        <v>0</v>
      </c>
      <c r="AD72" s="279">
        <f t="shared" si="455"/>
        <v>0</v>
      </c>
      <c r="AE72" s="289">
        <f t="shared" si="708"/>
        <v>0</v>
      </c>
      <c r="AF72" s="279">
        <f t="shared" si="307"/>
        <v>0</v>
      </c>
      <c r="AG72" s="289">
        <f t="shared" si="308"/>
        <v>0</v>
      </c>
      <c r="AH72" s="249">
        <f t="shared" si="456"/>
        <v>0</v>
      </c>
      <c r="AI72" s="299">
        <f t="shared" si="309"/>
        <v>0</v>
      </c>
      <c r="AJ72" s="252">
        <f t="shared" si="709"/>
        <v>0</v>
      </c>
      <c r="AK72" s="312">
        <f t="shared" si="710"/>
        <v>0</v>
      </c>
      <c r="AM72" s="1"/>
      <c r="AN72" s="2">
        <v>8.3333333333333329E-2</v>
      </c>
      <c r="AO72" s="254">
        <f t="shared" si="660"/>
        <v>0</v>
      </c>
      <c r="AP72" s="249">
        <f t="shared" si="328"/>
        <v>0</v>
      </c>
      <c r="AQ72" s="301">
        <f t="shared" si="683"/>
        <v>0</v>
      </c>
      <c r="AR72" s="249">
        <f t="shared" si="329"/>
        <v>0</v>
      </c>
      <c r="AS72" s="301">
        <f t="shared" si="683"/>
        <v>0</v>
      </c>
      <c r="AT72" s="249">
        <f t="shared" si="330"/>
        <v>0</v>
      </c>
      <c r="AU72" s="301">
        <f t="shared" si="684"/>
        <v>0</v>
      </c>
      <c r="AV72" s="249">
        <f t="shared" si="331"/>
        <v>0</v>
      </c>
      <c r="AW72" s="301">
        <f t="shared" si="711"/>
        <v>0</v>
      </c>
      <c r="AX72" s="249">
        <f t="shared" si="5"/>
        <v>0</v>
      </c>
      <c r="AY72" s="301">
        <f t="shared" si="712"/>
        <v>0</v>
      </c>
      <c r="AZ72" s="249">
        <f t="shared" si="332"/>
        <v>0</v>
      </c>
      <c r="BA72" s="301">
        <f t="shared" si="713"/>
        <v>0</v>
      </c>
      <c r="BB72" s="249">
        <f t="shared" si="7"/>
        <v>0</v>
      </c>
      <c r="BC72" s="301">
        <f t="shared" si="714"/>
        <v>0</v>
      </c>
      <c r="BD72" s="249">
        <f t="shared" si="333"/>
        <v>0</v>
      </c>
      <c r="BE72" s="301">
        <f t="shared" si="715"/>
        <v>0</v>
      </c>
      <c r="BF72" s="249">
        <f t="shared" si="9"/>
        <v>0</v>
      </c>
      <c r="BG72" s="301">
        <f t="shared" si="716"/>
        <v>0</v>
      </c>
      <c r="BH72" s="249">
        <f t="shared" si="334"/>
        <v>0</v>
      </c>
      <c r="BI72" s="301">
        <f t="shared" si="717"/>
        <v>0</v>
      </c>
      <c r="BJ72" s="249">
        <f t="shared" si="335"/>
        <v>0</v>
      </c>
      <c r="BK72" s="301">
        <f t="shared" si="717"/>
        <v>0</v>
      </c>
      <c r="BL72" s="249">
        <f t="shared" si="661"/>
        <v>0</v>
      </c>
      <c r="BM72" s="299">
        <f t="shared" si="718"/>
        <v>0</v>
      </c>
      <c r="BN72" s="252">
        <f t="shared" si="719"/>
        <v>0</v>
      </c>
      <c r="BO72" s="312">
        <f t="shared" si="685"/>
        <v>0</v>
      </c>
      <c r="BQ72" s="1"/>
      <c r="BR72" s="2"/>
      <c r="BS72" s="255">
        <f t="shared" si="281"/>
        <v>0</v>
      </c>
      <c r="BT72" s="249">
        <f t="shared" ref="BT72:BT110" si="881">+$BQ72*$BR72</f>
        <v>0</v>
      </c>
      <c r="BU72" s="336">
        <f t="shared" si="720"/>
        <v>0</v>
      </c>
      <c r="BV72" s="279">
        <f t="shared" si="721"/>
        <v>0</v>
      </c>
      <c r="BW72" s="339">
        <f t="shared" si="722"/>
        <v>0</v>
      </c>
      <c r="BX72" s="279">
        <f t="shared" si="721"/>
        <v>0</v>
      </c>
      <c r="BY72" s="339">
        <f t="shared" si="723"/>
        <v>0</v>
      </c>
      <c r="BZ72" s="279">
        <f t="shared" si="721"/>
        <v>0</v>
      </c>
      <c r="CA72" s="339">
        <f t="shared" si="724"/>
        <v>0</v>
      </c>
      <c r="CB72" s="279">
        <f t="shared" si="721"/>
        <v>0</v>
      </c>
      <c r="CC72" s="339">
        <f t="shared" si="725"/>
        <v>0</v>
      </c>
      <c r="CD72" s="279">
        <f t="shared" si="721"/>
        <v>0</v>
      </c>
      <c r="CE72" s="339">
        <f t="shared" si="726"/>
        <v>0</v>
      </c>
      <c r="CF72" s="279">
        <f t="shared" si="721"/>
        <v>0</v>
      </c>
      <c r="CG72" s="339">
        <f t="shared" si="727"/>
        <v>0</v>
      </c>
      <c r="CH72" s="279">
        <f t="shared" si="721"/>
        <v>0</v>
      </c>
      <c r="CI72" s="339">
        <f t="shared" si="728"/>
        <v>0</v>
      </c>
      <c r="CJ72" s="279">
        <f t="shared" si="729"/>
        <v>0</v>
      </c>
      <c r="CK72" s="339">
        <f t="shared" si="730"/>
        <v>0</v>
      </c>
      <c r="CL72" s="279">
        <f t="shared" si="463"/>
        <v>0</v>
      </c>
      <c r="CM72" s="339">
        <f t="shared" si="731"/>
        <v>0</v>
      </c>
      <c r="CN72" s="279">
        <f t="shared" si="732"/>
        <v>0</v>
      </c>
      <c r="CO72" s="339">
        <f t="shared" si="733"/>
        <v>0</v>
      </c>
      <c r="CP72" s="279">
        <f t="shared" si="464"/>
        <v>0</v>
      </c>
      <c r="CQ72" s="250">
        <f t="shared" si="662"/>
        <v>0</v>
      </c>
      <c r="CR72" s="252">
        <f t="shared" si="734"/>
        <v>0</v>
      </c>
      <c r="CS72" s="251">
        <f t="shared" si="448"/>
        <v>0</v>
      </c>
      <c r="CU72" s="1"/>
      <c r="CV72" s="2"/>
      <c r="CW72" s="255">
        <f t="shared" si="299"/>
        <v>0</v>
      </c>
      <c r="CX72" s="249">
        <f t="shared" si="735"/>
        <v>0</v>
      </c>
      <c r="CY72" s="250">
        <f t="shared" si="736"/>
        <v>0</v>
      </c>
      <c r="CZ72" s="279">
        <f t="shared" si="870"/>
        <v>0</v>
      </c>
      <c r="DA72" s="299">
        <f t="shared" si="736"/>
        <v>0</v>
      </c>
      <c r="DB72" s="279">
        <f t="shared" si="870"/>
        <v>0</v>
      </c>
      <c r="DC72" s="299">
        <f t="shared" si="737"/>
        <v>0</v>
      </c>
      <c r="DD72" s="279">
        <f t="shared" si="870"/>
        <v>0</v>
      </c>
      <c r="DE72" s="299">
        <f t="shared" si="738"/>
        <v>0</v>
      </c>
      <c r="DF72" s="279">
        <f t="shared" si="870"/>
        <v>0</v>
      </c>
      <c r="DG72" s="299">
        <f t="shared" si="739"/>
        <v>0</v>
      </c>
      <c r="DH72" s="279">
        <f t="shared" si="870"/>
        <v>0</v>
      </c>
      <c r="DI72" s="299">
        <f t="shared" si="740"/>
        <v>0</v>
      </c>
      <c r="DJ72" s="279">
        <f t="shared" si="870"/>
        <v>0</v>
      </c>
      <c r="DK72" s="299">
        <f t="shared" si="741"/>
        <v>0</v>
      </c>
      <c r="DL72" s="279">
        <f t="shared" si="870"/>
        <v>0</v>
      </c>
      <c r="DM72" s="299">
        <f t="shared" si="742"/>
        <v>0</v>
      </c>
      <c r="DN72" s="279">
        <f t="shared" si="743"/>
        <v>0</v>
      </c>
      <c r="DO72" s="299">
        <f t="shared" si="744"/>
        <v>0</v>
      </c>
      <c r="DP72" s="279">
        <f t="shared" si="471"/>
        <v>0</v>
      </c>
      <c r="DQ72" s="299">
        <f t="shared" si="745"/>
        <v>0</v>
      </c>
      <c r="DR72" s="279">
        <f t="shared" si="746"/>
        <v>0</v>
      </c>
      <c r="DS72" s="299">
        <f t="shared" si="747"/>
        <v>0</v>
      </c>
      <c r="DT72" s="279">
        <f t="shared" si="472"/>
        <v>0</v>
      </c>
      <c r="DU72" s="299">
        <f t="shared" si="748"/>
        <v>0</v>
      </c>
      <c r="DV72" s="252">
        <f t="shared" si="749"/>
        <v>0</v>
      </c>
      <c r="DW72" s="251">
        <f t="shared" si="449"/>
        <v>0</v>
      </c>
      <c r="DY72" s="256">
        <v>0</v>
      </c>
      <c r="DZ72" s="2"/>
      <c r="EA72" s="254">
        <f t="shared" si="663"/>
        <v>0</v>
      </c>
      <c r="EB72" s="249">
        <f t="shared" si="871"/>
        <v>0</v>
      </c>
      <c r="EC72" s="250">
        <f t="shared" si="750"/>
        <v>0</v>
      </c>
      <c r="ED72" s="356">
        <f t="shared" si="871"/>
        <v>0</v>
      </c>
      <c r="EE72" s="250">
        <f t="shared" si="750"/>
        <v>0</v>
      </c>
      <c r="EF72" s="249">
        <f t="shared" si="872"/>
        <v>0</v>
      </c>
      <c r="EG72" s="250">
        <f t="shared" si="751"/>
        <v>0</v>
      </c>
      <c r="EH72" s="249">
        <f t="shared" si="872"/>
        <v>0</v>
      </c>
      <c r="EI72" s="250">
        <f t="shared" si="751"/>
        <v>0</v>
      </c>
      <c r="EJ72" s="249">
        <f t="shared" si="872"/>
        <v>0</v>
      </c>
      <c r="EK72" s="250">
        <f t="shared" si="752"/>
        <v>0</v>
      </c>
      <c r="EL72" s="249">
        <f t="shared" si="872"/>
        <v>0</v>
      </c>
      <c r="EM72" s="250">
        <f t="shared" si="753"/>
        <v>0</v>
      </c>
      <c r="EN72" s="249">
        <f t="shared" si="872"/>
        <v>0</v>
      </c>
      <c r="EO72" s="250">
        <f t="shared" si="754"/>
        <v>0</v>
      </c>
      <c r="EP72" s="249">
        <f t="shared" si="872"/>
        <v>0</v>
      </c>
      <c r="EQ72" s="250">
        <f t="shared" si="755"/>
        <v>0</v>
      </c>
      <c r="ER72" s="249">
        <f t="shared" si="872"/>
        <v>0</v>
      </c>
      <c r="ES72" s="250">
        <f t="shared" si="756"/>
        <v>0</v>
      </c>
      <c r="ET72" s="249">
        <f t="shared" si="391"/>
        <v>0</v>
      </c>
      <c r="EU72" s="250">
        <f t="shared" si="757"/>
        <v>0</v>
      </c>
      <c r="EV72" s="249">
        <f t="shared" si="758"/>
        <v>0</v>
      </c>
      <c r="EW72" s="250">
        <f t="shared" si="759"/>
        <v>0</v>
      </c>
      <c r="EX72" s="249">
        <f t="shared" si="392"/>
        <v>0</v>
      </c>
      <c r="EY72" s="250">
        <f t="shared" si="760"/>
        <v>0</v>
      </c>
      <c r="EZ72" s="252">
        <f t="shared" si="761"/>
        <v>0</v>
      </c>
      <c r="FA72" s="251">
        <f t="shared" si="664"/>
        <v>0</v>
      </c>
      <c r="FC72" s="1"/>
      <c r="FD72" s="2"/>
      <c r="FE72" s="257">
        <f t="shared" si="152"/>
        <v>0</v>
      </c>
      <c r="FF72" s="249">
        <f t="shared" si="762"/>
        <v>0</v>
      </c>
      <c r="FG72" s="250">
        <f t="shared" si="763"/>
        <v>0</v>
      </c>
      <c r="FH72" s="372">
        <f t="shared" si="873"/>
        <v>0</v>
      </c>
      <c r="FI72" s="339">
        <f t="shared" si="764"/>
        <v>0</v>
      </c>
      <c r="FJ72" s="372">
        <f t="shared" si="873"/>
        <v>0</v>
      </c>
      <c r="FK72" s="339">
        <f t="shared" si="764"/>
        <v>0</v>
      </c>
      <c r="FL72" s="372">
        <f t="shared" si="873"/>
        <v>0</v>
      </c>
      <c r="FM72" s="339">
        <f t="shared" si="765"/>
        <v>0</v>
      </c>
      <c r="FN72" s="372">
        <f t="shared" si="873"/>
        <v>0</v>
      </c>
      <c r="FO72" s="339">
        <f t="shared" si="766"/>
        <v>0</v>
      </c>
      <c r="FP72" s="372">
        <f t="shared" si="873"/>
        <v>0</v>
      </c>
      <c r="FQ72" s="339">
        <f t="shared" si="767"/>
        <v>0</v>
      </c>
      <c r="FR72" s="372">
        <f t="shared" si="873"/>
        <v>0</v>
      </c>
      <c r="FS72" s="339">
        <f t="shared" si="768"/>
        <v>0</v>
      </c>
      <c r="FT72" s="372">
        <f t="shared" si="873"/>
        <v>0</v>
      </c>
      <c r="FU72" s="339">
        <f t="shared" si="769"/>
        <v>0</v>
      </c>
      <c r="FV72" s="372">
        <f t="shared" si="770"/>
        <v>0</v>
      </c>
      <c r="FW72" s="339">
        <f t="shared" si="771"/>
        <v>0</v>
      </c>
      <c r="FX72" s="372">
        <f t="shared" si="479"/>
        <v>0</v>
      </c>
      <c r="FY72" s="339">
        <f t="shared" si="772"/>
        <v>0</v>
      </c>
      <c r="FZ72" s="372">
        <f t="shared" si="773"/>
        <v>0</v>
      </c>
      <c r="GA72" s="339">
        <f t="shared" si="774"/>
        <v>0</v>
      </c>
      <c r="GB72" s="372">
        <f t="shared" si="480"/>
        <v>0</v>
      </c>
      <c r="GC72" s="339">
        <f t="shared" si="775"/>
        <v>0</v>
      </c>
      <c r="GD72" s="252">
        <f t="shared" si="776"/>
        <v>0</v>
      </c>
      <c r="GE72" s="251">
        <f t="shared" si="686"/>
        <v>0</v>
      </c>
      <c r="GG72" s="1"/>
      <c r="GH72" s="2">
        <v>0.2</v>
      </c>
      <c r="GI72" s="257">
        <f t="shared" si="665"/>
        <v>0</v>
      </c>
      <c r="GJ72" s="249">
        <f t="shared" si="777"/>
        <v>0</v>
      </c>
      <c r="GK72" s="250">
        <f t="shared" si="778"/>
        <v>0</v>
      </c>
      <c r="GL72" s="249">
        <f t="shared" si="777"/>
        <v>0</v>
      </c>
      <c r="GM72" s="250">
        <f t="shared" si="778"/>
        <v>0</v>
      </c>
      <c r="GN72" s="249">
        <f t="shared" si="777"/>
        <v>0</v>
      </c>
      <c r="GO72" s="250">
        <f t="shared" si="779"/>
        <v>0</v>
      </c>
      <c r="GP72" s="249">
        <f t="shared" si="777"/>
        <v>0</v>
      </c>
      <c r="GQ72" s="250">
        <f t="shared" si="780"/>
        <v>0</v>
      </c>
      <c r="GR72" s="249">
        <f t="shared" si="777"/>
        <v>0</v>
      </c>
      <c r="GS72" s="250">
        <f t="shared" si="781"/>
        <v>0</v>
      </c>
      <c r="GT72" s="249">
        <f t="shared" si="777"/>
        <v>0</v>
      </c>
      <c r="GU72" s="250">
        <f t="shared" si="782"/>
        <v>0</v>
      </c>
      <c r="GV72" s="249">
        <f t="shared" si="777"/>
        <v>0</v>
      </c>
      <c r="GW72" s="250">
        <f t="shared" si="783"/>
        <v>0</v>
      </c>
      <c r="GX72" s="249">
        <f t="shared" si="784"/>
        <v>0</v>
      </c>
      <c r="GY72" s="250">
        <f t="shared" si="785"/>
        <v>0</v>
      </c>
      <c r="GZ72" s="249">
        <f t="shared" si="786"/>
        <v>0</v>
      </c>
      <c r="HA72" s="250">
        <f t="shared" si="787"/>
        <v>0</v>
      </c>
      <c r="HB72" s="249">
        <f t="shared" si="788"/>
        <v>0</v>
      </c>
      <c r="HC72" s="250">
        <f t="shared" si="789"/>
        <v>0</v>
      </c>
      <c r="HD72" s="249">
        <f t="shared" si="790"/>
        <v>0</v>
      </c>
      <c r="HE72" s="250">
        <f t="shared" si="791"/>
        <v>0</v>
      </c>
      <c r="HF72" s="249">
        <f t="shared" si="792"/>
        <v>0</v>
      </c>
      <c r="HG72" s="250">
        <f t="shared" si="793"/>
        <v>0</v>
      </c>
      <c r="HH72" s="252">
        <f t="shared" si="794"/>
        <v>0</v>
      </c>
      <c r="HI72" s="251">
        <f t="shared" si="666"/>
        <v>0</v>
      </c>
      <c r="HK72" s="1"/>
      <c r="HL72" s="2"/>
      <c r="HM72" s="257">
        <f t="shared" si="667"/>
        <v>0</v>
      </c>
      <c r="HN72" s="249">
        <f t="shared" si="795"/>
        <v>0</v>
      </c>
      <c r="HO72" s="250">
        <f t="shared" si="668"/>
        <v>0</v>
      </c>
      <c r="HP72" s="249">
        <f t="shared" si="796"/>
        <v>0</v>
      </c>
      <c r="HQ72" s="250">
        <f t="shared" si="797"/>
        <v>0</v>
      </c>
      <c r="HR72" s="249">
        <f t="shared" si="796"/>
        <v>0</v>
      </c>
      <c r="HS72" s="250">
        <f t="shared" si="797"/>
        <v>0</v>
      </c>
      <c r="HT72" s="249">
        <f t="shared" si="796"/>
        <v>0</v>
      </c>
      <c r="HU72" s="250">
        <f t="shared" si="798"/>
        <v>0</v>
      </c>
      <c r="HV72" s="249">
        <f t="shared" si="796"/>
        <v>0</v>
      </c>
      <c r="HW72" s="250">
        <f t="shared" si="799"/>
        <v>0</v>
      </c>
      <c r="HX72" s="249">
        <f t="shared" si="796"/>
        <v>0</v>
      </c>
      <c r="HY72" s="250">
        <f t="shared" si="800"/>
        <v>0</v>
      </c>
      <c r="HZ72" s="249">
        <f t="shared" si="796"/>
        <v>0</v>
      </c>
      <c r="IA72" s="250">
        <f t="shared" si="801"/>
        <v>0</v>
      </c>
      <c r="IB72" s="249">
        <f t="shared" si="796"/>
        <v>0</v>
      </c>
      <c r="IC72" s="250">
        <f t="shared" si="802"/>
        <v>0</v>
      </c>
      <c r="ID72" s="249">
        <f t="shared" si="803"/>
        <v>0</v>
      </c>
      <c r="IE72" s="250">
        <f t="shared" si="804"/>
        <v>0</v>
      </c>
      <c r="IF72" s="249">
        <f t="shared" si="805"/>
        <v>0</v>
      </c>
      <c r="IG72" s="250">
        <f t="shared" si="806"/>
        <v>0</v>
      </c>
      <c r="IH72" s="249">
        <f t="shared" si="807"/>
        <v>0</v>
      </c>
      <c r="II72" s="250">
        <f t="shared" si="808"/>
        <v>0</v>
      </c>
      <c r="IJ72" s="249">
        <f t="shared" si="809"/>
        <v>0</v>
      </c>
      <c r="IK72" s="250">
        <f t="shared" si="810"/>
        <v>0</v>
      </c>
      <c r="IL72" s="252">
        <f t="shared" si="811"/>
        <v>0</v>
      </c>
      <c r="IM72" s="251">
        <f t="shared" si="812"/>
        <v>0</v>
      </c>
      <c r="IO72" s="1"/>
      <c r="IP72" s="2">
        <v>8.3333333333333329E-2</v>
      </c>
      <c r="IQ72" s="257">
        <f t="shared" si="669"/>
        <v>0</v>
      </c>
      <c r="IR72" s="249">
        <f t="shared" si="813"/>
        <v>0</v>
      </c>
      <c r="IS72" s="250">
        <f t="shared" si="814"/>
        <v>0</v>
      </c>
      <c r="IT72" s="279">
        <f t="shared" si="874"/>
        <v>0</v>
      </c>
      <c r="IU72" s="289">
        <f t="shared" si="815"/>
        <v>0</v>
      </c>
      <c r="IV72" s="279">
        <f t="shared" si="874"/>
        <v>0</v>
      </c>
      <c r="IW72" s="289">
        <f t="shared" si="815"/>
        <v>0</v>
      </c>
      <c r="IX72" s="279">
        <f t="shared" si="874"/>
        <v>0</v>
      </c>
      <c r="IY72" s="289">
        <f t="shared" si="816"/>
        <v>0</v>
      </c>
      <c r="IZ72" s="279">
        <f t="shared" si="874"/>
        <v>0</v>
      </c>
      <c r="JA72" s="289">
        <f t="shared" si="817"/>
        <v>0</v>
      </c>
      <c r="JB72" s="279">
        <f t="shared" si="874"/>
        <v>0</v>
      </c>
      <c r="JC72" s="289">
        <f t="shared" si="818"/>
        <v>0</v>
      </c>
      <c r="JD72" s="279">
        <f t="shared" si="874"/>
        <v>0</v>
      </c>
      <c r="JE72" s="289">
        <f t="shared" si="819"/>
        <v>0</v>
      </c>
      <c r="JF72" s="279">
        <f t="shared" si="874"/>
        <v>0</v>
      </c>
      <c r="JG72" s="289">
        <f t="shared" si="820"/>
        <v>0</v>
      </c>
      <c r="JH72" s="279">
        <f t="shared" si="821"/>
        <v>0</v>
      </c>
      <c r="JI72" s="289">
        <f t="shared" si="822"/>
        <v>0</v>
      </c>
      <c r="JJ72" s="279">
        <f t="shared" si="407"/>
        <v>0</v>
      </c>
      <c r="JK72" s="289">
        <f t="shared" si="823"/>
        <v>0</v>
      </c>
      <c r="JL72" s="279">
        <f t="shared" si="824"/>
        <v>0</v>
      </c>
      <c r="JM72" s="289">
        <f t="shared" si="825"/>
        <v>0</v>
      </c>
      <c r="JN72" s="279">
        <f t="shared" si="408"/>
        <v>0</v>
      </c>
      <c r="JO72" s="289">
        <f t="shared" si="826"/>
        <v>0</v>
      </c>
      <c r="JP72" s="252">
        <f t="shared" si="827"/>
        <v>0</v>
      </c>
      <c r="JQ72" s="251">
        <f t="shared" si="828"/>
        <v>0</v>
      </c>
      <c r="JS72" s="1"/>
      <c r="JT72" s="2">
        <v>8.3333333333333329E-2</v>
      </c>
      <c r="JU72" s="257">
        <f t="shared" si="670"/>
        <v>0</v>
      </c>
      <c r="JV72" s="249">
        <f t="shared" si="829"/>
        <v>0</v>
      </c>
      <c r="JW72" s="250">
        <f t="shared" si="830"/>
        <v>0</v>
      </c>
      <c r="JX72" s="372">
        <f t="shared" si="875"/>
        <v>0</v>
      </c>
      <c r="JY72" s="339">
        <f t="shared" si="831"/>
        <v>0</v>
      </c>
      <c r="JZ72" s="372">
        <f t="shared" si="875"/>
        <v>0</v>
      </c>
      <c r="KA72" s="339">
        <f t="shared" si="831"/>
        <v>0</v>
      </c>
      <c r="KB72" s="372">
        <f t="shared" si="875"/>
        <v>0</v>
      </c>
      <c r="KC72" s="339">
        <f t="shared" si="832"/>
        <v>0</v>
      </c>
      <c r="KD72" s="372">
        <f t="shared" si="875"/>
        <v>0</v>
      </c>
      <c r="KE72" s="339">
        <f t="shared" si="833"/>
        <v>0</v>
      </c>
      <c r="KF72" s="372">
        <f t="shared" si="875"/>
        <v>0</v>
      </c>
      <c r="KG72" s="339">
        <f t="shared" si="834"/>
        <v>0</v>
      </c>
      <c r="KH72" s="372">
        <f t="shared" si="875"/>
        <v>0</v>
      </c>
      <c r="KI72" s="339">
        <f t="shared" si="835"/>
        <v>0</v>
      </c>
      <c r="KJ72" s="372">
        <f t="shared" si="875"/>
        <v>0</v>
      </c>
      <c r="KK72" s="339">
        <f t="shared" si="836"/>
        <v>0</v>
      </c>
      <c r="KL72" s="372">
        <f t="shared" si="837"/>
        <v>0</v>
      </c>
      <c r="KM72" s="339">
        <f t="shared" si="838"/>
        <v>0</v>
      </c>
      <c r="KN72" s="372">
        <f t="shared" si="677"/>
        <v>0</v>
      </c>
      <c r="KO72" s="339">
        <f t="shared" si="839"/>
        <v>0</v>
      </c>
      <c r="KP72" s="372">
        <f t="shared" si="840"/>
        <v>0</v>
      </c>
      <c r="KQ72" s="339">
        <f t="shared" si="841"/>
        <v>0</v>
      </c>
      <c r="KR72" s="372">
        <f t="shared" si="678"/>
        <v>0</v>
      </c>
      <c r="KS72" s="377">
        <f t="shared" si="842"/>
        <v>0</v>
      </c>
      <c r="KT72" s="379">
        <f t="shared" si="843"/>
        <v>0</v>
      </c>
      <c r="KU72" s="251">
        <f t="shared" si="679"/>
        <v>0</v>
      </c>
      <c r="KW72" s="1"/>
      <c r="KX72" s="2">
        <v>8.3333333333333329E-2</v>
      </c>
      <c r="KY72" s="254">
        <f t="shared" si="680"/>
        <v>0</v>
      </c>
      <c r="KZ72" s="249">
        <f t="shared" si="876"/>
        <v>0</v>
      </c>
      <c r="LA72" s="251">
        <f t="shared" si="681"/>
        <v>0</v>
      </c>
      <c r="LB72" s="279">
        <f t="shared" si="844"/>
        <v>0</v>
      </c>
      <c r="LC72" s="339">
        <f t="shared" si="845"/>
        <v>0</v>
      </c>
      <c r="LD72" s="279">
        <f t="shared" si="844"/>
        <v>0</v>
      </c>
      <c r="LE72" s="339">
        <f t="shared" si="845"/>
        <v>0</v>
      </c>
      <c r="LF72" s="279">
        <f t="shared" si="844"/>
        <v>0</v>
      </c>
      <c r="LG72" s="339">
        <f t="shared" si="846"/>
        <v>0</v>
      </c>
      <c r="LH72" s="279">
        <f t="shared" si="844"/>
        <v>0</v>
      </c>
      <c r="LI72" s="339">
        <f t="shared" si="847"/>
        <v>0</v>
      </c>
      <c r="LJ72" s="279">
        <f t="shared" si="844"/>
        <v>0</v>
      </c>
      <c r="LK72" s="339">
        <f t="shared" si="848"/>
        <v>0</v>
      </c>
      <c r="LL72" s="279">
        <f t="shared" si="844"/>
        <v>0</v>
      </c>
      <c r="LM72" s="339">
        <f t="shared" si="849"/>
        <v>0</v>
      </c>
      <c r="LN72" s="279">
        <f t="shared" si="844"/>
        <v>0</v>
      </c>
      <c r="LO72" s="339">
        <f t="shared" si="850"/>
        <v>0</v>
      </c>
      <c r="LP72" s="279">
        <f t="shared" si="877"/>
        <v>0</v>
      </c>
      <c r="LQ72" s="339">
        <f t="shared" si="851"/>
        <v>0</v>
      </c>
      <c r="LR72" s="279">
        <f t="shared" si="878"/>
        <v>0</v>
      </c>
      <c r="LS72" s="339">
        <f t="shared" si="852"/>
        <v>0</v>
      </c>
      <c r="LT72" s="279">
        <f t="shared" si="879"/>
        <v>0</v>
      </c>
      <c r="LU72" s="339">
        <f t="shared" si="853"/>
        <v>0</v>
      </c>
      <c r="LV72" s="279">
        <f t="shared" si="880"/>
        <v>0</v>
      </c>
      <c r="LW72" s="339">
        <f t="shared" si="854"/>
        <v>0</v>
      </c>
      <c r="LX72" s="252">
        <f t="shared" si="855"/>
        <v>0</v>
      </c>
      <c r="LY72" s="253">
        <f t="shared" si="856"/>
        <v>0</v>
      </c>
      <c r="MA72" s="249">
        <f t="shared" si="688"/>
        <v>0</v>
      </c>
      <c r="MB72" s="253">
        <f t="shared" si="857"/>
        <v>0</v>
      </c>
      <c r="MC72" s="397">
        <f t="shared" si="689"/>
        <v>0</v>
      </c>
      <c r="MD72" s="253">
        <f t="shared" si="858"/>
        <v>0</v>
      </c>
      <c r="ME72" s="397">
        <f t="shared" si="690"/>
        <v>0</v>
      </c>
      <c r="MF72" s="253">
        <f t="shared" si="858"/>
        <v>0</v>
      </c>
      <c r="MG72" s="397">
        <f t="shared" si="691"/>
        <v>0</v>
      </c>
      <c r="MH72" s="253">
        <f t="shared" si="859"/>
        <v>0</v>
      </c>
      <c r="MI72" s="397">
        <f t="shared" si="692"/>
        <v>0</v>
      </c>
      <c r="MJ72" s="253">
        <f t="shared" si="860"/>
        <v>0</v>
      </c>
      <c r="MK72" s="397">
        <f t="shared" si="693"/>
        <v>0</v>
      </c>
      <c r="ML72" s="253">
        <f t="shared" si="861"/>
        <v>0</v>
      </c>
      <c r="MM72" s="397">
        <f t="shared" si="694"/>
        <v>0</v>
      </c>
      <c r="MN72" s="253">
        <f t="shared" si="862"/>
        <v>0</v>
      </c>
      <c r="MO72" s="397">
        <f t="shared" si="695"/>
        <v>0</v>
      </c>
      <c r="MP72" s="253">
        <f t="shared" si="863"/>
        <v>0</v>
      </c>
      <c r="MQ72" s="397">
        <f t="shared" si="696"/>
        <v>0</v>
      </c>
      <c r="MR72" s="253">
        <f t="shared" si="864"/>
        <v>0</v>
      </c>
      <c r="MS72" s="397">
        <f t="shared" si="697"/>
        <v>0</v>
      </c>
      <c r="MT72" s="253">
        <f t="shared" si="865"/>
        <v>0</v>
      </c>
      <c r="MU72" s="397">
        <f t="shared" si="698"/>
        <v>0</v>
      </c>
      <c r="MV72" s="253">
        <f t="shared" si="866"/>
        <v>0</v>
      </c>
      <c r="MW72" s="397">
        <f t="shared" si="699"/>
        <v>0</v>
      </c>
      <c r="MX72" s="253">
        <f t="shared" si="867"/>
        <v>0</v>
      </c>
      <c r="MY72" s="252">
        <f t="shared" si="868"/>
        <v>0</v>
      </c>
      <c r="MZ72" s="251">
        <f t="shared" si="869"/>
        <v>0</v>
      </c>
    </row>
    <row r="73" spans="1:364" ht="52.8" x14ac:dyDescent="0.25">
      <c r="A73" s="533"/>
      <c r="B73" s="245" t="s">
        <v>154</v>
      </c>
      <c r="C73" s="246" t="s">
        <v>155</v>
      </c>
      <c r="D73" s="247" t="s">
        <v>28</v>
      </c>
      <c r="E73" s="4">
        <v>1</v>
      </c>
      <c r="F73" s="353">
        <v>146068.54838709676</v>
      </c>
      <c r="G73" s="353">
        <f t="shared" si="700"/>
        <v>152156.12903225803</v>
      </c>
      <c r="I73" s="30"/>
      <c r="J73" s="2">
        <v>8.3333333333333329E-2</v>
      </c>
      <c r="K73" s="248">
        <f t="shared" si="701"/>
        <v>0</v>
      </c>
      <c r="L73" s="249"/>
      <c r="M73" s="301">
        <f t="shared" si="445"/>
        <v>0</v>
      </c>
      <c r="N73" s="279">
        <f t="shared" si="450"/>
        <v>0</v>
      </c>
      <c r="O73" s="289">
        <f t="shared" si="682"/>
        <v>0</v>
      </c>
      <c r="P73" s="279">
        <f t="shared" si="451"/>
        <v>0</v>
      </c>
      <c r="Q73" s="289">
        <f t="shared" si="682"/>
        <v>0</v>
      </c>
      <c r="R73" s="279">
        <f t="shared" si="452"/>
        <v>0</v>
      </c>
      <c r="S73" s="289">
        <f t="shared" si="702"/>
        <v>0</v>
      </c>
      <c r="T73" s="279">
        <f t="shared" si="453"/>
        <v>0</v>
      </c>
      <c r="U73" s="289">
        <f t="shared" si="703"/>
        <v>0</v>
      </c>
      <c r="V73" s="279">
        <f t="shared" si="409"/>
        <v>0</v>
      </c>
      <c r="W73" s="289">
        <f t="shared" si="704"/>
        <v>0</v>
      </c>
      <c r="X73" s="279">
        <f t="shared" si="305"/>
        <v>0</v>
      </c>
      <c r="Y73" s="289">
        <f t="shared" si="705"/>
        <v>0</v>
      </c>
      <c r="Z73" s="279">
        <f t="shared" si="454"/>
        <v>0</v>
      </c>
      <c r="AA73" s="289">
        <f t="shared" si="706"/>
        <v>0</v>
      </c>
      <c r="AB73" s="279">
        <f t="shared" si="306"/>
        <v>0</v>
      </c>
      <c r="AC73" s="289">
        <f t="shared" si="707"/>
        <v>0</v>
      </c>
      <c r="AD73" s="279">
        <f t="shared" si="455"/>
        <v>0</v>
      </c>
      <c r="AE73" s="289">
        <f t="shared" si="708"/>
        <v>0</v>
      </c>
      <c r="AF73" s="279">
        <f t="shared" si="307"/>
        <v>0</v>
      </c>
      <c r="AG73" s="289">
        <f t="shared" si="308"/>
        <v>0</v>
      </c>
      <c r="AH73" s="249">
        <f t="shared" si="456"/>
        <v>0</v>
      </c>
      <c r="AI73" s="299">
        <f t="shared" si="309"/>
        <v>0</v>
      </c>
      <c r="AJ73" s="252">
        <f t="shared" si="709"/>
        <v>0</v>
      </c>
      <c r="AK73" s="312">
        <f t="shared" si="710"/>
        <v>0</v>
      </c>
      <c r="AM73" s="1"/>
      <c r="AN73" s="2">
        <v>8.3333333333333329E-2</v>
      </c>
      <c r="AO73" s="254">
        <f t="shared" si="660"/>
        <v>0</v>
      </c>
      <c r="AP73" s="249">
        <f t="shared" si="328"/>
        <v>0</v>
      </c>
      <c r="AQ73" s="301">
        <f t="shared" si="683"/>
        <v>0</v>
      </c>
      <c r="AR73" s="249">
        <f t="shared" si="329"/>
        <v>0</v>
      </c>
      <c r="AS73" s="301">
        <f t="shared" si="683"/>
        <v>0</v>
      </c>
      <c r="AT73" s="249">
        <f t="shared" si="330"/>
        <v>0</v>
      </c>
      <c r="AU73" s="301">
        <f t="shared" si="684"/>
        <v>0</v>
      </c>
      <c r="AV73" s="249">
        <f t="shared" si="331"/>
        <v>0</v>
      </c>
      <c r="AW73" s="301">
        <f t="shared" si="711"/>
        <v>0</v>
      </c>
      <c r="AX73" s="249">
        <f t="shared" si="5"/>
        <v>0</v>
      </c>
      <c r="AY73" s="301">
        <f t="shared" si="712"/>
        <v>0</v>
      </c>
      <c r="AZ73" s="249">
        <f t="shared" si="332"/>
        <v>0</v>
      </c>
      <c r="BA73" s="301">
        <f t="shared" si="713"/>
        <v>0</v>
      </c>
      <c r="BB73" s="249">
        <f t="shared" si="7"/>
        <v>0</v>
      </c>
      <c r="BC73" s="301">
        <f t="shared" si="714"/>
        <v>0</v>
      </c>
      <c r="BD73" s="249">
        <f t="shared" si="333"/>
        <v>0</v>
      </c>
      <c r="BE73" s="301">
        <f t="shared" si="715"/>
        <v>0</v>
      </c>
      <c r="BF73" s="249">
        <f t="shared" si="9"/>
        <v>0</v>
      </c>
      <c r="BG73" s="301">
        <f t="shared" si="716"/>
        <v>0</v>
      </c>
      <c r="BH73" s="249">
        <f t="shared" si="334"/>
        <v>0</v>
      </c>
      <c r="BI73" s="301">
        <f t="shared" si="717"/>
        <v>0</v>
      </c>
      <c r="BJ73" s="249">
        <f t="shared" si="335"/>
        <v>0</v>
      </c>
      <c r="BK73" s="301">
        <f t="shared" si="717"/>
        <v>0</v>
      </c>
      <c r="BL73" s="249">
        <f t="shared" si="661"/>
        <v>0</v>
      </c>
      <c r="BM73" s="299">
        <f t="shared" si="718"/>
        <v>0</v>
      </c>
      <c r="BN73" s="252">
        <f t="shared" si="719"/>
        <v>0</v>
      </c>
      <c r="BO73" s="312">
        <f t="shared" si="685"/>
        <v>0</v>
      </c>
      <c r="BQ73" s="1"/>
      <c r="BR73" s="2"/>
      <c r="BS73" s="255">
        <f t="shared" si="281"/>
        <v>0</v>
      </c>
      <c r="BT73" s="249">
        <f t="shared" si="881"/>
        <v>0</v>
      </c>
      <c r="BU73" s="336">
        <f t="shared" si="720"/>
        <v>0</v>
      </c>
      <c r="BV73" s="279">
        <f t="shared" si="721"/>
        <v>0</v>
      </c>
      <c r="BW73" s="339">
        <f t="shared" si="722"/>
        <v>0</v>
      </c>
      <c r="BX73" s="279">
        <f t="shared" si="721"/>
        <v>0</v>
      </c>
      <c r="BY73" s="339">
        <f t="shared" si="723"/>
        <v>0</v>
      </c>
      <c r="BZ73" s="279">
        <f t="shared" si="721"/>
        <v>0</v>
      </c>
      <c r="CA73" s="339">
        <f t="shared" si="724"/>
        <v>0</v>
      </c>
      <c r="CB73" s="279">
        <f t="shared" si="721"/>
        <v>0</v>
      </c>
      <c r="CC73" s="339">
        <f t="shared" si="725"/>
        <v>0</v>
      </c>
      <c r="CD73" s="279">
        <f t="shared" si="721"/>
        <v>0</v>
      </c>
      <c r="CE73" s="339">
        <f t="shared" si="726"/>
        <v>0</v>
      </c>
      <c r="CF73" s="279">
        <f t="shared" si="721"/>
        <v>0</v>
      </c>
      <c r="CG73" s="339">
        <f t="shared" si="727"/>
        <v>0</v>
      </c>
      <c r="CH73" s="279">
        <f t="shared" si="721"/>
        <v>0</v>
      </c>
      <c r="CI73" s="339">
        <f t="shared" si="728"/>
        <v>0</v>
      </c>
      <c r="CJ73" s="279">
        <f t="shared" si="729"/>
        <v>0</v>
      </c>
      <c r="CK73" s="339">
        <f t="shared" si="730"/>
        <v>0</v>
      </c>
      <c r="CL73" s="279">
        <f t="shared" si="463"/>
        <v>0</v>
      </c>
      <c r="CM73" s="339">
        <f t="shared" si="731"/>
        <v>0</v>
      </c>
      <c r="CN73" s="279">
        <f t="shared" si="732"/>
        <v>0</v>
      </c>
      <c r="CO73" s="339">
        <f t="shared" si="733"/>
        <v>0</v>
      </c>
      <c r="CP73" s="279">
        <f t="shared" si="464"/>
        <v>0</v>
      </c>
      <c r="CQ73" s="250">
        <f t="shared" si="662"/>
        <v>0</v>
      </c>
      <c r="CR73" s="252">
        <f t="shared" si="734"/>
        <v>0</v>
      </c>
      <c r="CS73" s="251">
        <f t="shared" si="448"/>
        <v>0</v>
      </c>
      <c r="CU73" s="1"/>
      <c r="CV73" s="2"/>
      <c r="CW73" s="255">
        <f t="shared" si="299"/>
        <v>0</v>
      </c>
      <c r="CX73" s="249">
        <f t="shared" si="735"/>
        <v>0</v>
      </c>
      <c r="CY73" s="250">
        <f t="shared" si="736"/>
        <v>0</v>
      </c>
      <c r="CZ73" s="279">
        <f t="shared" si="870"/>
        <v>0</v>
      </c>
      <c r="DA73" s="299">
        <f t="shared" si="736"/>
        <v>0</v>
      </c>
      <c r="DB73" s="279">
        <f t="shared" si="870"/>
        <v>0</v>
      </c>
      <c r="DC73" s="299">
        <f t="shared" si="737"/>
        <v>0</v>
      </c>
      <c r="DD73" s="279">
        <f t="shared" si="870"/>
        <v>0</v>
      </c>
      <c r="DE73" s="299">
        <f t="shared" si="738"/>
        <v>0</v>
      </c>
      <c r="DF73" s="279">
        <f t="shared" si="870"/>
        <v>0</v>
      </c>
      <c r="DG73" s="299">
        <f t="shared" si="739"/>
        <v>0</v>
      </c>
      <c r="DH73" s="279">
        <f t="shared" si="870"/>
        <v>0</v>
      </c>
      <c r="DI73" s="299">
        <f t="shared" si="740"/>
        <v>0</v>
      </c>
      <c r="DJ73" s="279">
        <f t="shared" si="870"/>
        <v>0</v>
      </c>
      <c r="DK73" s="299">
        <f t="shared" si="741"/>
        <v>0</v>
      </c>
      <c r="DL73" s="279">
        <f t="shared" si="870"/>
        <v>0</v>
      </c>
      <c r="DM73" s="299">
        <f t="shared" si="742"/>
        <v>0</v>
      </c>
      <c r="DN73" s="279">
        <f t="shared" si="743"/>
        <v>0</v>
      </c>
      <c r="DO73" s="299">
        <f t="shared" si="744"/>
        <v>0</v>
      </c>
      <c r="DP73" s="279">
        <f t="shared" si="471"/>
        <v>0</v>
      </c>
      <c r="DQ73" s="299">
        <f t="shared" si="745"/>
        <v>0</v>
      </c>
      <c r="DR73" s="279">
        <f t="shared" si="746"/>
        <v>0</v>
      </c>
      <c r="DS73" s="299">
        <f t="shared" si="747"/>
        <v>0</v>
      </c>
      <c r="DT73" s="279">
        <f t="shared" si="472"/>
        <v>0</v>
      </c>
      <c r="DU73" s="299">
        <f t="shared" si="748"/>
        <v>0</v>
      </c>
      <c r="DV73" s="252">
        <f t="shared" si="749"/>
        <v>0</v>
      </c>
      <c r="DW73" s="251">
        <f t="shared" si="449"/>
        <v>0</v>
      </c>
      <c r="DY73" s="256">
        <v>0</v>
      </c>
      <c r="DZ73" s="2"/>
      <c r="EA73" s="254">
        <f t="shared" si="663"/>
        <v>0</v>
      </c>
      <c r="EB73" s="249">
        <f t="shared" si="871"/>
        <v>0</v>
      </c>
      <c r="EC73" s="250">
        <f t="shared" si="750"/>
        <v>0</v>
      </c>
      <c r="ED73" s="356">
        <f t="shared" si="871"/>
        <v>0</v>
      </c>
      <c r="EE73" s="250">
        <f t="shared" si="750"/>
        <v>0</v>
      </c>
      <c r="EF73" s="249">
        <f t="shared" si="872"/>
        <v>0</v>
      </c>
      <c r="EG73" s="250">
        <f t="shared" si="751"/>
        <v>0</v>
      </c>
      <c r="EH73" s="249">
        <f t="shared" si="872"/>
        <v>0</v>
      </c>
      <c r="EI73" s="250">
        <f t="shared" si="751"/>
        <v>0</v>
      </c>
      <c r="EJ73" s="249">
        <f t="shared" si="872"/>
        <v>0</v>
      </c>
      <c r="EK73" s="250">
        <f t="shared" si="752"/>
        <v>0</v>
      </c>
      <c r="EL73" s="249">
        <f t="shared" si="872"/>
        <v>0</v>
      </c>
      <c r="EM73" s="250">
        <f t="shared" si="753"/>
        <v>0</v>
      </c>
      <c r="EN73" s="249">
        <f t="shared" si="872"/>
        <v>0</v>
      </c>
      <c r="EO73" s="250">
        <f t="shared" si="754"/>
        <v>0</v>
      </c>
      <c r="EP73" s="249">
        <f t="shared" si="872"/>
        <v>0</v>
      </c>
      <c r="EQ73" s="250">
        <f t="shared" si="755"/>
        <v>0</v>
      </c>
      <c r="ER73" s="249">
        <f t="shared" si="872"/>
        <v>0</v>
      </c>
      <c r="ES73" s="250">
        <f t="shared" si="756"/>
        <v>0</v>
      </c>
      <c r="ET73" s="249">
        <f t="shared" si="391"/>
        <v>0</v>
      </c>
      <c r="EU73" s="250">
        <f t="shared" si="757"/>
        <v>0</v>
      </c>
      <c r="EV73" s="249">
        <f t="shared" si="758"/>
        <v>0</v>
      </c>
      <c r="EW73" s="250">
        <f t="shared" si="759"/>
        <v>0</v>
      </c>
      <c r="EX73" s="249">
        <f t="shared" si="392"/>
        <v>0</v>
      </c>
      <c r="EY73" s="250">
        <f t="shared" si="760"/>
        <v>0</v>
      </c>
      <c r="EZ73" s="252">
        <f t="shared" si="761"/>
        <v>0</v>
      </c>
      <c r="FA73" s="251">
        <f t="shared" si="664"/>
        <v>0</v>
      </c>
      <c r="FC73" s="1"/>
      <c r="FD73" s="2"/>
      <c r="FE73" s="257">
        <f t="shared" si="152"/>
        <v>0</v>
      </c>
      <c r="FF73" s="249">
        <f t="shared" si="762"/>
        <v>0</v>
      </c>
      <c r="FG73" s="250">
        <f t="shared" si="763"/>
        <v>0</v>
      </c>
      <c r="FH73" s="372">
        <f t="shared" si="873"/>
        <v>0</v>
      </c>
      <c r="FI73" s="339">
        <f t="shared" si="764"/>
        <v>0</v>
      </c>
      <c r="FJ73" s="372">
        <f t="shared" si="873"/>
        <v>0</v>
      </c>
      <c r="FK73" s="339">
        <f t="shared" si="764"/>
        <v>0</v>
      </c>
      <c r="FL73" s="372">
        <f t="shared" si="873"/>
        <v>0</v>
      </c>
      <c r="FM73" s="339">
        <f t="shared" si="765"/>
        <v>0</v>
      </c>
      <c r="FN73" s="372">
        <f t="shared" si="873"/>
        <v>0</v>
      </c>
      <c r="FO73" s="339">
        <f t="shared" si="766"/>
        <v>0</v>
      </c>
      <c r="FP73" s="372">
        <f t="shared" si="873"/>
        <v>0</v>
      </c>
      <c r="FQ73" s="339">
        <f t="shared" si="767"/>
        <v>0</v>
      </c>
      <c r="FR73" s="372">
        <f t="shared" si="873"/>
        <v>0</v>
      </c>
      <c r="FS73" s="339">
        <f t="shared" si="768"/>
        <v>0</v>
      </c>
      <c r="FT73" s="372">
        <f t="shared" si="873"/>
        <v>0</v>
      </c>
      <c r="FU73" s="339">
        <f t="shared" si="769"/>
        <v>0</v>
      </c>
      <c r="FV73" s="372">
        <f t="shared" si="770"/>
        <v>0</v>
      </c>
      <c r="FW73" s="339">
        <f t="shared" si="771"/>
        <v>0</v>
      </c>
      <c r="FX73" s="372">
        <f t="shared" si="479"/>
        <v>0</v>
      </c>
      <c r="FY73" s="339">
        <f t="shared" si="772"/>
        <v>0</v>
      </c>
      <c r="FZ73" s="372">
        <f t="shared" si="773"/>
        <v>0</v>
      </c>
      <c r="GA73" s="339">
        <f t="shared" si="774"/>
        <v>0</v>
      </c>
      <c r="GB73" s="372">
        <f t="shared" si="480"/>
        <v>0</v>
      </c>
      <c r="GC73" s="339">
        <f t="shared" si="775"/>
        <v>0</v>
      </c>
      <c r="GD73" s="252">
        <f t="shared" si="776"/>
        <v>0</v>
      </c>
      <c r="GE73" s="251">
        <f t="shared" si="686"/>
        <v>0</v>
      </c>
      <c r="GG73" s="1"/>
      <c r="GH73" s="2">
        <v>0.2</v>
      </c>
      <c r="GI73" s="257">
        <f t="shared" si="665"/>
        <v>0</v>
      </c>
      <c r="GJ73" s="249">
        <f t="shared" si="777"/>
        <v>0</v>
      </c>
      <c r="GK73" s="250">
        <f t="shared" si="778"/>
        <v>0</v>
      </c>
      <c r="GL73" s="249">
        <f t="shared" si="777"/>
        <v>0</v>
      </c>
      <c r="GM73" s="250">
        <f t="shared" si="778"/>
        <v>0</v>
      </c>
      <c r="GN73" s="249">
        <f t="shared" si="777"/>
        <v>0</v>
      </c>
      <c r="GO73" s="250">
        <f t="shared" si="779"/>
        <v>0</v>
      </c>
      <c r="GP73" s="249">
        <f t="shared" si="777"/>
        <v>0</v>
      </c>
      <c r="GQ73" s="250">
        <f t="shared" si="780"/>
        <v>0</v>
      </c>
      <c r="GR73" s="249">
        <f t="shared" si="777"/>
        <v>0</v>
      </c>
      <c r="GS73" s="250">
        <f t="shared" si="781"/>
        <v>0</v>
      </c>
      <c r="GT73" s="249">
        <f t="shared" si="777"/>
        <v>0</v>
      </c>
      <c r="GU73" s="250">
        <f t="shared" si="782"/>
        <v>0</v>
      </c>
      <c r="GV73" s="249">
        <f t="shared" si="777"/>
        <v>0</v>
      </c>
      <c r="GW73" s="250">
        <f t="shared" si="783"/>
        <v>0</v>
      </c>
      <c r="GX73" s="249">
        <f t="shared" si="784"/>
        <v>0</v>
      </c>
      <c r="GY73" s="250">
        <f t="shared" si="785"/>
        <v>0</v>
      </c>
      <c r="GZ73" s="249">
        <f t="shared" si="786"/>
        <v>0</v>
      </c>
      <c r="HA73" s="250">
        <f t="shared" si="787"/>
        <v>0</v>
      </c>
      <c r="HB73" s="249">
        <f t="shared" si="788"/>
        <v>0</v>
      </c>
      <c r="HC73" s="250">
        <f t="shared" si="789"/>
        <v>0</v>
      </c>
      <c r="HD73" s="249">
        <f t="shared" si="790"/>
        <v>0</v>
      </c>
      <c r="HE73" s="250">
        <f t="shared" si="791"/>
        <v>0</v>
      </c>
      <c r="HF73" s="249">
        <f t="shared" si="792"/>
        <v>0</v>
      </c>
      <c r="HG73" s="250">
        <f t="shared" si="793"/>
        <v>0</v>
      </c>
      <c r="HH73" s="252">
        <f t="shared" si="794"/>
        <v>0</v>
      </c>
      <c r="HI73" s="251">
        <f t="shared" si="666"/>
        <v>0</v>
      </c>
      <c r="HK73" s="1"/>
      <c r="HL73" s="2"/>
      <c r="HM73" s="257">
        <f t="shared" si="667"/>
        <v>0</v>
      </c>
      <c r="HN73" s="249">
        <f t="shared" si="795"/>
        <v>0</v>
      </c>
      <c r="HO73" s="250">
        <f t="shared" si="668"/>
        <v>0</v>
      </c>
      <c r="HP73" s="249">
        <f t="shared" si="796"/>
        <v>0</v>
      </c>
      <c r="HQ73" s="250">
        <f t="shared" si="797"/>
        <v>0</v>
      </c>
      <c r="HR73" s="249">
        <f t="shared" si="796"/>
        <v>0</v>
      </c>
      <c r="HS73" s="250">
        <f t="shared" si="797"/>
        <v>0</v>
      </c>
      <c r="HT73" s="249">
        <f t="shared" si="796"/>
        <v>0</v>
      </c>
      <c r="HU73" s="250">
        <f t="shared" si="798"/>
        <v>0</v>
      </c>
      <c r="HV73" s="249">
        <f t="shared" si="796"/>
        <v>0</v>
      </c>
      <c r="HW73" s="250">
        <f t="shared" si="799"/>
        <v>0</v>
      </c>
      <c r="HX73" s="249">
        <f t="shared" si="796"/>
        <v>0</v>
      </c>
      <c r="HY73" s="250">
        <f t="shared" si="800"/>
        <v>0</v>
      </c>
      <c r="HZ73" s="249">
        <f t="shared" si="796"/>
        <v>0</v>
      </c>
      <c r="IA73" s="250">
        <f t="shared" si="801"/>
        <v>0</v>
      </c>
      <c r="IB73" s="249">
        <f t="shared" si="796"/>
        <v>0</v>
      </c>
      <c r="IC73" s="250">
        <f t="shared" si="802"/>
        <v>0</v>
      </c>
      <c r="ID73" s="249">
        <f t="shared" si="803"/>
        <v>0</v>
      </c>
      <c r="IE73" s="250">
        <f t="shared" si="804"/>
        <v>0</v>
      </c>
      <c r="IF73" s="249">
        <f t="shared" si="805"/>
        <v>0</v>
      </c>
      <c r="IG73" s="250">
        <f t="shared" si="806"/>
        <v>0</v>
      </c>
      <c r="IH73" s="249">
        <f t="shared" si="807"/>
        <v>0</v>
      </c>
      <c r="II73" s="250">
        <f t="shared" si="808"/>
        <v>0</v>
      </c>
      <c r="IJ73" s="249">
        <f t="shared" si="809"/>
        <v>0</v>
      </c>
      <c r="IK73" s="250">
        <f t="shared" si="810"/>
        <v>0</v>
      </c>
      <c r="IL73" s="252">
        <f t="shared" si="811"/>
        <v>0</v>
      </c>
      <c r="IM73" s="251">
        <f t="shared" si="812"/>
        <v>0</v>
      </c>
      <c r="IO73" s="1"/>
      <c r="IP73" s="2">
        <v>8.3333333333333329E-2</v>
      </c>
      <c r="IQ73" s="257">
        <f t="shared" si="669"/>
        <v>0</v>
      </c>
      <c r="IR73" s="249">
        <f t="shared" si="813"/>
        <v>0</v>
      </c>
      <c r="IS73" s="250">
        <f t="shared" si="814"/>
        <v>0</v>
      </c>
      <c r="IT73" s="279">
        <f t="shared" si="874"/>
        <v>0</v>
      </c>
      <c r="IU73" s="289">
        <f t="shared" si="815"/>
        <v>0</v>
      </c>
      <c r="IV73" s="279">
        <f t="shared" si="874"/>
        <v>0</v>
      </c>
      <c r="IW73" s="289">
        <f t="shared" si="815"/>
        <v>0</v>
      </c>
      <c r="IX73" s="279">
        <f t="shared" si="874"/>
        <v>0</v>
      </c>
      <c r="IY73" s="289">
        <f t="shared" si="816"/>
        <v>0</v>
      </c>
      <c r="IZ73" s="279">
        <f t="shared" si="874"/>
        <v>0</v>
      </c>
      <c r="JA73" s="289">
        <f t="shared" si="817"/>
        <v>0</v>
      </c>
      <c r="JB73" s="279">
        <f t="shared" si="874"/>
        <v>0</v>
      </c>
      <c r="JC73" s="289">
        <f t="shared" si="818"/>
        <v>0</v>
      </c>
      <c r="JD73" s="279">
        <f t="shared" si="874"/>
        <v>0</v>
      </c>
      <c r="JE73" s="289">
        <f t="shared" si="819"/>
        <v>0</v>
      </c>
      <c r="JF73" s="279">
        <f t="shared" si="874"/>
        <v>0</v>
      </c>
      <c r="JG73" s="289">
        <f t="shared" si="820"/>
        <v>0</v>
      </c>
      <c r="JH73" s="279">
        <f t="shared" si="821"/>
        <v>0</v>
      </c>
      <c r="JI73" s="289">
        <f t="shared" si="822"/>
        <v>0</v>
      </c>
      <c r="JJ73" s="279">
        <f t="shared" si="407"/>
        <v>0</v>
      </c>
      <c r="JK73" s="289">
        <f t="shared" si="823"/>
        <v>0</v>
      </c>
      <c r="JL73" s="279">
        <f t="shared" si="824"/>
        <v>0</v>
      </c>
      <c r="JM73" s="289">
        <f t="shared" si="825"/>
        <v>0</v>
      </c>
      <c r="JN73" s="279">
        <f t="shared" si="408"/>
        <v>0</v>
      </c>
      <c r="JO73" s="289">
        <f t="shared" si="826"/>
        <v>0</v>
      </c>
      <c r="JP73" s="252">
        <f t="shared" si="827"/>
        <v>0</v>
      </c>
      <c r="JQ73" s="251">
        <f t="shared" si="828"/>
        <v>0</v>
      </c>
      <c r="JS73" s="1"/>
      <c r="JT73" s="2">
        <v>8.3333333333333329E-2</v>
      </c>
      <c r="JU73" s="257">
        <f t="shared" si="670"/>
        <v>0</v>
      </c>
      <c r="JV73" s="249">
        <f t="shared" si="829"/>
        <v>0</v>
      </c>
      <c r="JW73" s="250">
        <f t="shared" si="830"/>
        <v>0</v>
      </c>
      <c r="JX73" s="372">
        <f t="shared" si="875"/>
        <v>0</v>
      </c>
      <c r="JY73" s="339">
        <f t="shared" si="831"/>
        <v>0</v>
      </c>
      <c r="JZ73" s="372">
        <f t="shared" si="875"/>
        <v>0</v>
      </c>
      <c r="KA73" s="339">
        <f t="shared" si="831"/>
        <v>0</v>
      </c>
      <c r="KB73" s="372">
        <f t="shared" si="875"/>
        <v>0</v>
      </c>
      <c r="KC73" s="339">
        <f t="shared" si="832"/>
        <v>0</v>
      </c>
      <c r="KD73" s="372">
        <f t="shared" si="875"/>
        <v>0</v>
      </c>
      <c r="KE73" s="339">
        <f t="shared" si="833"/>
        <v>0</v>
      </c>
      <c r="KF73" s="372">
        <f t="shared" si="875"/>
        <v>0</v>
      </c>
      <c r="KG73" s="339">
        <f t="shared" si="834"/>
        <v>0</v>
      </c>
      <c r="KH73" s="372">
        <f t="shared" si="875"/>
        <v>0</v>
      </c>
      <c r="KI73" s="339">
        <f t="shared" si="835"/>
        <v>0</v>
      </c>
      <c r="KJ73" s="372">
        <f t="shared" si="875"/>
        <v>0</v>
      </c>
      <c r="KK73" s="339">
        <f t="shared" si="836"/>
        <v>0</v>
      </c>
      <c r="KL73" s="372">
        <f t="shared" si="837"/>
        <v>0</v>
      </c>
      <c r="KM73" s="339">
        <f t="shared" si="838"/>
        <v>0</v>
      </c>
      <c r="KN73" s="372">
        <f t="shared" si="677"/>
        <v>0</v>
      </c>
      <c r="KO73" s="339">
        <f t="shared" si="839"/>
        <v>0</v>
      </c>
      <c r="KP73" s="372">
        <f t="shared" si="840"/>
        <v>0</v>
      </c>
      <c r="KQ73" s="339">
        <f t="shared" si="841"/>
        <v>0</v>
      </c>
      <c r="KR73" s="372">
        <f t="shared" si="678"/>
        <v>0</v>
      </c>
      <c r="KS73" s="377">
        <f t="shared" si="842"/>
        <v>0</v>
      </c>
      <c r="KT73" s="379">
        <f t="shared" si="843"/>
        <v>0</v>
      </c>
      <c r="KU73" s="251">
        <f t="shared" si="679"/>
        <v>0</v>
      </c>
      <c r="KW73" s="1"/>
      <c r="KX73" s="2">
        <v>8.3333333333333329E-2</v>
      </c>
      <c r="KY73" s="254">
        <f t="shared" si="680"/>
        <v>0</v>
      </c>
      <c r="KZ73" s="249">
        <f t="shared" si="876"/>
        <v>0</v>
      </c>
      <c r="LA73" s="251">
        <f t="shared" si="681"/>
        <v>0</v>
      </c>
      <c r="LB73" s="279">
        <f t="shared" si="844"/>
        <v>0</v>
      </c>
      <c r="LC73" s="339">
        <f t="shared" si="845"/>
        <v>0</v>
      </c>
      <c r="LD73" s="279">
        <f t="shared" si="844"/>
        <v>0</v>
      </c>
      <c r="LE73" s="339">
        <f t="shared" si="845"/>
        <v>0</v>
      </c>
      <c r="LF73" s="279">
        <f t="shared" si="844"/>
        <v>0</v>
      </c>
      <c r="LG73" s="339">
        <f t="shared" si="846"/>
        <v>0</v>
      </c>
      <c r="LH73" s="279">
        <f t="shared" si="844"/>
        <v>0</v>
      </c>
      <c r="LI73" s="339">
        <f t="shared" si="847"/>
        <v>0</v>
      </c>
      <c r="LJ73" s="279">
        <f t="shared" si="844"/>
        <v>0</v>
      </c>
      <c r="LK73" s="339">
        <f t="shared" si="848"/>
        <v>0</v>
      </c>
      <c r="LL73" s="279">
        <f t="shared" si="844"/>
        <v>0</v>
      </c>
      <c r="LM73" s="339">
        <f t="shared" si="849"/>
        <v>0</v>
      </c>
      <c r="LN73" s="279">
        <f t="shared" si="844"/>
        <v>0</v>
      </c>
      <c r="LO73" s="339">
        <f t="shared" si="850"/>
        <v>0</v>
      </c>
      <c r="LP73" s="279">
        <f t="shared" si="877"/>
        <v>0</v>
      </c>
      <c r="LQ73" s="339">
        <f t="shared" si="851"/>
        <v>0</v>
      </c>
      <c r="LR73" s="279">
        <f t="shared" si="878"/>
        <v>0</v>
      </c>
      <c r="LS73" s="339">
        <f t="shared" si="852"/>
        <v>0</v>
      </c>
      <c r="LT73" s="279">
        <f t="shared" si="879"/>
        <v>0</v>
      </c>
      <c r="LU73" s="339">
        <f t="shared" si="853"/>
        <v>0</v>
      </c>
      <c r="LV73" s="279">
        <f t="shared" si="880"/>
        <v>0</v>
      </c>
      <c r="LW73" s="339">
        <f t="shared" si="854"/>
        <v>0</v>
      </c>
      <c r="LX73" s="252">
        <f t="shared" si="855"/>
        <v>0</v>
      </c>
      <c r="LY73" s="253">
        <f t="shared" si="856"/>
        <v>0</v>
      </c>
      <c r="MA73" s="249">
        <f t="shared" si="688"/>
        <v>0</v>
      </c>
      <c r="MB73" s="253">
        <f t="shared" si="857"/>
        <v>0</v>
      </c>
      <c r="MC73" s="397">
        <f t="shared" si="689"/>
        <v>0</v>
      </c>
      <c r="MD73" s="253">
        <f t="shared" si="858"/>
        <v>0</v>
      </c>
      <c r="ME73" s="397">
        <f t="shared" si="690"/>
        <v>0</v>
      </c>
      <c r="MF73" s="253">
        <f t="shared" si="858"/>
        <v>0</v>
      </c>
      <c r="MG73" s="397">
        <f t="shared" si="691"/>
        <v>0</v>
      </c>
      <c r="MH73" s="253">
        <f t="shared" si="859"/>
        <v>0</v>
      </c>
      <c r="MI73" s="397">
        <f t="shared" si="692"/>
        <v>0</v>
      </c>
      <c r="MJ73" s="253">
        <f t="shared" si="860"/>
        <v>0</v>
      </c>
      <c r="MK73" s="397">
        <f t="shared" si="693"/>
        <v>0</v>
      </c>
      <c r="ML73" s="253">
        <f t="shared" si="861"/>
        <v>0</v>
      </c>
      <c r="MM73" s="397">
        <f t="shared" si="694"/>
        <v>0</v>
      </c>
      <c r="MN73" s="253">
        <f t="shared" si="862"/>
        <v>0</v>
      </c>
      <c r="MO73" s="397">
        <f t="shared" si="695"/>
        <v>0</v>
      </c>
      <c r="MP73" s="253">
        <f t="shared" si="863"/>
        <v>0</v>
      </c>
      <c r="MQ73" s="397">
        <f t="shared" si="696"/>
        <v>0</v>
      </c>
      <c r="MR73" s="253">
        <f t="shared" si="864"/>
        <v>0</v>
      </c>
      <c r="MS73" s="397">
        <f t="shared" si="697"/>
        <v>0</v>
      </c>
      <c r="MT73" s="253">
        <f t="shared" si="865"/>
        <v>0</v>
      </c>
      <c r="MU73" s="397">
        <f t="shared" si="698"/>
        <v>0</v>
      </c>
      <c r="MV73" s="253">
        <f t="shared" si="866"/>
        <v>0</v>
      </c>
      <c r="MW73" s="397">
        <f t="shared" si="699"/>
        <v>0</v>
      </c>
      <c r="MX73" s="253">
        <f t="shared" si="867"/>
        <v>0</v>
      </c>
      <c r="MY73" s="252">
        <f t="shared" si="868"/>
        <v>0</v>
      </c>
      <c r="MZ73" s="251">
        <f t="shared" si="869"/>
        <v>0</v>
      </c>
    </row>
    <row r="74" spans="1:364" ht="52.8" x14ac:dyDescent="0.25">
      <c r="A74" s="533"/>
      <c r="B74" s="245" t="s">
        <v>156</v>
      </c>
      <c r="C74" s="246" t="s">
        <v>157</v>
      </c>
      <c r="D74" s="247" t="s">
        <v>28</v>
      </c>
      <c r="E74" s="4">
        <v>1</v>
      </c>
      <c r="F74" s="353">
        <v>86140.595351043637</v>
      </c>
      <c r="G74" s="353">
        <f t="shared" si="700"/>
        <v>89730.607210626171</v>
      </c>
      <c r="I74" s="30"/>
      <c r="J74" s="2">
        <v>8.3333333333333329E-2</v>
      </c>
      <c r="K74" s="248">
        <f t="shared" si="701"/>
        <v>0</v>
      </c>
      <c r="L74" s="249"/>
      <c r="M74" s="301">
        <f t="shared" si="445"/>
        <v>0</v>
      </c>
      <c r="N74" s="279">
        <f t="shared" si="450"/>
        <v>0</v>
      </c>
      <c r="O74" s="289">
        <f t="shared" si="682"/>
        <v>0</v>
      </c>
      <c r="P74" s="279">
        <f t="shared" si="451"/>
        <v>0</v>
      </c>
      <c r="Q74" s="289">
        <f t="shared" si="682"/>
        <v>0</v>
      </c>
      <c r="R74" s="279">
        <f t="shared" si="452"/>
        <v>0</v>
      </c>
      <c r="S74" s="289">
        <f t="shared" si="702"/>
        <v>0</v>
      </c>
      <c r="T74" s="279">
        <f t="shared" si="453"/>
        <v>0</v>
      </c>
      <c r="U74" s="289">
        <f t="shared" si="703"/>
        <v>0</v>
      </c>
      <c r="V74" s="279">
        <f t="shared" si="409"/>
        <v>0</v>
      </c>
      <c r="W74" s="289">
        <f t="shared" si="704"/>
        <v>0</v>
      </c>
      <c r="X74" s="279">
        <f t="shared" si="305"/>
        <v>0</v>
      </c>
      <c r="Y74" s="289">
        <f t="shared" si="705"/>
        <v>0</v>
      </c>
      <c r="Z74" s="279">
        <f t="shared" si="454"/>
        <v>0</v>
      </c>
      <c r="AA74" s="289">
        <f t="shared" si="706"/>
        <v>0</v>
      </c>
      <c r="AB74" s="279">
        <f t="shared" si="306"/>
        <v>0</v>
      </c>
      <c r="AC74" s="289">
        <f t="shared" si="707"/>
        <v>0</v>
      </c>
      <c r="AD74" s="279">
        <f t="shared" si="455"/>
        <v>0</v>
      </c>
      <c r="AE74" s="289">
        <f t="shared" si="708"/>
        <v>0</v>
      </c>
      <c r="AF74" s="279">
        <f t="shared" si="307"/>
        <v>0</v>
      </c>
      <c r="AG74" s="289">
        <f t="shared" si="308"/>
        <v>0</v>
      </c>
      <c r="AH74" s="249">
        <f t="shared" si="456"/>
        <v>0</v>
      </c>
      <c r="AI74" s="299">
        <f t="shared" si="309"/>
        <v>0</v>
      </c>
      <c r="AJ74" s="252">
        <f t="shared" si="709"/>
        <v>0</v>
      </c>
      <c r="AK74" s="312">
        <f t="shared" si="710"/>
        <v>0</v>
      </c>
      <c r="AM74" s="1"/>
      <c r="AN74" s="2">
        <v>8.3333333333333329E-2</v>
      </c>
      <c r="AO74" s="254">
        <f t="shared" si="660"/>
        <v>0</v>
      </c>
      <c r="AP74" s="249">
        <f t="shared" si="328"/>
        <v>0</v>
      </c>
      <c r="AQ74" s="301">
        <f t="shared" si="683"/>
        <v>0</v>
      </c>
      <c r="AR74" s="249">
        <f t="shared" si="329"/>
        <v>0</v>
      </c>
      <c r="AS74" s="301">
        <f t="shared" si="683"/>
        <v>0</v>
      </c>
      <c r="AT74" s="249">
        <f t="shared" si="329"/>
        <v>0</v>
      </c>
      <c r="AU74" s="301">
        <f t="shared" si="684"/>
        <v>0</v>
      </c>
      <c r="AV74" s="249">
        <f t="shared" si="329"/>
        <v>0</v>
      </c>
      <c r="AW74" s="301">
        <f t="shared" si="711"/>
        <v>0</v>
      </c>
      <c r="AX74" s="249">
        <f t="shared" si="329"/>
        <v>0</v>
      </c>
      <c r="AY74" s="301">
        <f t="shared" si="712"/>
        <v>0</v>
      </c>
      <c r="AZ74" s="249">
        <f t="shared" si="329"/>
        <v>0</v>
      </c>
      <c r="BA74" s="301">
        <f t="shared" si="713"/>
        <v>0</v>
      </c>
      <c r="BB74" s="249">
        <f t="shared" si="329"/>
        <v>0</v>
      </c>
      <c r="BC74" s="301">
        <f t="shared" si="714"/>
        <v>0</v>
      </c>
      <c r="BD74" s="249">
        <f t="shared" si="329"/>
        <v>0</v>
      </c>
      <c r="BE74" s="301">
        <f t="shared" si="715"/>
        <v>0</v>
      </c>
      <c r="BF74" s="249">
        <f t="shared" ref="BF74:BF110" si="882">+$AM74*$AN74</f>
        <v>0</v>
      </c>
      <c r="BG74" s="301">
        <f t="shared" si="716"/>
        <v>0</v>
      </c>
      <c r="BH74" s="249">
        <f t="shared" si="334"/>
        <v>0</v>
      </c>
      <c r="BI74" s="301">
        <f t="shared" si="717"/>
        <v>0</v>
      </c>
      <c r="BJ74" s="249">
        <f t="shared" si="334"/>
        <v>0</v>
      </c>
      <c r="BK74" s="301">
        <f t="shared" si="717"/>
        <v>0</v>
      </c>
      <c r="BL74" s="249">
        <f t="shared" si="661"/>
        <v>0</v>
      </c>
      <c r="BM74" s="299">
        <f t="shared" si="718"/>
        <v>0</v>
      </c>
      <c r="BN74" s="252">
        <f t="shared" si="719"/>
        <v>0</v>
      </c>
      <c r="BO74" s="312">
        <f t="shared" si="685"/>
        <v>0</v>
      </c>
      <c r="BQ74" s="1"/>
      <c r="BR74" s="2"/>
      <c r="BS74" s="255">
        <f t="shared" si="281"/>
        <v>0</v>
      </c>
      <c r="BT74" s="249">
        <f t="shared" si="881"/>
        <v>0</v>
      </c>
      <c r="BU74" s="336">
        <f t="shared" si="720"/>
        <v>0</v>
      </c>
      <c r="BV74" s="279">
        <f t="shared" si="721"/>
        <v>0</v>
      </c>
      <c r="BW74" s="339">
        <f t="shared" si="722"/>
        <v>0</v>
      </c>
      <c r="BX74" s="279">
        <f t="shared" si="721"/>
        <v>0</v>
      </c>
      <c r="BY74" s="339">
        <f t="shared" si="723"/>
        <v>0</v>
      </c>
      <c r="BZ74" s="279">
        <f t="shared" si="721"/>
        <v>0</v>
      </c>
      <c r="CA74" s="339">
        <f t="shared" si="724"/>
        <v>0</v>
      </c>
      <c r="CB74" s="279">
        <f t="shared" si="721"/>
        <v>0</v>
      </c>
      <c r="CC74" s="339">
        <f t="shared" si="725"/>
        <v>0</v>
      </c>
      <c r="CD74" s="279">
        <f t="shared" si="721"/>
        <v>0</v>
      </c>
      <c r="CE74" s="339">
        <f t="shared" si="726"/>
        <v>0</v>
      </c>
      <c r="CF74" s="279">
        <f t="shared" si="721"/>
        <v>0</v>
      </c>
      <c r="CG74" s="339">
        <f t="shared" si="727"/>
        <v>0</v>
      </c>
      <c r="CH74" s="279">
        <f t="shared" si="721"/>
        <v>0</v>
      </c>
      <c r="CI74" s="339">
        <f t="shared" si="728"/>
        <v>0</v>
      </c>
      <c r="CJ74" s="279">
        <f t="shared" si="729"/>
        <v>0</v>
      </c>
      <c r="CK74" s="339">
        <f t="shared" si="730"/>
        <v>0</v>
      </c>
      <c r="CL74" s="279">
        <f t="shared" si="463"/>
        <v>0</v>
      </c>
      <c r="CM74" s="339">
        <f t="shared" si="731"/>
        <v>0</v>
      </c>
      <c r="CN74" s="279">
        <f t="shared" si="732"/>
        <v>0</v>
      </c>
      <c r="CO74" s="339">
        <f t="shared" si="733"/>
        <v>0</v>
      </c>
      <c r="CP74" s="279">
        <f t="shared" si="464"/>
        <v>0</v>
      </c>
      <c r="CQ74" s="250">
        <f t="shared" si="662"/>
        <v>0</v>
      </c>
      <c r="CR74" s="252">
        <f t="shared" si="734"/>
        <v>0</v>
      </c>
      <c r="CS74" s="251">
        <f t="shared" si="448"/>
        <v>0</v>
      </c>
      <c r="CU74" s="1"/>
      <c r="CV74" s="2"/>
      <c r="CW74" s="255">
        <f t="shared" si="299"/>
        <v>0</v>
      </c>
      <c r="CX74" s="249">
        <f t="shared" si="735"/>
        <v>0</v>
      </c>
      <c r="CY74" s="250">
        <f t="shared" si="736"/>
        <v>0</v>
      </c>
      <c r="CZ74" s="279">
        <f t="shared" si="870"/>
        <v>0</v>
      </c>
      <c r="DA74" s="299">
        <f t="shared" si="736"/>
        <v>0</v>
      </c>
      <c r="DB74" s="279">
        <f t="shared" si="870"/>
        <v>0</v>
      </c>
      <c r="DC74" s="299">
        <f t="shared" si="737"/>
        <v>0</v>
      </c>
      <c r="DD74" s="279">
        <f t="shared" si="870"/>
        <v>0</v>
      </c>
      <c r="DE74" s="299">
        <f t="shared" si="738"/>
        <v>0</v>
      </c>
      <c r="DF74" s="279">
        <f t="shared" si="870"/>
        <v>0</v>
      </c>
      <c r="DG74" s="299">
        <f t="shared" si="739"/>
        <v>0</v>
      </c>
      <c r="DH74" s="279">
        <f t="shared" si="870"/>
        <v>0</v>
      </c>
      <c r="DI74" s="299">
        <f t="shared" si="740"/>
        <v>0</v>
      </c>
      <c r="DJ74" s="279">
        <f t="shared" si="870"/>
        <v>0</v>
      </c>
      <c r="DK74" s="299">
        <f t="shared" si="741"/>
        <v>0</v>
      </c>
      <c r="DL74" s="279">
        <f t="shared" si="870"/>
        <v>0</v>
      </c>
      <c r="DM74" s="299">
        <f t="shared" si="742"/>
        <v>0</v>
      </c>
      <c r="DN74" s="279">
        <f t="shared" si="743"/>
        <v>0</v>
      </c>
      <c r="DO74" s="299">
        <f t="shared" si="744"/>
        <v>0</v>
      </c>
      <c r="DP74" s="279">
        <f t="shared" si="471"/>
        <v>0</v>
      </c>
      <c r="DQ74" s="299">
        <f t="shared" si="745"/>
        <v>0</v>
      </c>
      <c r="DR74" s="279">
        <f t="shared" si="746"/>
        <v>0</v>
      </c>
      <c r="DS74" s="299">
        <f t="shared" si="747"/>
        <v>0</v>
      </c>
      <c r="DT74" s="279">
        <f t="shared" si="472"/>
        <v>0</v>
      </c>
      <c r="DU74" s="299">
        <f t="shared" si="748"/>
        <v>0</v>
      </c>
      <c r="DV74" s="252">
        <f t="shared" si="749"/>
        <v>0</v>
      </c>
      <c r="DW74" s="251">
        <f t="shared" si="449"/>
        <v>0</v>
      </c>
      <c r="DY74" s="256">
        <v>0</v>
      </c>
      <c r="DZ74" s="2"/>
      <c r="EA74" s="254">
        <f t="shared" si="663"/>
        <v>0</v>
      </c>
      <c r="EB74" s="249">
        <f t="shared" si="871"/>
        <v>0</v>
      </c>
      <c r="EC74" s="250">
        <f t="shared" si="750"/>
        <v>0</v>
      </c>
      <c r="ED74" s="356">
        <f t="shared" si="871"/>
        <v>0</v>
      </c>
      <c r="EE74" s="250">
        <f t="shared" si="750"/>
        <v>0</v>
      </c>
      <c r="EF74" s="249">
        <f t="shared" si="872"/>
        <v>0</v>
      </c>
      <c r="EG74" s="250">
        <f t="shared" si="751"/>
        <v>0</v>
      </c>
      <c r="EH74" s="249">
        <f t="shared" si="872"/>
        <v>0</v>
      </c>
      <c r="EI74" s="250">
        <f t="shared" si="751"/>
        <v>0</v>
      </c>
      <c r="EJ74" s="249">
        <f t="shared" si="872"/>
        <v>0</v>
      </c>
      <c r="EK74" s="250">
        <f t="shared" si="752"/>
        <v>0</v>
      </c>
      <c r="EL74" s="249">
        <f t="shared" si="872"/>
        <v>0</v>
      </c>
      <c r="EM74" s="250">
        <f t="shared" si="753"/>
        <v>0</v>
      </c>
      <c r="EN74" s="249">
        <f t="shared" si="872"/>
        <v>0</v>
      </c>
      <c r="EO74" s="250">
        <f t="shared" si="754"/>
        <v>0</v>
      </c>
      <c r="EP74" s="249">
        <f t="shared" si="872"/>
        <v>0</v>
      </c>
      <c r="EQ74" s="250">
        <f t="shared" si="755"/>
        <v>0</v>
      </c>
      <c r="ER74" s="249">
        <f t="shared" si="872"/>
        <v>0</v>
      </c>
      <c r="ES74" s="250">
        <f t="shared" si="756"/>
        <v>0</v>
      </c>
      <c r="ET74" s="249">
        <f t="shared" si="391"/>
        <v>0</v>
      </c>
      <c r="EU74" s="250">
        <f t="shared" si="757"/>
        <v>0</v>
      </c>
      <c r="EV74" s="249">
        <f t="shared" si="758"/>
        <v>0</v>
      </c>
      <c r="EW74" s="250">
        <f t="shared" si="759"/>
        <v>0</v>
      </c>
      <c r="EX74" s="249">
        <f t="shared" si="392"/>
        <v>0</v>
      </c>
      <c r="EY74" s="250">
        <f t="shared" si="760"/>
        <v>0</v>
      </c>
      <c r="EZ74" s="252">
        <f t="shared" si="761"/>
        <v>0</v>
      </c>
      <c r="FA74" s="251">
        <f t="shared" si="664"/>
        <v>0</v>
      </c>
      <c r="FC74" s="1"/>
      <c r="FD74" s="2"/>
      <c r="FE74" s="257">
        <f t="shared" si="152"/>
        <v>0</v>
      </c>
      <c r="FF74" s="249">
        <f t="shared" si="762"/>
        <v>0</v>
      </c>
      <c r="FG74" s="250">
        <f t="shared" si="763"/>
        <v>0</v>
      </c>
      <c r="FH74" s="372">
        <f t="shared" si="873"/>
        <v>0</v>
      </c>
      <c r="FI74" s="339">
        <f t="shared" si="764"/>
        <v>0</v>
      </c>
      <c r="FJ74" s="372">
        <f t="shared" si="873"/>
        <v>0</v>
      </c>
      <c r="FK74" s="339">
        <f t="shared" si="764"/>
        <v>0</v>
      </c>
      <c r="FL74" s="372">
        <f t="shared" si="873"/>
        <v>0</v>
      </c>
      <c r="FM74" s="339">
        <f t="shared" si="765"/>
        <v>0</v>
      </c>
      <c r="FN74" s="372">
        <f t="shared" si="873"/>
        <v>0</v>
      </c>
      <c r="FO74" s="339">
        <f t="shared" si="766"/>
        <v>0</v>
      </c>
      <c r="FP74" s="372">
        <f t="shared" si="873"/>
        <v>0</v>
      </c>
      <c r="FQ74" s="339">
        <f t="shared" si="767"/>
        <v>0</v>
      </c>
      <c r="FR74" s="372">
        <f t="shared" si="873"/>
        <v>0</v>
      </c>
      <c r="FS74" s="339">
        <f t="shared" si="768"/>
        <v>0</v>
      </c>
      <c r="FT74" s="372">
        <f t="shared" si="873"/>
        <v>0</v>
      </c>
      <c r="FU74" s="339">
        <f t="shared" si="769"/>
        <v>0</v>
      </c>
      <c r="FV74" s="372">
        <f t="shared" si="770"/>
        <v>0</v>
      </c>
      <c r="FW74" s="339">
        <f t="shared" si="771"/>
        <v>0</v>
      </c>
      <c r="FX74" s="372">
        <f t="shared" si="479"/>
        <v>0</v>
      </c>
      <c r="FY74" s="339">
        <f t="shared" si="772"/>
        <v>0</v>
      </c>
      <c r="FZ74" s="372">
        <f t="shared" si="773"/>
        <v>0</v>
      </c>
      <c r="GA74" s="339">
        <f t="shared" si="774"/>
        <v>0</v>
      </c>
      <c r="GB74" s="372">
        <f t="shared" si="480"/>
        <v>0</v>
      </c>
      <c r="GC74" s="339">
        <f t="shared" si="775"/>
        <v>0</v>
      </c>
      <c r="GD74" s="252">
        <f t="shared" si="776"/>
        <v>0</v>
      </c>
      <c r="GE74" s="251">
        <f t="shared" si="686"/>
        <v>0</v>
      </c>
      <c r="GG74" s="1"/>
      <c r="GH74" s="2">
        <v>0.2</v>
      </c>
      <c r="GI74" s="257">
        <f t="shared" si="665"/>
        <v>0</v>
      </c>
      <c r="GJ74" s="249">
        <f t="shared" si="777"/>
        <v>0</v>
      </c>
      <c r="GK74" s="250">
        <f t="shared" si="778"/>
        <v>0</v>
      </c>
      <c r="GL74" s="249">
        <f t="shared" si="777"/>
        <v>0</v>
      </c>
      <c r="GM74" s="250">
        <f t="shared" si="778"/>
        <v>0</v>
      </c>
      <c r="GN74" s="249">
        <f t="shared" si="777"/>
        <v>0</v>
      </c>
      <c r="GO74" s="250">
        <f t="shared" si="779"/>
        <v>0</v>
      </c>
      <c r="GP74" s="249">
        <f t="shared" si="777"/>
        <v>0</v>
      </c>
      <c r="GQ74" s="250">
        <f t="shared" si="780"/>
        <v>0</v>
      </c>
      <c r="GR74" s="249">
        <f t="shared" si="777"/>
        <v>0</v>
      </c>
      <c r="GS74" s="250">
        <f t="shared" si="781"/>
        <v>0</v>
      </c>
      <c r="GT74" s="249">
        <f t="shared" si="777"/>
        <v>0</v>
      </c>
      <c r="GU74" s="250">
        <f t="shared" si="782"/>
        <v>0</v>
      </c>
      <c r="GV74" s="249">
        <f t="shared" si="777"/>
        <v>0</v>
      </c>
      <c r="GW74" s="250">
        <f t="shared" si="783"/>
        <v>0</v>
      </c>
      <c r="GX74" s="249">
        <f t="shared" si="784"/>
        <v>0</v>
      </c>
      <c r="GY74" s="250">
        <f t="shared" si="785"/>
        <v>0</v>
      </c>
      <c r="GZ74" s="249">
        <f t="shared" si="786"/>
        <v>0</v>
      </c>
      <c r="HA74" s="250">
        <f t="shared" si="787"/>
        <v>0</v>
      </c>
      <c r="HB74" s="249">
        <f t="shared" si="788"/>
        <v>0</v>
      </c>
      <c r="HC74" s="250">
        <f t="shared" si="789"/>
        <v>0</v>
      </c>
      <c r="HD74" s="249">
        <f t="shared" si="790"/>
        <v>0</v>
      </c>
      <c r="HE74" s="250">
        <f t="shared" si="791"/>
        <v>0</v>
      </c>
      <c r="HF74" s="249">
        <f t="shared" si="792"/>
        <v>0</v>
      </c>
      <c r="HG74" s="250">
        <f t="shared" si="793"/>
        <v>0</v>
      </c>
      <c r="HH74" s="252">
        <f t="shared" si="794"/>
        <v>0</v>
      </c>
      <c r="HI74" s="251">
        <f t="shared" si="666"/>
        <v>0</v>
      </c>
      <c r="HK74" s="1"/>
      <c r="HL74" s="2"/>
      <c r="HM74" s="257">
        <f t="shared" si="667"/>
        <v>0</v>
      </c>
      <c r="HN74" s="249">
        <f t="shared" si="795"/>
        <v>0</v>
      </c>
      <c r="HO74" s="250">
        <f t="shared" si="668"/>
        <v>0</v>
      </c>
      <c r="HP74" s="249">
        <f t="shared" si="796"/>
        <v>0</v>
      </c>
      <c r="HQ74" s="250">
        <f t="shared" si="797"/>
        <v>0</v>
      </c>
      <c r="HR74" s="249">
        <f t="shared" si="796"/>
        <v>0</v>
      </c>
      <c r="HS74" s="250">
        <f t="shared" si="797"/>
        <v>0</v>
      </c>
      <c r="HT74" s="249">
        <f t="shared" si="796"/>
        <v>0</v>
      </c>
      <c r="HU74" s="250">
        <f t="shared" si="798"/>
        <v>0</v>
      </c>
      <c r="HV74" s="249">
        <f t="shared" si="796"/>
        <v>0</v>
      </c>
      <c r="HW74" s="250">
        <f t="shared" si="799"/>
        <v>0</v>
      </c>
      <c r="HX74" s="249">
        <f t="shared" si="796"/>
        <v>0</v>
      </c>
      <c r="HY74" s="250">
        <f t="shared" si="800"/>
        <v>0</v>
      </c>
      <c r="HZ74" s="249">
        <f t="shared" si="796"/>
        <v>0</v>
      </c>
      <c r="IA74" s="250">
        <f t="shared" si="801"/>
        <v>0</v>
      </c>
      <c r="IB74" s="249">
        <f t="shared" si="796"/>
        <v>0</v>
      </c>
      <c r="IC74" s="250">
        <f t="shared" si="802"/>
        <v>0</v>
      </c>
      <c r="ID74" s="249">
        <f t="shared" si="803"/>
        <v>0</v>
      </c>
      <c r="IE74" s="250">
        <f t="shared" si="804"/>
        <v>0</v>
      </c>
      <c r="IF74" s="249">
        <f t="shared" si="805"/>
        <v>0</v>
      </c>
      <c r="IG74" s="250">
        <f t="shared" si="806"/>
        <v>0</v>
      </c>
      <c r="IH74" s="249">
        <f t="shared" si="807"/>
        <v>0</v>
      </c>
      <c r="II74" s="250">
        <f t="shared" si="808"/>
        <v>0</v>
      </c>
      <c r="IJ74" s="249">
        <f t="shared" si="809"/>
        <v>0</v>
      </c>
      <c r="IK74" s="250">
        <f t="shared" si="810"/>
        <v>0</v>
      </c>
      <c r="IL74" s="252">
        <f t="shared" si="811"/>
        <v>0</v>
      </c>
      <c r="IM74" s="251">
        <f t="shared" si="812"/>
        <v>0</v>
      </c>
      <c r="IO74" s="1"/>
      <c r="IP74" s="2">
        <v>8.3333333333333329E-2</v>
      </c>
      <c r="IQ74" s="257">
        <f t="shared" si="669"/>
        <v>0</v>
      </c>
      <c r="IR74" s="249">
        <f t="shared" si="813"/>
        <v>0</v>
      </c>
      <c r="IS74" s="250">
        <f t="shared" si="814"/>
        <v>0</v>
      </c>
      <c r="IT74" s="279">
        <f t="shared" si="874"/>
        <v>0</v>
      </c>
      <c r="IU74" s="289">
        <f t="shared" si="815"/>
        <v>0</v>
      </c>
      <c r="IV74" s="279">
        <f t="shared" si="874"/>
        <v>0</v>
      </c>
      <c r="IW74" s="289">
        <f t="shared" si="815"/>
        <v>0</v>
      </c>
      <c r="IX74" s="279">
        <f t="shared" si="874"/>
        <v>0</v>
      </c>
      <c r="IY74" s="289">
        <f t="shared" si="816"/>
        <v>0</v>
      </c>
      <c r="IZ74" s="279">
        <f t="shared" si="874"/>
        <v>0</v>
      </c>
      <c r="JA74" s="289">
        <f t="shared" si="817"/>
        <v>0</v>
      </c>
      <c r="JB74" s="279">
        <f t="shared" si="874"/>
        <v>0</v>
      </c>
      <c r="JC74" s="289">
        <f t="shared" si="818"/>
        <v>0</v>
      </c>
      <c r="JD74" s="279">
        <f t="shared" si="874"/>
        <v>0</v>
      </c>
      <c r="JE74" s="289">
        <f t="shared" si="819"/>
        <v>0</v>
      </c>
      <c r="JF74" s="279">
        <f t="shared" si="874"/>
        <v>0</v>
      </c>
      <c r="JG74" s="289">
        <f t="shared" si="820"/>
        <v>0</v>
      </c>
      <c r="JH74" s="279">
        <f t="shared" si="821"/>
        <v>0</v>
      </c>
      <c r="JI74" s="289">
        <f t="shared" si="822"/>
        <v>0</v>
      </c>
      <c r="JJ74" s="279">
        <f t="shared" si="407"/>
        <v>0</v>
      </c>
      <c r="JK74" s="289">
        <f t="shared" si="823"/>
        <v>0</v>
      </c>
      <c r="JL74" s="279">
        <f t="shared" si="824"/>
        <v>0</v>
      </c>
      <c r="JM74" s="289">
        <f t="shared" si="825"/>
        <v>0</v>
      </c>
      <c r="JN74" s="279">
        <f t="shared" si="408"/>
        <v>0</v>
      </c>
      <c r="JO74" s="289">
        <f t="shared" si="826"/>
        <v>0</v>
      </c>
      <c r="JP74" s="252">
        <f t="shared" si="827"/>
        <v>0</v>
      </c>
      <c r="JQ74" s="251">
        <f t="shared" si="828"/>
        <v>0</v>
      </c>
      <c r="JS74" s="1"/>
      <c r="JT74" s="2">
        <v>8.3333333333333329E-2</v>
      </c>
      <c r="JU74" s="257">
        <f t="shared" si="670"/>
        <v>0</v>
      </c>
      <c r="JV74" s="249">
        <f t="shared" si="829"/>
        <v>0</v>
      </c>
      <c r="JW74" s="250">
        <f t="shared" si="830"/>
        <v>0</v>
      </c>
      <c r="JX74" s="372">
        <f t="shared" si="875"/>
        <v>0</v>
      </c>
      <c r="JY74" s="339">
        <f t="shared" si="831"/>
        <v>0</v>
      </c>
      <c r="JZ74" s="372">
        <f t="shared" si="875"/>
        <v>0</v>
      </c>
      <c r="KA74" s="339">
        <f t="shared" si="831"/>
        <v>0</v>
      </c>
      <c r="KB74" s="372">
        <f t="shared" si="875"/>
        <v>0</v>
      </c>
      <c r="KC74" s="339">
        <f t="shared" si="832"/>
        <v>0</v>
      </c>
      <c r="KD74" s="372">
        <f t="shared" si="875"/>
        <v>0</v>
      </c>
      <c r="KE74" s="339">
        <f t="shared" si="833"/>
        <v>0</v>
      </c>
      <c r="KF74" s="372">
        <f t="shared" si="875"/>
        <v>0</v>
      </c>
      <c r="KG74" s="339">
        <f t="shared" si="834"/>
        <v>0</v>
      </c>
      <c r="KH74" s="372">
        <f t="shared" si="875"/>
        <v>0</v>
      </c>
      <c r="KI74" s="339">
        <f t="shared" si="835"/>
        <v>0</v>
      </c>
      <c r="KJ74" s="372">
        <f t="shared" si="875"/>
        <v>0</v>
      </c>
      <c r="KK74" s="339">
        <f t="shared" si="836"/>
        <v>0</v>
      </c>
      <c r="KL74" s="372">
        <f t="shared" si="837"/>
        <v>0</v>
      </c>
      <c r="KM74" s="339">
        <f t="shared" si="838"/>
        <v>0</v>
      </c>
      <c r="KN74" s="372">
        <f t="shared" si="677"/>
        <v>0</v>
      </c>
      <c r="KO74" s="339">
        <f t="shared" si="839"/>
        <v>0</v>
      </c>
      <c r="KP74" s="372">
        <f t="shared" si="840"/>
        <v>0</v>
      </c>
      <c r="KQ74" s="339">
        <f t="shared" si="841"/>
        <v>0</v>
      </c>
      <c r="KR74" s="372">
        <f t="shared" si="678"/>
        <v>0</v>
      </c>
      <c r="KS74" s="377">
        <f t="shared" si="842"/>
        <v>0</v>
      </c>
      <c r="KT74" s="379">
        <f t="shared" si="843"/>
        <v>0</v>
      </c>
      <c r="KU74" s="251">
        <f t="shared" si="679"/>
        <v>0</v>
      </c>
      <c r="KW74" s="1"/>
      <c r="KX74" s="2">
        <v>8.3333333333333329E-2</v>
      </c>
      <c r="KY74" s="254">
        <f t="shared" si="680"/>
        <v>0</v>
      </c>
      <c r="KZ74" s="249">
        <f t="shared" si="876"/>
        <v>0</v>
      </c>
      <c r="LA74" s="251">
        <f t="shared" si="681"/>
        <v>0</v>
      </c>
      <c r="LB74" s="279">
        <f t="shared" si="844"/>
        <v>0</v>
      </c>
      <c r="LC74" s="339">
        <f t="shared" si="845"/>
        <v>0</v>
      </c>
      <c r="LD74" s="279">
        <f t="shared" si="844"/>
        <v>0</v>
      </c>
      <c r="LE74" s="339">
        <f t="shared" si="845"/>
        <v>0</v>
      </c>
      <c r="LF74" s="279">
        <f t="shared" si="844"/>
        <v>0</v>
      </c>
      <c r="LG74" s="339">
        <f t="shared" si="846"/>
        <v>0</v>
      </c>
      <c r="LH74" s="279">
        <f t="shared" si="844"/>
        <v>0</v>
      </c>
      <c r="LI74" s="339">
        <f t="shared" si="847"/>
        <v>0</v>
      </c>
      <c r="LJ74" s="279">
        <f t="shared" si="844"/>
        <v>0</v>
      </c>
      <c r="LK74" s="339">
        <f t="shared" si="848"/>
        <v>0</v>
      </c>
      <c r="LL74" s="279">
        <f t="shared" si="844"/>
        <v>0</v>
      </c>
      <c r="LM74" s="339">
        <f t="shared" si="849"/>
        <v>0</v>
      </c>
      <c r="LN74" s="279">
        <f t="shared" si="844"/>
        <v>0</v>
      </c>
      <c r="LO74" s="339">
        <f t="shared" si="850"/>
        <v>0</v>
      </c>
      <c r="LP74" s="279">
        <f t="shared" si="877"/>
        <v>0</v>
      </c>
      <c r="LQ74" s="339">
        <f t="shared" si="851"/>
        <v>0</v>
      </c>
      <c r="LR74" s="279">
        <f t="shared" si="878"/>
        <v>0</v>
      </c>
      <c r="LS74" s="339">
        <f t="shared" si="852"/>
        <v>0</v>
      </c>
      <c r="LT74" s="279">
        <f t="shared" si="879"/>
        <v>0</v>
      </c>
      <c r="LU74" s="339">
        <f t="shared" si="853"/>
        <v>0</v>
      </c>
      <c r="LV74" s="279">
        <f t="shared" si="880"/>
        <v>0</v>
      </c>
      <c r="LW74" s="339">
        <f t="shared" si="854"/>
        <v>0</v>
      </c>
      <c r="LX74" s="252">
        <f t="shared" si="855"/>
        <v>0</v>
      </c>
      <c r="LY74" s="253">
        <f t="shared" si="856"/>
        <v>0</v>
      </c>
      <c r="MA74" s="249">
        <f t="shared" si="688"/>
        <v>0</v>
      </c>
      <c r="MB74" s="253">
        <f t="shared" si="857"/>
        <v>0</v>
      </c>
      <c r="MC74" s="397">
        <f t="shared" si="689"/>
        <v>0</v>
      </c>
      <c r="MD74" s="253">
        <f t="shared" si="858"/>
        <v>0</v>
      </c>
      <c r="ME74" s="397">
        <f t="shared" si="690"/>
        <v>0</v>
      </c>
      <c r="MF74" s="253">
        <f t="shared" si="858"/>
        <v>0</v>
      </c>
      <c r="MG74" s="397">
        <f t="shared" si="691"/>
        <v>0</v>
      </c>
      <c r="MH74" s="253">
        <f t="shared" si="859"/>
        <v>0</v>
      </c>
      <c r="MI74" s="397">
        <f t="shared" si="692"/>
        <v>0</v>
      </c>
      <c r="MJ74" s="253">
        <f t="shared" si="860"/>
        <v>0</v>
      </c>
      <c r="MK74" s="397">
        <f t="shared" si="693"/>
        <v>0</v>
      </c>
      <c r="ML74" s="253">
        <f t="shared" si="861"/>
        <v>0</v>
      </c>
      <c r="MM74" s="397">
        <f t="shared" si="694"/>
        <v>0</v>
      </c>
      <c r="MN74" s="253">
        <f t="shared" si="862"/>
        <v>0</v>
      </c>
      <c r="MO74" s="397">
        <f t="shared" si="695"/>
        <v>0</v>
      </c>
      <c r="MP74" s="253">
        <f t="shared" si="863"/>
        <v>0</v>
      </c>
      <c r="MQ74" s="397">
        <f t="shared" si="696"/>
        <v>0</v>
      </c>
      <c r="MR74" s="253">
        <f t="shared" si="864"/>
        <v>0</v>
      </c>
      <c r="MS74" s="397">
        <f t="shared" si="697"/>
        <v>0</v>
      </c>
      <c r="MT74" s="253">
        <f t="shared" si="865"/>
        <v>0</v>
      </c>
      <c r="MU74" s="397">
        <f t="shared" si="698"/>
        <v>0</v>
      </c>
      <c r="MV74" s="253">
        <f t="shared" si="866"/>
        <v>0</v>
      </c>
      <c r="MW74" s="397">
        <f t="shared" si="699"/>
        <v>0</v>
      </c>
      <c r="MX74" s="253">
        <f t="shared" si="867"/>
        <v>0</v>
      </c>
      <c r="MY74" s="252">
        <f t="shared" si="868"/>
        <v>0</v>
      </c>
      <c r="MZ74" s="251">
        <f t="shared" si="869"/>
        <v>0</v>
      </c>
    </row>
    <row r="75" spans="1:364" ht="52.8" x14ac:dyDescent="0.25">
      <c r="A75" s="533"/>
      <c r="B75" s="245" t="s">
        <v>158</v>
      </c>
      <c r="C75" s="246" t="s">
        <v>159</v>
      </c>
      <c r="D75" s="247" t="s">
        <v>28</v>
      </c>
      <c r="E75" s="4">
        <v>1</v>
      </c>
      <c r="F75" s="353">
        <v>67741.935483870955</v>
      </c>
      <c r="G75" s="353">
        <f t="shared" si="700"/>
        <v>70565.161290322561</v>
      </c>
      <c r="I75" s="30"/>
      <c r="J75" s="2">
        <v>8.3333333333333329E-2</v>
      </c>
      <c r="K75" s="248">
        <f t="shared" si="701"/>
        <v>0</v>
      </c>
      <c r="L75" s="249"/>
      <c r="M75" s="301">
        <f t="shared" si="445"/>
        <v>0</v>
      </c>
      <c r="N75" s="279">
        <f t="shared" si="450"/>
        <v>0</v>
      </c>
      <c r="O75" s="289">
        <f t="shared" ref="O75:Q90" si="883">+N75*$G75</f>
        <v>0</v>
      </c>
      <c r="P75" s="279">
        <f t="shared" si="451"/>
        <v>0</v>
      </c>
      <c r="Q75" s="289">
        <f t="shared" si="883"/>
        <v>0</v>
      </c>
      <c r="R75" s="279">
        <f t="shared" si="452"/>
        <v>0</v>
      </c>
      <c r="S75" s="289">
        <f t="shared" si="702"/>
        <v>0</v>
      </c>
      <c r="T75" s="279">
        <f t="shared" si="453"/>
        <v>0</v>
      </c>
      <c r="U75" s="289">
        <f t="shared" si="703"/>
        <v>0</v>
      </c>
      <c r="V75" s="279">
        <f t="shared" si="409"/>
        <v>0</v>
      </c>
      <c r="W75" s="289">
        <f t="shared" si="704"/>
        <v>0</v>
      </c>
      <c r="X75" s="279">
        <f t="shared" si="305"/>
        <v>0</v>
      </c>
      <c r="Y75" s="289">
        <f t="shared" si="705"/>
        <v>0</v>
      </c>
      <c r="Z75" s="279">
        <f t="shared" si="454"/>
        <v>0</v>
      </c>
      <c r="AA75" s="289">
        <f t="shared" si="706"/>
        <v>0</v>
      </c>
      <c r="AB75" s="279">
        <f t="shared" si="306"/>
        <v>0</v>
      </c>
      <c r="AC75" s="289">
        <f t="shared" si="707"/>
        <v>0</v>
      </c>
      <c r="AD75" s="279">
        <f t="shared" si="455"/>
        <v>0</v>
      </c>
      <c r="AE75" s="289">
        <f t="shared" si="708"/>
        <v>0</v>
      </c>
      <c r="AF75" s="279">
        <f t="shared" si="307"/>
        <v>0</v>
      </c>
      <c r="AG75" s="289">
        <f t="shared" si="308"/>
        <v>0</v>
      </c>
      <c r="AH75" s="249">
        <f t="shared" si="456"/>
        <v>0</v>
      </c>
      <c r="AI75" s="299">
        <f t="shared" si="309"/>
        <v>0</v>
      </c>
      <c r="AJ75" s="252">
        <f t="shared" si="709"/>
        <v>0</v>
      </c>
      <c r="AK75" s="312">
        <f t="shared" si="710"/>
        <v>0</v>
      </c>
      <c r="AM75" s="1"/>
      <c r="AN75" s="2">
        <v>8.3333333333333329E-2</v>
      </c>
      <c r="AO75" s="254">
        <f t="shared" si="660"/>
        <v>0</v>
      </c>
      <c r="AP75" s="249">
        <f t="shared" si="328"/>
        <v>0</v>
      </c>
      <c r="AQ75" s="301">
        <f t="shared" si="683"/>
        <v>0</v>
      </c>
      <c r="AR75" s="249">
        <f t="shared" ref="AR75:BD110" si="884">+$AM75*$AN75</f>
        <v>0</v>
      </c>
      <c r="AS75" s="301">
        <f t="shared" si="683"/>
        <v>0</v>
      </c>
      <c r="AT75" s="249">
        <f t="shared" si="884"/>
        <v>0</v>
      </c>
      <c r="AU75" s="301">
        <f t="shared" si="684"/>
        <v>0</v>
      </c>
      <c r="AV75" s="249">
        <f t="shared" si="884"/>
        <v>0</v>
      </c>
      <c r="AW75" s="301">
        <f t="shared" si="711"/>
        <v>0</v>
      </c>
      <c r="AX75" s="249">
        <f t="shared" si="884"/>
        <v>0</v>
      </c>
      <c r="AY75" s="301">
        <f t="shared" si="712"/>
        <v>0</v>
      </c>
      <c r="AZ75" s="249">
        <f t="shared" si="884"/>
        <v>0</v>
      </c>
      <c r="BA75" s="301">
        <f t="shared" si="713"/>
        <v>0</v>
      </c>
      <c r="BB75" s="249">
        <f t="shared" si="884"/>
        <v>0</v>
      </c>
      <c r="BC75" s="301">
        <f t="shared" si="714"/>
        <v>0</v>
      </c>
      <c r="BD75" s="249">
        <f t="shared" si="884"/>
        <v>0</v>
      </c>
      <c r="BE75" s="301">
        <f t="shared" si="715"/>
        <v>0</v>
      </c>
      <c r="BF75" s="249">
        <f t="shared" si="882"/>
        <v>0</v>
      </c>
      <c r="BG75" s="301">
        <f t="shared" si="716"/>
        <v>0</v>
      </c>
      <c r="BH75" s="249">
        <f t="shared" ref="BH75:BJ110" si="885">+$AM75*$AN75</f>
        <v>0</v>
      </c>
      <c r="BI75" s="301">
        <f t="shared" si="717"/>
        <v>0</v>
      </c>
      <c r="BJ75" s="249">
        <f t="shared" si="885"/>
        <v>0</v>
      </c>
      <c r="BK75" s="301">
        <f t="shared" si="717"/>
        <v>0</v>
      </c>
      <c r="BL75" s="249">
        <f t="shared" si="661"/>
        <v>0</v>
      </c>
      <c r="BM75" s="299">
        <f t="shared" si="718"/>
        <v>0</v>
      </c>
      <c r="BN75" s="252">
        <f t="shared" si="719"/>
        <v>0</v>
      </c>
      <c r="BO75" s="312">
        <f t="shared" si="685"/>
        <v>0</v>
      </c>
      <c r="BQ75" s="1"/>
      <c r="BR75" s="2"/>
      <c r="BS75" s="255">
        <f t="shared" si="281"/>
        <v>0</v>
      </c>
      <c r="BT75" s="249">
        <f t="shared" si="881"/>
        <v>0</v>
      </c>
      <c r="BU75" s="336">
        <f t="shared" si="720"/>
        <v>0</v>
      </c>
      <c r="BV75" s="279">
        <f t="shared" si="721"/>
        <v>0</v>
      </c>
      <c r="BW75" s="339">
        <f t="shared" si="722"/>
        <v>0</v>
      </c>
      <c r="BX75" s="279">
        <f t="shared" si="721"/>
        <v>0</v>
      </c>
      <c r="BY75" s="339">
        <f t="shared" si="723"/>
        <v>0</v>
      </c>
      <c r="BZ75" s="279">
        <f t="shared" si="721"/>
        <v>0</v>
      </c>
      <c r="CA75" s="339">
        <f t="shared" si="724"/>
        <v>0</v>
      </c>
      <c r="CB75" s="279">
        <f t="shared" si="721"/>
        <v>0</v>
      </c>
      <c r="CC75" s="339">
        <f t="shared" si="725"/>
        <v>0</v>
      </c>
      <c r="CD75" s="279">
        <f t="shared" si="721"/>
        <v>0</v>
      </c>
      <c r="CE75" s="339">
        <f t="shared" si="726"/>
        <v>0</v>
      </c>
      <c r="CF75" s="279">
        <f t="shared" si="721"/>
        <v>0</v>
      </c>
      <c r="CG75" s="339">
        <f t="shared" si="727"/>
        <v>0</v>
      </c>
      <c r="CH75" s="279">
        <f t="shared" si="721"/>
        <v>0</v>
      </c>
      <c r="CI75" s="339">
        <f t="shared" si="728"/>
        <v>0</v>
      </c>
      <c r="CJ75" s="279">
        <f t="shared" si="729"/>
        <v>0</v>
      </c>
      <c r="CK75" s="339">
        <f t="shared" si="730"/>
        <v>0</v>
      </c>
      <c r="CL75" s="279">
        <f t="shared" si="463"/>
        <v>0</v>
      </c>
      <c r="CM75" s="339">
        <f t="shared" si="731"/>
        <v>0</v>
      </c>
      <c r="CN75" s="279">
        <f t="shared" si="732"/>
        <v>0</v>
      </c>
      <c r="CO75" s="339">
        <f t="shared" si="733"/>
        <v>0</v>
      </c>
      <c r="CP75" s="279">
        <f t="shared" si="464"/>
        <v>0</v>
      </c>
      <c r="CQ75" s="250">
        <f t="shared" si="662"/>
        <v>0</v>
      </c>
      <c r="CR75" s="252">
        <f t="shared" si="734"/>
        <v>0</v>
      </c>
      <c r="CS75" s="251">
        <f t="shared" si="448"/>
        <v>0</v>
      </c>
      <c r="CU75" s="1"/>
      <c r="CV75" s="2"/>
      <c r="CW75" s="255">
        <f t="shared" si="299"/>
        <v>0</v>
      </c>
      <c r="CX75" s="249">
        <f t="shared" si="735"/>
        <v>0</v>
      </c>
      <c r="CY75" s="250">
        <f t="shared" si="736"/>
        <v>0</v>
      </c>
      <c r="CZ75" s="279">
        <f t="shared" si="870"/>
        <v>0</v>
      </c>
      <c r="DA75" s="299">
        <f t="shared" si="736"/>
        <v>0</v>
      </c>
      <c r="DB75" s="279">
        <f t="shared" si="870"/>
        <v>0</v>
      </c>
      <c r="DC75" s="299">
        <f t="shared" si="737"/>
        <v>0</v>
      </c>
      <c r="DD75" s="279">
        <f t="shared" si="870"/>
        <v>0</v>
      </c>
      <c r="DE75" s="299">
        <f t="shared" si="738"/>
        <v>0</v>
      </c>
      <c r="DF75" s="279">
        <f t="shared" si="870"/>
        <v>0</v>
      </c>
      <c r="DG75" s="299">
        <f t="shared" si="739"/>
        <v>0</v>
      </c>
      <c r="DH75" s="279">
        <f t="shared" si="870"/>
        <v>0</v>
      </c>
      <c r="DI75" s="299">
        <f t="shared" si="740"/>
        <v>0</v>
      </c>
      <c r="DJ75" s="279">
        <f t="shared" si="870"/>
        <v>0</v>
      </c>
      <c r="DK75" s="299">
        <f t="shared" si="741"/>
        <v>0</v>
      </c>
      <c r="DL75" s="279">
        <f t="shared" si="870"/>
        <v>0</v>
      </c>
      <c r="DM75" s="299">
        <f t="shared" si="742"/>
        <v>0</v>
      </c>
      <c r="DN75" s="279">
        <f t="shared" si="743"/>
        <v>0</v>
      </c>
      <c r="DO75" s="299">
        <f t="shared" si="744"/>
        <v>0</v>
      </c>
      <c r="DP75" s="279">
        <f t="shared" si="471"/>
        <v>0</v>
      </c>
      <c r="DQ75" s="299">
        <f t="shared" si="745"/>
        <v>0</v>
      </c>
      <c r="DR75" s="279">
        <f t="shared" si="746"/>
        <v>0</v>
      </c>
      <c r="DS75" s="299">
        <f t="shared" si="747"/>
        <v>0</v>
      </c>
      <c r="DT75" s="279">
        <f t="shared" si="472"/>
        <v>0</v>
      </c>
      <c r="DU75" s="299">
        <f t="shared" si="748"/>
        <v>0</v>
      </c>
      <c r="DV75" s="252">
        <f t="shared" si="749"/>
        <v>0</v>
      </c>
      <c r="DW75" s="251">
        <f t="shared" si="449"/>
        <v>0</v>
      </c>
      <c r="DY75" s="256">
        <v>0</v>
      </c>
      <c r="DZ75" s="2"/>
      <c r="EA75" s="254">
        <f t="shared" si="663"/>
        <v>0</v>
      </c>
      <c r="EB75" s="249">
        <f t="shared" si="871"/>
        <v>0</v>
      </c>
      <c r="EC75" s="250">
        <f t="shared" si="750"/>
        <v>0</v>
      </c>
      <c r="ED75" s="356">
        <f t="shared" si="871"/>
        <v>0</v>
      </c>
      <c r="EE75" s="250">
        <f t="shared" si="750"/>
        <v>0</v>
      </c>
      <c r="EF75" s="249">
        <f t="shared" si="872"/>
        <v>0</v>
      </c>
      <c r="EG75" s="250">
        <f t="shared" si="751"/>
        <v>0</v>
      </c>
      <c r="EH75" s="249">
        <f t="shared" si="872"/>
        <v>0</v>
      </c>
      <c r="EI75" s="250">
        <f t="shared" si="751"/>
        <v>0</v>
      </c>
      <c r="EJ75" s="249">
        <f t="shared" si="872"/>
        <v>0</v>
      </c>
      <c r="EK75" s="250">
        <f t="shared" si="752"/>
        <v>0</v>
      </c>
      <c r="EL75" s="249">
        <f t="shared" si="872"/>
        <v>0</v>
      </c>
      <c r="EM75" s="250">
        <f t="shared" si="753"/>
        <v>0</v>
      </c>
      <c r="EN75" s="249">
        <f t="shared" si="872"/>
        <v>0</v>
      </c>
      <c r="EO75" s="250">
        <f t="shared" si="754"/>
        <v>0</v>
      </c>
      <c r="EP75" s="249">
        <f t="shared" si="872"/>
        <v>0</v>
      </c>
      <c r="EQ75" s="250">
        <f t="shared" si="755"/>
        <v>0</v>
      </c>
      <c r="ER75" s="249">
        <f t="shared" si="872"/>
        <v>0</v>
      </c>
      <c r="ES75" s="250">
        <f t="shared" si="756"/>
        <v>0</v>
      </c>
      <c r="ET75" s="249">
        <f t="shared" si="391"/>
        <v>0</v>
      </c>
      <c r="EU75" s="250">
        <f t="shared" si="757"/>
        <v>0</v>
      </c>
      <c r="EV75" s="249">
        <f t="shared" si="758"/>
        <v>0</v>
      </c>
      <c r="EW75" s="250">
        <f t="shared" si="759"/>
        <v>0</v>
      </c>
      <c r="EX75" s="249">
        <f t="shared" si="392"/>
        <v>0</v>
      </c>
      <c r="EY75" s="250">
        <f t="shared" si="760"/>
        <v>0</v>
      </c>
      <c r="EZ75" s="252">
        <f t="shared" si="761"/>
        <v>0</v>
      </c>
      <c r="FA75" s="251">
        <f t="shared" si="664"/>
        <v>0</v>
      </c>
      <c r="FC75" s="1"/>
      <c r="FD75" s="2"/>
      <c r="FE75" s="257">
        <f t="shared" si="152"/>
        <v>0</v>
      </c>
      <c r="FF75" s="249">
        <f t="shared" si="762"/>
        <v>0</v>
      </c>
      <c r="FG75" s="250">
        <f t="shared" si="763"/>
        <v>0</v>
      </c>
      <c r="FH75" s="372">
        <f t="shared" si="873"/>
        <v>0</v>
      </c>
      <c r="FI75" s="339">
        <f t="shared" si="764"/>
        <v>0</v>
      </c>
      <c r="FJ75" s="372">
        <f t="shared" si="873"/>
        <v>0</v>
      </c>
      <c r="FK75" s="339">
        <f t="shared" si="764"/>
        <v>0</v>
      </c>
      <c r="FL75" s="372">
        <f t="shared" si="873"/>
        <v>0</v>
      </c>
      <c r="FM75" s="339">
        <f t="shared" si="765"/>
        <v>0</v>
      </c>
      <c r="FN75" s="372">
        <f t="shared" si="873"/>
        <v>0</v>
      </c>
      <c r="FO75" s="339">
        <f t="shared" si="766"/>
        <v>0</v>
      </c>
      <c r="FP75" s="372">
        <f t="shared" si="873"/>
        <v>0</v>
      </c>
      <c r="FQ75" s="339">
        <f t="shared" si="767"/>
        <v>0</v>
      </c>
      <c r="FR75" s="372">
        <f t="shared" si="873"/>
        <v>0</v>
      </c>
      <c r="FS75" s="339">
        <f t="shared" si="768"/>
        <v>0</v>
      </c>
      <c r="FT75" s="372">
        <f t="shared" si="873"/>
        <v>0</v>
      </c>
      <c r="FU75" s="339">
        <f t="shared" si="769"/>
        <v>0</v>
      </c>
      <c r="FV75" s="372">
        <f t="shared" si="770"/>
        <v>0</v>
      </c>
      <c r="FW75" s="339">
        <f t="shared" si="771"/>
        <v>0</v>
      </c>
      <c r="FX75" s="372">
        <f t="shared" si="479"/>
        <v>0</v>
      </c>
      <c r="FY75" s="339">
        <f t="shared" si="772"/>
        <v>0</v>
      </c>
      <c r="FZ75" s="372">
        <f t="shared" si="773"/>
        <v>0</v>
      </c>
      <c r="GA75" s="339">
        <f t="shared" si="774"/>
        <v>0</v>
      </c>
      <c r="GB75" s="372">
        <f t="shared" si="480"/>
        <v>0</v>
      </c>
      <c r="GC75" s="339">
        <f t="shared" si="775"/>
        <v>0</v>
      </c>
      <c r="GD75" s="252">
        <f t="shared" si="776"/>
        <v>0</v>
      </c>
      <c r="GE75" s="251">
        <f t="shared" si="686"/>
        <v>0</v>
      </c>
      <c r="GG75" s="1"/>
      <c r="GH75" s="2">
        <v>0.2</v>
      </c>
      <c r="GI75" s="257">
        <f t="shared" si="665"/>
        <v>0</v>
      </c>
      <c r="GJ75" s="249">
        <f t="shared" si="777"/>
        <v>0</v>
      </c>
      <c r="GK75" s="250">
        <f t="shared" si="778"/>
        <v>0</v>
      </c>
      <c r="GL75" s="249">
        <f t="shared" si="777"/>
        <v>0</v>
      </c>
      <c r="GM75" s="250">
        <f t="shared" si="778"/>
        <v>0</v>
      </c>
      <c r="GN75" s="249">
        <f t="shared" si="777"/>
        <v>0</v>
      </c>
      <c r="GO75" s="250">
        <f t="shared" si="779"/>
        <v>0</v>
      </c>
      <c r="GP75" s="249">
        <f t="shared" si="777"/>
        <v>0</v>
      </c>
      <c r="GQ75" s="250">
        <f t="shared" si="780"/>
        <v>0</v>
      </c>
      <c r="GR75" s="249">
        <f t="shared" si="777"/>
        <v>0</v>
      </c>
      <c r="GS75" s="250">
        <f t="shared" si="781"/>
        <v>0</v>
      </c>
      <c r="GT75" s="249">
        <f t="shared" si="777"/>
        <v>0</v>
      </c>
      <c r="GU75" s="250">
        <f t="shared" si="782"/>
        <v>0</v>
      </c>
      <c r="GV75" s="249">
        <f t="shared" si="777"/>
        <v>0</v>
      </c>
      <c r="GW75" s="250">
        <f t="shared" si="783"/>
        <v>0</v>
      </c>
      <c r="GX75" s="249">
        <f t="shared" si="784"/>
        <v>0</v>
      </c>
      <c r="GY75" s="250">
        <f t="shared" si="785"/>
        <v>0</v>
      </c>
      <c r="GZ75" s="249">
        <f t="shared" si="786"/>
        <v>0</v>
      </c>
      <c r="HA75" s="250">
        <f t="shared" si="787"/>
        <v>0</v>
      </c>
      <c r="HB75" s="249">
        <f t="shared" si="788"/>
        <v>0</v>
      </c>
      <c r="HC75" s="250">
        <f t="shared" si="789"/>
        <v>0</v>
      </c>
      <c r="HD75" s="249">
        <f t="shared" si="790"/>
        <v>0</v>
      </c>
      <c r="HE75" s="250">
        <f t="shared" si="791"/>
        <v>0</v>
      </c>
      <c r="HF75" s="249">
        <f t="shared" si="792"/>
        <v>0</v>
      </c>
      <c r="HG75" s="250">
        <f t="shared" si="793"/>
        <v>0</v>
      </c>
      <c r="HH75" s="252">
        <f t="shared" si="794"/>
        <v>0</v>
      </c>
      <c r="HI75" s="251">
        <f t="shared" si="666"/>
        <v>0</v>
      </c>
      <c r="HK75" s="1"/>
      <c r="HL75" s="2"/>
      <c r="HM75" s="257">
        <f t="shared" si="667"/>
        <v>0</v>
      </c>
      <c r="HN75" s="249">
        <f t="shared" si="795"/>
        <v>0</v>
      </c>
      <c r="HO75" s="250">
        <f t="shared" si="668"/>
        <v>0</v>
      </c>
      <c r="HP75" s="249">
        <f t="shared" si="796"/>
        <v>0</v>
      </c>
      <c r="HQ75" s="250">
        <f t="shared" si="797"/>
        <v>0</v>
      </c>
      <c r="HR75" s="249">
        <f t="shared" si="796"/>
        <v>0</v>
      </c>
      <c r="HS75" s="250">
        <f t="shared" si="797"/>
        <v>0</v>
      </c>
      <c r="HT75" s="249">
        <f t="shared" si="796"/>
        <v>0</v>
      </c>
      <c r="HU75" s="250">
        <f t="shared" si="798"/>
        <v>0</v>
      </c>
      <c r="HV75" s="249">
        <f t="shared" si="796"/>
        <v>0</v>
      </c>
      <c r="HW75" s="250">
        <f t="shared" si="799"/>
        <v>0</v>
      </c>
      <c r="HX75" s="249">
        <f t="shared" si="796"/>
        <v>0</v>
      </c>
      <c r="HY75" s="250">
        <f t="shared" si="800"/>
        <v>0</v>
      </c>
      <c r="HZ75" s="249">
        <f t="shared" si="796"/>
        <v>0</v>
      </c>
      <c r="IA75" s="250">
        <f t="shared" si="801"/>
        <v>0</v>
      </c>
      <c r="IB75" s="249">
        <f t="shared" si="796"/>
        <v>0</v>
      </c>
      <c r="IC75" s="250">
        <f t="shared" si="802"/>
        <v>0</v>
      </c>
      <c r="ID75" s="249">
        <f t="shared" si="803"/>
        <v>0</v>
      </c>
      <c r="IE75" s="250">
        <f t="shared" si="804"/>
        <v>0</v>
      </c>
      <c r="IF75" s="249">
        <f t="shared" si="805"/>
        <v>0</v>
      </c>
      <c r="IG75" s="250">
        <f t="shared" si="806"/>
        <v>0</v>
      </c>
      <c r="IH75" s="249">
        <f t="shared" si="807"/>
        <v>0</v>
      </c>
      <c r="II75" s="250">
        <f t="shared" si="808"/>
        <v>0</v>
      </c>
      <c r="IJ75" s="249">
        <f t="shared" si="809"/>
        <v>0</v>
      </c>
      <c r="IK75" s="250">
        <f t="shared" si="810"/>
        <v>0</v>
      </c>
      <c r="IL75" s="252">
        <f t="shared" si="811"/>
        <v>0</v>
      </c>
      <c r="IM75" s="251">
        <f t="shared" si="812"/>
        <v>0</v>
      </c>
      <c r="IO75" s="1"/>
      <c r="IP75" s="2">
        <v>8.3333333333333329E-2</v>
      </c>
      <c r="IQ75" s="257">
        <f t="shared" si="669"/>
        <v>0</v>
      </c>
      <c r="IR75" s="249">
        <f t="shared" si="813"/>
        <v>0</v>
      </c>
      <c r="IS75" s="250">
        <f t="shared" si="814"/>
        <v>0</v>
      </c>
      <c r="IT75" s="279">
        <f t="shared" si="874"/>
        <v>0</v>
      </c>
      <c r="IU75" s="289">
        <f t="shared" si="815"/>
        <v>0</v>
      </c>
      <c r="IV75" s="279">
        <f t="shared" si="874"/>
        <v>0</v>
      </c>
      <c r="IW75" s="289">
        <f t="shared" si="815"/>
        <v>0</v>
      </c>
      <c r="IX75" s="279">
        <f t="shared" si="874"/>
        <v>0</v>
      </c>
      <c r="IY75" s="289">
        <f t="shared" si="816"/>
        <v>0</v>
      </c>
      <c r="IZ75" s="279">
        <f t="shared" si="874"/>
        <v>0</v>
      </c>
      <c r="JA75" s="289">
        <f t="shared" si="817"/>
        <v>0</v>
      </c>
      <c r="JB75" s="279">
        <f t="shared" si="874"/>
        <v>0</v>
      </c>
      <c r="JC75" s="289">
        <f t="shared" si="818"/>
        <v>0</v>
      </c>
      <c r="JD75" s="279">
        <f t="shared" si="874"/>
        <v>0</v>
      </c>
      <c r="JE75" s="289">
        <f t="shared" si="819"/>
        <v>0</v>
      </c>
      <c r="JF75" s="279">
        <f t="shared" si="874"/>
        <v>0</v>
      </c>
      <c r="JG75" s="289">
        <f t="shared" si="820"/>
        <v>0</v>
      </c>
      <c r="JH75" s="279">
        <f t="shared" si="821"/>
        <v>0</v>
      </c>
      <c r="JI75" s="289">
        <f t="shared" si="822"/>
        <v>0</v>
      </c>
      <c r="JJ75" s="279">
        <f t="shared" si="407"/>
        <v>0</v>
      </c>
      <c r="JK75" s="289">
        <f t="shared" si="823"/>
        <v>0</v>
      </c>
      <c r="JL75" s="279">
        <f t="shared" si="824"/>
        <v>0</v>
      </c>
      <c r="JM75" s="289">
        <f t="shared" si="825"/>
        <v>0</v>
      </c>
      <c r="JN75" s="279">
        <f t="shared" si="408"/>
        <v>0</v>
      </c>
      <c r="JO75" s="289">
        <f t="shared" si="826"/>
        <v>0</v>
      </c>
      <c r="JP75" s="252">
        <f t="shared" si="827"/>
        <v>0</v>
      </c>
      <c r="JQ75" s="251">
        <f t="shared" si="828"/>
        <v>0</v>
      </c>
      <c r="JS75" s="1"/>
      <c r="JT75" s="2">
        <v>8.3333333333333329E-2</v>
      </c>
      <c r="JU75" s="257">
        <f t="shared" si="670"/>
        <v>0</v>
      </c>
      <c r="JV75" s="249">
        <f t="shared" si="829"/>
        <v>0</v>
      </c>
      <c r="JW75" s="250">
        <f t="shared" si="830"/>
        <v>0</v>
      </c>
      <c r="JX75" s="372">
        <f t="shared" si="875"/>
        <v>0</v>
      </c>
      <c r="JY75" s="339">
        <f t="shared" si="831"/>
        <v>0</v>
      </c>
      <c r="JZ75" s="372">
        <f t="shared" si="875"/>
        <v>0</v>
      </c>
      <c r="KA75" s="339">
        <f t="shared" si="831"/>
        <v>0</v>
      </c>
      <c r="KB75" s="372">
        <f t="shared" si="875"/>
        <v>0</v>
      </c>
      <c r="KC75" s="339">
        <f t="shared" si="832"/>
        <v>0</v>
      </c>
      <c r="KD75" s="372">
        <f t="shared" si="875"/>
        <v>0</v>
      </c>
      <c r="KE75" s="339">
        <f t="shared" si="833"/>
        <v>0</v>
      </c>
      <c r="KF75" s="372">
        <f t="shared" si="875"/>
        <v>0</v>
      </c>
      <c r="KG75" s="339">
        <f t="shared" si="834"/>
        <v>0</v>
      </c>
      <c r="KH75" s="372">
        <f t="shared" si="875"/>
        <v>0</v>
      </c>
      <c r="KI75" s="339">
        <f t="shared" si="835"/>
        <v>0</v>
      </c>
      <c r="KJ75" s="372">
        <f t="shared" si="875"/>
        <v>0</v>
      </c>
      <c r="KK75" s="339">
        <f t="shared" si="836"/>
        <v>0</v>
      </c>
      <c r="KL75" s="372">
        <f t="shared" si="837"/>
        <v>0</v>
      </c>
      <c r="KM75" s="339">
        <f t="shared" si="838"/>
        <v>0</v>
      </c>
      <c r="KN75" s="372">
        <f t="shared" si="677"/>
        <v>0</v>
      </c>
      <c r="KO75" s="339">
        <f t="shared" si="839"/>
        <v>0</v>
      </c>
      <c r="KP75" s="372">
        <f t="shared" si="840"/>
        <v>0</v>
      </c>
      <c r="KQ75" s="339">
        <f t="shared" si="841"/>
        <v>0</v>
      </c>
      <c r="KR75" s="372">
        <f t="shared" si="678"/>
        <v>0</v>
      </c>
      <c r="KS75" s="377">
        <f t="shared" si="842"/>
        <v>0</v>
      </c>
      <c r="KT75" s="379">
        <f t="shared" si="843"/>
        <v>0</v>
      </c>
      <c r="KU75" s="251">
        <f t="shared" si="679"/>
        <v>0</v>
      </c>
      <c r="KW75" s="1"/>
      <c r="KX75" s="2">
        <v>8.3333333333333329E-2</v>
      </c>
      <c r="KY75" s="254">
        <f t="shared" si="680"/>
        <v>0</v>
      </c>
      <c r="KZ75" s="249">
        <f t="shared" si="876"/>
        <v>0</v>
      </c>
      <c r="LA75" s="251">
        <f t="shared" si="681"/>
        <v>0</v>
      </c>
      <c r="LB75" s="279">
        <f t="shared" si="844"/>
        <v>0</v>
      </c>
      <c r="LC75" s="339">
        <f t="shared" si="845"/>
        <v>0</v>
      </c>
      <c r="LD75" s="279">
        <f t="shared" si="844"/>
        <v>0</v>
      </c>
      <c r="LE75" s="339">
        <f t="shared" si="845"/>
        <v>0</v>
      </c>
      <c r="LF75" s="279">
        <f t="shared" si="844"/>
        <v>0</v>
      </c>
      <c r="LG75" s="339">
        <f t="shared" si="846"/>
        <v>0</v>
      </c>
      <c r="LH75" s="279">
        <f t="shared" si="844"/>
        <v>0</v>
      </c>
      <c r="LI75" s="339">
        <f t="shared" si="847"/>
        <v>0</v>
      </c>
      <c r="LJ75" s="279">
        <f t="shared" si="844"/>
        <v>0</v>
      </c>
      <c r="LK75" s="339">
        <f t="shared" si="848"/>
        <v>0</v>
      </c>
      <c r="LL75" s="279">
        <f t="shared" si="844"/>
        <v>0</v>
      </c>
      <c r="LM75" s="339">
        <f t="shared" si="849"/>
        <v>0</v>
      </c>
      <c r="LN75" s="279">
        <f t="shared" si="844"/>
        <v>0</v>
      </c>
      <c r="LO75" s="339">
        <f t="shared" si="850"/>
        <v>0</v>
      </c>
      <c r="LP75" s="279">
        <f t="shared" si="877"/>
        <v>0</v>
      </c>
      <c r="LQ75" s="339">
        <f t="shared" si="851"/>
        <v>0</v>
      </c>
      <c r="LR75" s="279">
        <f t="shared" si="878"/>
        <v>0</v>
      </c>
      <c r="LS75" s="339">
        <f t="shared" si="852"/>
        <v>0</v>
      </c>
      <c r="LT75" s="279">
        <f t="shared" si="879"/>
        <v>0</v>
      </c>
      <c r="LU75" s="339">
        <f t="shared" si="853"/>
        <v>0</v>
      </c>
      <c r="LV75" s="279">
        <f t="shared" si="880"/>
        <v>0</v>
      </c>
      <c r="LW75" s="339">
        <f t="shared" si="854"/>
        <v>0</v>
      </c>
      <c r="LX75" s="252">
        <f t="shared" si="855"/>
        <v>0</v>
      </c>
      <c r="LY75" s="253">
        <f t="shared" si="856"/>
        <v>0</v>
      </c>
      <c r="MA75" s="249">
        <f t="shared" si="688"/>
        <v>0</v>
      </c>
      <c r="MB75" s="253">
        <f t="shared" si="857"/>
        <v>0</v>
      </c>
      <c r="MC75" s="397">
        <f t="shared" si="689"/>
        <v>0</v>
      </c>
      <c r="MD75" s="253">
        <f t="shared" si="858"/>
        <v>0</v>
      </c>
      <c r="ME75" s="397">
        <f t="shared" si="690"/>
        <v>0</v>
      </c>
      <c r="MF75" s="253">
        <f t="shared" si="858"/>
        <v>0</v>
      </c>
      <c r="MG75" s="397">
        <f t="shared" si="691"/>
        <v>0</v>
      </c>
      <c r="MH75" s="253">
        <f t="shared" si="859"/>
        <v>0</v>
      </c>
      <c r="MI75" s="397">
        <f t="shared" si="692"/>
        <v>0</v>
      </c>
      <c r="MJ75" s="253">
        <f t="shared" si="860"/>
        <v>0</v>
      </c>
      <c r="MK75" s="397">
        <f t="shared" si="693"/>
        <v>0</v>
      </c>
      <c r="ML75" s="253">
        <f t="shared" si="861"/>
        <v>0</v>
      </c>
      <c r="MM75" s="397">
        <f t="shared" si="694"/>
        <v>0</v>
      </c>
      <c r="MN75" s="253">
        <f t="shared" si="862"/>
        <v>0</v>
      </c>
      <c r="MO75" s="397">
        <f t="shared" si="695"/>
        <v>0</v>
      </c>
      <c r="MP75" s="253">
        <f t="shared" si="863"/>
        <v>0</v>
      </c>
      <c r="MQ75" s="397">
        <f t="shared" si="696"/>
        <v>0</v>
      </c>
      <c r="MR75" s="253">
        <f t="shared" si="864"/>
        <v>0</v>
      </c>
      <c r="MS75" s="397">
        <f t="shared" si="697"/>
        <v>0</v>
      </c>
      <c r="MT75" s="253">
        <f t="shared" si="865"/>
        <v>0</v>
      </c>
      <c r="MU75" s="397">
        <f t="shared" si="698"/>
        <v>0</v>
      </c>
      <c r="MV75" s="253">
        <f t="shared" si="866"/>
        <v>0</v>
      </c>
      <c r="MW75" s="397">
        <f t="shared" si="699"/>
        <v>0</v>
      </c>
      <c r="MX75" s="253">
        <f t="shared" si="867"/>
        <v>0</v>
      </c>
      <c r="MY75" s="252">
        <f t="shared" si="868"/>
        <v>0</v>
      </c>
      <c r="MZ75" s="251">
        <f t="shared" si="869"/>
        <v>0</v>
      </c>
    </row>
    <row r="76" spans="1:364" ht="52.8" x14ac:dyDescent="0.25">
      <c r="A76" s="533"/>
      <c r="B76" s="245" t="s">
        <v>160</v>
      </c>
      <c r="C76" s="246" t="s">
        <v>161</v>
      </c>
      <c r="D76" s="247" t="s">
        <v>28</v>
      </c>
      <c r="E76" s="4">
        <v>1</v>
      </c>
      <c r="F76" s="353">
        <v>72536.171726755216</v>
      </c>
      <c r="G76" s="353">
        <f t="shared" si="700"/>
        <v>75559.203036053121</v>
      </c>
      <c r="I76" s="30"/>
      <c r="J76" s="2">
        <v>8.3333333333333329E-2</v>
      </c>
      <c r="K76" s="248">
        <f t="shared" si="701"/>
        <v>0</v>
      </c>
      <c r="L76" s="249"/>
      <c r="M76" s="301">
        <f t="shared" si="445"/>
        <v>0</v>
      </c>
      <c r="N76" s="279">
        <f t="shared" si="450"/>
        <v>0</v>
      </c>
      <c r="O76" s="289">
        <f t="shared" si="883"/>
        <v>0</v>
      </c>
      <c r="P76" s="279">
        <f t="shared" si="451"/>
        <v>0</v>
      </c>
      <c r="Q76" s="289">
        <f t="shared" si="883"/>
        <v>0</v>
      </c>
      <c r="R76" s="279">
        <f t="shared" si="452"/>
        <v>0</v>
      </c>
      <c r="S76" s="289">
        <f t="shared" si="702"/>
        <v>0</v>
      </c>
      <c r="T76" s="279">
        <f t="shared" si="453"/>
        <v>0</v>
      </c>
      <c r="U76" s="289">
        <f t="shared" si="703"/>
        <v>0</v>
      </c>
      <c r="V76" s="279">
        <f t="shared" si="409"/>
        <v>0</v>
      </c>
      <c r="W76" s="289">
        <f t="shared" si="704"/>
        <v>0</v>
      </c>
      <c r="X76" s="279">
        <f t="shared" si="305"/>
        <v>0</v>
      </c>
      <c r="Y76" s="289">
        <f t="shared" si="705"/>
        <v>0</v>
      </c>
      <c r="Z76" s="279">
        <f t="shared" si="454"/>
        <v>0</v>
      </c>
      <c r="AA76" s="289">
        <f t="shared" si="706"/>
        <v>0</v>
      </c>
      <c r="AB76" s="279">
        <f t="shared" si="306"/>
        <v>0</v>
      </c>
      <c r="AC76" s="289">
        <f t="shared" si="707"/>
        <v>0</v>
      </c>
      <c r="AD76" s="279">
        <f t="shared" si="455"/>
        <v>0</v>
      </c>
      <c r="AE76" s="289">
        <f t="shared" si="708"/>
        <v>0</v>
      </c>
      <c r="AF76" s="279">
        <f t="shared" si="307"/>
        <v>0</v>
      </c>
      <c r="AG76" s="289">
        <f t="shared" si="308"/>
        <v>0</v>
      </c>
      <c r="AH76" s="249">
        <f t="shared" si="456"/>
        <v>0</v>
      </c>
      <c r="AI76" s="299">
        <f t="shared" si="309"/>
        <v>0</v>
      </c>
      <c r="AJ76" s="252">
        <f t="shared" si="709"/>
        <v>0</v>
      </c>
      <c r="AK76" s="312">
        <f t="shared" si="710"/>
        <v>0</v>
      </c>
      <c r="AM76" s="1"/>
      <c r="AN76" s="2">
        <v>8.3333333333333329E-2</v>
      </c>
      <c r="AO76" s="254">
        <f t="shared" si="660"/>
        <v>0</v>
      </c>
      <c r="AP76" s="249">
        <f t="shared" si="328"/>
        <v>0</v>
      </c>
      <c r="AQ76" s="301">
        <f t="shared" si="683"/>
        <v>0</v>
      </c>
      <c r="AR76" s="249">
        <f t="shared" si="884"/>
        <v>0</v>
      </c>
      <c r="AS76" s="301">
        <f t="shared" si="683"/>
        <v>0</v>
      </c>
      <c r="AT76" s="249">
        <f t="shared" si="884"/>
        <v>0</v>
      </c>
      <c r="AU76" s="301">
        <f t="shared" si="684"/>
        <v>0</v>
      </c>
      <c r="AV76" s="249">
        <f t="shared" si="884"/>
        <v>0</v>
      </c>
      <c r="AW76" s="301">
        <f t="shared" si="711"/>
        <v>0</v>
      </c>
      <c r="AX76" s="249">
        <f t="shared" si="884"/>
        <v>0</v>
      </c>
      <c r="AY76" s="301">
        <f t="shared" si="712"/>
        <v>0</v>
      </c>
      <c r="AZ76" s="249">
        <f t="shared" si="884"/>
        <v>0</v>
      </c>
      <c r="BA76" s="301">
        <f t="shared" si="713"/>
        <v>0</v>
      </c>
      <c r="BB76" s="249">
        <f t="shared" si="884"/>
        <v>0</v>
      </c>
      <c r="BC76" s="301">
        <f t="shared" si="714"/>
        <v>0</v>
      </c>
      <c r="BD76" s="249">
        <f t="shared" si="884"/>
        <v>0</v>
      </c>
      <c r="BE76" s="301">
        <f t="shared" si="715"/>
        <v>0</v>
      </c>
      <c r="BF76" s="249">
        <f t="shared" si="882"/>
        <v>0</v>
      </c>
      <c r="BG76" s="301">
        <f t="shared" si="716"/>
        <v>0</v>
      </c>
      <c r="BH76" s="249">
        <f t="shared" si="885"/>
        <v>0</v>
      </c>
      <c r="BI76" s="301">
        <f t="shared" si="717"/>
        <v>0</v>
      </c>
      <c r="BJ76" s="249">
        <f t="shared" si="885"/>
        <v>0</v>
      </c>
      <c r="BK76" s="301">
        <f t="shared" si="717"/>
        <v>0</v>
      </c>
      <c r="BL76" s="249">
        <f t="shared" si="661"/>
        <v>0</v>
      </c>
      <c r="BM76" s="299">
        <f t="shared" si="718"/>
        <v>0</v>
      </c>
      <c r="BN76" s="252">
        <f t="shared" si="719"/>
        <v>0</v>
      </c>
      <c r="BO76" s="312">
        <f t="shared" si="685"/>
        <v>0</v>
      </c>
      <c r="BQ76" s="1"/>
      <c r="BR76" s="2"/>
      <c r="BS76" s="255">
        <f t="shared" ref="BS76:BS93" si="886">+BR76*BQ76*$G76</f>
        <v>0</v>
      </c>
      <c r="BT76" s="249">
        <f t="shared" si="881"/>
        <v>0</v>
      </c>
      <c r="BU76" s="336">
        <f t="shared" si="720"/>
        <v>0</v>
      </c>
      <c r="BV76" s="279">
        <f t="shared" si="721"/>
        <v>0</v>
      </c>
      <c r="BW76" s="339">
        <f t="shared" si="722"/>
        <v>0</v>
      </c>
      <c r="BX76" s="279">
        <f t="shared" si="721"/>
        <v>0</v>
      </c>
      <c r="BY76" s="339">
        <f t="shared" si="723"/>
        <v>0</v>
      </c>
      <c r="BZ76" s="279">
        <f t="shared" si="721"/>
        <v>0</v>
      </c>
      <c r="CA76" s="339">
        <f t="shared" si="724"/>
        <v>0</v>
      </c>
      <c r="CB76" s="279">
        <f t="shared" si="721"/>
        <v>0</v>
      </c>
      <c r="CC76" s="339">
        <f t="shared" si="725"/>
        <v>0</v>
      </c>
      <c r="CD76" s="279">
        <f t="shared" si="721"/>
        <v>0</v>
      </c>
      <c r="CE76" s="339">
        <f t="shared" si="726"/>
        <v>0</v>
      </c>
      <c r="CF76" s="279">
        <f t="shared" si="721"/>
        <v>0</v>
      </c>
      <c r="CG76" s="339">
        <f t="shared" si="727"/>
        <v>0</v>
      </c>
      <c r="CH76" s="279">
        <f t="shared" si="721"/>
        <v>0</v>
      </c>
      <c r="CI76" s="339">
        <f t="shared" si="728"/>
        <v>0</v>
      </c>
      <c r="CJ76" s="279">
        <f t="shared" si="729"/>
        <v>0</v>
      </c>
      <c r="CK76" s="339">
        <f t="shared" si="730"/>
        <v>0</v>
      </c>
      <c r="CL76" s="279">
        <f t="shared" si="463"/>
        <v>0</v>
      </c>
      <c r="CM76" s="339">
        <f t="shared" si="731"/>
        <v>0</v>
      </c>
      <c r="CN76" s="279">
        <f t="shared" si="732"/>
        <v>0</v>
      </c>
      <c r="CO76" s="339">
        <f t="shared" si="733"/>
        <v>0</v>
      </c>
      <c r="CP76" s="279">
        <f t="shared" si="464"/>
        <v>0</v>
      </c>
      <c r="CQ76" s="250">
        <f t="shared" si="662"/>
        <v>0</v>
      </c>
      <c r="CR76" s="252">
        <f t="shared" si="734"/>
        <v>0</v>
      </c>
      <c r="CS76" s="251">
        <f t="shared" si="448"/>
        <v>0</v>
      </c>
      <c r="CU76" s="1"/>
      <c r="CV76" s="2"/>
      <c r="CW76" s="255">
        <f t="shared" si="299"/>
        <v>0</v>
      </c>
      <c r="CX76" s="249">
        <f t="shared" si="735"/>
        <v>0</v>
      </c>
      <c r="CY76" s="250">
        <f t="shared" si="736"/>
        <v>0</v>
      </c>
      <c r="CZ76" s="279">
        <f t="shared" si="870"/>
        <v>0</v>
      </c>
      <c r="DA76" s="299">
        <f t="shared" si="736"/>
        <v>0</v>
      </c>
      <c r="DB76" s="279">
        <f t="shared" si="870"/>
        <v>0</v>
      </c>
      <c r="DC76" s="299">
        <f t="shared" si="737"/>
        <v>0</v>
      </c>
      <c r="DD76" s="279">
        <f t="shared" si="870"/>
        <v>0</v>
      </c>
      <c r="DE76" s="299">
        <f t="shared" si="738"/>
        <v>0</v>
      </c>
      <c r="DF76" s="279">
        <f t="shared" si="870"/>
        <v>0</v>
      </c>
      <c r="DG76" s="299">
        <f t="shared" si="739"/>
        <v>0</v>
      </c>
      <c r="DH76" s="279">
        <f t="shared" si="870"/>
        <v>0</v>
      </c>
      <c r="DI76" s="299">
        <f t="shared" si="740"/>
        <v>0</v>
      </c>
      <c r="DJ76" s="279">
        <f t="shared" si="870"/>
        <v>0</v>
      </c>
      <c r="DK76" s="299">
        <f t="shared" si="741"/>
        <v>0</v>
      </c>
      <c r="DL76" s="279">
        <f t="shared" si="870"/>
        <v>0</v>
      </c>
      <c r="DM76" s="299">
        <f t="shared" si="742"/>
        <v>0</v>
      </c>
      <c r="DN76" s="279">
        <f t="shared" si="743"/>
        <v>0</v>
      </c>
      <c r="DO76" s="299">
        <f t="shared" si="744"/>
        <v>0</v>
      </c>
      <c r="DP76" s="279">
        <f t="shared" si="471"/>
        <v>0</v>
      </c>
      <c r="DQ76" s="299">
        <f t="shared" si="745"/>
        <v>0</v>
      </c>
      <c r="DR76" s="279">
        <f t="shared" si="746"/>
        <v>0</v>
      </c>
      <c r="DS76" s="299">
        <f t="shared" si="747"/>
        <v>0</v>
      </c>
      <c r="DT76" s="279">
        <f t="shared" si="472"/>
        <v>0</v>
      </c>
      <c r="DU76" s="299">
        <f t="shared" si="748"/>
        <v>0</v>
      </c>
      <c r="DV76" s="252">
        <f t="shared" si="749"/>
        <v>0</v>
      </c>
      <c r="DW76" s="251">
        <f t="shared" si="449"/>
        <v>0</v>
      </c>
      <c r="DY76" s="256">
        <v>0</v>
      </c>
      <c r="DZ76" s="2"/>
      <c r="EA76" s="254">
        <f t="shared" si="663"/>
        <v>0</v>
      </c>
      <c r="EB76" s="249">
        <f t="shared" si="871"/>
        <v>0</v>
      </c>
      <c r="EC76" s="250">
        <f t="shared" si="750"/>
        <v>0</v>
      </c>
      <c r="ED76" s="356">
        <f t="shared" si="871"/>
        <v>0</v>
      </c>
      <c r="EE76" s="250">
        <f t="shared" si="750"/>
        <v>0</v>
      </c>
      <c r="EF76" s="249">
        <f t="shared" si="872"/>
        <v>0</v>
      </c>
      <c r="EG76" s="250">
        <f t="shared" si="751"/>
        <v>0</v>
      </c>
      <c r="EH76" s="249">
        <f t="shared" si="872"/>
        <v>0</v>
      </c>
      <c r="EI76" s="250">
        <f t="shared" si="751"/>
        <v>0</v>
      </c>
      <c r="EJ76" s="249">
        <f t="shared" si="872"/>
        <v>0</v>
      </c>
      <c r="EK76" s="250">
        <f t="shared" si="752"/>
        <v>0</v>
      </c>
      <c r="EL76" s="249">
        <f t="shared" si="872"/>
        <v>0</v>
      </c>
      <c r="EM76" s="250">
        <f t="shared" si="753"/>
        <v>0</v>
      </c>
      <c r="EN76" s="249">
        <f t="shared" si="872"/>
        <v>0</v>
      </c>
      <c r="EO76" s="250">
        <f t="shared" si="754"/>
        <v>0</v>
      </c>
      <c r="EP76" s="249">
        <f t="shared" si="872"/>
        <v>0</v>
      </c>
      <c r="EQ76" s="250">
        <f t="shared" si="755"/>
        <v>0</v>
      </c>
      <c r="ER76" s="249">
        <f t="shared" si="872"/>
        <v>0</v>
      </c>
      <c r="ES76" s="250">
        <f t="shared" si="756"/>
        <v>0</v>
      </c>
      <c r="ET76" s="249">
        <f t="shared" si="391"/>
        <v>0</v>
      </c>
      <c r="EU76" s="250">
        <f t="shared" si="757"/>
        <v>0</v>
      </c>
      <c r="EV76" s="249">
        <f t="shared" si="758"/>
        <v>0</v>
      </c>
      <c r="EW76" s="250">
        <f t="shared" si="759"/>
        <v>0</v>
      </c>
      <c r="EX76" s="249">
        <f t="shared" si="392"/>
        <v>0</v>
      </c>
      <c r="EY76" s="250">
        <f t="shared" si="760"/>
        <v>0</v>
      </c>
      <c r="EZ76" s="252">
        <f t="shared" si="761"/>
        <v>0</v>
      </c>
      <c r="FA76" s="251">
        <f t="shared" si="664"/>
        <v>0</v>
      </c>
      <c r="FC76" s="1"/>
      <c r="FD76" s="2"/>
      <c r="FE76" s="257">
        <f t="shared" si="152"/>
        <v>0</v>
      </c>
      <c r="FF76" s="249">
        <f t="shared" si="762"/>
        <v>0</v>
      </c>
      <c r="FG76" s="250">
        <f t="shared" si="763"/>
        <v>0</v>
      </c>
      <c r="FH76" s="372">
        <f t="shared" si="873"/>
        <v>0</v>
      </c>
      <c r="FI76" s="339">
        <f t="shared" si="764"/>
        <v>0</v>
      </c>
      <c r="FJ76" s="372">
        <f t="shared" si="873"/>
        <v>0</v>
      </c>
      <c r="FK76" s="339">
        <f t="shared" si="764"/>
        <v>0</v>
      </c>
      <c r="FL76" s="372">
        <f t="shared" si="873"/>
        <v>0</v>
      </c>
      <c r="FM76" s="339">
        <f t="shared" si="765"/>
        <v>0</v>
      </c>
      <c r="FN76" s="372">
        <f t="shared" si="873"/>
        <v>0</v>
      </c>
      <c r="FO76" s="339">
        <f t="shared" si="766"/>
        <v>0</v>
      </c>
      <c r="FP76" s="372">
        <f t="shared" si="873"/>
        <v>0</v>
      </c>
      <c r="FQ76" s="339">
        <f t="shared" si="767"/>
        <v>0</v>
      </c>
      <c r="FR76" s="372">
        <f t="shared" si="873"/>
        <v>0</v>
      </c>
      <c r="FS76" s="339">
        <f t="shared" si="768"/>
        <v>0</v>
      </c>
      <c r="FT76" s="372">
        <f t="shared" si="873"/>
        <v>0</v>
      </c>
      <c r="FU76" s="339">
        <f t="shared" si="769"/>
        <v>0</v>
      </c>
      <c r="FV76" s="372">
        <f t="shared" si="770"/>
        <v>0</v>
      </c>
      <c r="FW76" s="339">
        <f t="shared" si="771"/>
        <v>0</v>
      </c>
      <c r="FX76" s="372">
        <f t="shared" si="479"/>
        <v>0</v>
      </c>
      <c r="FY76" s="339">
        <f t="shared" si="772"/>
        <v>0</v>
      </c>
      <c r="FZ76" s="372">
        <f t="shared" si="773"/>
        <v>0</v>
      </c>
      <c r="GA76" s="339">
        <f t="shared" si="774"/>
        <v>0</v>
      </c>
      <c r="GB76" s="372">
        <f t="shared" si="480"/>
        <v>0</v>
      </c>
      <c r="GC76" s="339">
        <f t="shared" si="775"/>
        <v>0</v>
      </c>
      <c r="GD76" s="252">
        <f t="shared" si="776"/>
        <v>0</v>
      </c>
      <c r="GE76" s="251">
        <f t="shared" si="686"/>
        <v>0</v>
      </c>
      <c r="GG76" s="1"/>
      <c r="GH76" s="2">
        <v>0.2</v>
      </c>
      <c r="GI76" s="257">
        <f t="shared" si="665"/>
        <v>0</v>
      </c>
      <c r="GJ76" s="249">
        <f t="shared" si="777"/>
        <v>0</v>
      </c>
      <c r="GK76" s="250">
        <f t="shared" si="778"/>
        <v>0</v>
      </c>
      <c r="GL76" s="249">
        <f t="shared" si="777"/>
        <v>0</v>
      </c>
      <c r="GM76" s="250">
        <f t="shared" si="778"/>
        <v>0</v>
      </c>
      <c r="GN76" s="249">
        <f t="shared" si="777"/>
        <v>0</v>
      </c>
      <c r="GO76" s="250">
        <f t="shared" si="779"/>
        <v>0</v>
      </c>
      <c r="GP76" s="249">
        <f t="shared" si="777"/>
        <v>0</v>
      </c>
      <c r="GQ76" s="250">
        <f t="shared" si="780"/>
        <v>0</v>
      </c>
      <c r="GR76" s="249">
        <f t="shared" si="777"/>
        <v>0</v>
      </c>
      <c r="GS76" s="250">
        <f t="shared" si="781"/>
        <v>0</v>
      </c>
      <c r="GT76" s="249">
        <f t="shared" si="777"/>
        <v>0</v>
      </c>
      <c r="GU76" s="250">
        <f t="shared" si="782"/>
        <v>0</v>
      </c>
      <c r="GV76" s="249">
        <f t="shared" si="777"/>
        <v>0</v>
      </c>
      <c r="GW76" s="250">
        <f t="shared" si="783"/>
        <v>0</v>
      </c>
      <c r="GX76" s="249">
        <f t="shared" si="784"/>
        <v>0</v>
      </c>
      <c r="GY76" s="250">
        <f t="shared" si="785"/>
        <v>0</v>
      </c>
      <c r="GZ76" s="249">
        <f t="shared" si="786"/>
        <v>0</v>
      </c>
      <c r="HA76" s="250">
        <f t="shared" si="787"/>
        <v>0</v>
      </c>
      <c r="HB76" s="249">
        <f t="shared" si="788"/>
        <v>0</v>
      </c>
      <c r="HC76" s="250">
        <f t="shared" si="789"/>
        <v>0</v>
      </c>
      <c r="HD76" s="249">
        <f t="shared" si="790"/>
        <v>0</v>
      </c>
      <c r="HE76" s="250">
        <f t="shared" si="791"/>
        <v>0</v>
      </c>
      <c r="HF76" s="249">
        <f t="shared" si="792"/>
        <v>0</v>
      </c>
      <c r="HG76" s="250">
        <f t="shared" si="793"/>
        <v>0</v>
      </c>
      <c r="HH76" s="252">
        <f t="shared" si="794"/>
        <v>0</v>
      </c>
      <c r="HI76" s="251">
        <f t="shared" si="666"/>
        <v>0</v>
      </c>
      <c r="HK76" s="1"/>
      <c r="HL76" s="2"/>
      <c r="HM76" s="257">
        <f t="shared" si="667"/>
        <v>0</v>
      </c>
      <c r="HN76" s="249">
        <f t="shared" si="795"/>
        <v>0</v>
      </c>
      <c r="HO76" s="250">
        <f t="shared" si="668"/>
        <v>0</v>
      </c>
      <c r="HP76" s="249">
        <f t="shared" si="796"/>
        <v>0</v>
      </c>
      <c r="HQ76" s="250">
        <f t="shared" si="797"/>
        <v>0</v>
      </c>
      <c r="HR76" s="249">
        <f t="shared" si="796"/>
        <v>0</v>
      </c>
      <c r="HS76" s="250">
        <f t="shared" si="797"/>
        <v>0</v>
      </c>
      <c r="HT76" s="249">
        <f t="shared" si="796"/>
        <v>0</v>
      </c>
      <c r="HU76" s="250">
        <f t="shared" si="798"/>
        <v>0</v>
      </c>
      <c r="HV76" s="249">
        <f t="shared" si="796"/>
        <v>0</v>
      </c>
      <c r="HW76" s="250">
        <f t="shared" si="799"/>
        <v>0</v>
      </c>
      <c r="HX76" s="249">
        <f t="shared" si="796"/>
        <v>0</v>
      </c>
      <c r="HY76" s="250">
        <f t="shared" si="800"/>
        <v>0</v>
      </c>
      <c r="HZ76" s="249">
        <f t="shared" si="796"/>
        <v>0</v>
      </c>
      <c r="IA76" s="250">
        <f t="shared" si="801"/>
        <v>0</v>
      </c>
      <c r="IB76" s="249">
        <f t="shared" si="796"/>
        <v>0</v>
      </c>
      <c r="IC76" s="250">
        <f t="shared" si="802"/>
        <v>0</v>
      </c>
      <c r="ID76" s="249">
        <f t="shared" si="803"/>
        <v>0</v>
      </c>
      <c r="IE76" s="250">
        <f t="shared" si="804"/>
        <v>0</v>
      </c>
      <c r="IF76" s="249">
        <f t="shared" si="805"/>
        <v>0</v>
      </c>
      <c r="IG76" s="250">
        <f t="shared" si="806"/>
        <v>0</v>
      </c>
      <c r="IH76" s="249">
        <f t="shared" si="807"/>
        <v>0</v>
      </c>
      <c r="II76" s="250">
        <f t="shared" si="808"/>
        <v>0</v>
      </c>
      <c r="IJ76" s="249">
        <f t="shared" si="809"/>
        <v>0</v>
      </c>
      <c r="IK76" s="250">
        <f t="shared" si="810"/>
        <v>0</v>
      </c>
      <c r="IL76" s="252">
        <f t="shared" si="811"/>
        <v>0</v>
      </c>
      <c r="IM76" s="251">
        <f t="shared" si="812"/>
        <v>0</v>
      </c>
      <c r="IO76" s="1"/>
      <c r="IP76" s="2">
        <v>8.3333333333333329E-2</v>
      </c>
      <c r="IQ76" s="257">
        <f t="shared" si="669"/>
        <v>0</v>
      </c>
      <c r="IR76" s="249">
        <f t="shared" si="813"/>
        <v>0</v>
      </c>
      <c r="IS76" s="250">
        <f t="shared" si="814"/>
        <v>0</v>
      </c>
      <c r="IT76" s="279">
        <f t="shared" si="874"/>
        <v>0</v>
      </c>
      <c r="IU76" s="289">
        <f t="shared" si="815"/>
        <v>0</v>
      </c>
      <c r="IV76" s="279">
        <f t="shared" si="874"/>
        <v>0</v>
      </c>
      <c r="IW76" s="289">
        <f t="shared" si="815"/>
        <v>0</v>
      </c>
      <c r="IX76" s="279">
        <f t="shared" si="874"/>
        <v>0</v>
      </c>
      <c r="IY76" s="289">
        <f t="shared" si="816"/>
        <v>0</v>
      </c>
      <c r="IZ76" s="279">
        <f t="shared" si="874"/>
        <v>0</v>
      </c>
      <c r="JA76" s="289">
        <f t="shared" si="817"/>
        <v>0</v>
      </c>
      <c r="JB76" s="279">
        <f t="shared" si="874"/>
        <v>0</v>
      </c>
      <c r="JC76" s="289">
        <f t="shared" si="818"/>
        <v>0</v>
      </c>
      <c r="JD76" s="279">
        <f t="shared" si="874"/>
        <v>0</v>
      </c>
      <c r="JE76" s="289">
        <f t="shared" si="819"/>
        <v>0</v>
      </c>
      <c r="JF76" s="279">
        <f t="shared" si="874"/>
        <v>0</v>
      </c>
      <c r="JG76" s="289">
        <f t="shared" si="820"/>
        <v>0</v>
      </c>
      <c r="JH76" s="279">
        <f t="shared" si="821"/>
        <v>0</v>
      </c>
      <c r="JI76" s="289">
        <f t="shared" si="822"/>
        <v>0</v>
      </c>
      <c r="JJ76" s="279">
        <f t="shared" si="407"/>
        <v>0</v>
      </c>
      <c r="JK76" s="289">
        <f t="shared" si="823"/>
        <v>0</v>
      </c>
      <c r="JL76" s="279">
        <f t="shared" si="824"/>
        <v>0</v>
      </c>
      <c r="JM76" s="289">
        <f t="shared" si="825"/>
        <v>0</v>
      </c>
      <c r="JN76" s="279">
        <f t="shared" si="408"/>
        <v>0</v>
      </c>
      <c r="JO76" s="289">
        <f t="shared" si="826"/>
        <v>0</v>
      </c>
      <c r="JP76" s="252">
        <f t="shared" si="827"/>
        <v>0</v>
      </c>
      <c r="JQ76" s="251">
        <f t="shared" si="828"/>
        <v>0</v>
      </c>
      <c r="JS76" s="1"/>
      <c r="JT76" s="2">
        <v>8.3333333333333329E-2</v>
      </c>
      <c r="JU76" s="257">
        <f t="shared" si="670"/>
        <v>0</v>
      </c>
      <c r="JV76" s="249">
        <f t="shared" si="829"/>
        <v>0</v>
      </c>
      <c r="JW76" s="250">
        <f t="shared" si="830"/>
        <v>0</v>
      </c>
      <c r="JX76" s="372">
        <f t="shared" si="875"/>
        <v>0</v>
      </c>
      <c r="JY76" s="339">
        <f t="shared" si="831"/>
        <v>0</v>
      </c>
      <c r="JZ76" s="372">
        <f t="shared" si="875"/>
        <v>0</v>
      </c>
      <c r="KA76" s="339">
        <f t="shared" si="831"/>
        <v>0</v>
      </c>
      <c r="KB76" s="372">
        <f t="shared" si="875"/>
        <v>0</v>
      </c>
      <c r="KC76" s="339">
        <f t="shared" si="832"/>
        <v>0</v>
      </c>
      <c r="KD76" s="372">
        <f t="shared" si="875"/>
        <v>0</v>
      </c>
      <c r="KE76" s="339">
        <f t="shared" si="833"/>
        <v>0</v>
      </c>
      <c r="KF76" s="372">
        <f t="shared" si="875"/>
        <v>0</v>
      </c>
      <c r="KG76" s="339">
        <f t="shared" si="834"/>
        <v>0</v>
      </c>
      <c r="KH76" s="372">
        <f t="shared" si="875"/>
        <v>0</v>
      </c>
      <c r="KI76" s="339">
        <f t="shared" si="835"/>
        <v>0</v>
      </c>
      <c r="KJ76" s="372">
        <f t="shared" si="875"/>
        <v>0</v>
      </c>
      <c r="KK76" s="339">
        <f t="shared" si="836"/>
        <v>0</v>
      </c>
      <c r="KL76" s="372">
        <f t="shared" si="837"/>
        <v>0</v>
      </c>
      <c r="KM76" s="339">
        <f t="shared" si="838"/>
        <v>0</v>
      </c>
      <c r="KN76" s="372">
        <f t="shared" si="677"/>
        <v>0</v>
      </c>
      <c r="KO76" s="339">
        <f t="shared" si="839"/>
        <v>0</v>
      </c>
      <c r="KP76" s="372">
        <f t="shared" si="840"/>
        <v>0</v>
      </c>
      <c r="KQ76" s="339">
        <f t="shared" si="841"/>
        <v>0</v>
      </c>
      <c r="KR76" s="372">
        <f t="shared" si="678"/>
        <v>0</v>
      </c>
      <c r="KS76" s="377">
        <f t="shared" si="842"/>
        <v>0</v>
      </c>
      <c r="KT76" s="379">
        <f t="shared" si="843"/>
        <v>0</v>
      </c>
      <c r="KU76" s="251">
        <f t="shared" si="679"/>
        <v>0</v>
      </c>
      <c r="KW76" s="1"/>
      <c r="KX76" s="2">
        <v>8.3333333333333329E-2</v>
      </c>
      <c r="KY76" s="254">
        <f t="shared" si="680"/>
        <v>0</v>
      </c>
      <c r="KZ76" s="249">
        <f t="shared" si="876"/>
        <v>0</v>
      </c>
      <c r="LA76" s="251">
        <f t="shared" si="681"/>
        <v>0</v>
      </c>
      <c r="LB76" s="279">
        <f t="shared" si="844"/>
        <v>0</v>
      </c>
      <c r="LC76" s="339">
        <f t="shared" si="845"/>
        <v>0</v>
      </c>
      <c r="LD76" s="279">
        <f t="shared" si="844"/>
        <v>0</v>
      </c>
      <c r="LE76" s="339">
        <f t="shared" si="845"/>
        <v>0</v>
      </c>
      <c r="LF76" s="279">
        <f t="shared" si="844"/>
        <v>0</v>
      </c>
      <c r="LG76" s="339">
        <f t="shared" si="846"/>
        <v>0</v>
      </c>
      <c r="LH76" s="279">
        <f t="shared" si="844"/>
        <v>0</v>
      </c>
      <c r="LI76" s="339">
        <f t="shared" si="847"/>
        <v>0</v>
      </c>
      <c r="LJ76" s="279">
        <f t="shared" si="844"/>
        <v>0</v>
      </c>
      <c r="LK76" s="339">
        <f t="shared" si="848"/>
        <v>0</v>
      </c>
      <c r="LL76" s="279">
        <f t="shared" si="844"/>
        <v>0</v>
      </c>
      <c r="LM76" s="339">
        <f t="shared" si="849"/>
        <v>0</v>
      </c>
      <c r="LN76" s="279">
        <f t="shared" si="844"/>
        <v>0</v>
      </c>
      <c r="LO76" s="339">
        <f t="shared" si="850"/>
        <v>0</v>
      </c>
      <c r="LP76" s="279">
        <f t="shared" si="877"/>
        <v>0</v>
      </c>
      <c r="LQ76" s="339">
        <f t="shared" si="851"/>
        <v>0</v>
      </c>
      <c r="LR76" s="279">
        <f t="shared" si="878"/>
        <v>0</v>
      </c>
      <c r="LS76" s="339">
        <f t="shared" si="852"/>
        <v>0</v>
      </c>
      <c r="LT76" s="279">
        <f t="shared" si="879"/>
        <v>0</v>
      </c>
      <c r="LU76" s="339">
        <f t="shared" si="853"/>
        <v>0</v>
      </c>
      <c r="LV76" s="279">
        <f t="shared" si="880"/>
        <v>0</v>
      </c>
      <c r="LW76" s="339">
        <f t="shared" si="854"/>
        <v>0</v>
      </c>
      <c r="LX76" s="252">
        <f t="shared" si="855"/>
        <v>0</v>
      </c>
      <c r="LY76" s="253">
        <f t="shared" si="856"/>
        <v>0</v>
      </c>
      <c r="MA76" s="249">
        <f t="shared" si="688"/>
        <v>0</v>
      </c>
      <c r="MB76" s="253">
        <f t="shared" si="857"/>
        <v>0</v>
      </c>
      <c r="MC76" s="397">
        <f t="shared" si="689"/>
        <v>0</v>
      </c>
      <c r="MD76" s="253">
        <f t="shared" si="858"/>
        <v>0</v>
      </c>
      <c r="ME76" s="397">
        <f t="shared" si="690"/>
        <v>0</v>
      </c>
      <c r="MF76" s="253">
        <f t="shared" si="858"/>
        <v>0</v>
      </c>
      <c r="MG76" s="397">
        <f t="shared" si="691"/>
        <v>0</v>
      </c>
      <c r="MH76" s="253">
        <f t="shared" si="859"/>
        <v>0</v>
      </c>
      <c r="MI76" s="397">
        <f t="shared" si="692"/>
        <v>0</v>
      </c>
      <c r="MJ76" s="253">
        <f t="shared" si="860"/>
        <v>0</v>
      </c>
      <c r="MK76" s="397">
        <f t="shared" si="693"/>
        <v>0</v>
      </c>
      <c r="ML76" s="253">
        <f t="shared" si="861"/>
        <v>0</v>
      </c>
      <c r="MM76" s="397">
        <f t="shared" si="694"/>
        <v>0</v>
      </c>
      <c r="MN76" s="253">
        <f t="shared" si="862"/>
        <v>0</v>
      </c>
      <c r="MO76" s="397">
        <f t="shared" si="695"/>
        <v>0</v>
      </c>
      <c r="MP76" s="253">
        <f t="shared" si="863"/>
        <v>0</v>
      </c>
      <c r="MQ76" s="397">
        <f t="shared" si="696"/>
        <v>0</v>
      </c>
      <c r="MR76" s="253">
        <f t="shared" si="864"/>
        <v>0</v>
      </c>
      <c r="MS76" s="397">
        <f t="shared" si="697"/>
        <v>0</v>
      </c>
      <c r="MT76" s="253">
        <f t="shared" si="865"/>
        <v>0</v>
      </c>
      <c r="MU76" s="397">
        <f t="shared" si="698"/>
        <v>0</v>
      </c>
      <c r="MV76" s="253">
        <f t="shared" si="866"/>
        <v>0</v>
      </c>
      <c r="MW76" s="397">
        <f t="shared" si="699"/>
        <v>0</v>
      </c>
      <c r="MX76" s="253">
        <f t="shared" si="867"/>
        <v>0</v>
      </c>
      <c r="MY76" s="252">
        <f t="shared" si="868"/>
        <v>0</v>
      </c>
      <c r="MZ76" s="251">
        <f t="shared" si="869"/>
        <v>0</v>
      </c>
    </row>
    <row r="77" spans="1:364" ht="52.8" x14ac:dyDescent="0.25">
      <c r="A77" s="533"/>
      <c r="B77" s="245" t="s">
        <v>162</v>
      </c>
      <c r="C77" s="246" t="s">
        <v>163</v>
      </c>
      <c r="D77" s="247" t="s">
        <v>28</v>
      </c>
      <c r="E77" s="4">
        <v>1</v>
      </c>
      <c r="F77" s="353">
        <v>73570.772058823524</v>
      </c>
      <c r="G77" s="353">
        <f t="shared" si="700"/>
        <v>76636.92156862744</v>
      </c>
      <c r="I77" s="30"/>
      <c r="J77" s="2">
        <v>8.3333333333333329E-2</v>
      </c>
      <c r="K77" s="248">
        <f t="shared" si="701"/>
        <v>0</v>
      </c>
      <c r="L77" s="249"/>
      <c r="M77" s="301">
        <f t="shared" si="445"/>
        <v>0</v>
      </c>
      <c r="N77" s="279">
        <f t="shared" si="450"/>
        <v>0</v>
      </c>
      <c r="O77" s="289">
        <f t="shared" si="883"/>
        <v>0</v>
      </c>
      <c r="P77" s="279">
        <f t="shared" si="451"/>
        <v>0</v>
      </c>
      <c r="Q77" s="289">
        <f t="shared" si="883"/>
        <v>0</v>
      </c>
      <c r="R77" s="279">
        <f t="shared" si="452"/>
        <v>0</v>
      </c>
      <c r="S77" s="289">
        <f t="shared" si="702"/>
        <v>0</v>
      </c>
      <c r="T77" s="279">
        <f t="shared" si="453"/>
        <v>0</v>
      </c>
      <c r="U77" s="289">
        <f t="shared" si="703"/>
        <v>0</v>
      </c>
      <c r="V77" s="279">
        <f t="shared" si="409"/>
        <v>0</v>
      </c>
      <c r="W77" s="289">
        <f t="shared" si="704"/>
        <v>0</v>
      </c>
      <c r="X77" s="279">
        <f t="shared" si="305"/>
        <v>0</v>
      </c>
      <c r="Y77" s="289">
        <f t="shared" si="705"/>
        <v>0</v>
      </c>
      <c r="Z77" s="279">
        <f t="shared" si="454"/>
        <v>0</v>
      </c>
      <c r="AA77" s="289">
        <f t="shared" si="706"/>
        <v>0</v>
      </c>
      <c r="AB77" s="279">
        <f t="shared" si="306"/>
        <v>0</v>
      </c>
      <c r="AC77" s="289">
        <f t="shared" si="707"/>
        <v>0</v>
      </c>
      <c r="AD77" s="279">
        <f t="shared" si="455"/>
        <v>0</v>
      </c>
      <c r="AE77" s="289">
        <f t="shared" si="708"/>
        <v>0</v>
      </c>
      <c r="AF77" s="279">
        <f t="shared" si="307"/>
        <v>0</v>
      </c>
      <c r="AG77" s="289">
        <f t="shared" si="308"/>
        <v>0</v>
      </c>
      <c r="AH77" s="249">
        <f t="shared" si="456"/>
        <v>0</v>
      </c>
      <c r="AI77" s="299">
        <f t="shared" si="309"/>
        <v>0</v>
      </c>
      <c r="AJ77" s="252">
        <f t="shared" si="709"/>
        <v>0</v>
      </c>
      <c r="AK77" s="312">
        <f t="shared" si="710"/>
        <v>0</v>
      </c>
      <c r="AM77" s="1"/>
      <c r="AN77" s="2">
        <v>8.3333333333333329E-2</v>
      </c>
      <c r="AO77" s="254">
        <f t="shared" si="660"/>
        <v>0</v>
      </c>
      <c r="AP77" s="249">
        <f t="shared" si="328"/>
        <v>0</v>
      </c>
      <c r="AQ77" s="301">
        <f t="shared" si="683"/>
        <v>0</v>
      </c>
      <c r="AR77" s="249">
        <f t="shared" si="884"/>
        <v>0</v>
      </c>
      <c r="AS77" s="301">
        <f t="shared" si="683"/>
        <v>0</v>
      </c>
      <c r="AT77" s="249">
        <f t="shared" si="884"/>
        <v>0</v>
      </c>
      <c r="AU77" s="301">
        <f t="shared" si="684"/>
        <v>0</v>
      </c>
      <c r="AV77" s="249">
        <f t="shared" si="884"/>
        <v>0</v>
      </c>
      <c r="AW77" s="301">
        <f t="shared" si="711"/>
        <v>0</v>
      </c>
      <c r="AX77" s="249">
        <f t="shared" si="884"/>
        <v>0</v>
      </c>
      <c r="AY77" s="301">
        <f t="shared" si="712"/>
        <v>0</v>
      </c>
      <c r="AZ77" s="249">
        <f t="shared" si="884"/>
        <v>0</v>
      </c>
      <c r="BA77" s="301">
        <f t="shared" si="713"/>
        <v>0</v>
      </c>
      <c r="BB77" s="249">
        <f t="shared" si="884"/>
        <v>0</v>
      </c>
      <c r="BC77" s="301">
        <f t="shared" si="714"/>
        <v>0</v>
      </c>
      <c r="BD77" s="249">
        <f t="shared" si="884"/>
        <v>0</v>
      </c>
      <c r="BE77" s="301">
        <f t="shared" si="715"/>
        <v>0</v>
      </c>
      <c r="BF77" s="249">
        <f t="shared" si="882"/>
        <v>0</v>
      </c>
      <c r="BG77" s="301">
        <f t="shared" si="716"/>
        <v>0</v>
      </c>
      <c r="BH77" s="249">
        <f t="shared" si="885"/>
        <v>0</v>
      </c>
      <c r="BI77" s="301">
        <f t="shared" si="717"/>
        <v>0</v>
      </c>
      <c r="BJ77" s="249">
        <f t="shared" si="885"/>
        <v>0</v>
      </c>
      <c r="BK77" s="301">
        <f t="shared" si="717"/>
        <v>0</v>
      </c>
      <c r="BL77" s="249">
        <f t="shared" si="661"/>
        <v>0</v>
      </c>
      <c r="BM77" s="299">
        <f t="shared" si="718"/>
        <v>0</v>
      </c>
      <c r="BN77" s="252">
        <f t="shared" si="719"/>
        <v>0</v>
      </c>
      <c r="BO77" s="312">
        <f t="shared" si="685"/>
        <v>0</v>
      </c>
      <c r="BQ77" s="1"/>
      <c r="BR77" s="2"/>
      <c r="BS77" s="255">
        <f t="shared" si="886"/>
        <v>0</v>
      </c>
      <c r="BT77" s="249">
        <f t="shared" si="881"/>
        <v>0</v>
      </c>
      <c r="BU77" s="336">
        <f t="shared" si="720"/>
        <v>0</v>
      </c>
      <c r="BV77" s="279">
        <f t="shared" si="721"/>
        <v>0</v>
      </c>
      <c r="BW77" s="339">
        <f t="shared" si="722"/>
        <v>0</v>
      </c>
      <c r="BX77" s="279">
        <f t="shared" si="721"/>
        <v>0</v>
      </c>
      <c r="BY77" s="339">
        <f t="shared" si="723"/>
        <v>0</v>
      </c>
      <c r="BZ77" s="279">
        <f t="shared" si="721"/>
        <v>0</v>
      </c>
      <c r="CA77" s="339">
        <f t="shared" si="724"/>
        <v>0</v>
      </c>
      <c r="CB77" s="279">
        <f t="shared" si="721"/>
        <v>0</v>
      </c>
      <c r="CC77" s="339">
        <f t="shared" si="725"/>
        <v>0</v>
      </c>
      <c r="CD77" s="279">
        <f t="shared" si="721"/>
        <v>0</v>
      </c>
      <c r="CE77" s="339">
        <f t="shared" si="726"/>
        <v>0</v>
      </c>
      <c r="CF77" s="279">
        <f t="shared" si="721"/>
        <v>0</v>
      </c>
      <c r="CG77" s="339">
        <f t="shared" si="727"/>
        <v>0</v>
      </c>
      <c r="CH77" s="279">
        <f t="shared" si="721"/>
        <v>0</v>
      </c>
      <c r="CI77" s="339">
        <f t="shared" si="728"/>
        <v>0</v>
      </c>
      <c r="CJ77" s="279">
        <f t="shared" si="729"/>
        <v>0</v>
      </c>
      <c r="CK77" s="339">
        <f t="shared" si="730"/>
        <v>0</v>
      </c>
      <c r="CL77" s="279">
        <f t="shared" si="463"/>
        <v>0</v>
      </c>
      <c r="CM77" s="339">
        <f t="shared" si="731"/>
        <v>0</v>
      </c>
      <c r="CN77" s="279">
        <f t="shared" si="732"/>
        <v>0</v>
      </c>
      <c r="CO77" s="339">
        <f t="shared" si="733"/>
        <v>0</v>
      </c>
      <c r="CP77" s="279">
        <f t="shared" si="464"/>
        <v>0</v>
      </c>
      <c r="CQ77" s="250">
        <f t="shared" si="662"/>
        <v>0</v>
      </c>
      <c r="CR77" s="252">
        <f t="shared" si="734"/>
        <v>0</v>
      </c>
      <c r="CS77" s="251">
        <f t="shared" si="448"/>
        <v>0</v>
      </c>
      <c r="CU77" s="1"/>
      <c r="CV77" s="2"/>
      <c r="CW77" s="255">
        <f t="shared" si="299"/>
        <v>0</v>
      </c>
      <c r="CX77" s="249">
        <f t="shared" si="735"/>
        <v>0</v>
      </c>
      <c r="CY77" s="250">
        <f t="shared" si="736"/>
        <v>0</v>
      </c>
      <c r="CZ77" s="279">
        <f t="shared" si="870"/>
        <v>0</v>
      </c>
      <c r="DA77" s="299">
        <f t="shared" si="736"/>
        <v>0</v>
      </c>
      <c r="DB77" s="279">
        <f t="shared" si="870"/>
        <v>0</v>
      </c>
      <c r="DC77" s="299">
        <f t="shared" si="737"/>
        <v>0</v>
      </c>
      <c r="DD77" s="279">
        <f t="shared" si="870"/>
        <v>0</v>
      </c>
      <c r="DE77" s="299">
        <f t="shared" si="738"/>
        <v>0</v>
      </c>
      <c r="DF77" s="279">
        <f t="shared" si="870"/>
        <v>0</v>
      </c>
      <c r="DG77" s="299">
        <f t="shared" si="739"/>
        <v>0</v>
      </c>
      <c r="DH77" s="279">
        <f t="shared" si="870"/>
        <v>0</v>
      </c>
      <c r="DI77" s="299">
        <f t="shared" si="740"/>
        <v>0</v>
      </c>
      <c r="DJ77" s="279">
        <f t="shared" si="870"/>
        <v>0</v>
      </c>
      <c r="DK77" s="299">
        <f t="shared" si="741"/>
        <v>0</v>
      </c>
      <c r="DL77" s="279">
        <f t="shared" si="870"/>
        <v>0</v>
      </c>
      <c r="DM77" s="299">
        <f t="shared" si="742"/>
        <v>0</v>
      </c>
      <c r="DN77" s="279">
        <f t="shared" si="743"/>
        <v>0</v>
      </c>
      <c r="DO77" s="299">
        <f t="shared" si="744"/>
        <v>0</v>
      </c>
      <c r="DP77" s="279">
        <f t="shared" si="471"/>
        <v>0</v>
      </c>
      <c r="DQ77" s="299">
        <f t="shared" si="745"/>
        <v>0</v>
      </c>
      <c r="DR77" s="279">
        <f t="shared" si="746"/>
        <v>0</v>
      </c>
      <c r="DS77" s="299">
        <f t="shared" si="747"/>
        <v>0</v>
      </c>
      <c r="DT77" s="279">
        <f t="shared" si="472"/>
        <v>0</v>
      </c>
      <c r="DU77" s="299">
        <f t="shared" si="748"/>
        <v>0</v>
      </c>
      <c r="DV77" s="252">
        <f t="shared" si="749"/>
        <v>0</v>
      </c>
      <c r="DW77" s="251">
        <f t="shared" si="449"/>
        <v>0</v>
      </c>
      <c r="DY77" s="256">
        <v>0</v>
      </c>
      <c r="DZ77" s="2"/>
      <c r="EA77" s="254">
        <f t="shared" si="663"/>
        <v>0</v>
      </c>
      <c r="EB77" s="249">
        <f t="shared" si="871"/>
        <v>0</v>
      </c>
      <c r="EC77" s="250">
        <f t="shared" si="750"/>
        <v>0</v>
      </c>
      <c r="ED77" s="356">
        <f t="shared" si="871"/>
        <v>0</v>
      </c>
      <c r="EE77" s="250">
        <f t="shared" si="750"/>
        <v>0</v>
      </c>
      <c r="EF77" s="249">
        <f t="shared" si="872"/>
        <v>0</v>
      </c>
      <c r="EG77" s="250">
        <f t="shared" si="751"/>
        <v>0</v>
      </c>
      <c r="EH77" s="249">
        <f t="shared" si="872"/>
        <v>0</v>
      </c>
      <c r="EI77" s="250">
        <f t="shared" si="751"/>
        <v>0</v>
      </c>
      <c r="EJ77" s="249">
        <f t="shared" si="872"/>
        <v>0</v>
      </c>
      <c r="EK77" s="250">
        <f t="shared" si="752"/>
        <v>0</v>
      </c>
      <c r="EL77" s="249">
        <f t="shared" si="872"/>
        <v>0</v>
      </c>
      <c r="EM77" s="250">
        <f t="shared" si="753"/>
        <v>0</v>
      </c>
      <c r="EN77" s="249">
        <f t="shared" si="872"/>
        <v>0</v>
      </c>
      <c r="EO77" s="250">
        <f t="shared" si="754"/>
        <v>0</v>
      </c>
      <c r="EP77" s="249">
        <f t="shared" si="872"/>
        <v>0</v>
      </c>
      <c r="EQ77" s="250">
        <f t="shared" si="755"/>
        <v>0</v>
      </c>
      <c r="ER77" s="249">
        <f t="shared" si="872"/>
        <v>0</v>
      </c>
      <c r="ES77" s="250">
        <f t="shared" si="756"/>
        <v>0</v>
      </c>
      <c r="ET77" s="249">
        <f t="shared" si="391"/>
        <v>0</v>
      </c>
      <c r="EU77" s="250">
        <f t="shared" si="757"/>
        <v>0</v>
      </c>
      <c r="EV77" s="249">
        <f t="shared" si="758"/>
        <v>0</v>
      </c>
      <c r="EW77" s="250">
        <f t="shared" si="759"/>
        <v>0</v>
      </c>
      <c r="EX77" s="249">
        <f t="shared" si="392"/>
        <v>0</v>
      </c>
      <c r="EY77" s="250">
        <f t="shared" si="760"/>
        <v>0</v>
      </c>
      <c r="EZ77" s="252">
        <f t="shared" si="761"/>
        <v>0</v>
      </c>
      <c r="FA77" s="251">
        <f t="shared" si="664"/>
        <v>0</v>
      </c>
      <c r="FC77" s="1"/>
      <c r="FD77" s="2"/>
      <c r="FE77" s="257">
        <f t="shared" si="152"/>
        <v>0</v>
      </c>
      <c r="FF77" s="249">
        <f t="shared" si="762"/>
        <v>0</v>
      </c>
      <c r="FG77" s="250">
        <f t="shared" si="763"/>
        <v>0</v>
      </c>
      <c r="FH77" s="372">
        <f t="shared" si="873"/>
        <v>0</v>
      </c>
      <c r="FI77" s="339">
        <f t="shared" si="764"/>
        <v>0</v>
      </c>
      <c r="FJ77" s="372">
        <f t="shared" si="873"/>
        <v>0</v>
      </c>
      <c r="FK77" s="339">
        <f t="shared" si="764"/>
        <v>0</v>
      </c>
      <c r="FL77" s="372">
        <f t="shared" si="873"/>
        <v>0</v>
      </c>
      <c r="FM77" s="339">
        <f t="shared" si="765"/>
        <v>0</v>
      </c>
      <c r="FN77" s="372">
        <f t="shared" si="873"/>
        <v>0</v>
      </c>
      <c r="FO77" s="339">
        <f t="shared" si="766"/>
        <v>0</v>
      </c>
      <c r="FP77" s="372">
        <f t="shared" si="873"/>
        <v>0</v>
      </c>
      <c r="FQ77" s="339">
        <f t="shared" si="767"/>
        <v>0</v>
      </c>
      <c r="FR77" s="372">
        <f t="shared" si="873"/>
        <v>0</v>
      </c>
      <c r="FS77" s="339">
        <f t="shared" si="768"/>
        <v>0</v>
      </c>
      <c r="FT77" s="372">
        <f t="shared" si="873"/>
        <v>0</v>
      </c>
      <c r="FU77" s="339">
        <f t="shared" si="769"/>
        <v>0</v>
      </c>
      <c r="FV77" s="372">
        <f t="shared" si="770"/>
        <v>0</v>
      </c>
      <c r="FW77" s="339">
        <f t="shared" si="771"/>
        <v>0</v>
      </c>
      <c r="FX77" s="372">
        <f t="shared" si="479"/>
        <v>0</v>
      </c>
      <c r="FY77" s="339">
        <f t="shared" si="772"/>
        <v>0</v>
      </c>
      <c r="FZ77" s="372">
        <f t="shared" si="773"/>
        <v>0</v>
      </c>
      <c r="GA77" s="339">
        <f t="shared" si="774"/>
        <v>0</v>
      </c>
      <c r="GB77" s="372">
        <f t="shared" si="480"/>
        <v>0</v>
      </c>
      <c r="GC77" s="339">
        <f t="shared" si="775"/>
        <v>0</v>
      </c>
      <c r="GD77" s="252">
        <f t="shared" si="776"/>
        <v>0</v>
      </c>
      <c r="GE77" s="251">
        <f t="shared" si="686"/>
        <v>0</v>
      </c>
      <c r="GG77" s="1"/>
      <c r="GH77" s="2">
        <v>0.2</v>
      </c>
      <c r="GI77" s="257">
        <f t="shared" si="665"/>
        <v>0</v>
      </c>
      <c r="GJ77" s="249">
        <f t="shared" si="777"/>
        <v>0</v>
      </c>
      <c r="GK77" s="250">
        <f t="shared" si="778"/>
        <v>0</v>
      </c>
      <c r="GL77" s="249">
        <f t="shared" si="777"/>
        <v>0</v>
      </c>
      <c r="GM77" s="250">
        <f t="shared" si="778"/>
        <v>0</v>
      </c>
      <c r="GN77" s="249">
        <f t="shared" si="777"/>
        <v>0</v>
      </c>
      <c r="GO77" s="250">
        <f t="shared" si="779"/>
        <v>0</v>
      </c>
      <c r="GP77" s="249">
        <f t="shared" si="777"/>
        <v>0</v>
      </c>
      <c r="GQ77" s="250">
        <f t="shared" si="780"/>
        <v>0</v>
      </c>
      <c r="GR77" s="249">
        <f t="shared" si="777"/>
        <v>0</v>
      </c>
      <c r="GS77" s="250">
        <f t="shared" si="781"/>
        <v>0</v>
      </c>
      <c r="GT77" s="249">
        <f t="shared" si="777"/>
        <v>0</v>
      </c>
      <c r="GU77" s="250">
        <f t="shared" si="782"/>
        <v>0</v>
      </c>
      <c r="GV77" s="249">
        <f t="shared" si="777"/>
        <v>0</v>
      </c>
      <c r="GW77" s="250">
        <f t="shared" si="783"/>
        <v>0</v>
      </c>
      <c r="GX77" s="249">
        <f t="shared" si="784"/>
        <v>0</v>
      </c>
      <c r="GY77" s="250">
        <f t="shared" si="785"/>
        <v>0</v>
      </c>
      <c r="GZ77" s="249">
        <f t="shared" si="786"/>
        <v>0</v>
      </c>
      <c r="HA77" s="250">
        <f t="shared" si="787"/>
        <v>0</v>
      </c>
      <c r="HB77" s="249">
        <f t="shared" si="788"/>
        <v>0</v>
      </c>
      <c r="HC77" s="250">
        <f t="shared" si="789"/>
        <v>0</v>
      </c>
      <c r="HD77" s="249">
        <f t="shared" si="790"/>
        <v>0</v>
      </c>
      <c r="HE77" s="250">
        <f t="shared" si="791"/>
        <v>0</v>
      </c>
      <c r="HF77" s="249">
        <f t="shared" si="792"/>
        <v>0</v>
      </c>
      <c r="HG77" s="250">
        <f t="shared" si="793"/>
        <v>0</v>
      </c>
      <c r="HH77" s="252">
        <f t="shared" si="794"/>
        <v>0</v>
      </c>
      <c r="HI77" s="251">
        <f t="shared" si="666"/>
        <v>0</v>
      </c>
      <c r="HK77" s="1"/>
      <c r="HL77" s="2"/>
      <c r="HM77" s="257">
        <f t="shared" si="667"/>
        <v>0</v>
      </c>
      <c r="HN77" s="249">
        <f t="shared" si="795"/>
        <v>0</v>
      </c>
      <c r="HO77" s="250">
        <f t="shared" si="668"/>
        <v>0</v>
      </c>
      <c r="HP77" s="249">
        <f t="shared" si="796"/>
        <v>0</v>
      </c>
      <c r="HQ77" s="250">
        <f t="shared" si="797"/>
        <v>0</v>
      </c>
      <c r="HR77" s="249">
        <f t="shared" si="796"/>
        <v>0</v>
      </c>
      <c r="HS77" s="250">
        <f t="shared" si="797"/>
        <v>0</v>
      </c>
      <c r="HT77" s="249">
        <f t="shared" si="796"/>
        <v>0</v>
      </c>
      <c r="HU77" s="250">
        <f t="shared" si="798"/>
        <v>0</v>
      </c>
      <c r="HV77" s="249">
        <f t="shared" si="796"/>
        <v>0</v>
      </c>
      <c r="HW77" s="250">
        <f t="shared" si="799"/>
        <v>0</v>
      </c>
      <c r="HX77" s="249">
        <f t="shared" si="796"/>
        <v>0</v>
      </c>
      <c r="HY77" s="250">
        <f t="shared" si="800"/>
        <v>0</v>
      </c>
      <c r="HZ77" s="249">
        <f t="shared" si="796"/>
        <v>0</v>
      </c>
      <c r="IA77" s="250">
        <f t="shared" si="801"/>
        <v>0</v>
      </c>
      <c r="IB77" s="249">
        <f t="shared" si="796"/>
        <v>0</v>
      </c>
      <c r="IC77" s="250">
        <f t="shared" si="802"/>
        <v>0</v>
      </c>
      <c r="ID77" s="249">
        <f t="shared" si="803"/>
        <v>0</v>
      </c>
      <c r="IE77" s="250">
        <f t="shared" si="804"/>
        <v>0</v>
      </c>
      <c r="IF77" s="249">
        <f t="shared" si="805"/>
        <v>0</v>
      </c>
      <c r="IG77" s="250">
        <f t="shared" si="806"/>
        <v>0</v>
      </c>
      <c r="IH77" s="249">
        <f t="shared" si="807"/>
        <v>0</v>
      </c>
      <c r="II77" s="250">
        <f t="shared" si="808"/>
        <v>0</v>
      </c>
      <c r="IJ77" s="249">
        <f t="shared" si="809"/>
        <v>0</v>
      </c>
      <c r="IK77" s="250">
        <f t="shared" si="810"/>
        <v>0</v>
      </c>
      <c r="IL77" s="252">
        <f t="shared" si="811"/>
        <v>0</v>
      </c>
      <c r="IM77" s="251">
        <f t="shared" si="812"/>
        <v>0</v>
      </c>
      <c r="IO77" s="1"/>
      <c r="IP77" s="2">
        <v>8.3333333333333329E-2</v>
      </c>
      <c r="IQ77" s="257">
        <f t="shared" si="669"/>
        <v>0</v>
      </c>
      <c r="IR77" s="249">
        <f t="shared" si="813"/>
        <v>0</v>
      </c>
      <c r="IS77" s="250">
        <f t="shared" si="814"/>
        <v>0</v>
      </c>
      <c r="IT77" s="279">
        <f t="shared" si="874"/>
        <v>0</v>
      </c>
      <c r="IU77" s="289">
        <f t="shared" si="815"/>
        <v>0</v>
      </c>
      <c r="IV77" s="279">
        <f t="shared" si="874"/>
        <v>0</v>
      </c>
      <c r="IW77" s="289">
        <f t="shared" si="815"/>
        <v>0</v>
      </c>
      <c r="IX77" s="279">
        <f t="shared" si="874"/>
        <v>0</v>
      </c>
      <c r="IY77" s="289">
        <f t="shared" si="816"/>
        <v>0</v>
      </c>
      <c r="IZ77" s="279">
        <f t="shared" si="874"/>
        <v>0</v>
      </c>
      <c r="JA77" s="289">
        <f t="shared" si="817"/>
        <v>0</v>
      </c>
      <c r="JB77" s="279">
        <f t="shared" si="874"/>
        <v>0</v>
      </c>
      <c r="JC77" s="289">
        <f t="shared" si="818"/>
        <v>0</v>
      </c>
      <c r="JD77" s="279">
        <f t="shared" si="874"/>
        <v>0</v>
      </c>
      <c r="JE77" s="289">
        <f t="shared" si="819"/>
        <v>0</v>
      </c>
      <c r="JF77" s="279">
        <f t="shared" si="874"/>
        <v>0</v>
      </c>
      <c r="JG77" s="289">
        <f t="shared" si="820"/>
        <v>0</v>
      </c>
      <c r="JH77" s="279">
        <f t="shared" si="821"/>
        <v>0</v>
      </c>
      <c r="JI77" s="289">
        <f t="shared" si="822"/>
        <v>0</v>
      </c>
      <c r="JJ77" s="279">
        <f t="shared" si="407"/>
        <v>0</v>
      </c>
      <c r="JK77" s="289">
        <f t="shared" si="823"/>
        <v>0</v>
      </c>
      <c r="JL77" s="279">
        <f t="shared" si="824"/>
        <v>0</v>
      </c>
      <c r="JM77" s="289">
        <f t="shared" si="825"/>
        <v>0</v>
      </c>
      <c r="JN77" s="279">
        <f t="shared" si="408"/>
        <v>0</v>
      </c>
      <c r="JO77" s="289">
        <f t="shared" si="826"/>
        <v>0</v>
      </c>
      <c r="JP77" s="252">
        <f t="shared" si="827"/>
        <v>0</v>
      </c>
      <c r="JQ77" s="251">
        <f t="shared" si="828"/>
        <v>0</v>
      </c>
      <c r="JS77" s="1"/>
      <c r="JT77" s="2">
        <v>8.3333333333333329E-2</v>
      </c>
      <c r="JU77" s="257">
        <f t="shared" si="670"/>
        <v>0</v>
      </c>
      <c r="JV77" s="249">
        <f t="shared" si="829"/>
        <v>0</v>
      </c>
      <c r="JW77" s="250">
        <f t="shared" si="830"/>
        <v>0</v>
      </c>
      <c r="JX77" s="372">
        <f t="shared" si="875"/>
        <v>0</v>
      </c>
      <c r="JY77" s="339">
        <f t="shared" si="831"/>
        <v>0</v>
      </c>
      <c r="JZ77" s="372">
        <f t="shared" si="875"/>
        <v>0</v>
      </c>
      <c r="KA77" s="339">
        <f t="shared" si="831"/>
        <v>0</v>
      </c>
      <c r="KB77" s="372">
        <f t="shared" si="875"/>
        <v>0</v>
      </c>
      <c r="KC77" s="339">
        <f t="shared" si="832"/>
        <v>0</v>
      </c>
      <c r="KD77" s="372">
        <f t="shared" si="875"/>
        <v>0</v>
      </c>
      <c r="KE77" s="339">
        <f t="shared" si="833"/>
        <v>0</v>
      </c>
      <c r="KF77" s="372">
        <f t="shared" si="875"/>
        <v>0</v>
      </c>
      <c r="KG77" s="339">
        <f t="shared" si="834"/>
        <v>0</v>
      </c>
      <c r="KH77" s="372">
        <f t="shared" si="875"/>
        <v>0</v>
      </c>
      <c r="KI77" s="339">
        <f t="shared" si="835"/>
        <v>0</v>
      </c>
      <c r="KJ77" s="372">
        <f t="shared" si="875"/>
        <v>0</v>
      </c>
      <c r="KK77" s="339">
        <f t="shared" si="836"/>
        <v>0</v>
      </c>
      <c r="KL77" s="372">
        <f t="shared" si="837"/>
        <v>0</v>
      </c>
      <c r="KM77" s="339">
        <f t="shared" si="838"/>
        <v>0</v>
      </c>
      <c r="KN77" s="372">
        <f t="shared" si="677"/>
        <v>0</v>
      </c>
      <c r="KO77" s="339">
        <f t="shared" si="839"/>
        <v>0</v>
      </c>
      <c r="KP77" s="372">
        <f t="shared" si="840"/>
        <v>0</v>
      </c>
      <c r="KQ77" s="339">
        <f t="shared" si="841"/>
        <v>0</v>
      </c>
      <c r="KR77" s="372">
        <f t="shared" si="678"/>
        <v>0</v>
      </c>
      <c r="KS77" s="377">
        <f t="shared" si="842"/>
        <v>0</v>
      </c>
      <c r="KT77" s="379">
        <f t="shared" si="843"/>
        <v>0</v>
      </c>
      <c r="KU77" s="251">
        <f t="shared" si="679"/>
        <v>0</v>
      </c>
      <c r="KW77" s="1"/>
      <c r="KX77" s="2">
        <v>8.3333333333333329E-2</v>
      </c>
      <c r="KY77" s="254">
        <f t="shared" si="680"/>
        <v>0</v>
      </c>
      <c r="KZ77" s="249">
        <f t="shared" si="876"/>
        <v>0</v>
      </c>
      <c r="LA77" s="251">
        <f t="shared" si="681"/>
        <v>0</v>
      </c>
      <c r="LB77" s="279">
        <f t="shared" si="844"/>
        <v>0</v>
      </c>
      <c r="LC77" s="339">
        <f t="shared" si="845"/>
        <v>0</v>
      </c>
      <c r="LD77" s="279">
        <f t="shared" si="844"/>
        <v>0</v>
      </c>
      <c r="LE77" s="339">
        <f t="shared" si="845"/>
        <v>0</v>
      </c>
      <c r="LF77" s="279">
        <f t="shared" si="844"/>
        <v>0</v>
      </c>
      <c r="LG77" s="339">
        <f t="shared" si="846"/>
        <v>0</v>
      </c>
      <c r="LH77" s="279">
        <f t="shared" si="844"/>
        <v>0</v>
      </c>
      <c r="LI77" s="339">
        <f t="shared" si="847"/>
        <v>0</v>
      </c>
      <c r="LJ77" s="279">
        <f t="shared" si="844"/>
        <v>0</v>
      </c>
      <c r="LK77" s="339">
        <f t="shared" si="848"/>
        <v>0</v>
      </c>
      <c r="LL77" s="279">
        <f t="shared" si="844"/>
        <v>0</v>
      </c>
      <c r="LM77" s="339">
        <f t="shared" si="849"/>
        <v>0</v>
      </c>
      <c r="LN77" s="279">
        <f t="shared" si="844"/>
        <v>0</v>
      </c>
      <c r="LO77" s="339">
        <f t="shared" si="850"/>
        <v>0</v>
      </c>
      <c r="LP77" s="279">
        <f t="shared" si="877"/>
        <v>0</v>
      </c>
      <c r="LQ77" s="339">
        <f t="shared" si="851"/>
        <v>0</v>
      </c>
      <c r="LR77" s="279">
        <f t="shared" si="878"/>
        <v>0</v>
      </c>
      <c r="LS77" s="339">
        <f t="shared" si="852"/>
        <v>0</v>
      </c>
      <c r="LT77" s="279">
        <f t="shared" si="879"/>
        <v>0</v>
      </c>
      <c r="LU77" s="339">
        <f t="shared" si="853"/>
        <v>0</v>
      </c>
      <c r="LV77" s="279">
        <f t="shared" si="880"/>
        <v>0</v>
      </c>
      <c r="LW77" s="339">
        <f t="shared" si="854"/>
        <v>0</v>
      </c>
      <c r="LX77" s="252">
        <f t="shared" si="855"/>
        <v>0</v>
      </c>
      <c r="LY77" s="253">
        <f t="shared" si="856"/>
        <v>0</v>
      </c>
      <c r="MA77" s="249">
        <f t="shared" si="688"/>
        <v>0</v>
      </c>
      <c r="MB77" s="253">
        <f t="shared" si="857"/>
        <v>0</v>
      </c>
      <c r="MC77" s="397">
        <f t="shared" si="689"/>
        <v>0</v>
      </c>
      <c r="MD77" s="253">
        <f t="shared" si="858"/>
        <v>0</v>
      </c>
      <c r="ME77" s="397">
        <f t="shared" si="690"/>
        <v>0</v>
      </c>
      <c r="MF77" s="253">
        <f t="shared" si="858"/>
        <v>0</v>
      </c>
      <c r="MG77" s="397">
        <f t="shared" si="691"/>
        <v>0</v>
      </c>
      <c r="MH77" s="253">
        <f t="shared" si="859"/>
        <v>0</v>
      </c>
      <c r="MI77" s="397">
        <f t="shared" si="692"/>
        <v>0</v>
      </c>
      <c r="MJ77" s="253">
        <f t="shared" si="860"/>
        <v>0</v>
      </c>
      <c r="MK77" s="397">
        <f t="shared" si="693"/>
        <v>0</v>
      </c>
      <c r="ML77" s="253">
        <f t="shared" si="861"/>
        <v>0</v>
      </c>
      <c r="MM77" s="397">
        <f t="shared" si="694"/>
        <v>0</v>
      </c>
      <c r="MN77" s="253">
        <f t="shared" si="862"/>
        <v>0</v>
      </c>
      <c r="MO77" s="397">
        <f t="shared" si="695"/>
        <v>0</v>
      </c>
      <c r="MP77" s="253">
        <f t="shared" si="863"/>
        <v>0</v>
      </c>
      <c r="MQ77" s="397">
        <f t="shared" si="696"/>
        <v>0</v>
      </c>
      <c r="MR77" s="253">
        <f t="shared" si="864"/>
        <v>0</v>
      </c>
      <c r="MS77" s="397">
        <f t="shared" si="697"/>
        <v>0</v>
      </c>
      <c r="MT77" s="253">
        <f t="shared" si="865"/>
        <v>0</v>
      </c>
      <c r="MU77" s="397">
        <f t="shared" si="698"/>
        <v>0</v>
      </c>
      <c r="MV77" s="253">
        <f t="shared" si="866"/>
        <v>0</v>
      </c>
      <c r="MW77" s="397">
        <f t="shared" si="699"/>
        <v>0</v>
      </c>
      <c r="MX77" s="253">
        <f t="shared" si="867"/>
        <v>0</v>
      </c>
      <c r="MY77" s="252">
        <f t="shared" si="868"/>
        <v>0</v>
      </c>
      <c r="MZ77" s="251">
        <f t="shared" si="869"/>
        <v>0</v>
      </c>
    </row>
    <row r="78" spans="1:364" ht="52.8" x14ac:dyDescent="0.25">
      <c r="A78" s="533"/>
      <c r="B78" s="245" t="s">
        <v>164</v>
      </c>
      <c r="C78" s="246" t="s">
        <v>165</v>
      </c>
      <c r="D78" s="247" t="s">
        <v>28</v>
      </c>
      <c r="E78" s="4">
        <v>1</v>
      </c>
      <c r="F78" s="353">
        <v>150201.76114800759</v>
      </c>
      <c r="G78" s="353">
        <f t="shared" si="700"/>
        <v>156461.59835547121</v>
      </c>
      <c r="I78" s="30"/>
      <c r="J78" s="2">
        <v>8.3333333333333329E-2</v>
      </c>
      <c r="K78" s="248">
        <f t="shared" si="701"/>
        <v>0</v>
      </c>
      <c r="L78" s="249"/>
      <c r="M78" s="301">
        <f t="shared" si="445"/>
        <v>0</v>
      </c>
      <c r="N78" s="279">
        <f t="shared" si="450"/>
        <v>0</v>
      </c>
      <c r="O78" s="289">
        <f t="shared" si="883"/>
        <v>0</v>
      </c>
      <c r="P78" s="279">
        <f t="shared" si="451"/>
        <v>0</v>
      </c>
      <c r="Q78" s="289">
        <f t="shared" si="883"/>
        <v>0</v>
      </c>
      <c r="R78" s="279">
        <f t="shared" si="452"/>
        <v>0</v>
      </c>
      <c r="S78" s="289">
        <f t="shared" si="702"/>
        <v>0</v>
      </c>
      <c r="T78" s="279">
        <f t="shared" si="453"/>
        <v>0</v>
      </c>
      <c r="U78" s="289">
        <f t="shared" si="703"/>
        <v>0</v>
      </c>
      <c r="V78" s="279">
        <f t="shared" si="409"/>
        <v>0</v>
      </c>
      <c r="W78" s="289">
        <f t="shared" si="704"/>
        <v>0</v>
      </c>
      <c r="X78" s="279">
        <f t="shared" si="305"/>
        <v>0</v>
      </c>
      <c r="Y78" s="289">
        <f t="shared" si="705"/>
        <v>0</v>
      </c>
      <c r="Z78" s="279">
        <f t="shared" si="454"/>
        <v>0</v>
      </c>
      <c r="AA78" s="289">
        <f t="shared" si="706"/>
        <v>0</v>
      </c>
      <c r="AB78" s="279">
        <f t="shared" si="306"/>
        <v>0</v>
      </c>
      <c r="AC78" s="289">
        <f t="shared" si="707"/>
        <v>0</v>
      </c>
      <c r="AD78" s="279">
        <f t="shared" si="455"/>
        <v>0</v>
      </c>
      <c r="AE78" s="289">
        <f t="shared" si="708"/>
        <v>0</v>
      </c>
      <c r="AF78" s="279">
        <f t="shared" si="307"/>
        <v>0</v>
      </c>
      <c r="AG78" s="289">
        <f t="shared" si="308"/>
        <v>0</v>
      </c>
      <c r="AH78" s="249">
        <f t="shared" si="456"/>
        <v>0</v>
      </c>
      <c r="AI78" s="299">
        <f t="shared" si="309"/>
        <v>0</v>
      </c>
      <c r="AJ78" s="252">
        <f t="shared" si="709"/>
        <v>0</v>
      </c>
      <c r="AK78" s="312">
        <f t="shared" si="710"/>
        <v>0</v>
      </c>
      <c r="AM78" s="1"/>
      <c r="AN78" s="2">
        <v>8.3333333333333329E-2</v>
      </c>
      <c r="AO78" s="254">
        <f t="shared" si="660"/>
        <v>0</v>
      </c>
      <c r="AP78" s="249">
        <f t="shared" si="328"/>
        <v>0</v>
      </c>
      <c r="AQ78" s="301">
        <f t="shared" si="683"/>
        <v>0</v>
      </c>
      <c r="AR78" s="249">
        <f t="shared" si="884"/>
        <v>0</v>
      </c>
      <c r="AS78" s="301">
        <f t="shared" si="683"/>
        <v>0</v>
      </c>
      <c r="AT78" s="249">
        <f t="shared" si="884"/>
        <v>0</v>
      </c>
      <c r="AU78" s="301">
        <f t="shared" si="684"/>
        <v>0</v>
      </c>
      <c r="AV78" s="249">
        <f t="shared" si="884"/>
        <v>0</v>
      </c>
      <c r="AW78" s="301">
        <f t="shared" si="711"/>
        <v>0</v>
      </c>
      <c r="AX78" s="249">
        <f t="shared" si="884"/>
        <v>0</v>
      </c>
      <c r="AY78" s="301">
        <f t="shared" si="712"/>
        <v>0</v>
      </c>
      <c r="AZ78" s="249">
        <f t="shared" si="884"/>
        <v>0</v>
      </c>
      <c r="BA78" s="301">
        <f t="shared" si="713"/>
        <v>0</v>
      </c>
      <c r="BB78" s="249">
        <f t="shared" si="884"/>
        <v>0</v>
      </c>
      <c r="BC78" s="301">
        <f t="shared" si="714"/>
        <v>0</v>
      </c>
      <c r="BD78" s="249">
        <f t="shared" si="884"/>
        <v>0</v>
      </c>
      <c r="BE78" s="301">
        <f t="shared" si="715"/>
        <v>0</v>
      </c>
      <c r="BF78" s="249">
        <f t="shared" si="882"/>
        <v>0</v>
      </c>
      <c r="BG78" s="301">
        <f t="shared" si="716"/>
        <v>0</v>
      </c>
      <c r="BH78" s="249">
        <f t="shared" si="885"/>
        <v>0</v>
      </c>
      <c r="BI78" s="301">
        <f t="shared" si="717"/>
        <v>0</v>
      </c>
      <c r="BJ78" s="249">
        <f t="shared" si="885"/>
        <v>0</v>
      </c>
      <c r="BK78" s="301">
        <f t="shared" si="717"/>
        <v>0</v>
      </c>
      <c r="BL78" s="249">
        <f t="shared" si="661"/>
        <v>0</v>
      </c>
      <c r="BM78" s="299">
        <f t="shared" si="718"/>
        <v>0</v>
      </c>
      <c r="BN78" s="252">
        <f t="shared" si="719"/>
        <v>0</v>
      </c>
      <c r="BO78" s="312">
        <f t="shared" si="685"/>
        <v>0</v>
      </c>
      <c r="BQ78" s="1"/>
      <c r="BR78" s="2"/>
      <c r="BS78" s="255">
        <f t="shared" si="886"/>
        <v>0</v>
      </c>
      <c r="BT78" s="249">
        <f t="shared" si="881"/>
        <v>0</v>
      </c>
      <c r="BU78" s="336">
        <f t="shared" si="720"/>
        <v>0</v>
      </c>
      <c r="BV78" s="279">
        <f t="shared" si="721"/>
        <v>0</v>
      </c>
      <c r="BW78" s="339">
        <f t="shared" si="722"/>
        <v>0</v>
      </c>
      <c r="BX78" s="279">
        <f t="shared" si="721"/>
        <v>0</v>
      </c>
      <c r="BY78" s="339">
        <f t="shared" si="723"/>
        <v>0</v>
      </c>
      <c r="BZ78" s="279">
        <f t="shared" si="721"/>
        <v>0</v>
      </c>
      <c r="CA78" s="339">
        <f t="shared" si="724"/>
        <v>0</v>
      </c>
      <c r="CB78" s="279">
        <f t="shared" si="721"/>
        <v>0</v>
      </c>
      <c r="CC78" s="339">
        <f t="shared" si="725"/>
        <v>0</v>
      </c>
      <c r="CD78" s="279">
        <f t="shared" si="721"/>
        <v>0</v>
      </c>
      <c r="CE78" s="339">
        <f t="shared" si="726"/>
        <v>0</v>
      </c>
      <c r="CF78" s="279">
        <f t="shared" si="721"/>
        <v>0</v>
      </c>
      <c r="CG78" s="339">
        <f t="shared" si="727"/>
        <v>0</v>
      </c>
      <c r="CH78" s="279">
        <f t="shared" si="721"/>
        <v>0</v>
      </c>
      <c r="CI78" s="339">
        <f t="shared" si="728"/>
        <v>0</v>
      </c>
      <c r="CJ78" s="279">
        <f t="shared" si="729"/>
        <v>0</v>
      </c>
      <c r="CK78" s="339">
        <f t="shared" si="730"/>
        <v>0</v>
      </c>
      <c r="CL78" s="279">
        <f t="shared" si="463"/>
        <v>0</v>
      </c>
      <c r="CM78" s="339">
        <f t="shared" si="731"/>
        <v>0</v>
      </c>
      <c r="CN78" s="279">
        <f t="shared" si="732"/>
        <v>0</v>
      </c>
      <c r="CO78" s="339">
        <f t="shared" si="733"/>
        <v>0</v>
      </c>
      <c r="CP78" s="279">
        <f t="shared" si="464"/>
        <v>0</v>
      </c>
      <c r="CQ78" s="250">
        <f t="shared" si="662"/>
        <v>0</v>
      </c>
      <c r="CR78" s="252">
        <f t="shared" si="734"/>
        <v>0</v>
      </c>
      <c r="CS78" s="251">
        <f t="shared" si="448"/>
        <v>0</v>
      </c>
      <c r="CU78" s="1"/>
      <c r="CV78" s="2"/>
      <c r="CW78" s="255">
        <f t="shared" si="299"/>
        <v>0</v>
      </c>
      <c r="CX78" s="249">
        <f t="shared" si="735"/>
        <v>0</v>
      </c>
      <c r="CY78" s="250">
        <f t="shared" si="736"/>
        <v>0</v>
      </c>
      <c r="CZ78" s="279">
        <f t="shared" si="870"/>
        <v>0</v>
      </c>
      <c r="DA78" s="299">
        <f t="shared" si="736"/>
        <v>0</v>
      </c>
      <c r="DB78" s="279">
        <f t="shared" si="870"/>
        <v>0</v>
      </c>
      <c r="DC78" s="299">
        <f t="shared" si="737"/>
        <v>0</v>
      </c>
      <c r="DD78" s="279">
        <f t="shared" si="870"/>
        <v>0</v>
      </c>
      <c r="DE78" s="299">
        <f t="shared" si="738"/>
        <v>0</v>
      </c>
      <c r="DF78" s="279">
        <f t="shared" si="870"/>
        <v>0</v>
      </c>
      <c r="DG78" s="299">
        <f t="shared" si="739"/>
        <v>0</v>
      </c>
      <c r="DH78" s="279">
        <f t="shared" si="870"/>
        <v>0</v>
      </c>
      <c r="DI78" s="299">
        <f t="shared" si="740"/>
        <v>0</v>
      </c>
      <c r="DJ78" s="279">
        <f t="shared" si="870"/>
        <v>0</v>
      </c>
      <c r="DK78" s="299">
        <f t="shared" si="741"/>
        <v>0</v>
      </c>
      <c r="DL78" s="279">
        <f t="shared" si="870"/>
        <v>0</v>
      </c>
      <c r="DM78" s="299">
        <f t="shared" si="742"/>
        <v>0</v>
      </c>
      <c r="DN78" s="279">
        <f t="shared" si="743"/>
        <v>0</v>
      </c>
      <c r="DO78" s="299">
        <f t="shared" si="744"/>
        <v>0</v>
      </c>
      <c r="DP78" s="279">
        <f t="shared" si="471"/>
        <v>0</v>
      </c>
      <c r="DQ78" s="299">
        <f t="shared" si="745"/>
        <v>0</v>
      </c>
      <c r="DR78" s="279">
        <f t="shared" si="746"/>
        <v>0</v>
      </c>
      <c r="DS78" s="299">
        <f t="shared" si="747"/>
        <v>0</v>
      </c>
      <c r="DT78" s="279">
        <f t="shared" si="472"/>
        <v>0</v>
      </c>
      <c r="DU78" s="299">
        <f t="shared" si="748"/>
        <v>0</v>
      </c>
      <c r="DV78" s="252">
        <f t="shared" si="749"/>
        <v>0</v>
      </c>
      <c r="DW78" s="251">
        <f t="shared" si="449"/>
        <v>0</v>
      </c>
      <c r="DY78" s="256">
        <v>0</v>
      </c>
      <c r="DZ78" s="2"/>
      <c r="EA78" s="254">
        <f t="shared" si="663"/>
        <v>0</v>
      </c>
      <c r="EB78" s="249">
        <f t="shared" si="871"/>
        <v>0</v>
      </c>
      <c r="EC78" s="250">
        <f t="shared" si="750"/>
        <v>0</v>
      </c>
      <c r="ED78" s="356">
        <f t="shared" si="871"/>
        <v>0</v>
      </c>
      <c r="EE78" s="250">
        <f t="shared" si="750"/>
        <v>0</v>
      </c>
      <c r="EF78" s="249">
        <f t="shared" si="872"/>
        <v>0</v>
      </c>
      <c r="EG78" s="250">
        <f t="shared" si="751"/>
        <v>0</v>
      </c>
      <c r="EH78" s="249">
        <f t="shared" si="872"/>
        <v>0</v>
      </c>
      <c r="EI78" s="250">
        <f t="shared" si="751"/>
        <v>0</v>
      </c>
      <c r="EJ78" s="249">
        <f t="shared" si="872"/>
        <v>0</v>
      </c>
      <c r="EK78" s="250">
        <f t="shared" si="752"/>
        <v>0</v>
      </c>
      <c r="EL78" s="249">
        <f t="shared" si="872"/>
        <v>0</v>
      </c>
      <c r="EM78" s="250">
        <f t="shared" si="753"/>
        <v>0</v>
      </c>
      <c r="EN78" s="249">
        <f t="shared" si="872"/>
        <v>0</v>
      </c>
      <c r="EO78" s="250">
        <f t="shared" si="754"/>
        <v>0</v>
      </c>
      <c r="EP78" s="249">
        <f t="shared" si="872"/>
        <v>0</v>
      </c>
      <c r="EQ78" s="250">
        <f t="shared" si="755"/>
        <v>0</v>
      </c>
      <c r="ER78" s="249">
        <f t="shared" si="872"/>
        <v>0</v>
      </c>
      <c r="ES78" s="250">
        <f t="shared" si="756"/>
        <v>0</v>
      </c>
      <c r="ET78" s="249">
        <f t="shared" si="391"/>
        <v>0</v>
      </c>
      <c r="EU78" s="250">
        <f t="shared" si="757"/>
        <v>0</v>
      </c>
      <c r="EV78" s="249">
        <f t="shared" si="758"/>
        <v>0</v>
      </c>
      <c r="EW78" s="250">
        <f t="shared" si="759"/>
        <v>0</v>
      </c>
      <c r="EX78" s="249">
        <f t="shared" si="392"/>
        <v>0</v>
      </c>
      <c r="EY78" s="250">
        <f t="shared" si="760"/>
        <v>0</v>
      </c>
      <c r="EZ78" s="252">
        <f t="shared" si="761"/>
        <v>0</v>
      </c>
      <c r="FA78" s="251">
        <f t="shared" si="664"/>
        <v>0</v>
      </c>
      <c r="FC78" s="1"/>
      <c r="FD78" s="2"/>
      <c r="FE78" s="257">
        <f t="shared" si="152"/>
        <v>0</v>
      </c>
      <c r="FF78" s="249">
        <f t="shared" si="762"/>
        <v>0</v>
      </c>
      <c r="FG78" s="250">
        <f t="shared" si="763"/>
        <v>0</v>
      </c>
      <c r="FH78" s="372">
        <f t="shared" si="873"/>
        <v>0</v>
      </c>
      <c r="FI78" s="339">
        <f t="shared" si="764"/>
        <v>0</v>
      </c>
      <c r="FJ78" s="372">
        <f t="shared" si="873"/>
        <v>0</v>
      </c>
      <c r="FK78" s="339">
        <f t="shared" si="764"/>
        <v>0</v>
      </c>
      <c r="FL78" s="372">
        <f t="shared" si="873"/>
        <v>0</v>
      </c>
      <c r="FM78" s="339">
        <f t="shared" si="765"/>
        <v>0</v>
      </c>
      <c r="FN78" s="372">
        <f t="shared" si="873"/>
        <v>0</v>
      </c>
      <c r="FO78" s="339">
        <f t="shared" si="766"/>
        <v>0</v>
      </c>
      <c r="FP78" s="372">
        <f t="shared" si="873"/>
        <v>0</v>
      </c>
      <c r="FQ78" s="339">
        <f t="shared" si="767"/>
        <v>0</v>
      </c>
      <c r="FR78" s="372">
        <f t="shared" si="873"/>
        <v>0</v>
      </c>
      <c r="FS78" s="339">
        <f t="shared" si="768"/>
        <v>0</v>
      </c>
      <c r="FT78" s="372">
        <f t="shared" si="873"/>
        <v>0</v>
      </c>
      <c r="FU78" s="339">
        <f t="shared" si="769"/>
        <v>0</v>
      </c>
      <c r="FV78" s="372">
        <f t="shared" si="770"/>
        <v>0</v>
      </c>
      <c r="FW78" s="339">
        <f t="shared" si="771"/>
        <v>0</v>
      </c>
      <c r="FX78" s="372">
        <f t="shared" si="479"/>
        <v>0</v>
      </c>
      <c r="FY78" s="339">
        <f t="shared" si="772"/>
        <v>0</v>
      </c>
      <c r="FZ78" s="372">
        <f t="shared" si="773"/>
        <v>0</v>
      </c>
      <c r="GA78" s="339">
        <f t="shared" si="774"/>
        <v>0</v>
      </c>
      <c r="GB78" s="372">
        <f t="shared" si="480"/>
        <v>0</v>
      </c>
      <c r="GC78" s="339">
        <f t="shared" si="775"/>
        <v>0</v>
      </c>
      <c r="GD78" s="252">
        <f t="shared" si="776"/>
        <v>0</v>
      </c>
      <c r="GE78" s="251">
        <f t="shared" si="686"/>
        <v>0</v>
      </c>
      <c r="GG78" s="1"/>
      <c r="GH78" s="2">
        <v>0.2</v>
      </c>
      <c r="GI78" s="257">
        <f t="shared" si="665"/>
        <v>0</v>
      </c>
      <c r="GJ78" s="249">
        <f t="shared" si="777"/>
        <v>0</v>
      </c>
      <c r="GK78" s="250">
        <f t="shared" si="778"/>
        <v>0</v>
      </c>
      <c r="GL78" s="249">
        <f t="shared" si="777"/>
        <v>0</v>
      </c>
      <c r="GM78" s="250">
        <f t="shared" si="778"/>
        <v>0</v>
      </c>
      <c r="GN78" s="249">
        <f t="shared" si="777"/>
        <v>0</v>
      </c>
      <c r="GO78" s="250">
        <f t="shared" si="779"/>
        <v>0</v>
      </c>
      <c r="GP78" s="249">
        <f t="shared" si="777"/>
        <v>0</v>
      </c>
      <c r="GQ78" s="250">
        <f t="shared" si="780"/>
        <v>0</v>
      </c>
      <c r="GR78" s="249">
        <f t="shared" si="777"/>
        <v>0</v>
      </c>
      <c r="GS78" s="250">
        <f t="shared" si="781"/>
        <v>0</v>
      </c>
      <c r="GT78" s="249">
        <f t="shared" si="777"/>
        <v>0</v>
      </c>
      <c r="GU78" s="250">
        <f t="shared" si="782"/>
        <v>0</v>
      </c>
      <c r="GV78" s="249">
        <f t="shared" si="777"/>
        <v>0</v>
      </c>
      <c r="GW78" s="250">
        <f t="shared" si="783"/>
        <v>0</v>
      </c>
      <c r="GX78" s="249">
        <f t="shared" si="784"/>
        <v>0</v>
      </c>
      <c r="GY78" s="250">
        <f t="shared" si="785"/>
        <v>0</v>
      </c>
      <c r="GZ78" s="249">
        <f t="shared" si="786"/>
        <v>0</v>
      </c>
      <c r="HA78" s="250">
        <f t="shared" si="787"/>
        <v>0</v>
      </c>
      <c r="HB78" s="249">
        <f t="shared" si="788"/>
        <v>0</v>
      </c>
      <c r="HC78" s="250">
        <f t="shared" si="789"/>
        <v>0</v>
      </c>
      <c r="HD78" s="249">
        <f t="shared" si="790"/>
        <v>0</v>
      </c>
      <c r="HE78" s="250">
        <f t="shared" si="791"/>
        <v>0</v>
      </c>
      <c r="HF78" s="249">
        <f t="shared" si="792"/>
        <v>0</v>
      </c>
      <c r="HG78" s="250">
        <f t="shared" si="793"/>
        <v>0</v>
      </c>
      <c r="HH78" s="252">
        <f t="shared" si="794"/>
        <v>0</v>
      </c>
      <c r="HI78" s="251">
        <f t="shared" si="666"/>
        <v>0</v>
      </c>
      <c r="HK78" s="1"/>
      <c r="HL78" s="2"/>
      <c r="HM78" s="257">
        <f t="shared" si="667"/>
        <v>0</v>
      </c>
      <c r="HN78" s="249">
        <f t="shared" si="795"/>
        <v>0</v>
      </c>
      <c r="HO78" s="250">
        <f t="shared" si="668"/>
        <v>0</v>
      </c>
      <c r="HP78" s="249">
        <f t="shared" si="796"/>
        <v>0</v>
      </c>
      <c r="HQ78" s="250">
        <f t="shared" si="797"/>
        <v>0</v>
      </c>
      <c r="HR78" s="249">
        <f t="shared" si="796"/>
        <v>0</v>
      </c>
      <c r="HS78" s="250">
        <f t="shared" si="797"/>
        <v>0</v>
      </c>
      <c r="HT78" s="249">
        <f t="shared" si="796"/>
        <v>0</v>
      </c>
      <c r="HU78" s="250">
        <f t="shared" si="798"/>
        <v>0</v>
      </c>
      <c r="HV78" s="249">
        <f t="shared" si="796"/>
        <v>0</v>
      </c>
      <c r="HW78" s="250">
        <f t="shared" si="799"/>
        <v>0</v>
      </c>
      <c r="HX78" s="249">
        <f t="shared" si="796"/>
        <v>0</v>
      </c>
      <c r="HY78" s="250">
        <f t="shared" si="800"/>
        <v>0</v>
      </c>
      <c r="HZ78" s="249">
        <f t="shared" si="796"/>
        <v>0</v>
      </c>
      <c r="IA78" s="250">
        <f t="shared" si="801"/>
        <v>0</v>
      </c>
      <c r="IB78" s="249">
        <f t="shared" si="796"/>
        <v>0</v>
      </c>
      <c r="IC78" s="250">
        <f t="shared" si="802"/>
        <v>0</v>
      </c>
      <c r="ID78" s="249">
        <f t="shared" si="803"/>
        <v>0</v>
      </c>
      <c r="IE78" s="250">
        <f t="shared" si="804"/>
        <v>0</v>
      </c>
      <c r="IF78" s="249">
        <f t="shared" si="805"/>
        <v>0</v>
      </c>
      <c r="IG78" s="250">
        <f t="shared" si="806"/>
        <v>0</v>
      </c>
      <c r="IH78" s="249">
        <f t="shared" si="807"/>
        <v>0</v>
      </c>
      <c r="II78" s="250">
        <f t="shared" si="808"/>
        <v>0</v>
      </c>
      <c r="IJ78" s="249">
        <f t="shared" si="809"/>
        <v>0</v>
      </c>
      <c r="IK78" s="250">
        <f t="shared" si="810"/>
        <v>0</v>
      </c>
      <c r="IL78" s="252">
        <f t="shared" si="811"/>
        <v>0</v>
      </c>
      <c r="IM78" s="251">
        <f t="shared" si="812"/>
        <v>0</v>
      </c>
      <c r="IO78" s="1"/>
      <c r="IP78" s="2">
        <v>8.3333333333333329E-2</v>
      </c>
      <c r="IQ78" s="257">
        <f t="shared" si="669"/>
        <v>0</v>
      </c>
      <c r="IR78" s="249">
        <f t="shared" si="813"/>
        <v>0</v>
      </c>
      <c r="IS78" s="250">
        <f t="shared" si="814"/>
        <v>0</v>
      </c>
      <c r="IT78" s="279">
        <f t="shared" si="874"/>
        <v>0</v>
      </c>
      <c r="IU78" s="289">
        <f t="shared" si="815"/>
        <v>0</v>
      </c>
      <c r="IV78" s="279">
        <f t="shared" si="874"/>
        <v>0</v>
      </c>
      <c r="IW78" s="289">
        <f t="shared" si="815"/>
        <v>0</v>
      </c>
      <c r="IX78" s="279">
        <f t="shared" si="874"/>
        <v>0</v>
      </c>
      <c r="IY78" s="289">
        <f t="shared" si="816"/>
        <v>0</v>
      </c>
      <c r="IZ78" s="279">
        <f t="shared" si="874"/>
        <v>0</v>
      </c>
      <c r="JA78" s="289">
        <f t="shared" si="817"/>
        <v>0</v>
      </c>
      <c r="JB78" s="279">
        <f t="shared" si="874"/>
        <v>0</v>
      </c>
      <c r="JC78" s="289">
        <f t="shared" si="818"/>
        <v>0</v>
      </c>
      <c r="JD78" s="279">
        <f t="shared" si="874"/>
        <v>0</v>
      </c>
      <c r="JE78" s="289">
        <f t="shared" si="819"/>
        <v>0</v>
      </c>
      <c r="JF78" s="279">
        <f t="shared" si="874"/>
        <v>0</v>
      </c>
      <c r="JG78" s="289">
        <f t="shared" si="820"/>
        <v>0</v>
      </c>
      <c r="JH78" s="279">
        <f t="shared" si="821"/>
        <v>0</v>
      </c>
      <c r="JI78" s="289">
        <f t="shared" si="822"/>
        <v>0</v>
      </c>
      <c r="JJ78" s="279">
        <f t="shared" si="407"/>
        <v>0</v>
      </c>
      <c r="JK78" s="289">
        <f t="shared" si="823"/>
        <v>0</v>
      </c>
      <c r="JL78" s="279">
        <f t="shared" si="824"/>
        <v>0</v>
      </c>
      <c r="JM78" s="289">
        <f t="shared" si="825"/>
        <v>0</v>
      </c>
      <c r="JN78" s="279">
        <f t="shared" si="408"/>
        <v>0</v>
      </c>
      <c r="JO78" s="289">
        <f t="shared" si="826"/>
        <v>0</v>
      </c>
      <c r="JP78" s="252">
        <f t="shared" si="827"/>
        <v>0</v>
      </c>
      <c r="JQ78" s="251">
        <f t="shared" si="828"/>
        <v>0</v>
      </c>
      <c r="JS78" s="1"/>
      <c r="JT78" s="2">
        <v>8.3333333333333329E-2</v>
      </c>
      <c r="JU78" s="257">
        <f t="shared" si="670"/>
        <v>0</v>
      </c>
      <c r="JV78" s="249">
        <f t="shared" si="829"/>
        <v>0</v>
      </c>
      <c r="JW78" s="250">
        <f t="shared" si="830"/>
        <v>0</v>
      </c>
      <c r="JX78" s="372">
        <f t="shared" si="875"/>
        <v>0</v>
      </c>
      <c r="JY78" s="339">
        <f t="shared" si="831"/>
        <v>0</v>
      </c>
      <c r="JZ78" s="372">
        <f t="shared" si="875"/>
        <v>0</v>
      </c>
      <c r="KA78" s="339">
        <f t="shared" si="831"/>
        <v>0</v>
      </c>
      <c r="KB78" s="372">
        <f t="shared" si="875"/>
        <v>0</v>
      </c>
      <c r="KC78" s="339">
        <f t="shared" si="832"/>
        <v>0</v>
      </c>
      <c r="KD78" s="372">
        <f t="shared" si="875"/>
        <v>0</v>
      </c>
      <c r="KE78" s="339">
        <f t="shared" si="833"/>
        <v>0</v>
      </c>
      <c r="KF78" s="372">
        <f t="shared" si="875"/>
        <v>0</v>
      </c>
      <c r="KG78" s="339">
        <f t="shared" si="834"/>
        <v>0</v>
      </c>
      <c r="KH78" s="372">
        <f t="shared" si="875"/>
        <v>0</v>
      </c>
      <c r="KI78" s="339">
        <f t="shared" si="835"/>
        <v>0</v>
      </c>
      <c r="KJ78" s="372">
        <f t="shared" si="875"/>
        <v>0</v>
      </c>
      <c r="KK78" s="339">
        <f t="shared" si="836"/>
        <v>0</v>
      </c>
      <c r="KL78" s="372">
        <f t="shared" si="837"/>
        <v>0</v>
      </c>
      <c r="KM78" s="339">
        <f t="shared" si="838"/>
        <v>0</v>
      </c>
      <c r="KN78" s="372">
        <f t="shared" si="677"/>
        <v>0</v>
      </c>
      <c r="KO78" s="339">
        <f t="shared" si="839"/>
        <v>0</v>
      </c>
      <c r="KP78" s="372">
        <f t="shared" si="840"/>
        <v>0</v>
      </c>
      <c r="KQ78" s="339">
        <f t="shared" si="841"/>
        <v>0</v>
      </c>
      <c r="KR78" s="372">
        <f t="shared" si="678"/>
        <v>0</v>
      </c>
      <c r="KS78" s="377">
        <f t="shared" si="842"/>
        <v>0</v>
      </c>
      <c r="KT78" s="379">
        <f t="shared" si="843"/>
        <v>0</v>
      </c>
      <c r="KU78" s="251">
        <f t="shared" si="679"/>
        <v>0</v>
      </c>
      <c r="KW78" s="1"/>
      <c r="KX78" s="2">
        <v>8.3333333333333329E-2</v>
      </c>
      <c r="KY78" s="254">
        <f t="shared" si="680"/>
        <v>0</v>
      </c>
      <c r="KZ78" s="249">
        <f t="shared" si="876"/>
        <v>0</v>
      </c>
      <c r="LA78" s="251">
        <f t="shared" si="681"/>
        <v>0</v>
      </c>
      <c r="LB78" s="279">
        <f t="shared" si="844"/>
        <v>0</v>
      </c>
      <c r="LC78" s="339">
        <f t="shared" si="845"/>
        <v>0</v>
      </c>
      <c r="LD78" s="279">
        <f t="shared" si="844"/>
        <v>0</v>
      </c>
      <c r="LE78" s="339">
        <f t="shared" si="845"/>
        <v>0</v>
      </c>
      <c r="LF78" s="279">
        <f t="shared" si="844"/>
        <v>0</v>
      </c>
      <c r="LG78" s="339">
        <f t="shared" si="846"/>
        <v>0</v>
      </c>
      <c r="LH78" s="279">
        <f t="shared" si="844"/>
        <v>0</v>
      </c>
      <c r="LI78" s="339">
        <f t="shared" si="847"/>
        <v>0</v>
      </c>
      <c r="LJ78" s="279">
        <f t="shared" si="844"/>
        <v>0</v>
      </c>
      <c r="LK78" s="339">
        <f t="shared" si="848"/>
        <v>0</v>
      </c>
      <c r="LL78" s="279">
        <f t="shared" si="844"/>
        <v>0</v>
      </c>
      <c r="LM78" s="339">
        <f t="shared" si="849"/>
        <v>0</v>
      </c>
      <c r="LN78" s="279">
        <f t="shared" si="844"/>
        <v>0</v>
      </c>
      <c r="LO78" s="339">
        <f t="shared" si="850"/>
        <v>0</v>
      </c>
      <c r="LP78" s="279">
        <f t="shared" si="877"/>
        <v>0</v>
      </c>
      <c r="LQ78" s="339">
        <f t="shared" si="851"/>
        <v>0</v>
      </c>
      <c r="LR78" s="279">
        <f t="shared" si="878"/>
        <v>0</v>
      </c>
      <c r="LS78" s="339">
        <f t="shared" si="852"/>
        <v>0</v>
      </c>
      <c r="LT78" s="279">
        <f t="shared" si="879"/>
        <v>0</v>
      </c>
      <c r="LU78" s="339">
        <f t="shared" si="853"/>
        <v>0</v>
      </c>
      <c r="LV78" s="279">
        <f t="shared" si="880"/>
        <v>0</v>
      </c>
      <c r="LW78" s="339">
        <f t="shared" si="854"/>
        <v>0</v>
      </c>
      <c r="LX78" s="252">
        <f t="shared" si="855"/>
        <v>0</v>
      </c>
      <c r="LY78" s="253">
        <f t="shared" si="856"/>
        <v>0</v>
      </c>
      <c r="MA78" s="249">
        <f t="shared" si="688"/>
        <v>0</v>
      </c>
      <c r="MB78" s="253">
        <f t="shared" si="857"/>
        <v>0</v>
      </c>
      <c r="MC78" s="397">
        <f t="shared" si="689"/>
        <v>0</v>
      </c>
      <c r="MD78" s="253">
        <f t="shared" si="858"/>
        <v>0</v>
      </c>
      <c r="ME78" s="397">
        <f t="shared" si="690"/>
        <v>0</v>
      </c>
      <c r="MF78" s="253">
        <f t="shared" si="858"/>
        <v>0</v>
      </c>
      <c r="MG78" s="397">
        <f t="shared" si="691"/>
        <v>0</v>
      </c>
      <c r="MH78" s="253">
        <f t="shared" si="859"/>
        <v>0</v>
      </c>
      <c r="MI78" s="397">
        <f t="shared" si="692"/>
        <v>0</v>
      </c>
      <c r="MJ78" s="253">
        <f t="shared" si="860"/>
        <v>0</v>
      </c>
      <c r="MK78" s="397">
        <f t="shared" si="693"/>
        <v>0</v>
      </c>
      <c r="ML78" s="253">
        <f t="shared" si="861"/>
        <v>0</v>
      </c>
      <c r="MM78" s="397">
        <f t="shared" si="694"/>
        <v>0</v>
      </c>
      <c r="MN78" s="253">
        <f t="shared" si="862"/>
        <v>0</v>
      </c>
      <c r="MO78" s="397">
        <f t="shared" si="695"/>
        <v>0</v>
      </c>
      <c r="MP78" s="253">
        <f t="shared" si="863"/>
        <v>0</v>
      </c>
      <c r="MQ78" s="397">
        <f t="shared" si="696"/>
        <v>0</v>
      </c>
      <c r="MR78" s="253">
        <f t="shared" si="864"/>
        <v>0</v>
      </c>
      <c r="MS78" s="397">
        <f t="shared" si="697"/>
        <v>0</v>
      </c>
      <c r="MT78" s="253">
        <f t="shared" si="865"/>
        <v>0</v>
      </c>
      <c r="MU78" s="397">
        <f t="shared" si="698"/>
        <v>0</v>
      </c>
      <c r="MV78" s="253">
        <f t="shared" si="866"/>
        <v>0</v>
      </c>
      <c r="MW78" s="397">
        <f t="shared" si="699"/>
        <v>0</v>
      </c>
      <c r="MX78" s="253">
        <f t="shared" si="867"/>
        <v>0</v>
      </c>
      <c r="MY78" s="252">
        <f t="shared" si="868"/>
        <v>0</v>
      </c>
      <c r="MZ78" s="251">
        <f t="shared" si="869"/>
        <v>0</v>
      </c>
    </row>
    <row r="79" spans="1:364" ht="52.8" x14ac:dyDescent="0.25">
      <c r="A79" s="533"/>
      <c r="B79" s="245" t="s">
        <v>166</v>
      </c>
      <c r="C79" s="246" t="s">
        <v>167</v>
      </c>
      <c r="D79" s="247" t="s">
        <v>28</v>
      </c>
      <c r="E79" s="4">
        <v>1</v>
      </c>
      <c r="F79" s="353">
        <v>67520.902514231493</v>
      </c>
      <c r="G79" s="353">
        <f t="shared" si="700"/>
        <v>70334.916508538896</v>
      </c>
      <c r="I79" s="30"/>
      <c r="J79" s="2">
        <v>8.3333333333333329E-2</v>
      </c>
      <c r="K79" s="248">
        <f t="shared" si="701"/>
        <v>0</v>
      </c>
      <c r="L79" s="249"/>
      <c r="M79" s="301">
        <f t="shared" si="445"/>
        <v>0</v>
      </c>
      <c r="N79" s="279">
        <f t="shared" si="450"/>
        <v>0</v>
      </c>
      <c r="O79" s="289">
        <f t="shared" si="883"/>
        <v>0</v>
      </c>
      <c r="P79" s="279">
        <f t="shared" si="451"/>
        <v>0</v>
      </c>
      <c r="Q79" s="289">
        <f t="shared" si="883"/>
        <v>0</v>
      </c>
      <c r="R79" s="279">
        <f t="shared" si="452"/>
        <v>0</v>
      </c>
      <c r="S79" s="289">
        <f t="shared" si="702"/>
        <v>0</v>
      </c>
      <c r="T79" s="279">
        <f t="shared" si="453"/>
        <v>0</v>
      </c>
      <c r="U79" s="289">
        <f t="shared" si="703"/>
        <v>0</v>
      </c>
      <c r="V79" s="279">
        <f t="shared" si="409"/>
        <v>0</v>
      </c>
      <c r="W79" s="289">
        <f t="shared" si="704"/>
        <v>0</v>
      </c>
      <c r="X79" s="279">
        <f t="shared" si="305"/>
        <v>0</v>
      </c>
      <c r="Y79" s="289">
        <f t="shared" si="705"/>
        <v>0</v>
      </c>
      <c r="Z79" s="279">
        <f t="shared" si="454"/>
        <v>0</v>
      </c>
      <c r="AA79" s="289">
        <f t="shared" si="706"/>
        <v>0</v>
      </c>
      <c r="AB79" s="279">
        <f t="shared" si="306"/>
        <v>0</v>
      </c>
      <c r="AC79" s="289">
        <f t="shared" si="707"/>
        <v>0</v>
      </c>
      <c r="AD79" s="279">
        <f t="shared" si="455"/>
        <v>0</v>
      </c>
      <c r="AE79" s="289">
        <f t="shared" si="708"/>
        <v>0</v>
      </c>
      <c r="AF79" s="279">
        <f t="shared" si="307"/>
        <v>0</v>
      </c>
      <c r="AG79" s="289">
        <f t="shared" si="308"/>
        <v>0</v>
      </c>
      <c r="AH79" s="249">
        <f t="shared" si="456"/>
        <v>0</v>
      </c>
      <c r="AI79" s="299">
        <f t="shared" si="309"/>
        <v>0</v>
      </c>
      <c r="AJ79" s="252">
        <f t="shared" si="709"/>
        <v>0</v>
      </c>
      <c r="AK79" s="312">
        <f t="shared" si="710"/>
        <v>0</v>
      </c>
      <c r="AM79" s="1"/>
      <c r="AN79" s="2">
        <v>8.3333333333333329E-2</v>
      </c>
      <c r="AO79" s="254">
        <f t="shared" si="660"/>
        <v>0</v>
      </c>
      <c r="AP79" s="249">
        <f t="shared" si="328"/>
        <v>0</v>
      </c>
      <c r="AQ79" s="301">
        <f t="shared" si="683"/>
        <v>0</v>
      </c>
      <c r="AR79" s="249">
        <f t="shared" si="884"/>
        <v>0</v>
      </c>
      <c r="AS79" s="301">
        <f t="shared" si="683"/>
        <v>0</v>
      </c>
      <c r="AT79" s="249">
        <f t="shared" si="884"/>
        <v>0</v>
      </c>
      <c r="AU79" s="301">
        <f t="shared" si="684"/>
        <v>0</v>
      </c>
      <c r="AV79" s="249">
        <f t="shared" si="884"/>
        <v>0</v>
      </c>
      <c r="AW79" s="301">
        <f t="shared" si="711"/>
        <v>0</v>
      </c>
      <c r="AX79" s="249">
        <f t="shared" si="884"/>
        <v>0</v>
      </c>
      <c r="AY79" s="301">
        <f t="shared" si="712"/>
        <v>0</v>
      </c>
      <c r="AZ79" s="249">
        <f t="shared" si="884"/>
        <v>0</v>
      </c>
      <c r="BA79" s="301">
        <f t="shared" si="713"/>
        <v>0</v>
      </c>
      <c r="BB79" s="249">
        <f t="shared" si="884"/>
        <v>0</v>
      </c>
      <c r="BC79" s="301">
        <f t="shared" si="714"/>
        <v>0</v>
      </c>
      <c r="BD79" s="249">
        <f t="shared" si="884"/>
        <v>0</v>
      </c>
      <c r="BE79" s="301">
        <f t="shared" si="715"/>
        <v>0</v>
      </c>
      <c r="BF79" s="249">
        <f t="shared" si="882"/>
        <v>0</v>
      </c>
      <c r="BG79" s="301">
        <f t="shared" si="716"/>
        <v>0</v>
      </c>
      <c r="BH79" s="249">
        <f t="shared" si="885"/>
        <v>0</v>
      </c>
      <c r="BI79" s="301">
        <f t="shared" si="717"/>
        <v>0</v>
      </c>
      <c r="BJ79" s="249">
        <f t="shared" si="885"/>
        <v>0</v>
      </c>
      <c r="BK79" s="301">
        <f t="shared" si="717"/>
        <v>0</v>
      </c>
      <c r="BL79" s="249">
        <f t="shared" si="661"/>
        <v>0</v>
      </c>
      <c r="BM79" s="299">
        <f t="shared" si="718"/>
        <v>0</v>
      </c>
      <c r="BN79" s="252">
        <f t="shared" si="719"/>
        <v>0</v>
      </c>
      <c r="BO79" s="312">
        <f t="shared" si="685"/>
        <v>0</v>
      </c>
      <c r="BQ79" s="1"/>
      <c r="BR79" s="2"/>
      <c r="BS79" s="255">
        <f t="shared" si="886"/>
        <v>0</v>
      </c>
      <c r="BT79" s="249">
        <f t="shared" si="881"/>
        <v>0</v>
      </c>
      <c r="BU79" s="336">
        <f t="shared" si="720"/>
        <v>0</v>
      </c>
      <c r="BV79" s="279">
        <f t="shared" si="721"/>
        <v>0</v>
      </c>
      <c r="BW79" s="339">
        <f t="shared" si="722"/>
        <v>0</v>
      </c>
      <c r="BX79" s="279">
        <f t="shared" si="721"/>
        <v>0</v>
      </c>
      <c r="BY79" s="339">
        <f t="shared" si="723"/>
        <v>0</v>
      </c>
      <c r="BZ79" s="279">
        <f t="shared" si="721"/>
        <v>0</v>
      </c>
      <c r="CA79" s="339">
        <f t="shared" si="724"/>
        <v>0</v>
      </c>
      <c r="CB79" s="279">
        <f t="shared" si="721"/>
        <v>0</v>
      </c>
      <c r="CC79" s="339">
        <f t="shared" si="725"/>
        <v>0</v>
      </c>
      <c r="CD79" s="279">
        <f t="shared" si="721"/>
        <v>0</v>
      </c>
      <c r="CE79" s="339">
        <f t="shared" si="726"/>
        <v>0</v>
      </c>
      <c r="CF79" s="279">
        <f t="shared" si="721"/>
        <v>0</v>
      </c>
      <c r="CG79" s="339">
        <f t="shared" si="727"/>
        <v>0</v>
      </c>
      <c r="CH79" s="279">
        <f t="shared" si="721"/>
        <v>0</v>
      </c>
      <c r="CI79" s="339">
        <f t="shared" si="728"/>
        <v>0</v>
      </c>
      <c r="CJ79" s="279">
        <f t="shared" si="729"/>
        <v>0</v>
      </c>
      <c r="CK79" s="339">
        <f t="shared" si="730"/>
        <v>0</v>
      </c>
      <c r="CL79" s="279">
        <f t="shared" si="463"/>
        <v>0</v>
      </c>
      <c r="CM79" s="339">
        <f t="shared" si="731"/>
        <v>0</v>
      </c>
      <c r="CN79" s="279">
        <f t="shared" si="732"/>
        <v>0</v>
      </c>
      <c r="CO79" s="339">
        <f t="shared" si="733"/>
        <v>0</v>
      </c>
      <c r="CP79" s="279">
        <f t="shared" si="464"/>
        <v>0</v>
      </c>
      <c r="CQ79" s="250">
        <f t="shared" si="662"/>
        <v>0</v>
      </c>
      <c r="CR79" s="252">
        <f t="shared" si="734"/>
        <v>0</v>
      </c>
      <c r="CS79" s="251">
        <f t="shared" si="448"/>
        <v>0</v>
      </c>
      <c r="CU79" s="1"/>
      <c r="CV79" s="2"/>
      <c r="CW79" s="255">
        <f t="shared" si="299"/>
        <v>0</v>
      </c>
      <c r="CX79" s="249">
        <f t="shared" si="735"/>
        <v>0</v>
      </c>
      <c r="CY79" s="250">
        <f t="shared" si="736"/>
        <v>0</v>
      </c>
      <c r="CZ79" s="279">
        <f t="shared" si="870"/>
        <v>0</v>
      </c>
      <c r="DA79" s="299">
        <f t="shared" si="736"/>
        <v>0</v>
      </c>
      <c r="DB79" s="279">
        <f t="shared" si="870"/>
        <v>0</v>
      </c>
      <c r="DC79" s="299">
        <f t="shared" si="737"/>
        <v>0</v>
      </c>
      <c r="DD79" s="279">
        <f t="shared" si="870"/>
        <v>0</v>
      </c>
      <c r="DE79" s="299">
        <f t="shared" si="738"/>
        <v>0</v>
      </c>
      <c r="DF79" s="279">
        <f t="shared" si="870"/>
        <v>0</v>
      </c>
      <c r="DG79" s="299">
        <f t="shared" si="739"/>
        <v>0</v>
      </c>
      <c r="DH79" s="279">
        <f t="shared" si="870"/>
        <v>0</v>
      </c>
      <c r="DI79" s="299">
        <f t="shared" si="740"/>
        <v>0</v>
      </c>
      <c r="DJ79" s="279">
        <f t="shared" si="870"/>
        <v>0</v>
      </c>
      <c r="DK79" s="299">
        <f t="shared" si="741"/>
        <v>0</v>
      </c>
      <c r="DL79" s="279">
        <f t="shared" si="870"/>
        <v>0</v>
      </c>
      <c r="DM79" s="299">
        <f t="shared" si="742"/>
        <v>0</v>
      </c>
      <c r="DN79" s="279">
        <f t="shared" si="743"/>
        <v>0</v>
      </c>
      <c r="DO79" s="299">
        <f t="shared" si="744"/>
        <v>0</v>
      </c>
      <c r="DP79" s="279">
        <f t="shared" si="471"/>
        <v>0</v>
      </c>
      <c r="DQ79" s="299">
        <f t="shared" si="745"/>
        <v>0</v>
      </c>
      <c r="DR79" s="279">
        <f t="shared" si="746"/>
        <v>0</v>
      </c>
      <c r="DS79" s="299">
        <f t="shared" si="747"/>
        <v>0</v>
      </c>
      <c r="DT79" s="279">
        <f t="shared" si="472"/>
        <v>0</v>
      </c>
      <c r="DU79" s="299">
        <f t="shared" si="748"/>
        <v>0</v>
      </c>
      <c r="DV79" s="252">
        <f t="shared" si="749"/>
        <v>0</v>
      </c>
      <c r="DW79" s="251">
        <f t="shared" si="449"/>
        <v>0</v>
      </c>
      <c r="DY79" s="256">
        <v>0</v>
      </c>
      <c r="DZ79" s="2"/>
      <c r="EA79" s="254">
        <f t="shared" si="663"/>
        <v>0</v>
      </c>
      <c r="EB79" s="249">
        <f t="shared" si="871"/>
        <v>0</v>
      </c>
      <c r="EC79" s="250">
        <f t="shared" si="750"/>
        <v>0</v>
      </c>
      <c r="ED79" s="356">
        <f t="shared" si="871"/>
        <v>0</v>
      </c>
      <c r="EE79" s="250">
        <f t="shared" si="750"/>
        <v>0</v>
      </c>
      <c r="EF79" s="249">
        <f t="shared" si="872"/>
        <v>0</v>
      </c>
      <c r="EG79" s="250">
        <f t="shared" si="751"/>
        <v>0</v>
      </c>
      <c r="EH79" s="249">
        <f t="shared" si="872"/>
        <v>0</v>
      </c>
      <c r="EI79" s="250">
        <f t="shared" si="751"/>
        <v>0</v>
      </c>
      <c r="EJ79" s="249">
        <f t="shared" si="872"/>
        <v>0</v>
      </c>
      <c r="EK79" s="250">
        <f t="shared" si="752"/>
        <v>0</v>
      </c>
      <c r="EL79" s="249">
        <f t="shared" si="872"/>
        <v>0</v>
      </c>
      <c r="EM79" s="250">
        <f t="shared" si="753"/>
        <v>0</v>
      </c>
      <c r="EN79" s="249">
        <f t="shared" si="872"/>
        <v>0</v>
      </c>
      <c r="EO79" s="250">
        <f t="shared" si="754"/>
        <v>0</v>
      </c>
      <c r="EP79" s="249">
        <f t="shared" si="872"/>
        <v>0</v>
      </c>
      <c r="EQ79" s="250">
        <f t="shared" si="755"/>
        <v>0</v>
      </c>
      <c r="ER79" s="249">
        <f t="shared" si="872"/>
        <v>0</v>
      </c>
      <c r="ES79" s="250">
        <f t="shared" si="756"/>
        <v>0</v>
      </c>
      <c r="ET79" s="249">
        <f t="shared" si="391"/>
        <v>0</v>
      </c>
      <c r="EU79" s="250">
        <f t="shared" si="757"/>
        <v>0</v>
      </c>
      <c r="EV79" s="249">
        <f t="shared" si="758"/>
        <v>0</v>
      </c>
      <c r="EW79" s="250">
        <f t="shared" si="759"/>
        <v>0</v>
      </c>
      <c r="EX79" s="249">
        <f t="shared" si="392"/>
        <v>0</v>
      </c>
      <c r="EY79" s="250">
        <f t="shared" si="760"/>
        <v>0</v>
      </c>
      <c r="EZ79" s="252">
        <f t="shared" si="761"/>
        <v>0</v>
      </c>
      <c r="FA79" s="251">
        <f t="shared" si="664"/>
        <v>0</v>
      </c>
      <c r="FC79" s="1"/>
      <c r="FD79" s="2"/>
      <c r="FE79" s="257">
        <f t="shared" si="152"/>
        <v>0</v>
      </c>
      <c r="FF79" s="249">
        <f t="shared" si="762"/>
        <v>0</v>
      </c>
      <c r="FG79" s="250">
        <f t="shared" si="763"/>
        <v>0</v>
      </c>
      <c r="FH79" s="372">
        <f t="shared" si="873"/>
        <v>0</v>
      </c>
      <c r="FI79" s="339">
        <f t="shared" si="764"/>
        <v>0</v>
      </c>
      <c r="FJ79" s="372">
        <f t="shared" si="873"/>
        <v>0</v>
      </c>
      <c r="FK79" s="339">
        <f t="shared" si="764"/>
        <v>0</v>
      </c>
      <c r="FL79" s="372">
        <f t="shared" si="873"/>
        <v>0</v>
      </c>
      <c r="FM79" s="339">
        <f t="shared" si="765"/>
        <v>0</v>
      </c>
      <c r="FN79" s="372">
        <f t="shared" si="873"/>
        <v>0</v>
      </c>
      <c r="FO79" s="339">
        <f t="shared" si="766"/>
        <v>0</v>
      </c>
      <c r="FP79" s="372">
        <f t="shared" si="873"/>
        <v>0</v>
      </c>
      <c r="FQ79" s="339">
        <f t="shared" si="767"/>
        <v>0</v>
      </c>
      <c r="FR79" s="372">
        <f t="shared" si="873"/>
        <v>0</v>
      </c>
      <c r="FS79" s="339">
        <f t="shared" si="768"/>
        <v>0</v>
      </c>
      <c r="FT79" s="372">
        <f t="shared" si="873"/>
        <v>0</v>
      </c>
      <c r="FU79" s="339">
        <f t="shared" si="769"/>
        <v>0</v>
      </c>
      <c r="FV79" s="372">
        <f t="shared" si="770"/>
        <v>0</v>
      </c>
      <c r="FW79" s="339">
        <f t="shared" si="771"/>
        <v>0</v>
      </c>
      <c r="FX79" s="372">
        <f t="shared" si="479"/>
        <v>0</v>
      </c>
      <c r="FY79" s="339">
        <f t="shared" si="772"/>
        <v>0</v>
      </c>
      <c r="FZ79" s="372">
        <f t="shared" si="773"/>
        <v>0</v>
      </c>
      <c r="GA79" s="339">
        <f t="shared" si="774"/>
        <v>0</v>
      </c>
      <c r="GB79" s="372">
        <f t="shared" si="480"/>
        <v>0</v>
      </c>
      <c r="GC79" s="339">
        <f t="shared" si="775"/>
        <v>0</v>
      </c>
      <c r="GD79" s="252">
        <f t="shared" si="776"/>
        <v>0</v>
      </c>
      <c r="GE79" s="251">
        <f t="shared" si="686"/>
        <v>0</v>
      </c>
      <c r="GG79" s="1"/>
      <c r="GH79" s="2">
        <v>0.2</v>
      </c>
      <c r="GI79" s="257">
        <f t="shared" si="665"/>
        <v>0</v>
      </c>
      <c r="GJ79" s="249">
        <f t="shared" si="777"/>
        <v>0</v>
      </c>
      <c r="GK79" s="250">
        <f t="shared" si="778"/>
        <v>0</v>
      </c>
      <c r="GL79" s="249">
        <f t="shared" si="777"/>
        <v>0</v>
      </c>
      <c r="GM79" s="250">
        <f t="shared" si="778"/>
        <v>0</v>
      </c>
      <c r="GN79" s="249">
        <f t="shared" si="777"/>
        <v>0</v>
      </c>
      <c r="GO79" s="250">
        <f t="shared" si="779"/>
        <v>0</v>
      </c>
      <c r="GP79" s="249">
        <f t="shared" si="777"/>
        <v>0</v>
      </c>
      <c r="GQ79" s="250">
        <f t="shared" si="780"/>
        <v>0</v>
      </c>
      <c r="GR79" s="249">
        <f t="shared" si="777"/>
        <v>0</v>
      </c>
      <c r="GS79" s="250">
        <f t="shared" si="781"/>
        <v>0</v>
      </c>
      <c r="GT79" s="249">
        <f t="shared" si="777"/>
        <v>0</v>
      </c>
      <c r="GU79" s="250">
        <f t="shared" si="782"/>
        <v>0</v>
      </c>
      <c r="GV79" s="249">
        <f t="shared" si="777"/>
        <v>0</v>
      </c>
      <c r="GW79" s="250">
        <f t="shared" si="783"/>
        <v>0</v>
      </c>
      <c r="GX79" s="249">
        <f t="shared" si="784"/>
        <v>0</v>
      </c>
      <c r="GY79" s="250">
        <f t="shared" si="785"/>
        <v>0</v>
      </c>
      <c r="GZ79" s="249">
        <f t="shared" si="786"/>
        <v>0</v>
      </c>
      <c r="HA79" s="250">
        <f t="shared" si="787"/>
        <v>0</v>
      </c>
      <c r="HB79" s="249">
        <f t="shared" si="788"/>
        <v>0</v>
      </c>
      <c r="HC79" s="250">
        <f t="shared" si="789"/>
        <v>0</v>
      </c>
      <c r="HD79" s="249">
        <f t="shared" si="790"/>
        <v>0</v>
      </c>
      <c r="HE79" s="250">
        <f t="shared" si="791"/>
        <v>0</v>
      </c>
      <c r="HF79" s="249">
        <f t="shared" si="792"/>
        <v>0</v>
      </c>
      <c r="HG79" s="250">
        <f t="shared" si="793"/>
        <v>0</v>
      </c>
      <c r="HH79" s="252">
        <f t="shared" si="794"/>
        <v>0</v>
      </c>
      <c r="HI79" s="251">
        <f t="shared" si="666"/>
        <v>0</v>
      </c>
      <c r="HK79" s="1"/>
      <c r="HL79" s="2"/>
      <c r="HM79" s="257">
        <f t="shared" si="667"/>
        <v>0</v>
      </c>
      <c r="HN79" s="249">
        <f t="shared" si="795"/>
        <v>0</v>
      </c>
      <c r="HO79" s="250">
        <f t="shared" si="668"/>
        <v>0</v>
      </c>
      <c r="HP79" s="249">
        <f t="shared" si="796"/>
        <v>0</v>
      </c>
      <c r="HQ79" s="250">
        <f t="shared" si="797"/>
        <v>0</v>
      </c>
      <c r="HR79" s="249">
        <f t="shared" si="796"/>
        <v>0</v>
      </c>
      <c r="HS79" s="250">
        <f t="shared" si="797"/>
        <v>0</v>
      </c>
      <c r="HT79" s="249">
        <f t="shared" si="796"/>
        <v>0</v>
      </c>
      <c r="HU79" s="250">
        <f t="shared" si="798"/>
        <v>0</v>
      </c>
      <c r="HV79" s="249">
        <f t="shared" si="796"/>
        <v>0</v>
      </c>
      <c r="HW79" s="250">
        <f t="shared" si="799"/>
        <v>0</v>
      </c>
      <c r="HX79" s="249">
        <f t="shared" si="796"/>
        <v>0</v>
      </c>
      <c r="HY79" s="250">
        <f t="shared" si="800"/>
        <v>0</v>
      </c>
      <c r="HZ79" s="249">
        <f t="shared" si="796"/>
        <v>0</v>
      </c>
      <c r="IA79" s="250">
        <f t="shared" si="801"/>
        <v>0</v>
      </c>
      <c r="IB79" s="249">
        <f t="shared" si="796"/>
        <v>0</v>
      </c>
      <c r="IC79" s="250">
        <f t="shared" si="802"/>
        <v>0</v>
      </c>
      <c r="ID79" s="249">
        <f t="shared" si="803"/>
        <v>0</v>
      </c>
      <c r="IE79" s="250">
        <f t="shared" si="804"/>
        <v>0</v>
      </c>
      <c r="IF79" s="249">
        <f t="shared" si="805"/>
        <v>0</v>
      </c>
      <c r="IG79" s="250">
        <f t="shared" si="806"/>
        <v>0</v>
      </c>
      <c r="IH79" s="249">
        <f t="shared" si="807"/>
        <v>0</v>
      </c>
      <c r="II79" s="250">
        <f t="shared" si="808"/>
        <v>0</v>
      </c>
      <c r="IJ79" s="249">
        <f t="shared" si="809"/>
        <v>0</v>
      </c>
      <c r="IK79" s="250">
        <f t="shared" si="810"/>
        <v>0</v>
      </c>
      <c r="IL79" s="252">
        <f t="shared" si="811"/>
        <v>0</v>
      </c>
      <c r="IM79" s="251">
        <f t="shared" si="812"/>
        <v>0</v>
      </c>
      <c r="IO79" s="1"/>
      <c r="IP79" s="2">
        <v>8.3333333333333329E-2</v>
      </c>
      <c r="IQ79" s="257">
        <f t="shared" si="669"/>
        <v>0</v>
      </c>
      <c r="IR79" s="249">
        <f t="shared" si="813"/>
        <v>0</v>
      </c>
      <c r="IS79" s="250">
        <f t="shared" si="814"/>
        <v>0</v>
      </c>
      <c r="IT79" s="279">
        <f t="shared" si="874"/>
        <v>0</v>
      </c>
      <c r="IU79" s="289">
        <f t="shared" si="815"/>
        <v>0</v>
      </c>
      <c r="IV79" s="279">
        <f t="shared" si="874"/>
        <v>0</v>
      </c>
      <c r="IW79" s="289">
        <f t="shared" si="815"/>
        <v>0</v>
      </c>
      <c r="IX79" s="279">
        <f t="shared" si="874"/>
        <v>0</v>
      </c>
      <c r="IY79" s="289">
        <f t="shared" si="816"/>
        <v>0</v>
      </c>
      <c r="IZ79" s="279">
        <f t="shared" si="874"/>
        <v>0</v>
      </c>
      <c r="JA79" s="289">
        <f t="shared" si="817"/>
        <v>0</v>
      </c>
      <c r="JB79" s="279">
        <f t="shared" si="874"/>
        <v>0</v>
      </c>
      <c r="JC79" s="289">
        <f t="shared" si="818"/>
        <v>0</v>
      </c>
      <c r="JD79" s="279">
        <f t="shared" si="874"/>
        <v>0</v>
      </c>
      <c r="JE79" s="289">
        <f t="shared" si="819"/>
        <v>0</v>
      </c>
      <c r="JF79" s="279">
        <f t="shared" si="874"/>
        <v>0</v>
      </c>
      <c r="JG79" s="289">
        <f t="shared" si="820"/>
        <v>0</v>
      </c>
      <c r="JH79" s="279">
        <f t="shared" si="821"/>
        <v>0</v>
      </c>
      <c r="JI79" s="289">
        <f t="shared" si="822"/>
        <v>0</v>
      </c>
      <c r="JJ79" s="279">
        <f t="shared" si="407"/>
        <v>0</v>
      </c>
      <c r="JK79" s="289">
        <f t="shared" si="823"/>
        <v>0</v>
      </c>
      <c r="JL79" s="279">
        <f t="shared" si="824"/>
        <v>0</v>
      </c>
      <c r="JM79" s="289">
        <f t="shared" si="825"/>
        <v>0</v>
      </c>
      <c r="JN79" s="279">
        <f t="shared" si="408"/>
        <v>0</v>
      </c>
      <c r="JO79" s="289">
        <f t="shared" si="826"/>
        <v>0</v>
      </c>
      <c r="JP79" s="252">
        <f t="shared" si="827"/>
        <v>0</v>
      </c>
      <c r="JQ79" s="251">
        <f t="shared" si="828"/>
        <v>0</v>
      </c>
      <c r="JS79" s="1"/>
      <c r="JT79" s="2">
        <v>8.3333333333333329E-2</v>
      </c>
      <c r="JU79" s="257">
        <f t="shared" si="670"/>
        <v>0</v>
      </c>
      <c r="JV79" s="249">
        <f t="shared" si="829"/>
        <v>0</v>
      </c>
      <c r="JW79" s="250">
        <f t="shared" si="830"/>
        <v>0</v>
      </c>
      <c r="JX79" s="372">
        <f t="shared" si="875"/>
        <v>0</v>
      </c>
      <c r="JY79" s="339">
        <f t="shared" si="831"/>
        <v>0</v>
      </c>
      <c r="JZ79" s="372">
        <f t="shared" si="875"/>
        <v>0</v>
      </c>
      <c r="KA79" s="339">
        <f t="shared" si="831"/>
        <v>0</v>
      </c>
      <c r="KB79" s="372">
        <f t="shared" si="875"/>
        <v>0</v>
      </c>
      <c r="KC79" s="339">
        <f t="shared" si="832"/>
        <v>0</v>
      </c>
      <c r="KD79" s="372">
        <f t="shared" si="875"/>
        <v>0</v>
      </c>
      <c r="KE79" s="339">
        <f t="shared" si="833"/>
        <v>0</v>
      </c>
      <c r="KF79" s="372">
        <f t="shared" si="875"/>
        <v>0</v>
      </c>
      <c r="KG79" s="339">
        <f t="shared" si="834"/>
        <v>0</v>
      </c>
      <c r="KH79" s="372">
        <f t="shared" si="875"/>
        <v>0</v>
      </c>
      <c r="KI79" s="339">
        <f t="shared" si="835"/>
        <v>0</v>
      </c>
      <c r="KJ79" s="372">
        <f t="shared" si="875"/>
        <v>0</v>
      </c>
      <c r="KK79" s="339">
        <f t="shared" si="836"/>
        <v>0</v>
      </c>
      <c r="KL79" s="372">
        <f t="shared" si="837"/>
        <v>0</v>
      </c>
      <c r="KM79" s="339">
        <f t="shared" si="838"/>
        <v>0</v>
      </c>
      <c r="KN79" s="372">
        <f t="shared" si="677"/>
        <v>0</v>
      </c>
      <c r="KO79" s="339">
        <f t="shared" si="839"/>
        <v>0</v>
      </c>
      <c r="KP79" s="372">
        <f t="shared" si="840"/>
        <v>0</v>
      </c>
      <c r="KQ79" s="339">
        <f t="shared" si="841"/>
        <v>0</v>
      </c>
      <c r="KR79" s="372">
        <f t="shared" si="678"/>
        <v>0</v>
      </c>
      <c r="KS79" s="377">
        <f t="shared" si="842"/>
        <v>0</v>
      </c>
      <c r="KT79" s="379">
        <f t="shared" si="843"/>
        <v>0</v>
      </c>
      <c r="KU79" s="251">
        <f t="shared" si="679"/>
        <v>0</v>
      </c>
      <c r="KW79" s="1"/>
      <c r="KX79" s="2">
        <v>8.3333333333333329E-2</v>
      </c>
      <c r="KY79" s="254">
        <f t="shared" si="680"/>
        <v>0</v>
      </c>
      <c r="KZ79" s="249">
        <f t="shared" si="876"/>
        <v>0</v>
      </c>
      <c r="LA79" s="251">
        <f t="shared" si="681"/>
        <v>0</v>
      </c>
      <c r="LB79" s="279">
        <f t="shared" si="844"/>
        <v>0</v>
      </c>
      <c r="LC79" s="339">
        <f t="shared" si="845"/>
        <v>0</v>
      </c>
      <c r="LD79" s="279">
        <f t="shared" si="844"/>
        <v>0</v>
      </c>
      <c r="LE79" s="339">
        <f t="shared" si="845"/>
        <v>0</v>
      </c>
      <c r="LF79" s="279">
        <f t="shared" si="844"/>
        <v>0</v>
      </c>
      <c r="LG79" s="339">
        <f t="shared" si="846"/>
        <v>0</v>
      </c>
      <c r="LH79" s="279">
        <f t="shared" si="844"/>
        <v>0</v>
      </c>
      <c r="LI79" s="339">
        <f t="shared" si="847"/>
        <v>0</v>
      </c>
      <c r="LJ79" s="279">
        <f t="shared" si="844"/>
        <v>0</v>
      </c>
      <c r="LK79" s="339">
        <f t="shared" si="848"/>
        <v>0</v>
      </c>
      <c r="LL79" s="279">
        <f t="shared" si="844"/>
        <v>0</v>
      </c>
      <c r="LM79" s="339">
        <f t="shared" si="849"/>
        <v>0</v>
      </c>
      <c r="LN79" s="279">
        <f t="shared" si="844"/>
        <v>0</v>
      </c>
      <c r="LO79" s="339">
        <f t="shared" si="850"/>
        <v>0</v>
      </c>
      <c r="LP79" s="279">
        <f t="shared" si="877"/>
        <v>0</v>
      </c>
      <c r="LQ79" s="339">
        <f t="shared" si="851"/>
        <v>0</v>
      </c>
      <c r="LR79" s="279">
        <f t="shared" si="878"/>
        <v>0</v>
      </c>
      <c r="LS79" s="339">
        <f t="shared" si="852"/>
        <v>0</v>
      </c>
      <c r="LT79" s="279">
        <f t="shared" si="879"/>
        <v>0</v>
      </c>
      <c r="LU79" s="339">
        <f t="shared" si="853"/>
        <v>0</v>
      </c>
      <c r="LV79" s="279">
        <f t="shared" si="880"/>
        <v>0</v>
      </c>
      <c r="LW79" s="339">
        <f t="shared" si="854"/>
        <v>0</v>
      </c>
      <c r="LX79" s="252">
        <f t="shared" si="855"/>
        <v>0</v>
      </c>
      <c r="LY79" s="253">
        <f t="shared" si="856"/>
        <v>0</v>
      </c>
      <c r="MA79" s="249">
        <f t="shared" si="688"/>
        <v>0</v>
      </c>
      <c r="MB79" s="253">
        <f t="shared" si="857"/>
        <v>0</v>
      </c>
      <c r="MC79" s="397">
        <f t="shared" si="689"/>
        <v>0</v>
      </c>
      <c r="MD79" s="253">
        <f t="shared" si="858"/>
        <v>0</v>
      </c>
      <c r="ME79" s="397">
        <f t="shared" si="690"/>
        <v>0</v>
      </c>
      <c r="MF79" s="253">
        <f t="shared" si="858"/>
        <v>0</v>
      </c>
      <c r="MG79" s="397">
        <f t="shared" si="691"/>
        <v>0</v>
      </c>
      <c r="MH79" s="253">
        <f t="shared" si="859"/>
        <v>0</v>
      </c>
      <c r="MI79" s="397">
        <f t="shared" si="692"/>
        <v>0</v>
      </c>
      <c r="MJ79" s="253">
        <f t="shared" si="860"/>
        <v>0</v>
      </c>
      <c r="MK79" s="397">
        <f t="shared" si="693"/>
        <v>0</v>
      </c>
      <c r="ML79" s="253">
        <f t="shared" si="861"/>
        <v>0</v>
      </c>
      <c r="MM79" s="397">
        <f t="shared" si="694"/>
        <v>0</v>
      </c>
      <c r="MN79" s="253">
        <f t="shared" si="862"/>
        <v>0</v>
      </c>
      <c r="MO79" s="397">
        <f t="shared" si="695"/>
        <v>0</v>
      </c>
      <c r="MP79" s="253">
        <f t="shared" si="863"/>
        <v>0</v>
      </c>
      <c r="MQ79" s="397">
        <f t="shared" si="696"/>
        <v>0</v>
      </c>
      <c r="MR79" s="253">
        <f t="shared" si="864"/>
        <v>0</v>
      </c>
      <c r="MS79" s="397">
        <f t="shared" si="697"/>
        <v>0</v>
      </c>
      <c r="MT79" s="253">
        <f t="shared" si="865"/>
        <v>0</v>
      </c>
      <c r="MU79" s="397">
        <f t="shared" si="698"/>
        <v>0</v>
      </c>
      <c r="MV79" s="253">
        <f t="shared" si="866"/>
        <v>0</v>
      </c>
      <c r="MW79" s="397">
        <f t="shared" si="699"/>
        <v>0</v>
      </c>
      <c r="MX79" s="253">
        <f t="shared" si="867"/>
        <v>0</v>
      </c>
      <c r="MY79" s="252">
        <f t="shared" si="868"/>
        <v>0</v>
      </c>
      <c r="MZ79" s="251">
        <f t="shared" si="869"/>
        <v>0</v>
      </c>
    </row>
    <row r="80" spans="1:364" ht="52.8" x14ac:dyDescent="0.25">
      <c r="A80" s="533"/>
      <c r="B80" s="245" t="s">
        <v>168</v>
      </c>
      <c r="C80" s="246" t="s">
        <v>169</v>
      </c>
      <c r="D80" s="247" t="s">
        <v>28</v>
      </c>
      <c r="E80" s="4">
        <v>1</v>
      </c>
      <c r="F80" s="353">
        <v>93298.74288425046</v>
      </c>
      <c r="G80" s="353">
        <f t="shared" si="700"/>
        <v>97187.079063883604</v>
      </c>
      <c r="I80" s="30"/>
      <c r="J80" s="2">
        <v>8.3333333333333329E-2</v>
      </c>
      <c r="K80" s="248">
        <f t="shared" si="701"/>
        <v>0</v>
      </c>
      <c r="L80" s="249"/>
      <c r="M80" s="301">
        <f t="shared" si="445"/>
        <v>0</v>
      </c>
      <c r="N80" s="279">
        <f t="shared" si="450"/>
        <v>0</v>
      </c>
      <c r="O80" s="289">
        <f t="shared" si="883"/>
        <v>0</v>
      </c>
      <c r="P80" s="279">
        <f t="shared" si="451"/>
        <v>0</v>
      </c>
      <c r="Q80" s="289">
        <f t="shared" si="883"/>
        <v>0</v>
      </c>
      <c r="R80" s="279">
        <f t="shared" si="452"/>
        <v>0</v>
      </c>
      <c r="S80" s="289">
        <f t="shared" si="702"/>
        <v>0</v>
      </c>
      <c r="T80" s="279">
        <f t="shared" si="453"/>
        <v>0</v>
      </c>
      <c r="U80" s="289">
        <f t="shared" si="703"/>
        <v>0</v>
      </c>
      <c r="V80" s="279">
        <f t="shared" si="409"/>
        <v>0</v>
      </c>
      <c r="W80" s="289">
        <f t="shared" si="704"/>
        <v>0</v>
      </c>
      <c r="X80" s="279">
        <f t="shared" si="305"/>
        <v>0</v>
      </c>
      <c r="Y80" s="289">
        <f t="shared" si="705"/>
        <v>0</v>
      </c>
      <c r="Z80" s="279">
        <f t="shared" si="454"/>
        <v>0</v>
      </c>
      <c r="AA80" s="289">
        <f t="shared" si="706"/>
        <v>0</v>
      </c>
      <c r="AB80" s="279">
        <f t="shared" si="306"/>
        <v>0</v>
      </c>
      <c r="AC80" s="289">
        <f t="shared" si="707"/>
        <v>0</v>
      </c>
      <c r="AD80" s="279">
        <f t="shared" si="455"/>
        <v>0</v>
      </c>
      <c r="AE80" s="289">
        <f t="shared" si="708"/>
        <v>0</v>
      </c>
      <c r="AF80" s="279">
        <f t="shared" si="307"/>
        <v>0</v>
      </c>
      <c r="AG80" s="289">
        <f t="shared" si="308"/>
        <v>0</v>
      </c>
      <c r="AH80" s="249">
        <f t="shared" si="456"/>
        <v>0</v>
      </c>
      <c r="AI80" s="299">
        <f t="shared" si="309"/>
        <v>0</v>
      </c>
      <c r="AJ80" s="252">
        <f t="shared" si="709"/>
        <v>0</v>
      </c>
      <c r="AK80" s="312">
        <f t="shared" si="710"/>
        <v>0</v>
      </c>
      <c r="AM80" s="1"/>
      <c r="AN80" s="2">
        <v>8.3333333333333329E-2</v>
      </c>
      <c r="AO80" s="254">
        <f t="shared" si="660"/>
        <v>0</v>
      </c>
      <c r="AP80" s="249">
        <f t="shared" si="328"/>
        <v>0</v>
      </c>
      <c r="AQ80" s="301">
        <f t="shared" si="683"/>
        <v>0</v>
      </c>
      <c r="AR80" s="249">
        <f t="shared" si="884"/>
        <v>0</v>
      </c>
      <c r="AS80" s="301">
        <f t="shared" si="683"/>
        <v>0</v>
      </c>
      <c r="AT80" s="249">
        <f t="shared" si="884"/>
        <v>0</v>
      </c>
      <c r="AU80" s="301">
        <f t="shared" si="684"/>
        <v>0</v>
      </c>
      <c r="AV80" s="249">
        <f t="shared" si="884"/>
        <v>0</v>
      </c>
      <c r="AW80" s="301">
        <f t="shared" si="711"/>
        <v>0</v>
      </c>
      <c r="AX80" s="249">
        <f t="shared" si="884"/>
        <v>0</v>
      </c>
      <c r="AY80" s="301">
        <f t="shared" si="712"/>
        <v>0</v>
      </c>
      <c r="AZ80" s="249">
        <f t="shared" si="884"/>
        <v>0</v>
      </c>
      <c r="BA80" s="301">
        <f t="shared" si="713"/>
        <v>0</v>
      </c>
      <c r="BB80" s="249">
        <f t="shared" si="884"/>
        <v>0</v>
      </c>
      <c r="BC80" s="301">
        <f t="shared" si="714"/>
        <v>0</v>
      </c>
      <c r="BD80" s="249">
        <f t="shared" si="884"/>
        <v>0</v>
      </c>
      <c r="BE80" s="301">
        <f t="shared" si="715"/>
        <v>0</v>
      </c>
      <c r="BF80" s="249">
        <f t="shared" si="882"/>
        <v>0</v>
      </c>
      <c r="BG80" s="301">
        <f t="shared" si="716"/>
        <v>0</v>
      </c>
      <c r="BH80" s="249">
        <f t="shared" si="885"/>
        <v>0</v>
      </c>
      <c r="BI80" s="301">
        <f t="shared" si="717"/>
        <v>0</v>
      </c>
      <c r="BJ80" s="249">
        <f t="shared" si="885"/>
        <v>0</v>
      </c>
      <c r="BK80" s="301">
        <f t="shared" si="717"/>
        <v>0</v>
      </c>
      <c r="BL80" s="249">
        <f t="shared" si="661"/>
        <v>0</v>
      </c>
      <c r="BM80" s="299">
        <f t="shared" si="718"/>
        <v>0</v>
      </c>
      <c r="BN80" s="252">
        <f t="shared" si="719"/>
        <v>0</v>
      </c>
      <c r="BO80" s="312">
        <f t="shared" si="685"/>
        <v>0</v>
      </c>
      <c r="BQ80" s="1"/>
      <c r="BR80" s="2"/>
      <c r="BS80" s="255">
        <f t="shared" si="886"/>
        <v>0</v>
      </c>
      <c r="BT80" s="249">
        <f t="shared" si="881"/>
        <v>0</v>
      </c>
      <c r="BU80" s="336">
        <f t="shared" si="720"/>
        <v>0</v>
      </c>
      <c r="BV80" s="279">
        <f t="shared" si="721"/>
        <v>0</v>
      </c>
      <c r="BW80" s="339">
        <f t="shared" si="722"/>
        <v>0</v>
      </c>
      <c r="BX80" s="279">
        <f t="shared" si="721"/>
        <v>0</v>
      </c>
      <c r="BY80" s="339">
        <f t="shared" si="723"/>
        <v>0</v>
      </c>
      <c r="BZ80" s="279">
        <f t="shared" si="721"/>
        <v>0</v>
      </c>
      <c r="CA80" s="339">
        <f t="shared" si="724"/>
        <v>0</v>
      </c>
      <c r="CB80" s="279">
        <f t="shared" si="721"/>
        <v>0</v>
      </c>
      <c r="CC80" s="339">
        <f t="shared" si="725"/>
        <v>0</v>
      </c>
      <c r="CD80" s="279">
        <f t="shared" si="721"/>
        <v>0</v>
      </c>
      <c r="CE80" s="339">
        <f t="shared" si="726"/>
        <v>0</v>
      </c>
      <c r="CF80" s="279">
        <f t="shared" si="721"/>
        <v>0</v>
      </c>
      <c r="CG80" s="339">
        <f t="shared" si="727"/>
        <v>0</v>
      </c>
      <c r="CH80" s="279">
        <f t="shared" si="721"/>
        <v>0</v>
      </c>
      <c r="CI80" s="339">
        <f t="shared" si="728"/>
        <v>0</v>
      </c>
      <c r="CJ80" s="279">
        <f t="shared" si="729"/>
        <v>0</v>
      </c>
      <c r="CK80" s="339">
        <f t="shared" si="730"/>
        <v>0</v>
      </c>
      <c r="CL80" s="279">
        <f t="shared" si="463"/>
        <v>0</v>
      </c>
      <c r="CM80" s="339">
        <f t="shared" si="731"/>
        <v>0</v>
      </c>
      <c r="CN80" s="279">
        <f t="shared" si="732"/>
        <v>0</v>
      </c>
      <c r="CO80" s="339">
        <f t="shared" si="733"/>
        <v>0</v>
      </c>
      <c r="CP80" s="279">
        <f t="shared" si="464"/>
        <v>0</v>
      </c>
      <c r="CQ80" s="250">
        <f t="shared" si="662"/>
        <v>0</v>
      </c>
      <c r="CR80" s="252">
        <f t="shared" si="734"/>
        <v>0</v>
      </c>
      <c r="CS80" s="251">
        <f t="shared" si="448"/>
        <v>0</v>
      </c>
      <c r="CU80" s="1"/>
      <c r="CV80" s="2"/>
      <c r="CW80" s="255">
        <f t="shared" si="299"/>
        <v>0</v>
      </c>
      <c r="CX80" s="249">
        <f t="shared" si="735"/>
        <v>0</v>
      </c>
      <c r="CY80" s="250">
        <f t="shared" si="736"/>
        <v>0</v>
      </c>
      <c r="CZ80" s="279">
        <f t="shared" si="870"/>
        <v>0</v>
      </c>
      <c r="DA80" s="299">
        <f t="shared" si="736"/>
        <v>0</v>
      </c>
      <c r="DB80" s="279">
        <f t="shared" si="870"/>
        <v>0</v>
      </c>
      <c r="DC80" s="299">
        <f t="shared" si="737"/>
        <v>0</v>
      </c>
      <c r="DD80" s="279">
        <f t="shared" si="870"/>
        <v>0</v>
      </c>
      <c r="DE80" s="299">
        <f t="shared" si="738"/>
        <v>0</v>
      </c>
      <c r="DF80" s="279">
        <f t="shared" si="870"/>
        <v>0</v>
      </c>
      <c r="DG80" s="299">
        <f t="shared" si="739"/>
        <v>0</v>
      </c>
      <c r="DH80" s="279">
        <f t="shared" si="870"/>
        <v>0</v>
      </c>
      <c r="DI80" s="299">
        <f t="shared" si="740"/>
        <v>0</v>
      </c>
      <c r="DJ80" s="279">
        <f t="shared" si="870"/>
        <v>0</v>
      </c>
      <c r="DK80" s="299">
        <f t="shared" si="741"/>
        <v>0</v>
      </c>
      <c r="DL80" s="279">
        <f t="shared" si="870"/>
        <v>0</v>
      </c>
      <c r="DM80" s="299">
        <f t="shared" si="742"/>
        <v>0</v>
      </c>
      <c r="DN80" s="279">
        <f t="shared" si="743"/>
        <v>0</v>
      </c>
      <c r="DO80" s="299">
        <f t="shared" si="744"/>
        <v>0</v>
      </c>
      <c r="DP80" s="279">
        <f t="shared" si="471"/>
        <v>0</v>
      </c>
      <c r="DQ80" s="299">
        <f t="shared" si="745"/>
        <v>0</v>
      </c>
      <c r="DR80" s="279">
        <f t="shared" si="746"/>
        <v>0</v>
      </c>
      <c r="DS80" s="299">
        <f t="shared" si="747"/>
        <v>0</v>
      </c>
      <c r="DT80" s="279">
        <f t="shared" si="472"/>
        <v>0</v>
      </c>
      <c r="DU80" s="299">
        <f t="shared" si="748"/>
        <v>0</v>
      </c>
      <c r="DV80" s="252">
        <f t="shared" si="749"/>
        <v>0</v>
      </c>
      <c r="DW80" s="251">
        <f t="shared" si="449"/>
        <v>0</v>
      </c>
      <c r="DY80" s="256">
        <v>0</v>
      </c>
      <c r="DZ80" s="2"/>
      <c r="EA80" s="254">
        <f t="shared" si="663"/>
        <v>0</v>
      </c>
      <c r="EB80" s="249">
        <f t="shared" si="871"/>
        <v>0</v>
      </c>
      <c r="EC80" s="250">
        <f t="shared" si="750"/>
        <v>0</v>
      </c>
      <c r="ED80" s="356">
        <f t="shared" si="871"/>
        <v>0</v>
      </c>
      <c r="EE80" s="250">
        <f t="shared" si="750"/>
        <v>0</v>
      </c>
      <c r="EF80" s="249">
        <f t="shared" si="872"/>
        <v>0</v>
      </c>
      <c r="EG80" s="250">
        <f t="shared" si="751"/>
        <v>0</v>
      </c>
      <c r="EH80" s="249">
        <f t="shared" si="872"/>
        <v>0</v>
      </c>
      <c r="EI80" s="250">
        <f t="shared" si="751"/>
        <v>0</v>
      </c>
      <c r="EJ80" s="249">
        <f t="shared" si="872"/>
        <v>0</v>
      </c>
      <c r="EK80" s="250">
        <f t="shared" si="752"/>
        <v>0</v>
      </c>
      <c r="EL80" s="249">
        <f t="shared" si="872"/>
        <v>0</v>
      </c>
      <c r="EM80" s="250">
        <f t="shared" si="753"/>
        <v>0</v>
      </c>
      <c r="EN80" s="249">
        <f t="shared" si="872"/>
        <v>0</v>
      </c>
      <c r="EO80" s="250">
        <f t="shared" si="754"/>
        <v>0</v>
      </c>
      <c r="EP80" s="249">
        <f t="shared" si="872"/>
        <v>0</v>
      </c>
      <c r="EQ80" s="250">
        <f t="shared" si="755"/>
        <v>0</v>
      </c>
      <c r="ER80" s="249">
        <f t="shared" si="872"/>
        <v>0</v>
      </c>
      <c r="ES80" s="250">
        <f t="shared" si="756"/>
        <v>0</v>
      </c>
      <c r="ET80" s="249">
        <f t="shared" si="391"/>
        <v>0</v>
      </c>
      <c r="EU80" s="250">
        <f t="shared" si="757"/>
        <v>0</v>
      </c>
      <c r="EV80" s="249">
        <f t="shared" si="758"/>
        <v>0</v>
      </c>
      <c r="EW80" s="250">
        <f t="shared" si="759"/>
        <v>0</v>
      </c>
      <c r="EX80" s="249">
        <f t="shared" si="392"/>
        <v>0</v>
      </c>
      <c r="EY80" s="250">
        <f t="shared" si="760"/>
        <v>0</v>
      </c>
      <c r="EZ80" s="252">
        <f t="shared" si="761"/>
        <v>0</v>
      </c>
      <c r="FA80" s="251">
        <f t="shared" si="664"/>
        <v>0</v>
      </c>
      <c r="FC80" s="1"/>
      <c r="FD80" s="2"/>
      <c r="FE80" s="257">
        <f t="shared" si="152"/>
        <v>0</v>
      </c>
      <c r="FF80" s="249">
        <f t="shared" si="762"/>
        <v>0</v>
      </c>
      <c r="FG80" s="250">
        <f t="shared" si="763"/>
        <v>0</v>
      </c>
      <c r="FH80" s="372">
        <f t="shared" si="873"/>
        <v>0</v>
      </c>
      <c r="FI80" s="339">
        <f t="shared" si="764"/>
        <v>0</v>
      </c>
      <c r="FJ80" s="372">
        <f t="shared" si="873"/>
        <v>0</v>
      </c>
      <c r="FK80" s="339">
        <f t="shared" si="764"/>
        <v>0</v>
      </c>
      <c r="FL80" s="372">
        <f t="shared" si="873"/>
        <v>0</v>
      </c>
      <c r="FM80" s="339">
        <f t="shared" si="765"/>
        <v>0</v>
      </c>
      <c r="FN80" s="372">
        <f t="shared" si="873"/>
        <v>0</v>
      </c>
      <c r="FO80" s="339">
        <f t="shared" si="766"/>
        <v>0</v>
      </c>
      <c r="FP80" s="372">
        <f t="shared" si="873"/>
        <v>0</v>
      </c>
      <c r="FQ80" s="339">
        <f t="shared" si="767"/>
        <v>0</v>
      </c>
      <c r="FR80" s="372">
        <f t="shared" si="873"/>
        <v>0</v>
      </c>
      <c r="FS80" s="339">
        <f t="shared" si="768"/>
        <v>0</v>
      </c>
      <c r="FT80" s="372">
        <f t="shared" si="873"/>
        <v>0</v>
      </c>
      <c r="FU80" s="339">
        <f t="shared" si="769"/>
        <v>0</v>
      </c>
      <c r="FV80" s="372">
        <f t="shared" si="770"/>
        <v>0</v>
      </c>
      <c r="FW80" s="339">
        <f t="shared" si="771"/>
        <v>0</v>
      </c>
      <c r="FX80" s="372">
        <f t="shared" si="479"/>
        <v>0</v>
      </c>
      <c r="FY80" s="339">
        <f t="shared" si="772"/>
        <v>0</v>
      </c>
      <c r="FZ80" s="372">
        <f t="shared" si="773"/>
        <v>0</v>
      </c>
      <c r="GA80" s="339">
        <f t="shared" si="774"/>
        <v>0</v>
      </c>
      <c r="GB80" s="372">
        <f t="shared" si="480"/>
        <v>0</v>
      </c>
      <c r="GC80" s="339">
        <f t="shared" si="775"/>
        <v>0</v>
      </c>
      <c r="GD80" s="252">
        <f t="shared" si="776"/>
        <v>0</v>
      </c>
      <c r="GE80" s="251">
        <f t="shared" si="686"/>
        <v>0</v>
      </c>
      <c r="GG80" s="1"/>
      <c r="GH80" s="2">
        <v>0.2</v>
      </c>
      <c r="GI80" s="257">
        <f t="shared" si="665"/>
        <v>0</v>
      </c>
      <c r="GJ80" s="249">
        <f t="shared" si="777"/>
        <v>0</v>
      </c>
      <c r="GK80" s="250">
        <f t="shared" si="778"/>
        <v>0</v>
      </c>
      <c r="GL80" s="249">
        <f t="shared" si="777"/>
        <v>0</v>
      </c>
      <c r="GM80" s="250">
        <f t="shared" si="778"/>
        <v>0</v>
      </c>
      <c r="GN80" s="249">
        <f t="shared" si="777"/>
        <v>0</v>
      </c>
      <c r="GO80" s="250">
        <f t="shared" si="779"/>
        <v>0</v>
      </c>
      <c r="GP80" s="249">
        <f t="shared" si="777"/>
        <v>0</v>
      </c>
      <c r="GQ80" s="250">
        <f t="shared" si="780"/>
        <v>0</v>
      </c>
      <c r="GR80" s="249">
        <f t="shared" si="777"/>
        <v>0</v>
      </c>
      <c r="GS80" s="250">
        <f t="shared" si="781"/>
        <v>0</v>
      </c>
      <c r="GT80" s="249">
        <f t="shared" si="777"/>
        <v>0</v>
      </c>
      <c r="GU80" s="250">
        <f t="shared" si="782"/>
        <v>0</v>
      </c>
      <c r="GV80" s="249">
        <f t="shared" si="777"/>
        <v>0</v>
      </c>
      <c r="GW80" s="250">
        <f t="shared" si="783"/>
        <v>0</v>
      </c>
      <c r="GX80" s="249">
        <f t="shared" si="784"/>
        <v>0</v>
      </c>
      <c r="GY80" s="250">
        <f t="shared" si="785"/>
        <v>0</v>
      </c>
      <c r="GZ80" s="249">
        <f t="shared" si="786"/>
        <v>0</v>
      </c>
      <c r="HA80" s="250">
        <f t="shared" si="787"/>
        <v>0</v>
      </c>
      <c r="HB80" s="249">
        <f t="shared" si="788"/>
        <v>0</v>
      </c>
      <c r="HC80" s="250">
        <f t="shared" si="789"/>
        <v>0</v>
      </c>
      <c r="HD80" s="249">
        <f t="shared" si="790"/>
        <v>0</v>
      </c>
      <c r="HE80" s="250">
        <f t="shared" si="791"/>
        <v>0</v>
      </c>
      <c r="HF80" s="249">
        <f t="shared" si="792"/>
        <v>0</v>
      </c>
      <c r="HG80" s="250">
        <f t="shared" si="793"/>
        <v>0</v>
      </c>
      <c r="HH80" s="252">
        <f t="shared" si="794"/>
        <v>0</v>
      </c>
      <c r="HI80" s="251">
        <f t="shared" si="666"/>
        <v>0</v>
      </c>
      <c r="HK80" s="1"/>
      <c r="HL80" s="2"/>
      <c r="HM80" s="257">
        <f t="shared" si="667"/>
        <v>0</v>
      </c>
      <c r="HN80" s="249">
        <f t="shared" si="795"/>
        <v>0</v>
      </c>
      <c r="HO80" s="250">
        <f t="shared" si="668"/>
        <v>0</v>
      </c>
      <c r="HP80" s="249">
        <f t="shared" si="796"/>
        <v>0</v>
      </c>
      <c r="HQ80" s="250">
        <f t="shared" si="797"/>
        <v>0</v>
      </c>
      <c r="HR80" s="249">
        <f t="shared" si="796"/>
        <v>0</v>
      </c>
      <c r="HS80" s="250">
        <f t="shared" si="797"/>
        <v>0</v>
      </c>
      <c r="HT80" s="249">
        <f t="shared" si="796"/>
        <v>0</v>
      </c>
      <c r="HU80" s="250">
        <f t="shared" si="798"/>
        <v>0</v>
      </c>
      <c r="HV80" s="249">
        <f t="shared" si="796"/>
        <v>0</v>
      </c>
      <c r="HW80" s="250">
        <f t="shared" si="799"/>
        <v>0</v>
      </c>
      <c r="HX80" s="249">
        <f t="shared" si="796"/>
        <v>0</v>
      </c>
      <c r="HY80" s="250">
        <f t="shared" si="800"/>
        <v>0</v>
      </c>
      <c r="HZ80" s="249">
        <f t="shared" si="796"/>
        <v>0</v>
      </c>
      <c r="IA80" s="250">
        <f t="shared" si="801"/>
        <v>0</v>
      </c>
      <c r="IB80" s="249">
        <f t="shared" si="796"/>
        <v>0</v>
      </c>
      <c r="IC80" s="250">
        <f t="shared" si="802"/>
        <v>0</v>
      </c>
      <c r="ID80" s="249">
        <f t="shared" si="803"/>
        <v>0</v>
      </c>
      <c r="IE80" s="250">
        <f t="shared" si="804"/>
        <v>0</v>
      </c>
      <c r="IF80" s="249">
        <f t="shared" si="805"/>
        <v>0</v>
      </c>
      <c r="IG80" s="250">
        <f t="shared" si="806"/>
        <v>0</v>
      </c>
      <c r="IH80" s="249">
        <f t="shared" si="807"/>
        <v>0</v>
      </c>
      <c r="II80" s="250">
        <f t="shared" si="808"/>
        <v>0</v>
      </c>
      <c r="IJ80" s="249">
        <f t="shared" si="809"/>
        <v>0</v>
      </c>
      <c r="IK80" s="250">
        <f t="shared" si="810"/>
        <v>0</v>
      </c>
      <c r="IL80" s="252">
        <f t="shared" si="811"/>
        <v>0</v>
      </c>
      <c r="IM80" s="251">
        <f t="shared" si="812"/>
        <v>0</v>
      </c>
      <c r="IO80" s="1"/>
      <c r="IP80" s="2">
        <v>8.3333333333333329E-2</v>
      </c>
      <c r="IQ80" s="257">
        <f t="shared" si="669"/>
        <v>0</v>
      </c>
      <c r="IR80" s="249">
        <f t="shared" si="813"/>
        <v>0</v>
      </c>
      <c r="IS80" s="250">
        <f t="shared" si="814"/>
        <v>0</v>
      </c>
      <c r="IT80" s="279">
        <f t="shared" si="874"/>
        <v>0</v>
      </c>
      <c r="IU80" s="289">
        <f t="shared" si="815"/>
        <v>0</v>
      </c>
      <c r="IV80" s="279">
        <f t="shared" si="874"/>
        <v>0</v>
      </c>
      <c r="IW80" s="289">
        <f t="shared" si="815"/>
        <v>0</v>
      </c>
      <c r="IX80" s="279">
        <f t="shared" si="874"/>
        <v>0</v>
      </c>
      <c r="IY80" s="289">
        <f t="shared" si="816"/>
        <v>0</v>
      </c>
      <c r="IZ80" s="279">
        <f t="shared" si="874"/>
        <v>0</v>
      </c>
      <c r="JA80" s="289">
        <f t="shared" si="817"/>
        <v>0</v>
      </c>
      <c r="JB80" s="279">
        <f t="shared" si="874"/>
        <v>0</v>
      </c>
      <c r="JC80" s="289">
        <f t="shared" si="818"/>
        <v>0</v>
      </c>
      <c r="JD80" s="279">
        <f t="shared" si="874"/>
        <v>0</v>
      </c>
      <c r="JE80" s="289">
        <f t="shared" si="819"/>
        <v>0</v>
      </c>
      <c r="JF80" s="279">
        <f t="shared" si="874"/>
        <v>0</v>
      </c>
      <c r="JG80" s="289">
        <f t="shared" si="820"/>
        <v>0</v>
      </c>
      <c r="JH80" s="279">
        <f t="shared" si="821"/>
        <v>0</v>
      </c>
      <c r="JI80" s="289">
        <f t="shared" si="822"/>
        <v>0</v>
      </c>
      <c r="JJ80" s="279">
        <f t="shared" si="407"/>
        <v>0</v>
      </c>
      <c r="JK80" s="289">
        <f t="shared" si="823"/>
        <v>0</v>
      </c>
      <c r="JL80" s="279">
        <f t="shared" si="824"/>
        <v>0</v>
      </c>
      <c r="JM80" s="289">
        <f t="shared" si="825"/>
        <v>0</v>
      </c>
      <c r="JN80" s="279">
        <f t="shared" si="408"/>
        <v>0</v>
      </c>
      <c r="JO80" s="289">
        <f t="shared" si="826"/>
        <v>0</v>
      </c>
      <c r="JP80" s="252">
        <f t="shared" si="827"/>
        <v>0</v>
      </c>
      <c r="JQ80" s="251">
        <f t="shared" si="828"/>
        <v>0</v>
      </c>
      <c r="JS80" s="1"/>
      <c r="JT80" s="2">
        <v>8.3333333333333329E-2</v>
      </c>
      <c r="JU80" s="257">
        <f t="shared" si="670"/>
        <v>0</v>
      </c>
      <c r="JV80" s="249">
        <f t="shared" si="829"/>
        <v>0</v>
      </c>
      <c r="JW80" s="250">
        <f t="shared" si="830"/>
        <v>0</v>
      </c>
      <c r="JX80" s="372">
        <f t="shared" si="875"/>
        <v>0</v>
      </c>
      <c r="JY80" s="339">
        <f t="shared" si="831"/>
        <v>0</v>
      </c>
      <c r="JZ80" s="372">
        <f t="shared" si="875"/>
        <v>0</v>
      </c>
      <c r="KA80" s="339">
        <f t="shared" si="831"/>
        <v>0</v>
      </c>
      <c r="KB80" s="372">
        <f t="shared" si="875"/>
        <v>0</v>
      </c>
      <c r="KC80" s="339">
        <f t="shared" si="832"/>
        <v>0</v>
      </c>
      <c r="KD80" s="372">
        <f t="shared" si="875"/>
        <v>0</v>
      </c>
      <c r="KE80" s="339">
        <f t="shared" si="833"/>
        <v>0</v>
      </c>
      <c r="KF80" s="372">
        <f t="shared" si="875"/>
        <v>0</v>
      </c>
      <c r="KG80" s="339">
        <f t="shared" si="834"/>
        <v>0</v>
      </c>
      <c r="KH80" s="372">
        <f t="shared" si="875"/>
        <v>0</v>
      </c>
      <c r="KI80" s="339">
        <f t="shared" si="835"/>
        <v>0</v>
      </c>
      <c r="KJ80" s="372">
        <f t="shared" si="875"/>
        <v>0</v>
      </c>
      <c r="KK80" s="339">
        <f t="shared" si="836"/>
        <v>0</v>
      </c>
      <c r="KL80" s="372">
        <f t="shared" si="837"/>
        <v>0</v>
      </c>
      <c r="KM80" s="339">
        <f t="shared" si="838"/>
        <v>0</v>
      </c>
      <c r="KN80" s="372">
        <f t="shared" si="677"/>
        <v>0</v>
      </c>
      <c r="KO80" s="339">
        <f t="shared" si="839"/>
        <v>0</v>
      </c>
      <c r="KP80" s="372">
        <f t="shared" si="840"/>
        <v>0</v>
      </c>
      <c r="KQ80" s="339">
        <f t="shared" si="841"/>
        <v>0</v>
      </c>
      <c r="KR80" s="372">
        <f t="shared" si="678"/>
        <v>0</v>
      </c>
      <c r="KS80" s="377">
        <f t="shared" si="842"/>
        <v>0</v>
      </c>
      <c r="KT80" s="379">
        <f t="shared" si="843"/>
        <v>0</v>
      </c>
      <c r="KU80" s="251">
        <f t="shared" si="679"/>
        <v>0</v>
      </c>
      <c r="KW80" s="1"/>
      <c r="KX80" s="2">
        <v>8.3333333333333329E-2</v>
      </c>
      <c r="KY80" s="254">
        <f t="shared" si="680"/>
        <v>0</v>
      </c>
      <c r="KZ80" s="249">
        <f t="shared" si="876"/>
        <v>0</v>
      </c>
      <c r="LA80" s="251">
        <f t="shared" si="681"/>
        <v>0</v>
      </c>
      <c r="LB80" s="279">
        <f t="shared" si="844"/>
        <v>0</v>
      </c>
      <c r="LC80" s="339">
        <f t="shared" si="845"/>
        <v>0</v>
      </c>
      <c r="LD80" s="279">
        <f t="shared" si="844"/>
        <v>0</v>
      </c>
      <c r="LE80" s="339">
        <f t="shared" si="845"/>
        <v>0</v>
      </c>
      <c r="LF80" s="279">
        <f t="shared" si="844"/>
        <v>0</v>
      </c>
      <c r="LG80" s="339">
        <f t="shared" si="846"/>
        <v>0</v>
      </c>
      <c r="LH80" s="279">
        <f t="shared" si="844"/>
        <v>0</v>
      </c>
      <c r="LI80" s="339">
        <f t="shared" si="847"/>
        <v>0</v>
      </c>
      <c r="LJ80" s="279">
        <f t="shared" si="844"/>
        <v>0</v>
      </c>
      <c r="LK80" s="339">
        <f t="shared" si="848"/>
        <v>0</v>
      </c>
      <c r="LL80" s="279">
        <f t="shared" si="844"/>
        <v>0</v>
      </c>
      <c r="LM80" s="339">
        <f t="shared" si="849"/>
        <v>0</v>
      </c>
      <c r="LN80" s="279">
        <f t="shared" si="844"/>
        <v>0</v>
      </c>
      <c r="LO80" s="339">
        <f t="shared" si="850"/>
        <v>0</v>
      </c>
      <c r="LP80" s="279">
        <f t="shared" si="877"/>
        <v>0</v>
      </c>
      <c r="LQ80" s="339">
        <f t="shared" si="851"/>
        <v>0</v>
      </c>
      <c r="LR80" s="279">
        <f t="shared" si="878"/>
        <v>0</v>
      </c>
      <c r="LS80" s="339">
        <f t="shared" si="852"/>
        <v>0</v>
      </c>
      <c r="LT80" s="279">
        <f t="shared" si="879"/>
        <v>0</v>
      </c>
      <c r="LU80" s="339">
        <f t="shared" si="853"/>
        <v>0</v>
      </c>
      <c r="LV80" s="279">
        <f t="shared" si="880"/>
        <v>0</v>
      </c>
      <c r="LW80" s="339">
        <f t="shared" si="854"/>
        <v>0</v>
      </c>
      <c r="LX80" s="252">
        <f t="shared" si="855"/>
        <v>0</v>
      </c>
      <c r="LY80" s="253">
        <f t="shared" si="856"/>
        <v>0</v>
      </c>
      <c r="MA80" s="249">
        <f t="shared" si="688"/>
        <v>0</v>
      </c>
      <c r="MB80" s="253">
        <f t="shared" si="857"/>
        <v>0</v>
      </c>
      <c r="MC80" s="397">
        <f t="shared" si="689"/>
        <v>0</v>
      </c>
      <c r="MD80" s="253">
        <f t="shared" si="858"/>
        <v>0</v>
      </c>
      <c r="ME80" s="397">
        <f t="shared" si="690"/>
        <v>0</v>
      </c>
      <c r="MF80" s="253">
        <f t="shared" si="858"/>
        <v>0</v>
      </c>
      <c r="MG80" s="397">
        <f t="shared" si="691"/>
        <v>0</v>
      </c>
      <c r="MH80" s="253">
        <f t="shared" si="859"/>
        <v>0</v>
      </c>
      <c r="MI80" s="397">
        <f t="shared" si="692"/>
        <v>0</v>
      </c>
      <c r="MJ80" s="253">
        <f t="shared" si="860"/>
        <v>0</v>
      </c>
      <c r="MK80" s="397">
        <f t="shared" si="693"/>
        <v>0</v>
      </c>
      <c r="ML80" s="253">
        <f t="shared" si="861"/>
        <v>0</v>
      </c>
      <c r="MM80" s="397">
        <f t="shared" si="694"/>
        <v>0</v>
      </c>
      <c r="MN80" s="253">
        <f t="shared" si="862"/>
        <v>0</v>
      </c>
      <c r="MO80" s="397">
        <f t="shared" si="695"/>
        <v>0</v>
      </c>
      <c r="MP80" s="253">
        <f t="shared" si="863"/>
        <v>0</v>
      </c>
      <c r="MQ80" s="397">
        <f t="shared" si="696"/>
        <v>0</v>
      </c>
      <c r="MR80" s="253">
        <f t="shared" si="864"/>
        <v>0</v>
      </c>
      <c r="MS80" s="397">
        <f t="shared" si="697"/>
        <v>0</v>
      </c>
      <c r="MT80" s="253">
        <f t="shared" si="865"/>
        <v>0</v>
      </c>
      <c r="MU80" s="397">
        <f t="shared" si="698"/>
        <v>0</v>
      </c>
      <c r="MV80" s="253">
        <f t="shared" si="866"/>
        <v>0</v>
      </c>
      <c r="MW80" s="397">
        <f t="shared" si="699"/>
        <v>0</v>
      </c>
      <c r="MX80" s="253">
        <f t="shared" si="867"/>
        <v>0</v>
      </c>
      <c r="MY80" s="252">
        <f t="shared" si="868"/>
        <v>0</v>
      </c>
      <c r="MZ80" s="251">
        <f t="shared" si="869"/>
        <v>0</v>
      </c>
    </row>
    <row r="81" spans="1:364" ht="52.8" x14ac:dyDescent="0.25">
      <c r="A81" s="533"/>
      <c r="B81" s="245" t="s">
        <v>170</v>
      </c>
      <c r="C81" s="246" t="s">
        <v>171</v>
      </c>
      <c r="D81" s="247" t="s">
        <v>28</v>
      </c>
      <c r="E81" s="4">
        <v>1</v>
      </c>
      <c r="F81" s="353">
        <v>70791.775379506638</v>
      </c>
      <c r="G81" s="353">
        <f t="shared" si="700"/>
        <v>73742.106894370649</v>
      </c>
      <c r="I81" s="30"/>
      <c r="J81" s="2">
        <v>8.3333333333333329E-2</v>
      </c>
      <c r="K81" s="248">
        <f t="shared" si="701"/>
        <v>0</v>
      </c>
      <c r="L81" s="249"/>
      <c r="M81" s="301">
        <f t="shared" si="445"/>
        <v>0</v>
      </c>
      <c r="N81" s="279">
        <f t="shared" si="450"/>
        <v>0</v>
      </c>
      <c r="O81" s="289">
        <f t="shared" si="883"/>
        <v>0</v>
      </c>
      <c r="P81" s="279">
        <f t="shared" si="451"/>
        <v>0</v>
      </c>
      <c r="Q81" s="289">
        <f t="shared" si="883"/>
        <v>0</v>
      </c>
      <c r="R81" s="279">
        <f t="shared" si="452"/>
        <v>0</v>
      </c>
      <c r="S81" s="289">
        <f t="shared" si="702"/>
        <v>0</v>
      </c>
      <c r="T81" s="279">
        <f t="shared" si="453"/>
        <v>0</v>
      </c>
      <c r="U81" s="289">
        <f t="shared" si="703"/>
        <v>0</v>
      </c>
      <c r="V81" s="279">
        <f t="shared" si="409"/>
        <v>0</v>
      </c>
      <c r="W81" s="289">
        <f t="shared" si="704"/>
        <v>0</v>
      </c>
      <c r="X81" s="279">
        <f t="shared" si="305"/>
        <v>0</v>
      </c>
      <c r="Y81" s="289">
        <f t="shared" si="705"/>
        <v>0</v>
      </c>
      <c r="Z81" s="279">
        <f t="shared" si="454"/>
        <v>0</v>
      </c>
      <c r="AA81" s="289">
        <f t="shared" si="706"/>
        <v>0</v>
      </c>
      <c r="AB81" s="279">
        <f t="shared" si="306"/>
        <v>0</v>
      </c>
      <c r="AC81" s="289">
        <f t="shared" si="707"/>
        <v>0</v>
      </c>
      <c r="AD81" s="279">
        <f t="shared" si="455"/>
        <v>0</v>
      </c>
      <c r="AE81" s="289">
        <f t="shared" si="708"/>
        <v>0</v>
      </c>
      <c r="AF81" s="279">
        <f t="shared" si="307"/>
        <v>0</v>
      </c>
      <c r="AG81" s="289">
        <f t="shared" si="308"/>
        <v>0</v>
      </c>
      <c r="AH81" s="249">
        <f t="shared" si="456"/>
        <v>0</v>
      </c>
      <c r="AI81" s="299">
        <f t="shared" si="309"/>
        <v>0</v>
      </c>
      <c r="AJ81" s="252">
        <f t="shared" si="709"/>
        <v>0</v>
      </c>
      <c r="AK81" s="312">
        <f t="shared" si="710"/>
        <v>0</v>
      </c>
      <c r="AM81" s="1"/>
      <c r="AN81" s="2">
        <v>8.3333333333333329E-2</v>
      </c>
      <c r="AO81" s="254">
        <f t="shared" si="660"/>
        <v>0</v>
      </c>
      <c r="AP81" s="249">
        <f t="shared" si="328"/>
        <v>0</v>
      </c>
      <c r="AQ81" s="301">
        <f t="shared" si="683"/>
        <v>0</v>
      </c>
      <c r="AR81" s="249">
        <f t="shared" si="884"/>
        <v>0</v>
      </c>
      <c r="AS81" s="301">
        <f t="shared" si="683"/>
        <v>0</v>
      </c>
      <c r="AT81" s="249">
        <f t="shared" si="884"/>
        <v>0</v>
      </c>
      <c r="AU81" s="301">
        <f t="shared" si="684"/>
        <v>0</v>
      </c>
      <c r="AV81" s="249">
        <f t="shared" si="884"/>
        <v>0</v>
      </c>
      <c r="AW81" s="301">
        <f t="shared" si="711"/>
        <v>0</v>
      </c>
      <c r="AX81" s="249">
        <f t="shared" si="884"/>
        <v>0</v>
      </c>
      <c r="AY81" s="301">
        <f t="shared" si="712"/>
        <v>0</v>
      </c>
      <c r="AZ81" s="249">
        <f t="shared" si="884"/>
        <v>0</v>
      </c>
      <c r="BA81" s="301">
        <f t="shared" si="713"/>
        <v>0</v>
      </c>
      <c r="BB81" s="249">
        <f t="shared" si="884"/>
        <v>0</v>
      </c>
      <c r="BC81" s="301">
        <f t="shared" si="714"/>
        <v>0</v>
      </c>
      <c r="BD81" s="249">
        <f t="shared" si="884"/>
        <v>0</v>
      </c>
      <c r="BE81" s="301">
        <f t="shared" si="715"/>
        <v>0</v>
      </c>
      <c r="BF81" s="249">
        <f t="shared" si="882"/>
        <v>0</v>
      </c>
      <c r="BG81" s="301">
        <f t="shared" si="716"/>
        <v>0</v>
      </c>
      <c r="BH81" s="249">
        <f t="shared" si="885"/>
        <v>0</v>
      </c>
      <c r="BI81" s="301">
        <f t="shared" si="717"/>
        <v>0</v>
      </c>
      <c r="BJ81" s="249">
        <f t="shared" si="885"/>
        <v>0</v>
      </c>
      <c r="BK81" s="301">
        <f t="shared" si="717"/>
        <v>0</v>
      </c>
      <c r="BL81" s="249">
        <f t="shared" si="661"/>
        <v>0</v>
      </c>
      <c r="BM81" s="299">
        <f t="shared" si="718"/>
        <v>0</v>
      </c>
      <c r="BN81" s="252">
        <f t="shared" si="719"/>
        <v>0</v>
      </c>
      <c r="BO81" s="312">
        <f t="shared" si="685"/>
        <v>0</v>
      </c>
      <c r="BQ81" s="1"/>
      <c r="BR81" s="2"/>
      <c r="BS81" s="255">
        <f t="shared" si="886"/>
        <v>0</v>
      </c>
      <c r="BT81" s="249">
        <f t="shared" si="881"/>
        <v>0</v>
      </c>
      <c r="BU81" s="336">
        <f t="shared" si="720"/>
        <v>0</v>
      </c>
      <c r="BV81" s="279">
        <f t="shared" si="721"/>
        <v>0</v>
      </c>
      <c r="BW81" s="339">
        <f t="shared" si="722"/>
        <v>0</v>
      </c>
      <c r="BX81" s="279">
        <f t="shared" si="721"/>
        <v>0</v>
      </c>
      <c r="BY81" s="339">
        <f t="shared" si="723"/>
        <v>0</v>
      </c>
      <c r="BZ81" s="279">
        <f t="shared" si="721"/>
        <v>0</v>
      </c>
      <c r="CA81" s="339">
        <f t="shared" si="724"/>
        <v>0</v>
      </c>
      <c r="CB81" s="279">
        <f t="shared" si="721"/>
        <v>0</v>
      </c>
      <c r="CC81" s="339">
        <f t="shared" si="725"/>
        <v>0</v>
      </c>
      <c r="CD81" s="279">
        <f t="shared" si="721"/>
        <v>0</v>
      </c>
      <c r="CE81" s="339">
        <f t="shared" si="726"/>
        <v>0</v>
      </c>
      <c r="CF81" s="279">
        <f t="shared" si="721"/>
        <v>0</v>
      </c>
      <c r="CG81" s="339">
        <f t="shared" si="727"/>
        <v>0</v>
      </c>
      <c r="CH81" s="279">
        <f t="shared" si="721"/>
        <v>0</v>
      </c>
      <c r="CI81" s="339">
        <f t="shared" si="728"/>
        <v>0</v>
      </c>
      <c r="CJ81" s="279">
        <f t="shared" si="729"/>
        <v>0</v>
      </c>
      <c r="CK81" s="339">
        <f t="shared" si="730"/>
        <v>0</v>
      </c>
      <c r="CL81" s="279">
        <f t="shared" si="463"/>
        <v>0</v>
      </c>
      <c r="CM81" s="339">
        <f t="shared" si="731"/>
        <v>0</v>
      </c>
      <c r="CN81" s="279">
        <f t="shared" si="732"/>
        <v>0</v>
      </c>
      <c r="CO81" s="339">
        <f t="shared" si="733"/>
        <v>0</v>
      </c>
      <c r="CP81" s="279">
        <f t="shared" si="464"/>
        <v>0</v>
      </c>
      <c r="CQ81" s="250">
        <f t="shared" si="662"/>
        <v>0</v>
      </c>
      <c r="CR81" s="252">
        <f t="shared" si="734"/>
        <v>0</v>
      </c>
      <c r="CS81" s="251">
        <f t="shared" si="448"/>
        <v>0</v>
      </c>
      <c r="CU81" s="1"/>
      <c r="CV81" s="2"/>
      <c r="CW81" s="255">
        <f t="shared" si="299"/>
        <v>0</v>
      </c>
      <c r="CX81" s="249">
        <f t="shared" si="735"/>
        <v>0</v>
      </c>
      <c r="CY81" s="250">
        <f t="shared" si="736"/>
        <v>0</v>
      </c>
      <c r="CZ81" s="279">
        <f t="shared" si="870"/>
        <v>0</v>
      </c>
      <c r="DA81" s="299">
        <f t="shared" si="736"/>
        <v>0</v>
      </c>
      <c r="DB81" s="279">
        <f t="shared" si="870"/>
        <v>0</v>
      </c>
      <c r="DC81" s="299">
        <f t="shared" si="737"/>
        <v>0</v>
      </c>
      <c r="DD81" s="279">
        <f t="shared" si="870"/>
        <v>0</v>
      </c>
      <c r="DE81" s="299">
        <f t="shared" si="738"/>
        <v>0</v>
      </c>
      <c r="DF81" s="279">
        <f t="shared" si="870"/>
        <v>0</v>
      </c>
      <c r="DG81" s="299">
        <f t="shared" si="739"/>
        <v>0</v>
      </c>
      <c r="DH81" s="279">
        <f t="shared" si="870"/>
        <v>0</v>
      </c>
      <c r="DI81" s="299">
        <f t="shared" si="740"/>
        <v>0</v>
      </c>
      <c r="DJ81" s="279">
        <f t="shared" si="870"/>
        <v>0</v>
      </c>
      <c r="DK81" s="299">
        <f t="shared" si="741"/>
        <v>0</v>
      </c>
      <c r="DL81" s="279">
        <f t="shared" si="870"/>
        <v>0</v>
      </c>
      <c r="DM81" s="299">
        <f t="shared" si="742"/>
        <v>0</v>
      </c>
      <c r="DN81" s="279">
        <f t="shared" si="743"/>
        <v>0</v>
      </c>
      <c r="DO81" s="299">
        <f t="shared" si="744"/>
        <v>0</v>
      </c>
      <c r="DP81" s="279">
        <f t="shared" si="471"/>
        <v>0</v>
      </c>
      <c r="DQ81" s="299">
        <f t="shared" si="745"/>
        <v>0</v>
      </c>
      <c r="DR81" s="279">
        <f t="shared" si="746"/>
        <v>0</v>
      </c>
      <c r="DS81" s="299">
        <f t="shared" si="747"/>
        <v>0</v>
      </c>
      <c r="DT81" s="279">
        <f t="shared" si="472"/>
        <v>0</v>
      </c>
      <c r="DU81" s="299">
        <f t="shared" si="748"/>
        <v>0</v>
      </c>
      <c r="DV81" s="252">
        <f t="shared" si="749"/>
        <v>0</v>
      </c>
      <c r="DW81" s="251">
        <f t="shared" si="449"/>
        <v>0</v>
      </c>
      <c r="DY81" s="256">
        <v>0</v>
      </c>
      <c r="DZ81" s="2"/>
      <c r="EA81" s="254">
        <f t="shared" si="663"/>
        <v>0</v>
      </c>
      <c r="EB81" s="249">
        <f t="shared" si="871"/>
        <v>0</v>
      </c>
      <c r="EC81" s="250">
        <f t="shared" si="750"/>
        <v>0</v>
      </c>
      <c r="ED81" s="356">
        <f t="shared" si="871"/>
        <v>0</v>
      </c>
      <c r="EE81" s="250">
        <f t="shared" si="750"/>
        <v>0</v>
      </c>
      <c r="EF81" s="249">
        <f t="shared" si="872"/>
        <v>0</v>
      </c>
      <c r="EG81" s="250">
        <f t="shared" si="751"/>
        <v>0</v>
      </c>
      <c r="EH81" s="249">
        <f t="shared" si="872"/>
        <v>0</v>
      </c>
      <c r="EI81" s="250">
        <f t="shared" si="751"/>
        <v>0</v>
      </c>
      <c r="EJ81" s="249">
        <f t="shared" si="872"/>
        <v>0</v>
      </c>
      <c r="EK81" s="250">
        <f t="shared" si="752"/>
        <v>0</v>
      </c>
      <c r="EL81" s="249">
        <f t="shared" si="872"/>
        <v>0</v>
      </c>
      <c r="EM81" s="250">
        <f t="shared" si="753"/>
        <v>0</v>
      </c>
      <c r="EN81" s="249">
        <f t="shared" si="872"/>
        <v>0</v>
      </c>
      <c r="EO81" s="250">
        <f t="shared" si="754"/>
        <v>0</v>
      </c>
      <c r="EP81" s="249">
        <f t="shared" si="872"/>
        <v>0</v>
      </c>
      <c r="EQ81" s="250">
        <f t="shared" si="755"/>
        <v>0</v>
      </c>
      <c r="ER81" s="249">
        <f t="shared" si="872"/>
        <v>0</v>
      </c>
      <c r="ES81" s="250">
        <f t="shared" si="756"/>
        <v>0</v>
      </c>
      <c r="ET81" s="249">
        <f t="shared" si="391"/>
        <v>0</v>
      </c>
      <c r="EU81" s="250">
        <f t="shared" si="757"/>
        <v>0</v>
      </c>
      <c r="EV81" s="249">
        <f t="shared" si="758"/>
        <v>0</v>
      </c>
      <c r="EW81" s="250">
        <f t="shared" si="759"/>
        <v>0</v>
      </c>
      <c r="EX81" s="249">
        <f t="shared" si="392"/>
        <v>0</v>
      </c>
      <c r="EY81" s="250">
        <f t="shared" si="760"/>
        <v>0</v>
      </c>
      <c r="EZ81" s="252">
        <f t="shared" si="761"/>
        <v>0</v>
      </c>
      <c r="FA81" s="251">
        <f t="shared" si="664"/>
        <v>0</v>
      </c>
      <c r="FC81" s="1"/>
      <c r="FD81" s="2"/>
      <c r="FE81" s="257">
        <f t="shared" si="152"/>
        <v>0</v>
      </c>
      <c r="FF81" s="249">
        <f t="shared" si="762"/>
        <v>0</v>
      </c>
      <c r="FG81" s="250">
        <f t="shared" si="763"/>
        <v>0</v>
      </c>
      <c r="FH81" s="372">
        <f t="shared" si="873"/>
        <v>0</v>
      </c>
      <c r="FI81" s="339">
        <f t="shared" si="764"/>
        <v>0</v>
      </c>
      <c r="FJ81" s="372">
        <f t="shared" si="873"/>
        <v>0</v>
      </c>
      <c r="FK81" s="339">
        <f t="shared" si="764"/>
        <v>0</v>
      </c>
      <c r="FL81" s="372">
        <f t="shared" si="873"/>
        <v>0</v>
      </c>
      <c r="FM81" s="339">
        <f t="shared" si="765"/>
        <v>0</v>
      </c>
      <c r="FN81" s="372">
        <f t="shared" si="873"/>
        <v>0</v>
      </c>
      <c r="FO81" s="339">
        <f t="shared" si="766"/>
        <v>0</v>
      </c>
      <c r="FP81" s="372">
        <f t="shared" si="873"/>
        <v>0</v>
      </c>
      <c r="FQ81" s="339">
        <f t="shared" si="767"/>
        <v>0</v>
      </c>
      <c r="FR81" s="372">
        <f t="shared" si="873"/>
        <v>0</v>
      </c>
      <c r="FS81" s="339">
        <f t="shared" si="768"/>
        <v>0</v>
      </c>
      <c r="FT81" s="372">
        <f t="shared" si="873"/>
        <v>0</v>
      </c>
      <c r="FU81" s="339">
        <f t="shared" si="769"/>
        <v>0</v>
      </c>
      <c r="FV81" s="372">
        <f t="shared" si="770"/>
        <v>0</v>
      </c>
      <c r="FW81" s="339">
        <f t="shared" si="771"/>
        <v>0</v>
      </c>
      <c r="FX81" s="372">
        <f t="shared" si="479"/>
        <v>0</v>
      </c>
      <c r="FY81" s="339">
        <f t="shared" si="772"/>
        <v>0</v>
      </c>
      <c r="FZ81" s="372">
        <f t="shared" si="773"/>
        <v>0</v>
      </c>
      <c r="GA81" s="339">
        <f t="shared" si="774"/>
        <v>0</v>
      </c>
      <c r="GB81" s="372">
        <f t="shared" si="480"/>
        <v>0</v>
      </c>
      <c r="GC81" s="339">
        <f t="shared" si="775"/>
        <v>0</v>
      </c>
      <c r="GD81" s="252">
        <f t="shared" si="776"/>
        <v>0</v>
      </c>
      <c r="GE81" s="251">
        <f t="shared" si="686"/>
        <v>0</v>
      </c>
      <c r="GG81" s="1"/>
      <c r="GH81" s="2">
        <v>0.2</v>
      </c>
      <c r="GI81" s="257">
        <f t="shared" si="665"/>
        <v>0</v>
      </c>
      <c r="GJ81" s="249">
        <f t="shared" si="777"/>
        <v>0</v>
      </c>
      <c r="GK81" s="250">
        <f t="shared" si="778"/>
        <v>0</v>
      </c>
      <c r="GL81" s="249">
        <f t="shared" si="777"/>
        <v>0</v>
      </c>
      <c r="GM81" s="250">
        <f t="shared" si="778"/>
        <v>0</v>
      </c>
      <c r="GN81" s="249">
        <f t="shared" si="777"/>
        <v>0</v>
      </c>
      <c r="GO81" s="250">
        <f t="shared" si="779"/>
        <v>0</v>
      </c>
      <c r="GP81" s="249">
        <f t="shared" si="777"/>
        <v>0</v>
      </c>
      <c r="GQ81" s="250">
        <f t="shared" si="780"/>
        <v>0</v>
      </c>
      <c r="GR81" s="249">
        <f t="shared" si="777"/>
        <v>0</v>
      </c>
      <c r="GS81" s="250">
        <f t="shared" si="781"/>
        <v>0</v>
      </c>
      <c r="GT81" s="249">
        <f t="shared" si="777"/>
        <v>0</v>
      </c>
      <c r="GU81" s="250">
        <f t="shared" si="782"/>
        <v>0</v>
      </c>
      <c r="GV81" s="249">
        <f t="shared" si="777"/>
        <v>0</v>
      </c>
      <c r="GW81" s="250">
        <f t="shared" si="783"/>
        <v>0</v>
      </c>
      <c r="GX81" s="249">
        <f t="shared" si="784"/>
        <v>0</v>
      </c>
      <c r="GY81" s="250">
        <f t="shared" si="785"/>
        <v>0</v>
      </c>
      <c r="GZ81" s="249">
        <f t="shared" si="786"/>
        <v>0</v>
      </c>
      <c r="HA81" s="250">
        <f t="shared" si="787"/>
        <v>0</v>
      </c>
      <c r="HB81" s="249">
        <f t="shared" si="788"/>
        <v>0</v>
      </c>
      <c r="HC81" s="250">
        <f t="shared" si="789"/>
        <v>0</v>
      </c>
      <c r="HD81" s="249">
        <f t="shared" si="790"/>
        <v>0</v>
      </c>
      <c r="HE81" s="250">
        <f t="shared" si="791"/>
        <v>0</v>
      </c>
      <c r="HF81" s="249">
        <f t="shared" si="792"/>
        <v>0</v>
      </c>
      <c r="HG81" s="250">
        <f t="shared" si="793"/>
        <v>0</v>
      </c>
      <c r="HH81" s="252">
        <f t="shared" si="794"/>
        <v>0</v>
      </c>
      <c r="HI81" s="251">
        <f t="shared" si="666"/>
        <v>0</v>
      </c>
      <c r="HK81" s="1"/>
      <c r="HL81" s="2"/>
      <c r="HM81" s="257">
        <f t="shared" si="667"/>
        <v>0</v>
      </c>
      <c r="HN81" s="249">
        <f t="shared" si="795"/>
        <v>0</v>
      </c>
      <c r="HO81" s="250">
        <f t="shared" si="668"/>
        <v>0</v>
      </c>
      <c r="HP81" s="249">
        <f t="shared" si="796"/>
        <v>0</v>
      </c>
      <c r="HQ81" s="250">
        <f t="shared" si="797"/>
        <v>0</v>
      </c>
      <c r="HR81" s="249">
        <f t="shared" si="796"/>
        <v>0</v>
      </c>
      <c r="HS81" s="250">
        <f t="shared" si="797"/>
        <v>0</v>
      </c>
      <c r="HT81" s="249">
        <f t="shared" si="796"/>
        <v>0</v>
      </c>
      <c r="HU81" s="250">
        <f t="shared" si="798"/>
        <v>0</v>
      </c>
      <c r="HV81" s="249">
        <f t="shared" si="796"/>
        <v>0</v>
      </c>
      <c r="HW81" s="250">
        <f t="shared" si="799"/>
        <v>0</v>
      </c>
      <c r="HX81" s="249">
        <f t="shared" si="796"/>
        <v>0</v>
      </c>
      <c r="HY81" s="250">
        <f t="shared" si="800"/>
        <v>0</v>
      </c>
      <c r="HZ81" s="249">
        <f t="shared" si="796"/>
        <v>0</v>
      </c>
      <c r="IA81" s="250">
        <f t="shared" si="801"/>
        <v>0</v>
      </c>
      <c r="IB81" s="249">
        <f t="shared" si="796"/>
        <v>0</v>
      </c>
      <c r="IC81" s="250">
        <f t="shared" si="802"/>
        <v>0</v>
      </c>
      <c r="ID81" s="249">
        <f t="shared" si="803"/>
        <v>0</v>
      </c>
      <c r="IE81" s="250">
        <f t="shared" si="804"/>
        <v>0</v>
      </c>
      <c r="IF81" s="249">
        <f t="shared" si="805"/>
        <v>0</v>
      </c>
      <c r="IG81" s="250">
        <f t="shared" si="806"/>
        <v>0</v>
      </c>
      <c r="IH81" s="249">
        <f t="shared" si="807"/>
        <v>0</v>
      </c>
      <c r="II81" s="250">
        <f t="shared" si="808"/>
        <v>0</v>
      </c>
      <c r="IJ81" s="249">
        <f t="shared" si="809"/>
        <v>0</v>
      </c>
      <c r="IK81" s="250">
        <f t="shared" si="810"/>
        <v>0</v>
      </c>
      <c r="IL81" s="252">
        <f t="shared" si="811"/>
        <v>0</v>
      </c>
      <c r="IM81" s="251">
        <f t="shared" si="812"/>
        <v>0</v>
      </c>
      <c r="IO81" s="1"/>
      <c r="IP81" s="2">
        <v>8.3333333333333329E-2</v>
      </c>
      <c r="IQ81" s="257">
        <f t="shared" si="669"/>
        <v>0</v>
      </c>
      <c r="IR81" s="249">
        <f t="shared" si="813"/>
        <v>0</v>
      </c>
      <c r="IS81" s="250">
        <f t="shared" si="814"/>
        <v>0</v>
      </c>
      <c r="IT81" s="279">
        <f t="shared" si="874"/>
        <v>0</v>
      </c>
      <c r="IU81" s="289">
        <f t="shared" si="815"/>
        <v>0</v>
      </c>
      <c r="IV81" s="279">
        <f t="shared" si="874"/>
        <v>0</v>
      </c>
      <c r="IW81" s="289">
        <f t="shared" si="815"/>
        <v>0</v>
      </c>
      <c r="IX81" s="279">
        <f t="shared" si="874"/>
        <v>0</v>
      </c>
      <c r="IY81" s="289">
        <f t="shared" si="816"/>
        <v>0</v>
      </c>
      <c r="IZ81" s="279">
        <f t="shared" si="874"/>
        <v>0</v>
      </c>
      <c r="JA81" s="289">
        <f t="shared" si="817"/>
        <v>0</v>
      </c>
      <c r="JB81" s="279">
        <f t="shared" si="874"/>
        <v>0</v>
      </c>
      <c r="JC81" s="289">
        <f t="shared" si="818"/>
        <v>0</v>
      </c>
      <c r="JD81" s="279">
        <f t="shared" si="874"/>
        <v>0</v>
      </c>
      <c r="JE81" s="289">
        <f t="shared" si="819"/>
        <v>0</v>
      </c>
      <c r="JF81" s="279">
        <f t="shared" si="874"/>
        <v>0</v>
      </c>
      <c r="JG81" s="289">
        <f t="shared" si="820"/>
        <v>0</v>
      </c>
      <c r="JH81" s="279">
        <f t="shared" si="821"/>
        <v>0</v>
      </c>
      <c r="JI81" s="289">
        <f t="shared" si="822"/>
        <v>0</v>
      </c>
      <c r="JJ81" s="279">
        <f t="shared" si="407"/>
        <v>0</v>
      </c>
      <c r="JK81" s="289">
        <f t="shared" si="823"/>
        <v>0</v>
      </c>
      <c r="JL81" s="279">
        <f t="shared" si="824"/>
        <v>0</v>
      </c>
      <c r="JM81" s="289">
        <f t="shared" si="825"/>
        <v>0</v>
      </c>
      <c r="JN81" s="279">
        <f t="shared" si="408"/>
        <v>0</v>
      </c>
      <c r="JO81" s="289">
        <f t="shared" si="826"/>
        <v>0</v>
      </c>
      <c r="JP81" s="252">
        <f t="shared" si="827"/>
        <v>0</v>
      </c>
      <c r="JQ81" s="251">
        <f t="shared" si="828"/>
        <v>0</v>
      </c>
      <c r="JS81" s="1"/>
      <c r="JT81" s="2">
        <v>8.3333333333333329E-2</v>
      </c>
      <c r="JU81" s="257">
        <f t="shared" si="670"/>
        <v>0</v>
      </c>
      <c r="JV81" s="249">
        <f t="shared" si="829"/>
        <v>0</v>
      </c>
      <c r="JW81" s="250">
        <f t="shared" si="830"/>
        <v>0</v>
      </c>
      <c r="JX81" s="372">
        <f t="shared" si="875"/>
        <v>0</v>
      </c>
      <c r="JY81" s="339">
        <f t="shared" si="831"/>
        <v>0</v>
      </c>
      <c r="JZ81" s="372">
        <f t="shared" si="875"/>
        <v>0</v>
      </c>
      <c r="KA81" s="339">
        <f t="shared" si="831"/>
        <v>0</v>
      </c>
      <c r="KB81" s="372">
        <f t="shared" si="875"/>
        <v>0</v>
      </c>
      <c r="KC81" s="339">
        <f t="shared" si="832"/>
        <v>0</v>
      </c>
      <c r="KD81" s="372">
        <f t="shared" si="875"/>
        <v>0</v>
      </c>
      <c r="KE81" s="339">
        <f t="shared" si="833"/>
        <v>0</v>
      </c>
      <c r="KF81" s="372">
        <f t="shared" si="875"/>
        <v>0</v>
      </c>
      <c r="KG81" s="339">
        <f t="shared" si="834"/>
        <v>0</v>
      </c>
      <c r="KH81" s="372">
        <f t="shared" si="875"/>
        <v>0</v>
      </c>
      <c r="KI81" s="339">
        <f t="shared" si="835"/>
        <v>0</v>
      </c>
      <c r="KJ81" s="372">
        <f t="shared" si="875"/>
        <v>0</v>
      </c>
      <c r="KK81" s="339">
        <f t="shared" si="836"/>
        <v>0</v>
      </c>
      <c r="KL81" s="372">
        <f t="shared" si="837"/>
        <v>0</v>
      </c>
      <c r="KM81" s="339">
        <f t="shared" si="838"/>
        <v>0</v>
      </c>
      <c r="KN81" s="372">
        <f t="shared" si="677"/>
        <v>0</v>
      </c>
      <c r="KO81" s="339">
        <f t="shared" si="839"/>
        <v>0</v>
      </c>
      <c r="KP81" s="372">
        <f t="shared" si="840"/>
        <v>0</v>
      </c>
      <c r="KQ81" s="339">
        <f t="shared" si="841"/>
        <v>0</v>
      </c>
      <c r="KR81" s="372">
        <f t="shared" si="678"/>
        <v>0</v>
      </c>
      <c r="KS81" s="377">
        <f t="shared" si="842"/>
        <v>0</v>
      </c>
      <c r="KT81" s="379">
        <f t="shared" si="843"/>
        <v>0</v>
      </c>
      <c r="KU81" s="251">
        <f t="shared" si="679"/>
        <v>0</v>
      </c>
      <c r="KW81" s="1"/>
      <c r="KX81" s="2">
        <v>8.3333333333333329E-2</v>
      </c>
      <c r="KY81" s="254">
        <f t="shared" si="680"/>
        <v>0</v>
      </c>
      <c r="KZ81" s="249">
        <f t="shared" si="876"/>
        <v>0</v>
      </c>
      <c r="LA81" s="251">
        <f t="shared" si="681"/>
        <v>0</v>
      </c>
      <c r="LB81" s="279">
        <f t="shared" si="844"/>
        <v>0</v>
      </c>
      <c r="LC81" s="339">
        <f t="shared" si="845"/>
        <v>0</v>
      </c>
      <c r="LD81" s="279">
        <f t="shared" si="844"/>
        <v>0</v>
      </c>
      <c r="LE81" s="339">
        <f t="shared" si="845"/>
        <v>0</v>
      </c>
      <c r="LF81" s="279">
        <f t="shared" si="844"/>
        <v>0</v>
      </c>
      <c r="LG81" s="339">
        <f t="shared" si="846"/>
        <v>0</v>
      </c>
      <c r="LH81" s="279">
        <f t="shared" si="844"/>
        <v>0</v>
      </c>
      <c r="LI81" s="339">
        <f t="shared" si="847"/>
        <v>0</v>
      </c>
      <c r="LJ81" s="279">
        <f t="shared" si="844"/>
        <v>0</v>
      </c>
      <c r="LK81" s="339">
        <f t="shared" si="848"/>
        <v>0</v>
      </c>
      <c r="LL81" s="279">
        <f t="shared" si="844"/>
        <v>0</v>
      </c>
      <c r="LM81" s="339">
        <f t="shared" si="849"/>
        <v>0</v>
      </c>
      <c r="LN81" s="279">
        <f t="shared" si="844"/>
        <v>0</v>
      </c>
      <c r="LO81" s="339">
        <f t="shared" si="850"/>
        <v>0</v>
      </c>
      <c r="LP81" s="279">
        <f t="shared" si="877"/>
        <v>0</v>
      </c>
      <c r="LQ81" s="339">
        <f t="shared" si="851"/>
        <v>0</v>
      </c>
      <c r="LR81" s="279">
        <f t="shared" si="878"/>
        <v>0</v>
      </c>
      <c r="LS81" s="339">
        <f t="shared" si="852"/>
        <v>0</v>
      </c>
      <c r="LT81" s="279">
        <f t="shared" si="879"/>
        <v>0</v>
      </c>
      <c r="LU81" s="339">
        <f t="shared" si="853"/>
        <v>0</v>
      </c>
      <c r="LV81" s="279">
        <f t="shared" si="880"/>
        <v>0</v>
      </c>
      <c r="LW81" s="339">
        <f t="shared" si="854"/>
        <v>0</v>
      </c>
      <c r="LX81" s="252">
        <f t="shared" si="855"/>
        <v>0</v>
      </c>
      <c r="LY81" s="253">
        <f t="shared" si="856"/>
        <v>0</v>
      </c>
      <c r="MA81" s="249">
        <f t="shared" si="688"/>
        <v>0</v>
      </c>
      <c r="MB81" s="253">
        <f t="shared" si="857"/>
        <v>0</v>
      </c>
      <c r="MC81" s="397">
        <f t="shared" si="689"/>
        <v>0</v>
      </c>
      <c r="MD81" s="253">
        <f t="shared" si="858"/>
        <v>0</v>
      </c>
      <c r="ME81" s="397">
        <f t="shared" si="690"/>
        <v>0</v>
      </c>
      <c r="MF81" s="253">
        <f t="shared" si="858"/>
        <v>0</v>
      </c>
      <c r="MG81" s="397">
        <f t="shared" si="691"/>
        <v>0</v>
      </c>
      <c r="MH81" s="253">
        <f t="shared" si="859"/>
        <v>0</v>
      </c>
      <c r="MI81" s="397">
        <f t="shared" si="692"/>
        <v>0</v>
      </c>
      <c r="MJ81" s="253">
        <f t="shared" si="860"/>
        <v>0</v>
      </c>
      <c r="MK81" s="397">
        <f t="shared" si="693"/>
        <v>0</v>
      </c>
      <c r="ML81" s="253">
        <f t="shared" si="861"/>
        <v>0</v>
      </c>
      <c r="MM81" s="397">
        <f t="shared" si="694"/>
        <v>0</v>
      </c>
      <c r="MN81" s="253">
        <f t="shared" si="862"/>
        <v>0</v>
      </c>
      <c r="MO81" s="397">
        <f t="shared" si="695"/>
        <v>0</v>
      </c>
      <c r="MP81" s="253">
        <f t="shared" si="863"/>
        <v>0</v>
      </c>
      <c r="MQ81" s="397">
        <f t="shared" si="696"/>
        <v>0</v>
      </c>
      <c r="MR81" s="253">
        <f t="shared" si="864"/>
        <v>0</v>
      </c>
      <c r="MS81" s="397">
        <f t="shared" si="697"/>
        <v>0</v>
      </c>
      <c r="MT81" s="253">
        <f t="shared" si="865"/>
        <v>0</v>
      </c>
      <c r="MU81" s="397">
        <f t="shared" si="698"/>
        <v>0</v>
      </c>
      <c r="MV81" s="253">
        <f t="shared" si="866"/>
        <v>0</v>
      </c>
      <c r="MW81" s="397">
        <f t="shared" si="699"/>
        <v>0</v>
      </c>
      <c r="MX81" s="253">
        <f t="shared" si="867"/>
        <v>0</v>
      </c>
      <c r="MY81" s="252">
        <f t="shared" si="868"/>
        <v>0</v>
      </c>
      <c r="MZ81" s="251">
        <f t="shared" si="869"/>
        <v>0</v>
      </c>
    </row>
    <row r="82" spans="1:364" ht="52.8" x14ac:dyDescent="0.25">
      <c r="A82" s="533"/>
      <c r="B82" s="245" t="s">
        <v>172</v>
      </c>
      <c r="C82" s="246" t="s">
        <v>173</v>
      </c>
      <c r="D82" s="247" t="s">
        <v>28</v>
      </c>
      <c r="E82" s="4">
        <v>1</v>
      </c>
      <c r="F82" s="353">
        <v>80258.835388994295</v>
      </c>
      <c r="G82" s="353">
        <f t="shared" si="700"/>
        <v>83603.717900063231</v>
      </c>
      <c r="I82" s="30"/>
      <c r="J82" s="2">
        <v>8.3333333333333329E-2</v>
      </c>
      <c r="K82" s="248">
        <f t="shared" si="701"/>
        <v>0</v>
      </c>
      <c r="L82" s="249"/>
      <c r="M82" s="301">
        <f t="shared" si="445"/>
        <v>0</v>
      </c>
      <c r="N82" s="279">
        <f t="shared" si="450"/>
        <v>0</v>
      </c>
      <c r="O82" s="289">
        <f t="shared" si="883"/>
        <v>0</v>
      </c>
      <c r="P82" s="279">
        <f t="shared" si="451"/>
        <v>0</v>
      </c>
      <c r="Q82" s="289">
        <f t="shared" si="883"/>
        <v>0</v>
      </c>
      <c r="R82" s="279">
        <f t="shared" si="452"/>
        <v>0</v>
      </c>
      <c r="S82" s="289">
        <f t="shared" si="702"/>
        <v>0</v>
      </c>
      <c r="T82" s="279">
        <f t="shared" si="453"/>
        <v>0</v>
      </c>
      <c r="U82" s="289">
        <f t="shared" si="703"/>
        <v>0</v>
      </c>
      <c r="V82" s="279">
        <f t="shared" si="409"/>
        <v>0</v>
      </c>
      <c r="W82" s="289">
        <f t="shared" si="704"/>
        <v>0</v>
      </c>
      <c r="X82" s="279">
        <f t="shared" si="305"/>
        <v>0</v>
      </c>
      <c r="Y82" s="289">
        <f t="shared" si="705"/>
        <v>0</v>
      </c>
      <c r="Z82" s="279">
        <f t="shared" si="454"/>
        <v>0</v>
      </c>
      <c r="AA82" s="289">
        <f t="shared" si="706"/>
        <v>0</v>
      </c>
      <c r="AB82" s="279">
        <f t="shared" si="306"/>
        <v>0</v>
      </c>
      <c r="AC82" s="289">
        <f t="shared" si="707"/>
        <v>0</v>
      </c>
      <c r="AD82" s="279">
        <f t="shared" si="455"/>
        <v>0</v>
      </c>
      <c r="AE82" s="289">
        <f t="shared" si="708"/>
        <v>0</v>
      </c>
      <c r="AF82" s="279">
        <f t="shared" si="307"/>
        <v>0</v>
      </c>
      <c r="AG82" s="289">
        <f t="shared" si="308"/>
        <v>0</v>
      </c>
      <c r="AH82" s="249">
        <f t="shared" si="456"/>
        <v>0</v>
      </c>
      <c r="AI82" s="299">
        <f t="shared" si="309"/>
        <v>0</v>
      </c>
      <c r="AJ82" s="252">
        <f t="shared" si="709"/>
        <v>0</v>
      </c>
      <c r="AK82" s="312">
        <f t="shared" si="710"/>
        <v>0</v>
      </c>
      <c r="AM82" s="1"/>
      <c r="AN82" s="2">
        <v>8.3333333333333329E-2</v>
      </c>
      <c r="AO82" s="254">
        <f t="shared" si="660"/>
        <v>0</v>
      </c>
      <c r="AP82" s="249">
        <f t="shared" si="328"/>
        <v>0</v>
      </c>
      <c r="AQ82" s="301">
        <f t="shared" si="683"/>
        <v>0</v>
      </c>
      <c r="AR82" s="249">
        <f t="shared" si="884"/>
        <v>0</v>
      </c>
      <c r="AS82" s="301">
        <f t="shared" si="683"/>
        <v>0</v>
      </c>
      <c r="AT82" s="249">
        <f t="shared" si="884"/>
        <v>0</v>
      </c>
      <c r="AU82" s="301">
        <f t="shared" si="684"/>
        <v>0</v>
      </c>
      <c r="AV82" s="249">
        <f t="shared" si="884"/>
        <v>0</v>
      </c>
      <c r="AW82" s="301">
        <f t="shared" si="711"/>
        <v>0</v>
      </c>
      <c r="AX82" s="249">
        <f t="shared" si="884"/>
        <v>0</v>
      </c>
      <c r="AY82" s="301">
        <f t="shared" si="712"/>
        <v>0</v>
      </c>
      <c r="AZ82" s="249">
        <f t="shared" si="884"/>
        <v>0</v>
      </c>
      <c r="BA82" s="301">
        <f t="shared" si="713"/>
        <v>0</v>
      </c>
      <c r="BB82" s="249">
        <f t="shared" si="884"/>
        <v>0</v>
      </c>
      <c r="BC82" s="301">
        <f t="shared" si="714"/>
        <v>0</v>
      </c>
      <c r="BD82" s="249">
        <f t="shared" si="884"/>
        <v>0</v>
      </c>
      <c r="BE82" s="301">
        <f t="shared" si="715"/>
        <v>0</v>
      </c>
      <c r="BF82" s="249">
        <f t="shared" si="882"/>
        <v>0</v>
      </c>
      <c r="BG82" s="301">
        <f t="shared" si="716"/>
        <v>0</v>
      </c>
      <c r="BH82" s="249">
        <f t="shared" si="885"/>
        <v>0</v>
      </c>
      <c r="BI82" s="301">
        <f t="shared" si="717"/>
        <v>0</v>
      </c>
      <c r="BJ82" s="249">
        <f t="shared" si="885"/>
        <v>0</v>
      </c>
      <c r="BK82" s="301">
        <f t="shared" si="717"/>
        <v>0</v>
      </c>
      <c r="BL82" s="249">
        <f t="shared" si="661"/>
        <v>0</v>
      </c>
      <c r="BM82" s="299">
        <f t="shared" si="718"/>
        <v>0</v>
      </c>
      <c r="BN82" s="252">
        <f t="shared" si="719"/>
        <v>0</v>
      </c>
      <c r="BO82" s="312">
        <f t="shared" si="685"/>
        <v>0</v>
      </c>
      <c r="BQ82" s="1"/>
      <c r="BR82" s="2"/>
      <c r="BS82" s="255">
        <f t="shared" si="886"/>
        <v>0</v>
      </c>
      <c r="BT82" s="249">
        <f t="shared" si="881"/>
        <v>0</v>
      </c>
      <c r="BU82" s="336">
        <f t="shared" si="720"/>
        <v>0</v>
      </c>
      <c r="BV82" s="279">
        <f t="shared" si="721"/>
        <v>0</v>
      </c>
      <c r="BW82" s="339">
        <f t="shared" si="722"/>
        <v>0</v>
      </c>
      <c r="BX82" s="279">
        <f t="shared" si="721"/>
        <v>0</v>
      </c>
      <c r="BY82" s="339">
        <f t="shared" si="723"/>
        <v>0</v>
      </c>
      <c r="BZ82" s="279">
        <f t="shared" si="721"/>
        <v>0</v>
      </c>
      <c r="CA82" s="339">
        <f t="shared" si="724"/>
        <v>0</v>
      </c>
      <c r="CB82" s="279">
        <f t="shared" si="721"/>
        <v>0</v>
      </c>
      <c r="CC82" s="339">
        <f t="shared" si="725"/>
        <v>0</v>
      </c>
      <c r="CD82" s="279">
        <f t="shared" si="721"/>
        <v>0</v>
      </c>
      <c r="CE82" s="339">
        <f t="shared" si="726"/>
        <v>0</v>
      </c>
      <c r="CF82" s="279">
        <f t="shared" si="721"/>
        <v>0</v>
      </c>
      <c r="CG82" s="339">
        <f t="shared" si="727"/>
        <v>0</v>
      </c>
      <c r="CH82" s="279">
        <f t="shared" si="721"/>
        <v>0</v>
      </c>
      <c r="CI82" s="339">
        <f t="shared" si="728"/>
        <v>0</v>
      </c>
      <c r="CJ82" s="279">
        <f t="shared" si="729"/>
        <v>0</v>
      </c>
      <c r="CK82" s="339">
        <f t="shared" si="730"/>
        <v>0</v>
      </c>
      <c r="CL82" s="279">
        <f t="shared" si="463"/>
        <v>0</v>
      </c>
      <c r="CM82" s="339">
        <f t="shared" si="731"/>
        <v>0</v>
      </c>
      <c r="CN82" s="279">
        <f t="shared" si="732"/>
        <v>0</v>
      </c>
      <c r="CO82" s="339">
        <f t="shared" si="733"/>
        <v>0</v>
      </c>
      <c r="CP82" s="279">
        <f t="shared" si="464"/>
        <v>0</v>
      </c>
      <c r="CQ82" s="250">
        <f t="shared" si="662"/>
        <v>0</v>
      </c>
      <c r="CR82" s="252">
        <f t="shared" si="734"/>
        <v>0</v>
      </c>
      <c r="CS82" s="251">
        <f t="shared" si="448"/>
        <v>0</v>
      </c>
      <c r="CU82" s="1"/>
      <c r="CV82" s="2"/>
      <c r="CW82" s="255">
        <f t="shared" si="299"/>
        <v>0</v>
      </c>
      <c r="CX82" s="249">
        <f t="shared" si="735"/>
        <v>0</v>
      </c>
      <c r="CY82" s="250">
        <f t="shared" si="736"/>
        <v>0</v>
      </c>
      <c r="CZ82" s="279">
        <f t="shared" si="870"/>
        <v>0</v>
      </c>
      <c r="DA82" s="299">
        <f t="shared" si="736"/>
        <v>0</v>
      </c>
      <c r="DB82" s="279">
        <f t="shared" si="870"/>
        <v>0</v>
      </c>
      <c r="DC82" s="299">
        <f t="shared" si="737"/>
        <v>0</v>
      </c>
      <c r="DD82" s="279">
        <f t="shared" si="870"/>
        <v>0</v>
      </c>
      <c r="DE82" s="299">
        <f t="shared" si="738"/>
        <v>0</v>
      </c>
      <c r="DF82" s="279">
        <f t="shared" si="870"/>
        <v>0</v>
      </c>
      <c r="DG82" s="299">
        <f t="shared" si="739"/>
        <v>0</v>
      </c>
      <c r="DH82" s="279">
        <f t="shared" si="870"/>
        <v>0</v>
      </c>
      <c r="DI82" s="299">
        <f t="shared" si="740"/>
        <v>0</v>
      </c>
      <c r="DJ82" s="279">
        <f t="shared" si="870"/>
        <v>0</v>
      </c>
      <c r="DK82" s="299">
        <f t="shared" si="741"/>
        <v>0</v>
      </c>
      <c r="DL82" s="279">
        <f t="shared" si="870"/>
        <v>0</v>
      </c>
      <c r="DM82" s="299">
        <f t="shared" si="742"/>
        <v>0</v>
      </c>
      <c r="DN82" s="279">
        <f t="shared" si="743"/>
        <v>0</v>
      </c>
      <c r="DO82" s="299">
        <f t="shared" si="744"/>
        <v>0</v>
      </c>
      <c r="DP82" s="279">
        <f t="shared" si="471"/>
        <v>0</v>
      </c>
      <c r="DQ82" s="299">
        <f t="shared" si="745"/>
        <v>0</v>
      </c>
      <c r="DR82" s="279">
        <f t="shared" si="746"/>
        <v>0</v>
      </c>
      <c r="DS82" s="299">
        <f t="shared" si="747"/>
        <v>0</v>
      </c>
      <c r="DT82" s="279">
        <f t="shared" si="472"/>
        <v>0</v>
      </c>
      <c r="DU82" s="299">
        <f t="shared" si="748"/>
        <v>0</v>
      </c>
      <c r="DV82" s="252">
        <f t="shared" si="749"/>
        <v>0</v>
      </c>
      <c r="DW82" s="251">
        <f t="shared" si="449"/>
        <v>0</v>
      </c>
      <c r="DY82" s="256">
        <v>0</v>
      </c>
      <c r="DZ82" s="2"/>
      <c r="EA82" s="254">
        <f t="shared" si="663"/>
        <v>0</v>
      </c>
      <c r="EB82" s="249">
        <f t="shared" si="871"/>
        <v>0</v>
      </c>
      <c r="EC82" s="250">
        <f t="shared" si="750"/>
        <v>0</v>
      </c>
      <c r="ED82" s="356">
        <f t="shared" si="871"/>
        <v>0</v>
      </c>
      <c r="EE82" s="250">
        <f t="shared" si="750"/>
        <v>0</v>
      </c>
      <c r="EF82" s="249">
        <f t="shared" si="872"/>
        <v>0</v>
      </c>
      <c r="EG82" s="250">
        <f t="shared" si="751"/>
        <v>0</v>
      </c>
      <c r="EH82" s="249">
        <f t="shared" si="872"/>
        <v>0</v>
      </c>
      <c r="EI82" s="250">
        <f t="shared" si="751"/>
        <v>0</v>
      </c>
      <c r="EJ82" s="249">
        <f t="shared" si="872"/>
        <v>0</v>
      </c>
      <c r="EK82" s="250">
        <f t="shared" si="752"/>
        <v>0</v>
      </c>
      <c r="EL82" s="249">
        <f t="shared" si="872"/>
        <v>0</v>
      </c>
      <c r="EM82" s="250">
        <f t="shared" si="753"/>
        <v>0</v>
      </c>
      <c r="EN82" s="249">
        <f t="shared" si="872"/>
        <v>0</v>
      </c>
      <c r="EO82" s="250">
        <f t="shared" si="754"/>
        <v>0</v>
      </c>
      <c r="EP82" s="249">
        <f t="shared" si="872"/>
        <v>0</v>
      </c>
      <c r="EQ82" s="250">
        <f t="shared" si="755"/>
        <v>0</v>
      </c>
      <c r="ER82" s="249">
        <f t="shared" si="872"/>
        <v>0</v>
      </c>
      <c r="ES82" s="250">
        <f t="shared" si="756"/>
        <v>0</v>
      </c>
      <c r="ET82" s="249">
        <f t="shared" si="391"/>
        <v>0</v>
      </c>
      <c r="EU82" s="250">
        <f t="shared" si="757"/>
        <v>0</v>
      </c>
      <c r="EV82" s="249">
        <f t="shared" si="758"/>
        <v>0</v>
      </c>
      <c r="EW82" s="250">
        <f t="shared" si="759"/>
        <v>0</v>
      </c>
      <c r="EX82" s="249">
        <f t="shared" si="392"/>
        <v>0</v>
      </c>
      <c r="EY82" s="250">
        <f t="shared" si="760"/>
        <v>0</v>
      </c>
      <c r="EZ82" s="252">
        <f t="shared" si="761"/>
        <v>0</v>
      </c>
      <c r="FA82" s="251">
        <f t="shared" si="664"/>
        <v>0</v>
      </c>
      <c r="FC82" s="1"/>
      <c r="FD82" s="2"/>
      <c r="FE82" s="257">
        <f t="shared" si="152"/>
        <v>0</v>
      </c>
      <c r="FF82" s="249">
        <f t="shared" si="762"/>
        <v>0</v>
      </c>
      <c r="FG82" s="250">
        <f t="shared" si="763"/>
        <v>0</v>
      </c>
      <c r="FH82" s="372">
        <f t="shared" si="873"/>
        <v>0</v>
      </c>
      <c r="FI82" s="339">
        <f t="shared" si="764"/>
        <v>0</v>
      </c>
      <c r="FJ82" s="372">
        <f t="shared" si="873"/>
        <v>0</v>
      </c>
      <c r="FK82" s="339">
        <f t="shared" si="764"/>
        <v>0</v>
      </c>
      <c r="FL82" s="372">
        <f t="shared" si="873"/>
        <v>0</v>
      </c>
      <c r="FM82" s="339">
        <f t="shared" si="765"/>
        <v>0</v>
      </c>
      <c r="FN82" s="372">
        <f t="shared" si="873"/>
        <v>0</v>
      </c>
      <c r="FO82" s="339">
        <f t="shared" si="766"/>
        <v>0</v>
      </c>
      <c r="FP82" s="372">
        <f t="shared" si="873"/>
        <v>0</v>
      </c>
      <c r="FQ82" s="339">
        <f t="shared" si="767"/>
        <v>0</v>
      </c>
      <c r="FR82" s="372">
        <f t="shared" si="873"/>
        <v>0</v>
      </c>
      <c r="FS82" s="339">
        <f t="shared" si="768"/>
        <v>0</v>
      </c>
      <c r="FT82" s="372">
        <f t="shared" si="873"/>
        <v>0</v>
      </c>
      <c r="FU82" s="339">
        <f t="shared" si="769"/>
        <v>0</v>
      </c>
      <c r="FV82" s="372">
        <f t="shared" si="770"/>
        <v>0</v>
      </c>
      <c r="FW82" s="339">
        <f t="shared" si="771"/>
        <v>0</v>
      </c>
      <c r="FX82" s="372">
        <f t="shared" si="479"/>
        <v>0</v>
      </c>
      <c r="FY82" s="339">
        <f t="shared" si="772"/>
        <v>0</v>
      </c>
      <c r="FZ82" s="372">
        <f t="shared" si="773"/>
        <v>0</v>
      </c>
      <c r="GA82" s="339">
        <f t="shared" si="774"/>
        <v>0</v>
      </c>
      <c r="GB82" s="372">
        <f t="shared" si="480"/>
        <v>0</v>
      </c>
      <c r="GC82" s="339">
        <f t="shared" si="775"/>
        <v>0</v>
      </c>
      <c r="GD82" s="252">
        <f t="shared" si="776"/>
        <v>0</v>
      </c>
      <c r="GE82" s="251">
        <f t="shared" si="686"/>
        <v>0</v>
      </c>
      <c r="GG82" s="1"/>
      <c r="GH82" s="2">
        <v>0.2</v>
      </c>
      <c r="GI82" s="257">
        <f t="shared" si="665"/>
        <v>0</v>
      </c>
      <c r="GJ82" s="249">
        <f t="shared" si="777"/>
        <v>0</v>
      </c>
      <c r="GK82" s="250">
        <f t="shared" si="778"/>
        <v>0</v>
      </c>
      <c r="GL82" s="249">
        <f t="shared" si="777"/>
        <v>0</v>
      </c>
      <c r="GM82" s="250">
        <f t="shared" si="778"/>
        <v>0</v>
      </c>
      <c r="GN82" s="249">
        <f t="shared" si="777"/>
        <v>0</v>
      </c>
      <c r="GO82" s="250">
        <f t="shared" si="779"/>
        <v>0</v>
      </c>
      <c r="GP82" s="249">
        <f t="shared" si="777"/>
        <v>0</v>
      </c>
      <c r="GQ82" s="250">
        <f t="shared" si="780"/>
        <v>0</v>
      </c>
      <c r="GR82" s="249">
        <f t="shared" si="777"/>
        <v>0</v>
      </c>
      <c r="GS82" s="250">
        <f t="shared" si="781"/>
        <v>0</v>
      </c>
      <c r="GT82" s="249">
        <f t="shared" si="777"/>
        <v>0</v>
      </c>
      <c r="GU82" s="250">
        <f t="shared" si="782"/>
        <v>0</v>
      </c>
      <c r="GV82" s="249">
        <f t="shared" si="777"/>
        <v>0</v>
      </c>
      <c r="GW82" s="250">
        <f t="shared" si="783"/>
        <v>0</v>
      </c>
      <c r="GX82" s="249">
        <f t="shared" si="784"/>
        <v>0</v>
      </c>
      <c r="GY82" s="250">
        <f t="shared" si="785"/>
        <v>0</v>
      </c>
      <c r="GZ82" s="249">
        <f t="shared" si="786"/>
        <v>0</v>
      </c>
      <c r="HA82" s="250">
        <f t="shared" si="787"/>
        <v>0</v>
      </c>
      <c r="HB82" s="249">
        <f t="shared" si="788"/>
        <v>0</v>
      </c>
      <c r="HC82" s="250">
        <f t="shared" si="789"/>
        <v>0</v>
      </c>
      <c r="HD82" s="249">
        <f t="shared" si="790"/>
        <v>0</v>
      </c>
      <c r="HE82" s="250">
        <f t="shared" si="791"/>
        <v>0</v>
      </c>
      <c r="HF82" s="249">
        <f t="shared" si="792"/>
        <v>0</v>
      </c>
      <c r="HG82" s="250">
        <f t="shared" si="793"/>
        <v>0</v>
      </c>
      <c r="HH82" s="252">
        <f t="shared" si="794"/>
        <v>0</v>
      </c>
      <c r="HI82" s="251">
        <f t="shared" si="666"/>
        <v>0</v>
      </c>
      <c r="HK82" s="1"/>
      <c r="HL82" s="2"/>
      <c r="HM82" s="257">
        <f t="shared" si="667"/>
        <v>0</v>
      </c>
      <c r="HN82" s="249">
        <f t="shared" si="795"/>
        <v>0</v>
      </c>
      <c r="HO82" s="250">
        <f t="shared" si="668"/>
        <v>0</v>
      </c>
      <c r="HP82" s="249">
        <f t="shared" si="796"/>
        <v>0</v>
      </c>
      <c r="HQ82" s="250">
        <f t="shared" si="797"/>
        <v>0</v>
      </c>
      <c r="HR82" s="249">
        <f t="shared" si="796"/>
        <v>0</v>
      </c>
      <c r="HS82" s="250">
        <f t="shared" si="797"/>
        <v>0</v>
      </c>
      <c r="HT82" s="249">
        <f t="shared" si="796"/>
        <v>0</v>
      </c>
      <c r="HU82" s="250">
        <f t="shared" si="798"/>
        <v>0</v>
      </c>
      <c r="HV82" s="249">
        <f t="shared" si="796"/>
        <v>0</v>
      </c>
      <c r="HW82" s="250">
        <f t="shared" si="799"/>
        <v>0</v>
      </c>
      <c r="HX82" s="249">
        <f t="shared" si="796"/>
        <v>0</v>
      </c>
      <c r="HY82" s="250">
        <f t="shared" si="800"/>
        <v>0</v>
      </c>
      <c r="HZ82" s="249">
        <f t="shared" si="796"/>
        <v>0</v>
      </c>
      <c r="IA82" s="250">
        <f t="shared" si="801"/>
        <v>0</v>
      </c>
      <c r="IB82" s="249">
        <f t="shared" si="796"/>
        <v>0</v>
      </c>
      <c r="IC82" s="250">
        <f t="shared" si="802"/>
        <v>0</v>
      </c>
      <c r="ID82" s="249">
        <f t="shared" si="803"/>
        <v>0</v>
      </c>
      <c r="IE82" s="250">
        <f t="shared" si="804"/>
        <v>0</v>
      </c>
      <c r="IF82" s="249">
        <f t="shared" si="805"/>
        <v>0</v>
      </c>
      <c r="IG82" s="250">
        <f t="shared" si="806"/>
        <v>0</v>
      </c>
      <c r="IH82" s="249">
        <f t="shared" si="807"/>
        <v>0</v>
      </c>
      <c r="II82" s="250">
        <f t="shared" si="808"/>
        <v>0</v>
      </c>
      <c r="IJ82" s="249">
        <f t="shared" si="809"/>
        <v>0</v>
      </c>
      <c r="IK82" s="250">
        <f t="shared" si="810"/>
        <v>0</v>
      </c>
      <c r="IL82" s="252">
        <f t="shared" si="811"/>
        <v>0</v>
      </c>
      <c r="IM82" s="251">
        <f t="shared" si="812"/>
        <v>0</v>
      </c>
      <c r="IO82" s="1"/>
      <c r="IP82" s="2">
        <v>8.3333333333333329E-2</v>
      </c>
      <c r="IQ82" s="257">
        <f t="shared" si="669"/>
        <v>0</v>
      </c>
      <c r="IR82" s="249">
        <f t="shared" si="813"/>
        <v>0</v>
      </c>
      <c r="IS82" s="250">
        <f t="shared" si="814"/>
        <v>0</v>
      </c>
      <c r="IT82" s="279">
        <f t="shared" si="874"/>
        <v>0</v>
      </c>
      <c r="IU82" s="289">
        <f t="shared" si="815"/>
        <v>0</v>
      </c>
      <c r="IV82" s="279">
        <f t="shared" si="874"/>
        <v>0</v>
      </c>
      <c r="IW82" s="289">
        <f t="shared" si="815"/>
        <v>0</v>
      </c>
      <c r="IX82" s="279">
        <f t="shared" si="874"/>
        <v>0</v>
      </c>
      <c r="IY82" s="289">
        <f t="shared" si="816"/>
        <v>0</v>
      </c>
      <c r="IZ82" s="279">
        <f t="shared" si="874"/>
        <v>0</v>
      </c>
      <c r="JA82" s="289">
        <f t="shared" si="817"/>
        <v>0</v>
      </c>
      <c r="JB82" s="279">
        <f t="shared" si="874"/>
        <v>0</v>
      </c>
      <c r="JC82" s="289">
        <f t="shared" si="818"/>
        <v>0</v>
      </c>
      <c r="JD82" s="279">
        <f t="shared" si="874"/>
        <v>0</v>
      </c>
      <c r="JE82" s="289">
        <f t="shared" si="819"/>
        <v>0</v>
      </c>
      <c r="JF82" s="279">
        <f t="shared" si="874"/>
        <v>0</v>
      </c>
      <c r="JG82" s="289">
        <f t="shared" si="820"/>
        <v>0</v>
      </c>
      <c r="JH82" s="279">
        <f t="shared" si="821"/>
        <v>0</v>
      </c>
      <c r="JI82" s="289">
        <f t="shared" si="822"/>
        <v>0</v>
      </c>
      <c r="JJ82" s="279">
        <f t="shared" si="407"/>
        <v>0</v>
      </c>
      <c r="JK82" s="289">
        <f t="shared" si="823"/>
        <v>0</v>
      </c>
      <c r="JL82" s="279">
        <f t="shared" si="824"/>
        <v>0</v>
      </c>
      <c r="JM82" s="289">
        <f t="shared" si="825"/>
        <v>0</v>
      </c>
      <c r="JN82" s="279">
        <f t="shared" si="408"/>
        <v>0</v>
      </c>
      <c r="JO82" s="289">
        <f t="shared" si="826"/>
        <v>0</v>
      </c>
      <c r="JP82" s="252">
        <f t="shared" si="827"/>
        <v>0</v>
      </c>
      <c r="JQ82" s="251">
        <f t="shared" si="828"/>
        <v>0</v>
      </c>
      <c r="JS82" s="1"/>
      <c r="JT82" s="2">
        <v>8.3333333333333329E-2</v>
      </c>
      <c r="JU82" s="257">
        <f t="shared" si="670"/>
        <v>0</v>
      </c>
      <c r="JV82" s="249">
        <f t="shared" si="829"/>
        <v>0</v>
      </c>
      <c r="JW82" s="250">
        <f t="shared" si="830"/>
        <v>0</v>
      </c>
      <c r="JX82" s="372">
        <f t="shared" si="875"/>
        <v>0</v>
      </c>
      <c r="JY82" s="339">
        <f t="shared" si="831"/>
        <v>0</v>
      </c>
      <c r="JZ82" s="372">
        <f t="shared" si="875"/>
        <v>0</v>
      </c>
      <c r="KA82" s="339">
        <f t="shared" si="831"/>
        <v>0</v>
      </c>
      <c r="KB82" s="372">
        <f t="shared" si="875"/>
        <v>0</v>
      </c>
      <c r="KC82" s="339">
        <f t="shared" si="832"/>
        <v>0</v>
      </c>
      <c r="KD82" s="372">
        <f t="shared" si="875"/>
        <v>0</v>
      </c>
      <c r="KE82" s="339">
        <f t="shared" si="833"/>
        <v>0</v>
      </c>
      <c r="KF82" s="372">
        <f t="shared" si="875"/>
        <v>0</v>
      </c>
      <c r="KG82" s="339">
        <f t="shared" si="834"/>
        <v>0</v>
      </c>
      <c r="KH82" s="372">
        <f t="shared" si="875"/>
        <v>0</v>
      </c>
      <c r="KI82" s="339">
        <f t="shared" si="835"/>
        <v>0</v>
      </c>
      <c r="KJ82" s="372">
        <f t="shared" si="875"/>
        <v>0</v>
      </c>
      <c r="KK82" s="339">
        <f t="shared" si="836"/>
        <v>0</v>
      </c>
      <c r="KL82" s="372">
        <f t="shared" si="837"/>
        <v>0</v>
      </c>
      <c r="KM82" s="339">
        <f t="shared" si="838"/>
        <v>0</v>
      </c>
      <c r="KN82" s="372">
        <f t="shared" si="677"/>
        <v>0</v>
      </c>
      <c r="KO82" s="339">
        <f t="shared" si="839"/>
        <v>0</v>
      </c>
      <c r="KP82" s="372">
        <f t="shared" si="840"/>
        <v>0</v>
      </c>
      <c r="KQ82" s="339">
        <f t="shared" si="841"/>
        <v>0</v>
      </c>
      <c r="KR82" s="372">
        <f t="shared" si="678"/>
        <v>0</v>
      </c>
      <c r="KS82" s="377">
        <f t="shared" si="842"/>
        <v>0</v>
      </c>
      <c r="KT82" s="379">
        <f t="shared" si="843"/>
        <v>0</v>
      </c>
      <c r="KU82" s="251">
        <f t="shared" si="679"/>
        <v>0</v>
      </c>
      <c r="KW82" s="1"/>
      <c r="KX82" s="2">
        <v>8.3333333333333329E-2</v>
      </c>
      <c r="KY82" s="254">
        <f t="shared" si="680"/>
        <v>0</v>
      </c>
      <c r="KZ82" s="249">
        <f t="shared" si="876"/>
        <v>0</v>
      </c>
      <c r="LA82" s="251">
        <f t="shared" si="681"/>
        <v>0</v>
      </c>
      <c r="LB82" s="279">
        <f t="shared" si="844"/>
        <v>0</v>
      </c>
      <c r="LC82" s="339">
        <f t="shared" si="845"/>
        <v>0</v>
      </c>
      <c r="LD82" s="279">
        <f t="shared" si="844"/>
        <v>0</v>
      </c>
      <c r="LE82" s="339">
        <f t="shared" si="845"/>
        <v>0</v>
      </c>
      <c r="LF82" s="279">
        <f t="shared" si="844"/>
        <v>0</v>
      </c>
      <c r="LG82" s="339">
        <f t="shared" si="846"/>
        <v>0</v>
      </c>
      <c r="LH82" s="279">
        <f t="shared" si="844"/>
        <v>0</v>
      </c>
      <c r="LI82" s="339">
        <f t="shared" si="847"/>
        <v>0</v>
      </c>
      <c r="LJ82" s="279">
        <f t="shared" si="844"/>
        <v>0</v>
      </c>
      <c r="LK82" s="339">
        <f t="shared" si="848"/>
        <v>0</v>
      </c>
      <c r="LL82" s="279">
        <f t="shared" si="844"/>
        <v>0</v>
      </c>
      <c r="LM82" s="339">
        <f t="shared" si="849"/>
        <v>0</v>
      </c>
      <c r="LN82" s="279">
        <f t="shared" si="844"/>
        <v>0</v>
      </c>
      <c r="LO82" s="339">
        <f t="shared" si="850"/>
        <v>0</v>
      </c>
      <c r="LP82" s="279">
        <f t="shared" si="877"/>
        <v>0</v>
      </c>
      <c r="LQ82" s="339">
        <f t="shared" si="851"/>
        <v>0</v>
      </c>
      <c r="LR82" s="279">
        <f t="shared" si="878"/>
        <v>0</v>
      </c>
      <c r="LS82" s="339">
        <f t="shared" si="852"/>
        <v>0</v>
      </c>
      <c r="LT82" s="279">
        <f t="shared" si="879"/>
        <v>0</v>
      </c>
      <c r="LU82" s="339">
        <f t="shared" si="853"/>
        <v>0</v>
      </c>
      <c r="LV82" s="279">
        <f t="shared" si="880"/>
        <v>0</v>
      </c>
      <c r="LW82" s="339">
        <f t="shared" si="854"/>
        <v>0</v>
      </c>
      <c r="LX82" s="252">
        <f t="shared" si="855"/>
        <v>0</v>
      </c>
      <c r="LY82" s="253">
        <f t="shared" si="856"/>
        <v>0</v>
      </c>
      <c r="MA82" s="249">
        <f t="shared" si="688"/>
        <v>0</v>
      </c>
      <c r="MB82" s="253">
        <f t="shared" si="857"/>
        <v>0</v>
      </c>
      <c r="MC82" s="397">
        <f t="shared" si="689"/>
        <v>0</v>
      </c>
      <c r="MD82" s="253">
        <f t="shared" si="858"/>
        <v>0</v>
      </c>
      <c r="ME82" s="397">
        <f t="shared" si="690"/>
        <v>0</v>
      </c>
      <c r="MF82" s="253">
        <f t="shared" si="858"/>
        <v>0</v>
      </c>
      <c r="MG82" s="397">
        <f t="shared" si="691"/>
        <v>0</v>
      </c>
      <c r="MH82" s="253">
        <f t="shared" si="859"/>
        <v>0</v>
      </c>
      <c r="MI82" s="397">
        <f t="shared" si="692"/>
        <v>0</v>
      </c>
      <c r="MJ82" s="253">
        <f t="shared" si="860"/>
        <v>0</v>
      </c>
      <c r="MK82" s="397">
        <f t="shared" si="693"/>
        <v>0</v>
      </c>
      <c r="ML82" s="253">
        <f t="shared" si="861"/>
        <v>0</v>
      </c>
      <c r="MM82" s="397">
        <f t="shared" si="694"/>
        <v>0</v>
      </c>
      <c r="MN82" s="253">
        <f t="shared" si="862"/>
        <v>0</v>
      </c>
      <c r="MO82" s="397">
        <f t="shared" si="695"/>
        <v>0</v>
      </c>
      <c r="MP82" s="253">
        <f t="shared" si="863"/>
        <v>0</v>
      </c>
      <c r="MQ82" s="397">
        <f t="shared" si="696"/>
        <v>0</v>
      </c>
      <c r="MR82" s="253">
        <f t="shared" si="864"/>
        <v>0</v>
      </c>
      <c r="MS82" s="397">
        <f t="shared" si="697"/>
        <v>0</v>
      </c>
      <c r="MT82" s="253">
        <f t="shared" si="865"/>
        <v>0</v>
      </c>
      <c r="MU82" s="397">
        <f t="shared" si="698"/>
        <v>0</v>
      </c>
      <c r="MV82" s="253">
        <f t="shared" si="866"/>
        <v>0</v>
      </c>
      <c r="MW82" s="397">
        <f t="shared" si="699"/>
        <v>0</v>
      </c>
      <c r="MX82" s="253">
        <f t="shared" si="867"/>
        <v>0</v>
      </c>
      <c r="MY82" s="252">
        <f t="shared" si="868"/>
        <v>0</v>
      </c>
      <c r="MZ82" s="251">
        <f t="shared" si="869"/>
        <v>0</v>
      </c>
    </row>
    <row r="83" spans="1:364" ht="52.8" x14ac:dyDescent="0.25">
      <c r="A83" s="533"/>
      <c r="B83" s="245" t="s">
        <v>174</v>
      </c>
      <c r="C83" s="246" t="s">
        <v>175</v>
      </c>
      <c r="D83" s="247" t="s">
        <v>28</v>
      </c>
      <c r="E83" s="4">
        <v>1</v>
      </c>
      <c r="F83" s="353">
        <v>73761.711337760906</v>
      </c>
      <c r="G83" s="353">
        <f t="shared" si="700"/>
        <v>76835.818469323203</v>
      </c>
      <c r="I83" s="30"/>
      <c r="J83" s="2">
        <v>8.3333333333333329E-2</v>
      </c>
      <c r="K83" s="248">
        <f t="shared" si="701"/>
        <v>0</v>
      </c>
      <c r="L83" s="249"/>
      <c r="M83" s="301">
        <f t="shared" si="445"/>
        <v>0</v>
      </c>
      <c r="N83" s="279">
        <f t="shared" si="450"/>
        <v>0</v>
      </c>
      <c r="O83" s="289">
        <f t="shared" si="883"/>
        <v>0</v>
      </c>
      <c r="P83" s="279">
        <f t="shared" si="451"/>
        <v>0</v>
      </c>
      <c r="Q83" s="289">
        <f t="shared" si="883"/>
        <v>0</v>
      </c>
      <c r="R83" s="279">
        <f t="shared" si="452"/>
        <v>0</v>
      </c>
      <c r="S83" s="289">
        <f t="shared" si="702"/>
        <v>0</v>
      </c>
      <c r="T83" s="279">
        <f t="shared" si="453"/>
        <v>0</v>
      </c>
      <c r="U83" s="289">
        <f t="shared" si="703"/>
        <v>0</v>
      </c>
      <c r="V83" s="279">
        <f t="shared" si="409"/>
        <v>0</v>
      </c>
      <c r="W83" s="289">
        <f t="shared" si="704"/>
        <v>0</v>
      </c>
      <c r="X83" s="279">
        <f t="shared" si="305"/>
        <v>0</v>
      </c>
      <c r="Y83" s="289">
        <f t="shared" si="705"/>
        <v>0</v>
      </c>
      <c r="Z83" s="279">
        <f t="shared" si="454"/>
        <v>0</v>
      </c>
      <c r="AA83" s="289">
        <f t="shared" si="706"/>
        <v>0</v>
      </c>
      <c r="AB83" s="279">
        <f t="shared" si="306"/>
        <v>0</v>
      </c>
      <c r="AC83" s="289">
        <f t="shared" si="707"/>
        <v>0</v>
      </c>
      <c r="AD83" s="279">
        <f t="shared" si="455"/>
        <v>0</v>
      </c>
      <c r="AE83" s="289">
        <f t="shared" si="708"/>
        <v>0</v>
      </c>
      <c r="AF83" s="279">
        <f t="shared" si="307"/>
        <v>0</v>
      </c>
      <c r="AG83" s="289">
        <f t="shared" si="308"/>
        <v>0</v>
      </c>
      <c r="AH83" s="249">
        <f t="shared" si="456"/>
        <v>0</v>
      </c>
      <c r="AI83" s="299">
        <f t="shared" si="309"/>
        <v>0</v>
      </c>
      <c r="AJ83" s="252">
        <f t="shared" si="709"/>
        <v>0</v>
      </c>
      <c r="AK83" s="312">
        <f t="shared" si="710"/>
        <v>0</v>
      </c>
      <c r="AM83" s="1"/>
      <c r="AN83" s="2">
        <v>8.3333333333333329E-2</v>
      </c>
      <c r="AO83" s="254">
        <f t="shared" si="660"/>
        <v>0</v>
      </c>
      <c r="AP83" s="249">
        <f t="shared" si="328"/>
        <v>0</v>
      </c>
      <c r="AQ83" s="301">
        <f t="shared" si="683"/>
        <v>0</v>
      </c>
      <c r="AR83" s="249">
        <f t="shared" si="884"/>
        <v>0</v>
      </c>
      <c r="AS83" s="301">
        <f t="shared" si="683"/>
        <v>0</v>
      </c>
      <c r="AT83" s="249">
        <f t="shared" si="884"/>
        <v>0</v>
      </c>
      <c r="AU83" s="301">
        <f t="shared" si="684"/>
        <v>0</v>
      </c>
      <c r="AV83" s="249">
        <f t="shared" si="884"/>
        <v>0</v>
      </c>
      <c r="AW83" s="301">
        <f t="shared" si="711"/>
        <v>0</v>
      </c>
      <c r="AX83" s="249">
        <f t="shared" si="884"/>
        <v>0</v>
      </c>
      <c r="AY83" s="301">
        <f t="shared" si="712"/>
        <v>0</v>
      </c>
      <c r="AZ83" s="249">
        <f t="shared" si="884"/>
        <v>0</v>
      </c>
      <c r="BA83" s="301">
        <f t="shared" si="713"/>
        <v>0</v>
      </c>
      <c r="BB83" s="249">
        <f t="shared" si="884"/>
        <v>0</v>
      </c>
      <c r="BC83" s="301">
        <f t="shared" si="714"/>
        <v>0</v>
      </c>
      <c r="BD83" s="249">
        <f t="shared" si="884"/>
        <v>0</v>
      </c>
      <c r="BE83" s="301">
        <f t="shared" si="715"/>
        <v>0</v>
      </c>
      <c r="BF83" s="249">
        <f t="shared" si="882"/>
        <v>0</v>
      </c>
      <c r="BG83" s="301">
        <f t="shared" si="716"/>
        <v>0</v>
      </c>
      <c r="BH83" s="249">
        <f t="shared" si="885"/>
        <v>0</v>
      </c>
      <c r="BI83" s="301">
        <f t="shared" si="717"/>
        <v>0</v>
      </c>
      <c r="BJ83" s="249">
        <f t="shared" si="885"/>
        <v>0</v>
      </c>
      <c r="BK83" s="301">
        <f t="shared" si="717"/>
        <v>0</v>
      </c>
      <c r="BL83" s="249">
        <f t="shared" si="661"/>
        <v>0</v>
      </c>
      <c r="BM83" s="299">
        <f t="shared" si="718"/>
        <v>0</v>
      </c>
      <c r="BN83" s="252">
        <f t="shared" si="719"/>
        <v>0</v>
      </c>
      <c r="BO83" s="312">
        <f t="shared" si="685"/>
        <v>0</v>
      </c>
      <c r="BQ83" s="1"/>
      <c r="BR83" s="2"/>
      <c r="BS83" s="255">
        <f t="shared" si="886"/>
        <v>0</v>
      </c>
      <c r="BT83" s="249">
        <f t="shared" si="881"/>
        <v>0</v>
      </c>
      <c r="BU83" s="336">
        <f t="shared" si="720"/>
        <v>0</v>
      </c>
      <c r="BV83" s="279">
        <f t="shared" si="721"/>
        <v>0</v>
      </c>
      <c r="BW83" s="339">
        <f t="shared" si="722"/>
        <v>0</v>
      </c>
      <c r="BX83" s="279">
        <f t="shared" si="721"/>
        <v>0</v>
      </c>
      <c r="BY83" s="339">
        <f t="shared" si="723"/>
        <v>0</v>
      </c>
      <c r="BZ83" s="279">
        <f t="shared" si="721"/>
        <v>0</v>
      </c>
      <c r="CA83" s="339">
        <f t="shared" si="724"/>
        <v>0</v>
      </c>
      <c r="CB83" s="279">
        <f t="shared" si="721"/>
        <v>0</v>
      </c>
      <c r="CC83" s="339">
        <f t="shared" si="725"/>
        <v>0</v>
      </c>
      <c r="CD83" s="279">
        <f t="shared" si="721"/>
        <v>0</v>
      </c>
      <c r="CE83" s="339">
        <f t="shared" si="726"/>
        <v>0</v>
      </c>
      <c r="CF83" s="279">
        <f t="shared" si="721"/>
        <v>0</v>
      </c>
      <c r="CG83" s="339">
        <f t="shared" si="727"/>
        <v>0</v>
      </c>
      <c r="CH83" s="279">
        <f t="shared" si="721"/>
        <v>0</v>
      </c>
      <c r="CI83" s="339">
        <f t="shared" si="728"/>
        <v>0</v>
      </c>
      <c r="CJ83" s="279">
        <f t="shared" si="729"/>
        <v>0</v>
      </c>
      <c r="CK83" s="339">
        <f t="shared" si="730"/>
        <v>0</v>
      </c>
      <c r="CL83" s="279">
        <f t="shared" si="463"/>
        <v>0</v>
      </c>
      <c r="CM83" s="339">
        <f t="shared" si="731"/>
        <v>0</v>
      </c>
      <c r="CN83" s="279">
        <f t="shared" si="732"/>
        <v>0</v>
      </c>
      <c r="CO83" s="339">
        <f t="shared" si="733"/>
        <v>0</v>
      </c>
      <c r="CP83" s="279">
        <f t="shared" si="464"/>
        <v>0</v>
      </c>
      <c r="CQ83" s="250">
        <f t="shared" si="662"/>
        <v>0</v>
      </c>
      <c r="CR83" s="252">
        <f t="shared" si="734"/>
        <v>0</v>
      </c>
      <c r="CS83" s="251">
        <f t="shared" ref="CS83:CS110" si="887">+CR83*G83</f>
        <v>0</v>
      </c>
      <c r="CU83" s="1"/>
      <c r="CV83" s="2"/>
      <c r="CW83" s="255">
        <f t="shared" si="299"/>
        <v>0</v>
      </c>
      <c r="CX83" s="249">
        <f t="shared" si="735"/>
        <v>0</v>
      </c>
      <c r="CY83" s="250">
        <f t="shared" si="736"/>
        <v>0</v>
      </c>
      <c r="CZ83" s="279">
        <f t="shared" si="870"/>
        <v>0</v>
      </c>
      <c r="DA83" s="299">
        <f t="shared" si="736"/>
        <v>0</v>
      </c>
      <c r="DB83" s="279">
        <f t="shared" si="870"/>
        <v>0</v>
      </c>
      <c r="DC83" s="299">
        <f t="shared" si="737"/>
        <v>0</v>
      </c>
      <c r="DD83" s="279">
        <f t="shared" si="870"/>
        <v>0</v>
      </c>
      <c r="DE83" s="299">
        <f t="shared" si="738"/>
        <v>0</v>
      </c>
      <c r="DF83" s="279">
        <f t="shared" si="870"/>
        <v>0</v>
      </c>
      <c r="DG83" s="299">
        <f t="shared" si="739"/>
        <v>0</v>
      </c>
      <c r="DH83" s="279">
        <f t="shared" si="870"/>
        <v>0</v>
      </c>
      <c r="DI83" s="299">
        <f t="shared" si="740"/>
        <v>0</v>
      </c>
      <c r="DJ83" s="279">
        <f t="shared" si="870"/>
        <v>0</v>
      </c>
      <c r="DK83" s="299">
        <f t="shared" si="741"/>
        <v>0</v>
      </c>
      <c r="DL83" s="279">
        <f t="shared" si="870"/>
        <v>0</v>
      </c>
      <c r="DM83" s="299">
        <f t="shared" si="742"/>
        <v>0</v>
      </c>
      <c r="DN83" s="279">
        <f t="shared" si="743"/>
        <v>0</v>
      </c>
      <c r="DO83" s="299">
        <f t="shared" si="744"/>
        <v>0</v>
      </c>
      <c r="DP83" s="279">
        <f t="shared" si="471"/>
        <v>0</v>
      </c>
      <c r="DQ83" s="299">
        <f t="shared" si="745"/>
        <v>0</v>
      </c>
      <c r="DR83" s="279">
        <f t="shared" si="746"/>
        <v>0</v>
      </c>
      <c r="DS83" s="299">
        <f t="shared" si="747"/>
        <v>0</v>
      </c>
      <c r="DT83" s="279">
        <f t="shared" si="472"/>
        <v>0</v>
      </c>
      <c r="DU83" s="299">
        <f t="shared" si="748"/>
        <v>0</v>
      </c>
      <c r="DV83" s="252">
        <f t="shared" si="749"/>
        <v>0</v>
      </c>
      <c r="DW83" s="251">
        <f t="shared" ref="DW83:DW110" si="888">+DV83*G83</f>
        <v>0</v>
      </c>
      <c r="DY83" s="256">
        <v>0</v>
      </c>
      <c r="DZ83" s="2"/>
      <c r="EA83" s="254">
        <f t="shared" si="663"/>
        <v>0</v>
      </c>
      <c r="EB83" s="249">
        <f t="shared" si="871"/>
        <v>0</v>
      </c>
      <c r="EC83" s="250">
        <f t="shared" si="750"/>
        <v>0</v>
      </c>
      <c r="ED83" s="356">
        <f t="shared" si="871"/>
        <v>0</v>
      </c>
      <c r="EE83" s="250">
        <f t="shared" si="750"/>
        <v>0</v>
      </c>
      <c r="EF83" s="249">
        <f t="shared" si="872"/>
        <v>0</v>
      </c>
      <c r="EG83" s="250">
        <f t="shared" si="751"/>
        <v>0</v>
      </c>
      <c r="EH83" s="249">
        <f t="shared" si="872"/>
        <v>0</v>
      </c>
      <c r="EI83" s="250">
        <f t="shared" si="751"/>
        <v>0</v>
      </c>
      <c r="EJ83" s="249">
        <f t="shared" si="872"/>
        <v>0</v>
      </c>
      <c r="EK83" s="250">
        <f t="shared" si="752"/>
        <v>0</v>
      </c>
      <c r="EL83" s="249">
        <f t="shared" si="872"/>
        <v>0</v>
      </c>
      <c r="EM83" s="250">
        <f t="shared" si="753"/>
        <v>0</v>
      </c>
      <c r="EN83" s="249">
        <f t="shared" si="872"/>
        <v>0</v>
      </c>
      <c r="EO83" s="250">
        <f t="shared" si="754"/>
        <v>0</v>
      </c>
      <c r="EP83" s="249">
        <f t="shared" si="872"/>
        <v>0</v>
      </c>
      <c r="EQ83" s="250">
        <f t="shared" si="755"/>
        <v>0</v>
      </c>
      <c r="ER83" s="249">
        <f t="shared" si="872"/>
        <v>0</v>
      </c>
      <c r="ES83" s="250">
        <f t="shared" si="756"/>
        <v>0</v>
      </c>
      <c r="ET83" s="249">
        <f t="shared" si="391"/>
        <v>0</v>
      </c>
      <c r="EU83" s="250">
        <f t="shared" si="757"/>
        <v>0</v>
      </c>
      <c r="EV83" s="249">
        <f t="shared" si="758"/>
        <v>0</v>
      </c>
      <c r="EW83" s="250">
        <f t="shared" si="759"/>
        <v>0</v>
      </c>
      <c r="EX83" s="249">
        <f t="shared" si="392"/>
        <v>0</v>
      </c>
      <c r="EY83" s="250">
        <f t="shared" si="760"/>
        <v>0</v>
      </c>
      <c r="EZ83" s="252">
        <f t="shared" si="761"/>
        <v>0</v>
      </c>
      <c r="FA83" s="251">
        <f t="shared" si="664"/>
        <v>0</v>
      </c>
      <c r="FC83" s="1"/>
      <c r="FD83" s="2"/>
      <c r="FE83" s="257">
        <f t="shared" si="152"/>
        <v>0</v>
      </c>
      <c r="FF83" s="249">
        <f t="shared" si="762"/>
        <v>0</v>
      </c>
      <c r="FG83" s="250">
        <f t="shared" si="763"/>
        <v>0</v>
      </c>
      <c r="FH83" s="372">
        <f t="shared" si="873"/>
        <v>0</v>
      </c>
      <c r="FI83" s="339">
        <f t="shared" si="764"/>
        <v>0</v>
      </c>
      <c r="FJ83" s="372">
        <f t="shared" si="873"/>
        <v>0</v>
      </c>
      <c r="FK83" s="339">
        <f t="shared" si="764"/>
        <v>0</v>
      </c>
      <c r="FL83" s="372">
        <f t="shared" si="873"/>
        <v>0</v>
      </c>
      <c r="FM83" s="339">
        <f t="shared" si="765"/>
        <v>0</v>
      </c>
      <c r="FN83" s="372">
        <f t="shared" si="873"/>
        <v>0</v>
      </c>
      <c r="FO83" s="339">
        <f t="shared" si="766"/>
        <v>0</v>
      </c>
      <c r="FP83" s="372">
        <f t="shared" si="873"/>
        <v>0</v>
      </c>
      <c r="FQ83" s="339">
        <f t="shared" si="767"/>
        <v>0</v>
      </c>
      <c r="FR83" s="372">
        <f t="shared" si="873"/>
        <v>0</v>
      </c>
      <c r="FS83" s="339">
        <f t="shared" si="768"/>
        <v>0</v>
      </c>
      <c r="FT83" s="372">
        <f t="shared" si="873"/>
        <v>0</v>
      </c>
      <c r="FU83" s="339">
        <f t="shared" si="769"/>
        <v>0</v>
      </c>
      <c r="FV83" s="372">
        <f t="shared" si="770"/>
        <v>0</v>
      </c>
      <c r="FW83" s="339">
        <f t="shared" si="771"/>
        <v>0</v>
      </c>
      <c r="FX83" s="372">
        <f t="shared" si="479"/>
        <v>0</v>
      </c>
      <c r="FY83" s="339">
        <f t="shared" si="772"/>
        <v>0</v>
      </c>
      <c r="FZ83" s="372">
        <f t="shared" si="773"/>
        <v>0</v>
      </c>
      <c r="GA83" s="339">
        <f t="shared" si="774"/>
        <v>0</v>
      </c>
      <c r="GB83" s="372">
        <f t="shared" si="480"/>
        <v>0</v>
      </c>
      <c r="GC83" s="339">
        <f t="shared" si="775"/>
        <v>0</v>
      </c>
      <c r="GD83" s="252">
        <f t="shared" si="776"/>
        <v>0</v>
      </c>
      <c r="GE83" s="251">
        <f t="shared" si="686"/>
        <v>0</v>
      </c>
      <c r="GG83" s="1"/>
      <c r="GH83" s="2">
        <v>0.2</v>
      </c>
      <c r="GI83" s="257">
        <f t="shared" si="665"/>
        <v>0</v>
      </c>
      <c r="GJ83" s="249">
        <f t="shared" si="777"/>
        <v>0</v>
      </c>
      <c r="GK83" s="250">
        <f t="shared" si="778"/>
        <v>0</v>
      </c>
      <c r="GL83" s="249">
        <f t="shared" si="777"/>
        <v>0</v>
      </c>
      <c r="GM83" s="250">
        <f t="shared" si="778"/>
        <v>0</v>
      </c>
      <c r="GN83" s="249">
        <f t="shared" si="777"/>
        <v>0</v>
      </c>
      <c r="GO83" s="250">
        <f t="shared" si="779"/>
        <v>0</v>
      </c>
      <c r="GP83" s="249">
        <f t="shared" si="777"/>
        <v>0</v>
      </c>
      <c r="GQ83" s="250">
        <f t="shared" si="780"/>
        <v>0</v>
      </c>
      <c r="GR83" s="249">
        <f t="shared" si="777"/>
        <v>0</v>
      </c>
      <c r="GS83" s="250">
        <f t="shared" si="781"/>
        <v>0</v>
      </c>
      <c r="GT83" s="249">
        <f t="shared" si="777"/>
        <v>0</v>
      </c>
      <c r="GU83" s="250">
        <f t="shared" si="782"/>
        <v>0</v>
      </c>
      <c r="GV83" s="249">
        <f t="shared" si="777"/>
        <v>0</v>
      </c>
      <c r="GW83" s="250">
        <f t="shared" si="783"/>
        <v>0</v>
      </c>
      <c r="GX83" s="249">
        <f t="shared" si="784"/>
        <v>0</v>
      </c>
      <c r="GY83" s="250">
        <f t="shared" si="785"/>
        <v>0</v>
      </c>
      <c r="GZ83" s="249">
        <f t="shared" si="786"/>
        <v>0</v>
      </c>
      <c r="HA83" s="250">
        <f t="shared" si="787"/>
        <v>0</v>
      </c>
      <c r="HB83" s="249">
        <f t="shared" si="788"/>
        <v>0</v>
      </c>
      <c r="HC83" s="250">
        <f t="shared" si="789"/>
        <v>0</v>
      </c>
      <c r="HD83" s="249">
        <f t="shared" si="790"/>
        <v>0</v>
      </c>
      <c r="HE83" s="250">
        <f t="shared" si="791"/>
        <v>0</v>
      </c>
      <c r="HF83" s="249">
        <f t="shared" si="792"/>
        <v>0</v>
      </c>
      <c r="HG83" s="250">
        <f t="shared" si="793"/>
        <v>0</v>
      </c>
      <c r="HH83" s="252">
        <f t="shared" si="794"/>
        <v>0</v>
      </c>
      <c r="HI83" s="251">
        <f t="shared" si="666"/>
        <v>0</v>
      </c>
      <c r="HK83" s="1"/>
      <c r="HL83" s="2"/>
      <c r="HM83" s="257">
        <f t="shared" si="667"/>
        <v>0</v>
      </c>
      <c r="HN83" s="249">
        <f t="shared" si="795"/>
        <v>0</v>
      </c>
      <c r="HO83" s="250">
        <f t="shared" si="668"/>
        <v>0</v>
      </c>
      <c r="HP83" s="249">
        <f t="shared" si="796"/>
        <v>0</v>
      </c>
      <c r="HQ83" s="250">
        <f t="shared" si="797"/>
        <v>0</v>
      </c>
      <c r="HR83" s="249">
        <f t="shared" si="796"/>
        <v>0</v>
      </c>
      <c r="HS83" s="250">
        <f t="shared" si="797"/>
        <v>0</v>
      </c>
      <c r="HT83" s="249">
        <f t="shared" si="796"/>
        <v>0</v>
      </c>
      <c r="HU83" s="250">
        <f t="shared" si="798"/>
        <v>0</v>
      </c>
      <c r="HV83" s="249">
        <f t="shared" si="796"/>
        <v>0</v>
      </c>
      <c r="HW83" s="250">
        <f t="shared" si="799"/>
        <v>0</v>
      </c>
      <c r="HX83" s="249">
        <f t="shared" si="796"/>
        <v>0</v>
      </c>
      <c r="HY83" s="250">
        <f t="shared" si="800"/>
        <v>0</v>
      </c>
      <c r="HZ83" s="249">
        <f t="shared" si="796"/>
        <v>0</v>
      </c>
      <c r="IA83" s="250">
        <f t="shared" si="801"/>
        <v>0</v>
      </c>
      <c r="IB83" s="249">
        <f t="shared" si="796"/>
        <v>0</v>
      </c>
      <c r="IC83" s="250">
        <f t="shared" si="802"/>
        <v>0</v>
      </c>
      <c r="ID83" s="249">
        <f t="shared" si="803"/>
        <v>0</v>
      </c>
      <c r="IE83" s="250">
        <f t="shared" si="804"/>
        <v>0</v>
      </c>
      <c r="IF83" s="249">
        <f t="shared" si="805"/>
        <v>0</v>
      </c>
      <c r="IG83" s="250">
        <f t="shared" si="806"/>
        <v>0</v>
      </c>
      <c r="IH83" s="249">
        <f t="shared" si="807"/>
        <v>0</v>
      </c>
      <c r="II83" s="250">
        <f t="shared" si="808"/>
        <v>0</v>
      </c>
      <c r="IJ83" s="249">
        <f t="shared" si="809"/>
        <v>0</v>
      </c>
      <c r="IK83" s="250">
        <f t="shared" si="810"/>
        <v>0</v>
      </c>
      <c r="IL83" s="252">
        <f t="shared" si="811"/>
        <v>0</v>
      </c>
      <c r="IM83" s="251">
        <f t="shared" si="812"/>
        <v>0</v>
      </c>
      <c r="IO83" s="1"/>
      <c r="IP83" s="2">
        <v>8.3333333333333329E-2</v>
      </c>
      <c r="IQ83" s="257">
        <f t="shared" si="669"/>
        <v>0</v>
      </c>
      <c r="IR83" s="249">
        <f t="shared" si="813"/>
        <v>0</v>
      </c>
      <c r="IS83" s="250">
        <f t="shared" si="814"/>
        <v>0</v>
      </c>
      <c r="IT83" s="279">
        <f t="shared" si="874"/>
        <v>0</v>
      </c>
      <c r="IU83" s="289">
        <f t="shared" si="815"/>
        <v>0</v>
      </c>
      <c r="IV83" s="279">
        <f t="shared" si="874"/>
        <v>0</v>
      </c>
      <c r="IW83" s="289">
        <f t="shared" si="815"/>
        <v>0</v>
      </c>
      <c r="IX83" s="279">
        <f t="shared" si="874"/>
        <v>0</v>
      </c>
      <c r="IY83" s="289">
        <f t="shared" si="816"/>
        <v>0</v>
      </c>
      <c r="IZ83" s="279">
        <f t="shared" si="874"/>
        <v>0</v>
      </c>
      <c r="JA83" s="289">
        <f t="shared" si="817"/>
        <v>0</v>
      </c>
      <c r="JB83" s="279">
        <f t="shared" si="874"/>
        <v>0</v>
      </c>
      <c r="JC83" s="289">
        <f t="shared" si="818"/>
        <v>0</v>
      </c>
      <c r="JD83" s="279">
        <f t="shared" si="874"/>
        <v>0</v>
      </c>
      <c r="JE83" s="289">
        <f t="shared" si="819"/>
        <v>0</v>
      </c>
      <c r="JF83" s="279">
        <f t="shared" si="874"/>
        <v>0</v>
      </c>
      <c r="JG83" s="289">
        <f t="shared" si="820"/>
        <v>0</v>
      </c>
      <c r="JH83" s="279">
        <f t="shared" si="821"/>
        <v>0</v>
      </c>
      <c r="JI83" s="289">
        <f t="shared" si="822"/>
        <v>0</v>
      </c>
      <c r="JJ83" s="279">
        <f t="shared" si="407"/>
        <v>0</v>
      </c>
      <c r="JK83" s="289">
        <f t="shared" si="823"/>
        <v>0</v>
      </c>
      <c r="JL83" s="279">
        <f t="shared" si="824"/>
        <v>0</v>
      </c>
      <c r="JM83" s="289">
        <f t="shared" si="825"/>
        <v>0</v>
      </c>
      <c r="JN83" s="279">
        <f t="shared" si="408"/>
        <v>0</v>
      </c>
      <c r="JO83" s="289">
        <f t="shared" si="826"/>
        <v>0</v>
      </c>
      <c r="JP83" s="252">
        <f t="shared" si="827"/>
        <v>0</v>
      </c>
      <c r="JQ83" s="251">
        <f t="shared" si="828"/>
        <v>0</v>
      </c>
      <c r="JS83" s="1"/>
      <c r="JT83" s="2">
        <v>8.3333333333333329E-2</v>
      </c>
      <c r="JU83" s="257">
        <f t="shared" si="670"/>
        <v>0</v>
      </c>
      <c r="JV83" s="249">
        <f t="shared" si="829"/>
        <v>0</v>
      </c>
      <c r="JW83" s="250">
        <f t="shared" si="830"/>
        <v>0</v>
      </c>
      <c r="JX83" s="372">
        <f t="shared" si="875"/>
        <v>0</v>
      </c>
      <c r="JY83" s="339">
        <f t="shared" si="831"/>
        <v>0</v>
      </c>
      <c r="JZ83" s="372">
        <f t="shared" si="875"/>
        <v>0</v>
      </c>
      <c r="KA83" s="339">
        <f t="shared" si="831"/>
        <v>0</v>
      </c>
      <c r="KB83" s="372">
        <f t="shared" si="875"/>
        <v>0</v>
      </c>
      <c r="KC83" s="339">
        <f t="shared" si="832"/>
        <v>0</v>
      </c>
      <c r="KD83" s="372">
        <f t="shared" si="875"/>
        <v>0</v>
      </c>
      <c r="KE83" s="339">
        <f t="shared" si="833"/>
        <v>0</v>
      </c>
      <c r="KF83" s="372">
        <f t="shared" si="875"/>
        <v>0</v>
      </c>
      <c r="KG83" s="339">
        <f t="shared" si="834"/>
        <v>0</v>
      </c>
      <c r="KH83" s="372">
        <f t="shared" si="875"/>
        <v>0</v>
      </c>
      <c r="KI83" s="339">
        <f t="shared" si="835"/>
        <v>0</v>
      </c>
      <c r="KJ83" s="372">
        <f t="shared" si="875"/>
        <v>0</v>
      </c>
      <c r="KK83" s="339">
        <f t="shared" si="836"/>
        <v>0</v>
      </c>
      <c r="KL83" s="372">
        <f t="shared" si="837"/>
        <v>0</v>
      </c>
      <c r="KM83" s="339">
        <f t="shared" si="838"/>
        <v>0</v>
      </c>
      <c r="KN83" s="372">
        <f t="shared" si="677"/>
        <v>0</v>
      </c>
      <c r="KO83" s="339">
        <f t="shared" si="839"/>
        <v>0</v>
      </c>
      <c r="KP83" s="372">
        <f t="shared" si="840"/>
        <v>0</v>
      </c>
      <c r="KQ83" s="339">
        <f t="shared" si="841"/>
        <v>0</v>
      </c>
      <c r="KR83" s="372">
        <f t="shared" si="678"/>
        <v>0</v>
      </c>
      <c r="KS83" s="377">
        <f t="shared" si="842"/>
        <v>0</v>
      </c>
      <c r="KT83" s="379">
        <f t="shared" si="843"/>
        <v>0</v>
      </c>
      <c r="KU83" s="251">
        <f t="shared" si="679"/>
        <v>0</v>
      </c>
      <c r="KW83" s="1"/>
      <c r="KX83" s="2">
        <v>8.3333333333333329E-2</v>
      </c>
      <c r="KY83" s="254">
        <f t="shared" si="680"/>
        <v>0</v>
      </c>
      <c r="KZ83" s="249">
        <f t="shared" si="876"/>
        <v>0</v>
      </c>
      <c r="LA83" s="251">
        <f t="shared" si="681"/>
        <v>0</v>
      </c>
      <c r="LB83" s="279">
        <f t="shared" si="844"/>
        <v>0</v>
      </c>
      <c r="LC83" s="339">
        <f t="shared" si="845"/>
        <v>0</v>
      </c>
      <c r="LD83" s="279">
        <f t="shared" si="844"/>
        <v>0</v>
      </c>
      <c r="LE83" s="339">
        <f t="shared" si="845"/>
        <v>0</v>
      </c>
      <c r="LF83" s="279">
        <f t="shared" si="844"/>
        <v>0</v>
      </c>
      <c r="LG83" s="339">
        <f t="shared" si="846"/>
        <v>0</v>
      </c>
      <c r="LH83" s="279">
        <f t="shared" si="844"/>
        <v>0</v>
      </c>
      <c r="LI83" s="339">
        <f t="shared" si="847"/>
        <v>0</v>
      </c>
      <c r="LJ83" s="279">
        <f t="shared" si="844"/>
        <v>0</v>
      </c>
      <c r="LK83" s="339">
        <f t="shared" si="848"/>
        <v>0</v>
      </c>
      <c r="LL83" s="279">
        <f t="shared" si="844"/>
        <v>0</v>
      </c>
      <c r="LM83" s="339">
        <f t="shared" si="849"/>
        <v>0</v>
      </c>
      <c r="LN83" s="279">
        <f t="shared" si="844"/>
        <v>0</v>
      </c>
      <c r="LO83" s="339">
        <f t="shared" si="850"/>
        <v>0</v>
      </c>
      <c r="LP83" s="279">
        <f t="shared" si="877"/>
        <v>0</v>
      </c>
      <c r="LQ83" s="339">
        <f t="shared" si="851"/>
        <v>0</v>
      </c>
      <c r="LR83" s="279">
        <f t="shared" si="878"/>
        <v>0</v>
      </c>
      <c r="LS83" s="339">
        <f t="shared" si="852"/>
        <v>0</v>
      </c>
      <c r="LT83" s="279">
        <f t="shared" si="879"/>
        <v>0</v>
      </c>
      <c r="LU83" s="339">
        <f t="shared" si="853"/>
        <v>0</v>
      </c>
      <c r="LV83" s="279">
        <f t="shared" si="880"/>
        <v>0</v>
      </c>
      <c r="LW83" s="339">
        <f t="shared" si="854"/>
        <v>0</v>
      </c>
      <c r="LX83" s="252">
        <f t="shared" si="855"/>
        <v>0</v>
      </c>
      <c r="LY83" s="253">
        <f t="shared" si="856"/>
        <v>0</v>
      </c>
      <c r="MA83" s="249">
        <f t="shared" si="688"/>
        <v>0</v>
      </c>
      <c r="MB83" s="253">
        <f t="shared" si="857"/>
        <v>0</v>
      </c>
      <c r="MC83" s="397">
        <f t="shared" si="689"/>
        <v>0</v>
      </c>
      <c r="MD83" s="253">
        <f t="shared" si="858"/>
        <v>0</v>
      </c>
      <c r="ME83" s="397">
        <f t="shared" si="690"/>
        <v>0</v>
      </c>
      <c r="MF83" s="253">
        <f t="shared" si="858"/>
        <v>0</v>
      </c>
      <c r="MG83" s="397">
        <f t="shared" si="691"/>
        <v>0</v>
      </c>
      <c r="MH83" s="253">
        <f t="shared" si="859"/>
        <v>0</v>
      </c>
      <c r="MI83" s="397">
        <f t="shared" si="692"/>
        <v>0</v>
      </c>
      <c r="MJ83" s="253">
        <f t="shared" si="860"/>
        <v>0</v>
      </c>
      <c r="MK83" s="397">
        <f t="shared" si="693"/>
        <v>0</v>
      </c>
      <c r="ML83" s="253">
        <f t="shared" si="861"/>
        <v>0</v>
      </c>
      <c r="MM83" s="397">
        <f t="shared" si="694"/>
        <v>0</v>
      </c>
      <c r="MN83" s="253">
        <f t="shared" si="862"/>
        <v>0</v>
      </c>
      <c r="MO83" s="397">
        <f t="shared" si="695"/>
        <v>0</v>
      </c>
      <c r="MP83" s="253">
        <f t="shared" si="863"/>
        <v>0</v>
      </c>
      <c r="MQ83" s="397">
        <f t="shared" si="696"/>
        <v>0</v>
      </c>
      <c r="MR83" s="253">
        <f t="shared" si="864"/>
        <v>0</v>
      </c>
      <c r="MS83" s="397">
        <f t="shared" si="697"/>
        <v>0</v>
      </c>
      <c r="MT83" s="253">
        <f t="shared" si="865"/>
        <v>0</v>
      </c>
      <c r="MU83" s="397">
        <f t="shared" si="698"/>
        <v>0</v>
      </c>
      <c r="MV83" s="253">
        <f t="shared" si="866"/>
        <v>0</v>
      </c>
      <c r="MW83" s="397">
        <f t="shared" si="699"/>
        <v>0</v>
      </c>
      <c r="MX83" s="253">
        <f t="shared" si="867"/>
        <v>0</v>
      </c>
      <c r="MY83" s="252">
        <f t="shared" si="868"/>
        <v>0</v>
      </c>
      <c r="MZ83" s="251">
        <f t="shared" si="869"/>
        <v>0</v>
      </c>
    </row>
    <row r="84" spans="1:364" ht="52.8" x14ac:dyDescent="0.25">
      <c r="A84" s="533"/>
      <c r="B84" s="245" t="s">
        <v>176</v>
      </c>
      <c r="C84" s="246" t="s">
        <v>177</v>
      </c>
      <c r="D84" s="247" t="s">
        <v>28</v>
      </c>
      <c r="E84" s="4">
        <v>1</v>
      </c>
      <c r="F84" s="353">
        <v>67765.802893738131</v>
      </c>
      <c r="G84" s="353">
        <f t="shared" si="700"/>
        <v>70590.023402909545</v>
      </c>
      <c r="I84" s="30"/>
      <c r="J84" s="2">
        <v>8.3333333333333329E-2</v>
      </c>
      <c r="K84" s="248">
        <f t="shared" si="701"/>
        <v>0</v>
      </c>
      <c r="L84" s="249"/>
      <c r="M84" s="301">
        <f t="shared" si="445"/>
        <v>0</v>
      </c>
      <c r="N84" s="279">
        <f t="shared" si="450"/>
        <v>0</v>
      </c>
      <c r="O84" s="289">
        <f t="shared" si="883"/>
        <v>0</v>
      </c>
      <c r="P84" s="279">
        <f t="shared" si="451"/>
        <v>0</v>
      </c>
      <c r="Q84" s="289">
        <f t="shared" si="883"/>
        <v>0</v>
      </c>
      <c r="R84" s="279">
        <f t="shared" si="452"/>
        <v>0</v>
      </c>
      <c r="S84" s="289">
        <f t="shared" si="702"/>
        <v>0</v>
      </c>
      <c r="T84" s="279">
        <f t="shared" si="453"/>
        <v>0</v>
      </c>
      <c r="U84" s="289">
        <f t="shared" si="703"/>
        <v>0</v>
      </c>
      <c r="V84" s="279">
        <f t="shared" si="409"/>
        <v>0</v>
      </c>
      <c r="W84" s="289">
        <f t="shared" si="704"/>
        <v>0</v>
      </c>
      <c r="X84" s="279">
        <f t="shared" si="305"/>
        <v>0</v>
      </c>
      <c r="Y84" s="289">
        <f t="shared" si="705"/>
        <v>0</v>
      </c>
      <c r="Z84" s="279">
        <f t="shared" si="454"/>
        <v>0</v>
      </c>
      <c r="AA84" s="289">
        <f t="shared" si="706"/>
        <v>0</v>
      </c>
      <c r="AB84" s="279">
        <f t="shared" si="306"/>
        <v>0</v>
      </c>
      <c r="AC84" s="289">
        <f t="shared" si="707"/>
        <v>0</v>
      </c>
      <c r="AD84" s="279">
        <f t="shared" si="455"/>
        <v>0</v>
      </c>
      <c r="AE84" s="289">
        <f t="shared" si="708"/>
        <v>0</v>
      </c>
      <c r="AF84" s="279">
        <f t="shared" si="307"/>
        <v>0</v>
      </c>
      <c r="AG84" s="289">
        <f t="shared" si="308"/>
        <v>0</v>
      </c>
      <c r="AH84" s="249">
        <f t="shared" si="456"/>
        <v>0</v>
      </c>
      <c r="AI84" s="299">
        <f t="shared" si="309"/>
        <v>0</v>
      </c>
      <c r="AJ84" s="252">
        <f t="shared" si="709"/>
        <v>0</v>
      </c>
      <c r="AK84" s="312">
        <f t="shared" si="710"/>
        <v>0</v>
      </c>
      <c r="AM84" s="1"/>
      <c r="AN84" s="2">
        <v>8.3333333333333329E-2</v>
      </c>
      <c r="AO84" s="254">
        <f t="shared" si="660"/>
        <v>0</v>
      </c>
      <c r="AP84" s="249">
        <f t="shared" si="328"/>
        <v>0</v>
      </c>
      <c r="AQ84" s="301">
        <f t="shared" si="683"/>
        <v>0</v>
      </c>
      <c r="AR84" s="249">
        <f t="shared" si="884"/>
        <v>0</v>
      </c>
      <c r="AS84" s="301">
        <f t="shared" si="683"/>
        <v>0</v>
      </c>
      <c r="AT84" s="249">
        <f t="shared" si="884"/>
        <v>0</v>
      </c>
      <c r="AU84" s="301">
        <f t="shared" si="684"/>
        <v>0</v>
      </c>
      <c r="AV84" s="249">
        <f t="shared" si="884"/>
        <v>0</v>
      </c>
      <c r="AW84" s="301">
        <f t="shared" si="711"/>
        <v>0</v>
      </c>
      <c r="AX84" s="249">
        <f t="shared" si="884"/>
        <v>0</v>
      </c>
      <c r="AY84" s="301">
        <f t="shared" si="712"/>
        <v>0</v>
      </c>
      <c r="AZ84" s="249">
        <f t="shared" si="884"/>
        <v>0</v>
      </c>
      <c r="BA84" s="301">
        <f t="shared" si="713"/>
        <v>0</v>
      </c>
      <c r="BB84" s="249">
        <f t="shared" si="884"/>
        <v>0</v>
      </c>
      <c r="BC84" s="301">
        <f t="shared" si="714"/>
        <v>0</v>
      </c>
      <c r="BD84" s="249">
        <f t="shared" si="884"/>
        <v>0</v>
      </c>
      <c r="BE84" s="301">
        <f t="shared" si="715"/>
        <v>0</v>
      </c>
      <c r="BF84" s="249">
        <f t="shared" si="882"/>
        <v>0</v>
      </c>
      <c r="BG84" s="301">
        <f t="shared" si="716"/>
        <v>0</v>
      </c>
      <c r="BH84" s="249">
        <f t="shared" si="885"/>
        <v>0</v>
      </c>
      <c r="BI84" s="301">
        <f t="shared" si="717"/>
        <v>0</v>
      </c>
      <c r="BJ84" s="249">
        <f t="shared" si="885"/>
        <v>0</v>
      </c>
      <c r="BK84" s="301">
        <f t="shared" si="717"/>
        <v>0</v>
      </c>
      <c r="BL84" s="249">
        <f t="shared" si="661"/>
        <v>0</v>
      </c>
      <c r="BM84" s="299">
        <f t="shared" si="718"/>
        <v>0</v>
      </c>
      <c r="BN84" s="252">
        <f t="shared" si="719"/>
        <v>0</v>
      </c>
      <c r="BO84" s="312">
        <f t="shared" si="685"/>
        <v>0</v>
      </c>
      <c r="BQ84" s="1"/>
      <c r="BR84" s="2"/>
      <c r="BS84" s="255">
        <f t="shared" si="886"/>
        <v>0</v>
      </c>
      <c r="BT84" s="249">
        <f t="shared" si="881"/>
        <v>0</v>
      </c>
      <c r="BU84" s="336">
        <f t="shared" si="720"/>
        <v>0</v>
      </c>
      <c r="BV84" s="279">
        <f t="shared" si="721"/>
        <v>0</v>
      </c>
      <c r="BW84" s="339">
        <f t="shared" si="722"/>
        <v>0</v>
      </c>
      <c r="BX84" s="279">
        <f t="shared" si="721"/>
        <v>0</v>
      </c>
      <c r="BY84" s="339">
        <f t="shared" si="723"/>
        <v>0</v>
      </c>
      <c r="BZ84" s="279">
        <f t="shared" si="721"/>
        <v>0</v>
      </c>
      <c r="CA84" s="339">
        <f t="shared" si="724"/>
        <v>0</v>
      </c>
      <c r="CB84" s="279">
        <f t="shared" si="721"/>
        <v>0</v>
      </c>
      <c r="CC84" s="339">
        <f t="shared" si="725"/>
        <v>0</v>
      </c>
      <c r="CD84" s="279">
        <f t="shared" si="721"/>
        <v>0</v>
      </c>
      <c r="CE84" s="339">
        <f t="shared" si="726"/>
        <v>0</v>
      </c>
      <c r="CF84" s="279">
        <f t="shared" si="721"/>
        <v>0</v>
      </c>
      <c r="CG84" s="339">
        <f t="shared" si="727"/>
        <v>0</v>
      </c>
      <c r="CH84" s="279">
        <f t="shared" si="721"/>
        <v>0</v>
      </c>
      <c r="CI84" s="339">
        <f t="shared" si="728"/>
        <v>0</v>
      </c>
      <c r="CJ84" s="279">
        <f t="shared" si="729"/>
        <v>0</v>
      </c>
      <c r="CK84" s="339">
        <f t="shared" si="730"/>
        <v>0</v>
      </c>
      <c r="CL84" s="279">
        <f t="shared" si="463"/>
        <v>0</v>
      </c>
      <c r="CM84" s="339">
        <f t="shared" si="731"/>
        <v>0</v>
      </c>
      <c r="CN84" s="279">
        <f t="shared" si="732"/>
        <v>0</v>
      </c>
      <c r="CO84" s="339">
        <f t="shared" si="733"/>
        <v>0</v>
      </c>
      <c r="CP84" s="279">
        <f t="shared" si="464"/>
        <v>0</v>
      </c>
      <c r="CQ84" s="250">
        <f t="shared" si="662"/>
        <v>0</v>
      </c>
      <c r="CR84" s="252">
        <f t="shared" si="734"/>
        <v>0</v>
      </c>
      <c r="CS84" s="251">
        <f t="shared" si="887"/>
        <v>0</v>
      </c>
      <c r="CU84" s="1"/>
      <c r="CV84" s="2"/>
      <c r="CW84" s="255">
        <f t="shared" si="299"/>
        <v>0</v>
      </c>
      <c r="CX84" s="249">
        <f t="shared" si="735"/>
        <v>0</v>
      </c>
      <c r="CY84" s="250">
        <f t="shared" si="736"/>
        <v>0</v>
      </c>
      <c r="CZ84" s="279">
        <f t="shared" si="870"/>
        <v>0</v>
      </c>
      <c r="DA84" s="299">
        <f t="shared" si="736"/>
        <v>0</v>
      </c>
      <c r="DB84" s="279">
        <f t="shared" si="870"/>
        <v>0</v>
      </c>
      <c r="DC84" s="299">
        <f t="shared" si="737"/>
        <v>0</v>
      </c>
      <c r="DD84" s="279">
        <f t="shared" si="870"/>
        <v>0</v>
      </c>
      <c r="DE84" s="299">
        <f t="shared" si="738"/>
        <v>0</v>
      </c>
      <c r="DF84" s="279">
        <f t="shared" si="870"/>
        <v>0</v>
      </c>
      <c r="DG84" s="299">
        <f t="shared" si="739"/>
        <v>0</v>
      </c>
      <c r="DH84" s="279">
        <f t="shared" si="870"/>
        <v>0</v>
      </c>
      <c r="DI84" s="299">
        <f t="shared" si="740"/>
        <v>0</v>
      </c>
      <c r="DJ84" s="279">
        <f t="shared" si="870"/>
        <v>0</v>
      </c>
      <c r="DK84" s="299">
        <f t="shared" si="741"/>
        <v>0</v>
      </c>
      <c r="DL84" s="279">
        <f t="shared" si="870"/>
        <v>0</v>
      </c>
      <c r="DM84" s="299">
        <f t="shared" si="742"/>
        <v>0</v>
      </c>
      <c r="DN84" s="279">
        <f t="shared" si="743"/>
        <v>0</v>
      </c>
      <c r="DO84" s="299">
        <f t="shared" si="744"/>
        <v>0</v>
      </c>
      <c r="DP84" s="279">
        <f t="shared" si="471"/>
        <v>0</v>
      </c>
      <c r="DQ84" s="299">
        <f t="shared" si="745"/>
        <v>0</v>
      </c>
      <c r="DR84" s="279">
        <f t="shared" si="746"/>
        <v>0</v>
      </c>
      <c r="DS84" s="299">
        <f t="shared" si="747"/>
        <v>0</v>
      </c>
      <c r="DT84" s="279">
        <f t="shared" si="472"/>
        <v>0</v>
      </c>
      <c r="DU84" s="299">
        <f t="shared" si="748"/>
        <v>0</v>
      </c>
      <c r="DV84" s="252">
        <f t="shared" si="749"/>
        <v>0</v>
      </c>
      <c r="DW84" s="251">
        <f t="shared" si="888"/>
        <v>0</v>
      </c>
      <c r="DY84" s="256">
        <v>0</v>
      </c>
      <c r="DZ84" s="2"/>
      <c r="EA84" s="254">
        <f t="shared" si="663"/>
        <v>0</v>
      </c>
      <c r="EB84" s="249">
        <f t="shared" si="871"/>
        <v>0</v>
      </c>
      <c r="EC84" s="250">
        <f t="shared" si="750"/>
        <v>0</v>
      </c>
      <c r="ED84" s="356">
        <f t="shared" si="871"/>
        <v>0</v>
      </c>
      <c r="EE84" s="250">
        <f t="shared" si="750"/>
        <v>0</v>
      </c>
      <c r="EF84" s="249">
        <f t="shared" si="872"/>
        <v>0</v>
      </c>
      <c r="EG84" s="250">
        <f t="shared" si="751"/>
        <v>0</v>
      </c>
      <c r="EH84" s="249">
        <f t="shared" si="872"/>
        <v>0</v>
      </c>
      <c r="EI84" s="250">
        <f t="shared" si="751"/>
        <v>0</v>
      </c>
      <c r="EJ84" s="249">
        <f t="shared" si="872"/>
        <v>0</v>
      </c>
      <c r="EK84" s="250">
        <f t="shared" si="752"/>
        <v>0</v>
      </c>
      <c r="EL84" s="249">
        <f t="shared" si="872"/>
        <v>0</v>
      </c>
      <c r="EM84" s="250">
        <f t="shared" si="753"/>
        <v>0</v>
      </c>
      <c r="EN84" s="249">
        <f t="shared" si="872"/>
        <v>0</v>
      </c>
      <c r="EO84" s="250">
        <f t="shared" si="754"/>
        <v>0</v>
      </c>
      <c r="EP84" s="249">
        <f t="shared" si="872"/>
        <v>0</v>
      </c>
      <c r="EQ84" s="250">
        <f t="shared" si="755"/>
        <v>0</v>
      </c>
      <c r="ER84" s="249">
        <f t="shared" si="872"/>
        <v>0</v>
      </c>
      <c r="ES84" s="250">
        <f t="shared" si="756"/>
        <v>0</v>
      </c>
      <c r="ET84" s="249">
        <f t="shared" si="391"/>
        <v>0</v>
      </c>
      <c r="EU84" s="250">
        <f t="shared" si="757"/>
        <v>0</v>
      </c>
      <c r="EV84" s="249">
        <f t="shared" si="758"/>
        <v>0</v>
      </c>
      <c r="EW84" s="250">
        <f t="shared" si="759"/>
        <v>0</v>
      </c>
      <c r="EX84" s="249">
        <f t="shared" si="392"/>
        <v>0</v>
      </c>
      <c r="EY84" s="250">
        <f t="shared" si="760"/>
        <v>0</v>
      </c>
      <c r="EZ84" s="252">
        <f t="shared" si="761"/>
        <v>0</v>
      </c>
      <c r="FA84" s="251">
        <f t="shared" si="664"/>
        <v>0</v>
      </c>
      <c r="FC84" s="1"/>
      <c r="FD84" s="2"/>
      <c r="FE84" s="257">
        <f t="shared" si="152"/>
        <v>0</v>
      </c>
      <c r="FF84" s="249">
        <f t="shared" si="762"/>
        <v>0</v>
      </c>
      <c r="FG84" s="250">
        <f t="shared" si="763"/>
        <v>0</v>
      </c>
      <c r="FH84" s="372">
        <f t="shared" si="873"/>
        <v>0</v>
      </c>
      <c r="FI84" s="339">
        <f t="shared" si="764"/>
        <v>0</v>
      </c>
      <c r="FJ84" s="372">
        <f t="shared" si="873"/>
        <v>0</v>
      </c>
      <c r="FK84" s="339">
        <f t="shared" si="764"/>
        <v>0</v>
      </c>
      <c r="FL84" s="372">
        <f t="shared" si="873"/>
        <v>0</v>
      </c>
      <c r="FM84" s="339">
        <f t="shared" si="765"/>
        <v>0</v>
      </c>
      <c r="FN84" s="372">
        <f t="shared" si="873"/>
        <v>0</v>
      </c>
      <c r="FO84" s="339">
        <f t="shared" si="766"/>
        <v>0</v>
      </c>
      <c r="FP84" s="372">
        <f t="shared" si="873"/>
        <v>0</v>
      </c>
      <c r="FQ84" s="339">
        <f t="shared" si="767"/>
        <v>0</v>
      </c>
      <c r="FR84" s="372">
        <f t="shared" si="873"/>
        <v>0</v>
      </c>
      <c r="FS84" s="339">
        <f t="shared" si="768"/>
        <v>0</v>
      </c>
      <c r="FT84" s="372">
        <f t="shared" si="873"/>
        <v>0</v>
      </c>
      <c r="FU84" s="339">
        <f t="shared" si="769"/>
        <v>0</v>
      </c>
      <c r="FV84" s="372">
        <f t="shared" si="770"/>
        <v>0</v>
      </c>
      <c r="FW84" s="339">
        <f t="shared" si="771"/>
        <v>0</v>
      </c>
      <c r="FX84" s="372">
        <f t="shared" si="479"/>
        <v>0</v>
      </c>
      <c r="FY84" s="339">
        <f t="shared" si="772"/>
        <v>0</v>
      </c>
      <c r="FZ84" s="372">
        <f t="shared" si="773"/>
        <v>0</v>
      </c>
      <c r="GA84" s="339">
        <f t="shared" si="774"/>
        <v>0</v>
      </c>
      <c r="GB84" s="372">
        <f t="shared" si="480"/>
        <v>0</v>
      </c>
      <c r="GC84" s="339">
        <f t="shared" si="775"/>
        <v>0</v>
      </c>
      <c r="GD84" s="252">
        <f t="shared" si="776"/>
        <v>0</v>
      </c>
      <c r="GE84" s="251">
        <f t="shared" si="686"/>
        <v>0</v>
      </c>
      <c r="GG84" s="1"/>
      <c r="GH84" s="2">
        <v>0.2</v>
      </c>
      <c r="GI84" s="257">
        <f t="shared" si="665"/>
        <v>0</v>
      </c>
      <c r="GJ84" s="249">
        <f t="shared" si="777"/>
        <v>0</v>
      </c>
      <c r="GK84" s="250">
        <f t="shared" si="778"/>
        <v>0</v>
      </c>
      <c r="GL84" s="249">
        <f t="shared" si="777"/>
        <v>0</v>
      </c>
      <c r="GM84" s="250">
        <f t="shared" si="778"/>
        <v>0</v>
      </c>
      <c r="GN84" s="249">
        <f t="shared" si="777"/>
        <v>0</v>
      </c>
      <c r="GO84" s="250">
        <f t="shared" si="779"/>
        <v>0</v>
      </c>
      <c r="GP84" s="249">
        <f t="shared" si="777"/>
        <v>0</v>
      </c>
      <c r="GQ84" s="250">
        <f t="shared" si="780"/>
        <v>0</v>
      </c>
      <c r="GR84" s="249">
        <f t="shared" si="777"/>
        <v>0</v>
      </c>
      <c r="GS84" s="250">
        <f t="shared" si="781"/>
        <v>0</v>
      </c>
      <c r="GT84" s="249">
        <f t="shared" si="777"/>
        <v>0</v>
      </c>
      <c r="GU84" s="250">
        <f t="shared" si="782"/>
        <v>0</v>
      </c>
      <c r="GV84" s="249">
        <f t="shared" si="777"/>
        <v>0</v>
      </c>
      <c r="GW84" s="250">
        <f t="shared" si="783"/>
        <v>0</v>
      </c>
      <c r="GX84" s="249">
        <f t="shared" si="784"/>
        <v>0</v>
      </c>
      <c r="GY84" s="250">
        <f t="shared" si="785"/>
        <v>0</v>
      </c>
      <c r="GZ84" s="249">
        <f t="shared" si="786"/>
        <v>0</v>
      </c>
      <c r="HA84" s="250">
        <f t="shared" si="787"/>
        <v>0</v>
      </c>
      <c r="HB84" s="249">
        <f t="shared" si="788"/>
        <v>0</v>
      </c>
      <c r="HC84" s="250">
        <f t="shared" si="789"/>
        <v>0</v>
      </c>
      <c r="HD84" s="249">
        <f t="shared" si="790"/>
        <v>0</v>
      </c>
      <c r="HE84" s="250">
        <f t="shared" si="791"/>
        <v>0</v>
      </c>
      <c r="HF84" s="249">
        <f t="shared" si="792"/>
        <v>0</v>
      </c>
      <c r="HG84" s="250">
        <f t="shared" si="793"/>
        <v>0</v>
      </c>
      <c r="HH84" s="252">
        <f t="shared" si="794"/>
        <v>0</v>
      </c>
      <c r="HI84" s="251">
        <f t="shared" si="666"/>
        <v>0</v>
      </c>
      <c r="HK84" s="1"/>
      <c r="HL84" s="2"/>
      <c r="HM84" s="257">
        <f t="shared" si="667"/>
        <v>0</v>
      </c>
      <c r="HN84" s="249">
        <f t="shared" si="795"/>
        <v>0</v>
      </c>
      <c r="HO84" s="250">
        <f t="shared" si="668"/>
        <v>0</v>
      </c>
      <c r="HP84" s="249">
        <f t="shared" si="796"/>
        <v>0</v>
      </c>
      <c r="HQ84" s="250">
        <f t="shared" si="797"/>
        <v>0</v>
      </c>
      <c r="HR84" s="249">
        <f t="shared" si="796"/>
        <v>0</v>
      </c>
      <c r="HS84" s="250">
        <f t="shared" si="797"/>
        <v>0</v>
      </c>
      <c r="HT84" s="249">
        <f t="shared" si="796"/>
        <v>0</v>
      </c>
      <c r="HU84" s="250">
        <f t="shared" si="798"/>
        <v>0</v>
      </c>
      <c r="HV84" s="249">
        <f t="shared" si="796"/>
        <v>0</v>
      </c>
      <c r="HW84" s="250">
        <f t="shared" si="799"/>
        <v>0</v>
      </c>
      <c r="HX84" s="249">
        <f t="shared" si="796"/>
        <v>0</v>
      </c>
      <c r="HY84" s="250">
        <f t="shared" si="800"/>
        <v>0</v>
      </c>
      <c r="HZ84" s="249">
        <f t="shared" si="796"/>
        <v>0</v>
      </c>
      <c r="IA84" s="250">
        <f t="shared" si="801"/>
        <v>0</v>
      </c>
      <c r="IB84" s="249">
        <f t="shared" si="796"/>
        <v>0</v>
      </c>
      <c r="IC84" s="250">
        <f t="shared" si="802"/>
        <v>0</v>
      </c>
      <c r="ID84" s="249">
        <f t="shared" si="803"/>
        <v>0</v>
      </c>
      <c r="IE84" s="250">
        <f t="shared" si="804"/>
        <v>0</v>
      </c>
      <c r="IF84" s="249">
        <f t="shared" si="805"/>
        <v>0</v>
      </c>
      <c r="IG84" s="250">
        <f t="shared" si="806"/>
        <v>0</v>
      </c>
      <c r="IH84" s="249">
        <f t="shared" si="807"/>
        <v>0</v>
      </c>
      <c r="II84" s="250">
        <f t="shared" si="808"/>
        <v>0</v>
      </c>
      <c r="IJ84" s="249">
        <f t="shared" si="809"/>
        <v>0</v>
      </c>
      <c r="IK84" s="250">
        <f t="shared" si="810"/>
        <v>0</v>
      </c>
      <c r="IL84" s="252">
        <f t="shared" si="811"/>
        <v>0</v>
      </c>
      <c r="IM84" s="251">
        <f t="shared" si="812"/>
        <v>0</v>
      </c>
      <c r="IO84" s="1"/>
      <c r="IP84" s="2">
        <v>8.3333333333333329E-2</v>
      </c>
      <c r="IQ84" s="257">
        <f t="shared" si="669"/>
        <v>0</v>
      </c>
      <c r="IR84" s="249">
        <f t="shared" si="813"/>
        <v>0</v>
      </c>
      <c r="IS84" s="250">
        <f t="shared" si="814"/>
        <v>0</v>
      </c>
      <c r="IT84" s="279">
        <f t="shared" si="874"/>
        <v>0</v>
      </c>
      <c r="IU84" s="289">
        <f t="shared" si="815"/>
        <v>0</v>
      </c>
      <c r="IV84" s="279">
        <f t="shared" si="874"/>
        <v>0</v>
      </c>
      <c r="IW84" s="289">
        <f t="shared" si="815"/>
        <v>0</v>
      </c>
      <c r="IX84" s="279">
        <f t="shared" si="874"/>
        <v>0</v>
      </c>
      <c r="IY84" s="289">
        <f t="shared" si="816"/>
        <v>0</v>
      </c>
      <c r="IZ84" s="279">
        <f t="shared" si="874"/>
        <v>0</v>
      </c>
      <c r="JA84" s="289">
        <f t="shared" si="817"/>
        <v>0</v>
      </c>
      <c r="JB84" s="279">
        <f t="shared" si="874"/>
        <v>0</v>
      </c>
      <c r="JC84" s="289">
        <f t="shared" si="818"/>
        <v>0</v>
      </c>
      <c r="JD84" s="279">
        <f t="shared" si="874"/>
        <v>0</v>
      </c>
      <c r="JE84" s="289">
        <f t="shared" si="819"/>
        <v>0</v>
      </c>
      <c r="JF84" s="279">
        <f t="shared" si="874"/>
        <v>0</v>
      </c>
      <c r="JG84" s="289">
        <f t="shared" si="820"/>
        <v>0</v>
      </c>
      <c r="JH84" s="279">
        <f t="shared" si="821"/>
        <v>0</v>
      </c>
      <c r="JI84" s="289">
        <f t="shared" si="822"/>
        <v>0</v>
      </c>
      <c r="JJ84" s="279">
        <f t="shared" si="407"/>
        <v>0</v>
      </c>
      <c r="JK84" s="289">
        <f t="shared" si="823"/>
        <v>0</v>
      </c>
      <c r="JL84" s="279">
        <f t="shared" si="824"/>
        <v>0</v>
      </c>
      <c r="JM84" s="289">
        <f t="shared" si="825"/>
        <v>0</v>
      </c>
      <c r="JN84" s="279">
        <f t="shared" si="408"/>
        <v>0</v>
      </c>
      <c r="JO84" s="289">
        <f t="shared" si="826"/>
        <v>0</v>
      </c>
      <c r="JP84" s="252">
        <f t="shared" si="827"/>
        <v>0</v>
      </c>
      <c r="JQ84" s="251">
        <f t="shared" si="828"/>
        <v>0</v>
      </c>
      <c r="JS84" s="1"/>
      <c r="JT84" s="2">
        <v>8.3333333333333329E-2</v>
      </c>
      <c r="JU84" s="257">
        <f t="shared" si="670"/>
        <v>0</v>
      </c>
      <c r="JV84" s="249">
        <f t="shared" si="829"/>
        <v>0</v>
      </c>
      <c r="JW84" s="250">
        <f t="shared" si="830"/>
        <v>0</v>
      </c>
      <c r="JX84" s="372">
        <f t="shared" si="875"/>
        <v>0</v>
      </c>
      <c r="JY84" s="339">
        <f t="shared" si="831"/>
        <v>0</v>
      </c>
      <c r="JZ84" s="372">
        <f t="shared" si="875"/>
        <v>0</v>
      </c>
      <c r="KA84" s="339">
        <f t="shared" si="831"/>
        <v>0</v>
      </c>
      <c r="KB84" s="372">
        <f t="shared" si="875"/>
        <v>0</v>
      </c>
      <c r="KC84" s="339">
        <f t="shared" si="832"/>
        <v>0</v>
      </c>
      <c r="KD84" s="372">
        <f t="shared" si="875"/>
        <v>0</v>
      </c>
      <c r="KE84" s="339">
        <f t="shared" si="833"/>
        <v>0</v>
      </c>
      <c r="KF84" s="372">
        <f t="shared" si="875"/>
        <v>0</v>
      </c>
      <c r="KG84" s="339">
        <f t="shared" si="834"/>
        <v>0</v>
      </c>
      <c r="KH84" s="372">
        <f t="shared" si="875"/>
        <v>0</v>
      </c>
      <c r="KI84" s="339">
        <f t="shared" si="835"/>
        <v>0</v>
      </c>
      <c r="KJ84" s="372">
        <f t="shared" si="875"/>
        <v>0</v>
      </c>
      <c r="KK84" s="339">
        <f t="shared" si="836"/>
        <v>0</v>
      </c>
      <c r="KL84" s="372">
        <f t="shared" si="837"/>
        <v>0</v>
      </c>
      <c r="KM84" s="339">
        <f t="shared" si="838"/>
        <v>0</v>
      </c>
      <c r="KN84" s="372">
        <f t="shared" si="677"/>
        <v>0</v>
      </c>
      <c r="KO84" s="339">
        <f t="shared" si="839"/>
        <v>0</v>
      </c>
      <c r="KP84" s="372">
        <f t="shared" si="840"/>
        <v>0</v>
      </c>
      <c r="KQ84" s="339">
        <f t="shared" si="841"/>
        <v>0</v>
      </c>
      <c r="KR84" s="372">
        <f t="shared" si="678"/>
        <v>0</v>
      </c>
      <c r="KS84" s="377">
        <f t="shared" si="842"/>
        <v>0</v>
      </c>
      <c r="KT84" s="379">
        <f t="shared" si="843"/>
        <v>0</v>
      </c>
      <c r="KU84" s="251">
        <f t="shared" si="679"/>
        <v>0</v>
      </c>
      <c r="KW84" s="1"/>
      <c r="KX84" s="2">
        <v>8.3333333333333329E-2</v>
      </c>
      <c r="KY84" s="254">
        <f t="shared" si="680"/>
        <v>0</v>
      </c>
      <c r="KZ84" s="249">
        <f t="shared" si="876"/>
        <v>0</v>
      </c>
      <c r="LA84" s="251">
        <f t="shared" si="681"/>
        <v>0</v>
      </c>
      <c r="LB84" s="279">
        <f t="shared" si="844"/>
        <v>0</v>
      </c>
      <c r="LC84" s="339">
        <f t="shared" si="845"/>
        <v>0</v>
      </c>
      <c r="LD84" s="279">
        <f t="shared" si="844"/>
        <v>0</v>
      </c>
      <c r="LE84" s="339">
        <f t="shared" si="845"/>
        <v>0</v>
      </c>
      <c r="LF84" s="279">
        <f t="shared" si="844"/>
        <v>0</v>
      </c>
      <c r="LG84" s="339">
        <f t="shared" si="846"/>
        <v>0</v>
      </c>
      <c r="LH84" s="279">
        <f t="shared" si="844"/>
        <v>0</v>
      </c>
      <c r="LI84" s="339">
        <f t="shared" si="847"/>
        <v>0</v>
      </c>
      <c r="LJ84" s="279">
        <f t="shared" si="844"/>
        <v>0</v>
      </c>
      <c r="LK84" s="339">
        <f t="shared" si="848"/>
        <v>0</v>
      </c>
      <c r="LL84" s="279">
        <f t="shared" si="844"/>
        <v>0</v>
      </c>
      <c r="LM84" s="339">
        <f t="shared" si="849"/>
        <v>0</v>
      </c>
      <c r="LN84" s="279">
        <f t="shared" si="844"/>
        <v>0</v>
      </c>
      <c r="LO84" s="339">
        <f t="shared" si="850"/>
        <v>0</v>
      </c>
      <c r="LP84" s="279">
        <f t="shared" si="877"/>
        <v>0</v>
      </c>
      <c r="LQ84" s="339">
        <f t="shared" si="851"/>
        <v>0</v>
      </c>
      <c r="LR84" s="279">
        <f t="shared" si="878"/>
        <v>0</v>
      </c>
      <c r="LS84" s="339">
        <f t="shared" si="852"/>
        <v>0</v>
      </c>
      <c r="LT84" s="279">
        <f t="shared" si="879"/>
        <v>0</v>
      </c>
      <c r="LU84" s="339">
        <f t="shared" si="853"/>
        <v>0</v>
      </c>
      <c r="LV84" s="279">
        <f t="shared" si="880"/>
        <v>0</v>
      </c>
      <c r="LW84" s="339">
        <f t="shared" si="854"/>
        <v>0</v>
      </c>
      <c r="LX84" s="252">
        <f t="shared" si="855"/>
        <v>0</v>
      </c>
      <c r="LY84" s="253">
        <f t="shared" si="856"/>
        <v>0</v>
      </c>
      <c r="MA84" s="249">
        <f t="shared" si="688"/>
        <v>0</v>
      </c>
      <c r="MB84" s="253">
        <f t="shared" si="857"/>
        <v>0</v>
      </c>
      <c r="MC84" s="397">
        <f t="shared" si="689"/>
        <v>0</v>
      </c>
      <c r="MD84" s="253">
        <f t="shared" si="858"/>
        <v>0</v>
      </c>
      <c r="ME84" s="397">
        <f t="shared" si="690"/>
        <v>0</v>
      </c>
      <c r="MF84" s="253">
        <f t="shared" si="858"/>
        <v>0</v>
      </c>
      <c r="MG84" s="397">
        <f t="shared" si="691"/>
        <v>0</v>
      </c>
      <c r="MH84" s="253">
        <f t="shared" si="859"/>
        <v>0</v>
      </c>
      <c r="MI84" s="397">
        <f t="shared" si="692"/>
        <v>0</v>
      </c>
      <c r="MJ84" s="253">
        <f t="shared" si="860"/>
        <v>0</v>
      </c>
      <c r="MK84" s="397">
        <f t="shared" si="693"/>
        <v>0</v>
      </c>
      <c r="ML84" s="253">
        <f t="shared" si="861"/>
        <v>0</v>
      </c>
      <c r="MM84" s="397">
        <f t="shared" si="694"/>
        <v>0</v>
      </c>
      <c r="MN84" s="253">
        <f t="shared" si="862"/>
        <v>0</v>
      </c>
      <c r="MO84" s="397">
        <f t="shared" si="695"/>
        <v>0</v>
      </c>
      <c r="MP84" s="253">
        <f t="shared" si="863"/>
        <v>0</v>
      </c>
      <c r="MQ84" s="397">
        <f t="shared" si="696"/>
        <v>0</v>
      </c>
      <c r="MR84" s="253">
        <f t="shared" si="864"/>
        <v>0</v>
      </c>
      <c r="MS84" s="397">
        <f t="shared" si="697"/>
        <v>0</v>
      </c>
      <c r="MT84" s="253">
        <f t="shared" si="865"/>
        <v>0</v>
      </c>
      <c r="MU84" s="397">
        <f t="shared" si="698"/>
        <v>0</v>
      </c>
      <c r="MV84" s="253">
        <f t="shared" si="866"/>
        <v>0</v>
      </c>
      <c r="MW84" s="397">
        <f t="shared" si="699"/>
        <v>0</v>
      </c>
      <c r="MX84" s="253">
        <f t="shared" si="867"/>
        <v>0</v>
      </c>
      <c r="MY84" s="252">
        <f t="shared" si="868"/>
        <v>0</v>
      </c>
      <c r="MZ84" s="251">
        <f t="shared" si="869"/>
        <v>0</v>
      </c>
    </row>
    <row r="85" spans="1:364" ht="52.8" x14ac:dyDescent="0.25">
      <c r="A85" s="533"/>
      <c r="B85" s="245" t="s">
        <v>178</v>
      </c>
      <c r="C85" s="246" t="s">
        <v>179</v>
      </c>
      <c r="D85" s="247" t="s">
        <v>28</v>
      </c>
      <c r="E85" s="4">
        <v>1</v>
      </c>
      <c r="F85" s="353">
        <v>73761.711337760906</v>
      </c>
      <c r="G85" s="353">
        <f t="shared" si="700"/>
        <v>76835.818469323203</v>
      </c>
      <c r="I85" s="30"/>
      <c r="J85" s="2">
        <v>8.3333333333333329E-2</v>
      </c>
      <c r="K85" s="248">
        <f t="shared" si="701"/>
        <v>0</v>
      </c>
      <c r="L85" s="249"/>
      <c r="M85" s="301">
        <f t="shared" si="445"/>
        <v>0</v>
      </c>
      <c r="N85" s="279">
        <f t="shared" si="450"/>
        <v>0</v>
      </c>
      <c r="O85" s="289">
        <f t="shared" si="883"/>
        <v>0</v>
      </c>
      <c r="P85" s="279">
        <f t="shared" si="450"/>
        <v>0</v>
      </c>
      <c r="Q85" s="289">
        <f t="shared" si="883"/>
        <v>0</v>
      </c>
      <c r="R85" s="279">
        <f t="shared" si="450"/>
        <v>0</v>
      </c>
      <c r="S85" s="289">
        <f t="shared" si="702"/>
        <v>0</v>
      </c>
      <c r="T85" s="279">
        <f t="shared" si="450"/>
        <v>0</v>
      </c>
      <c r="U85" s="289">
        <f t="shared" si="703"/>
        <v>0</v>
      </c>
      <c r="V85" s="279">
        <f t="shared" si="450"/>
        <v>0</v>
      </c>
      <c r="W85" s="289">
        <f t="shared" si="704"/>
        <v>0</v>
      </c>
      <c r="X85" s="279">
        <f t="shared" si="450"/>
        <v>0</v>
      </c>
      <c r="Y85" s="289">
        <f t="shared" si="705"/>
        <v>0</v>
      </c>
      <c r="Z85" s="279">
        <f t="shared" si="450"/>
        <v>0</v>
      </c>
      <c r="AA85" s="289">
        <f t="shared" si="706"/>
        <v>0</v>
      </c>
      <c r="AB85" s="279">
        <f t="shared" si="450"/>
        <v>0</v>
      </c>
      <c r="AC85" s="289">
        <f t="shared" si="707"/>
        <v>0</v>
      </c>
      <c r="AD85" s="279">
        <f t="shared" si="455"/>
        <v>0</v>
      </c>
      <c r="AE85" s="289">
        <f t="shared" si="708"/>
        <v>0</v>
      </c>
      <c r="AF85" s="279">
        <f t="shared" si="455"/>
        <v>0</v>
      </c>
      <c r="AG85" s="289">
        <f t="shared" si="308"/>
        <v>0</v>
      </c>
      <c r="AH85" s="249">
        <f t="shared" si="456"/>
        <v>0</v>
      </c>
      <c r="AI85" s="299">
        <f t="shared" si="309"/>
        <v>0</v>
      </c>
      <c r="AJ85" s="252">
        <f t="shared" si="709"/>
        <v>0</v>
      </c>
      <c r="AK85" s="312">
        <f t="shared" si="710"/>
        <v>0</v>
      </c>
      <c r="AM85" s="1"/>
      <c r="AN85" s="2">
        <v>8.3333333333333329E-2</v>
      </c>
      <c r="AO85" s="254">
        <f t="shared" si="660"/>
        <v>0</v>
      </c>
      <c r="AP85" s="249">
        <f t="shared" si="328"/>
        <v>0</v>
      </c>
      <c r="AQ85" s="301">
        <f t="shared" si="683"/>
        <v>0</v>
      </c>
      <c r="AR85" s="249">
        <f t="shared" si="884"/>
        <v>0</v>
      </c>
      <c r="AS85" s="301">
        <f t="shared" si="683"/>
        <v>0</v>
      </c>
      <c r="AT85" s="249">
        <f t="shared" si="884"/>
        <v>0</v>
      </c>
      <c r="AU85" s="301">
        <f t="shared" si="684"/>
        <v>0</v>
      </c>
      <c r="AV85" s="249">
        <f t="shared" si="884"/>
        <v>0</v>
      </c>
      <c r="AW85" s="301">
        <f t="shared" si="711"/>
        <v>0</v>
      </c>
      <c r="AX85" s="249">
        <f t="shared" si="884"/>
        <v>0</v>
      </c>
      <c r="AY85" s="301">
        <f t="shared" si="712"/>
        <v>0</v>
      </c>
      <c r="AZ85" s="249">
        <f t="shared" si="884"/>
        <v>0</v>
      </c>
      <c r="BA85" s="301">
        <f t="shared" si="713"/>
        <v>0</v>
      </c>
      <c r="BB85" s="249">
        <f t="shared" si="884"/>
        <v>0</v>
      </c>
      <c r="BC85" s="301">
        <f t="shared" si="714"/>
        <v>0</v>
      </c>
      <c r="BD85" s="249">
        <f t="shared" si="884"/>
        <v>0</v>
      </c>
      <c r="BE85" s="301">
        <f t="shared" si="715"/>
        <v>0</v>
      </c>
      <c r="BF85" s="249">
        <f t="shared" si="882"/>
        <v>0</v>
      </c>
      <c r="BG85" s="301">
        <f t="shared" si="716"/>
        <v>0</v>
      </c>
      <c r="BH85" s="249">
        <f t="shared" si="885"/>
        <v>0</v>
      </c>
      <c r="BI85" s="301">
        <f t="shared" si="717"/>
        <v>0</v>
      </c>
      <c r="BJ85" s="249">
        <f t="shared" si="885"/>
        <v>0</v>
      </c>
      <c r="BK85" s="301">
        <f t="shared" si="717"/>
        <v>0</v>
      </c>
      <c r="BL85" s="249">
        <f t="shared" si="661"/>
        <v>0</v>
      </c>
      <c r="BM85" s="299">
        <f t="shared" si="718"/>
        <v>0</v>
      </c>
      <c r="BN85" s="252">
        <f t="shared" si="719"/>
        <v>0</v>
      </c>
      <c r="BO85" s="312">
        <f t="shared" si="685"/>
        <v>0</v>
      </c>
      <c r="BQ85" s="1"/>
      <c r="BR85" s="2"/>
      <c r="BS85" s="255">
        <f t="shared" si="886"/>
        <v>0</v>
      </c>
      <c r="BT85" s="249">
        <f t="shared" si="881"/>
        <v>0</v>
      </c>
      <c r="BU85" s="336">
        <f t="shared" si="720"/>
        <v>0</v>
      </c>
      <c r="BV85" s="279">
        <f t="shared" si="721"/>
        <v>0</v>
      </c>
      <c r="BW85" s="339">
        <f t="shared" si="722"/>
        <v>0</v>
      </c>
      <c r="BX85" s="279">
        <f t="shared" si="721"/>
        <v>0</v>
      </c>
      <c r="BY85" s="339">
        <f t="shared" si="723"/>
        <v>0</v>
      </c>
      <c r="BZ85" s="279">
        <f t="shared" si="721"/>
        <v>0</v>
      </c>
      <c r="CA85" s="339">
        <f t="shared" si="724"/>
        <v>0</v>
      </c>
      <c r="CB85" s="279">
        <f t="shared" si="721"/>
        <v>0</v>
      </c>
      <c r="CC85" s="339">
        <f t="shared" si="725"/>
        <v>0</v>
      </c>
      <c r="CD85" s="279">
        <f t="shared" si="721"/>
        <v>0</v>
      </c>
      <c r="CE85" s="339">
        <f t="shared" si="726"/>
        <v>0</v>
      </c>
      <c r="CF85" s="279">
        <f t="shared" si="721"/>
        <v>0</v>
      </c>
      <c r="CG85" s="339">
        <f t="shared" si="727"/>
        <v>0</v>
      </c>
      <c r="CH85" s="279">
        <f t="shared" si="721"/>
        <v>0</v>
      </c>
      <c r="CI85" s="339">
        <f t="shared" si="728"/>
        <v>0</v>
      </c>
      <c r="CJ85" s="279">
        <f t="shared" si="729"/>
        <v>0</v>
      </c>
      <c r="CK85" s="339">
        <f t="shared" si="730"/>
        <v>0</v>
      </c>
      <c r="CL85" s="279">
        <f t="shared" si="463"/>
        <v>0</v>
      </c>
      <c r="CM85" s="339">
        <f t="shared" si="731"/>
        <v>0</v>
      </c>
      <c r="CN85" s="279">
        <f t="shared" si="732"/>
        <v>0</v>
      </c>
      <c r="CO85" s="339">
        <f t="shared" si="733"/>
        <v>0</v>
      </c>
      <c r="CP85" s="279">
        <f t="shared" si="464"/>
        <v>0</v>
      </c>
      <c r="CQ85" s="250">
        <f t="shared" si="662"/>
        <v>0</v>
      </c>
      <c r="CR85" s="252">
        <f t="shared" si="734"/>
        <v>0</v>
      </c>
      <c r="CS85" s="251">
        <f t="shared" si="887"/>
        <v>0</v>
      </c>
      <c r="CU85" s="1"/>
      <c r="CV85" s="2"/>
      <c r="CW85" s="255">
        <f t="shared" si="299"/>
        <v>0</v>
      </c>
      <c r="CX85" s="249">
        <f t="shared" si="735"/>
        <v>0</v>
      </c>
      <c r="CY85" s="250">
        <f t="shared" si="736"/>
        <v>0</v>
      </c>
      <c r="CZ85" s="279">
        <f t="shared" si="870"/>
        <v>0</v>
      </c>
      <c r="DA85" s="299">
        <f t="shared" si="736"/>
        <v>0</v>
      </c>
      <c r="DB85" s="279">
        <f t="shared" si="870"/>
        <v>0</v>
      </c>
      <c r="DC85" s="299">
        <f t="shared" si="737"/>
        <v>0</v>
      </c>
      <c r="DD85" s="279">
        <f t="shared" si="870"/>
        <v>0</v>
      </c>
      <c r="DE85" s="299">
        <f t="shared" si="738"/>
        <v>0</v>
      </c>
      <c r="DF85" s="279">
        <f t="shared" si="870"/>
        <v>0</v>
      </c>
      <c r="DG85" s="299">
        <f t="shared" si="739"/>
        <v>0</v>
      </c>
      <c r="DH85" s="279">
        <f t="shared" si="870"/>
        <v>0</v>
      </c>
      <c r="DI85" s="299">
        <f t="shared" si="740"/>
        <v>0</v>
      </c>
      <c r="DJ85" s="279">
        <f t="shared" si="870"/>
        <v>0</v>
      </c>
      <c r="DK85" s="299">
        <f t="shared" si="741"/>
        <v>0</v>
      </c>
      <c r="DL85" s="279">
        <f t="shared" si="870"/>
        <v>0</v>
      </c>
      <c r="DM85" s="299">
        <f t="shared" si="742"/>
        <v>0</v>
      </c>
      <c r="DN85" s="279">
        <f t="shared" si="743"/>
        <v>0</v>
      </c>
      <c r="DO85" s="299">
        <f t="shared" si="744"/>
        <v>0</v>
      </c>
      <c r="DP85" s="279">
        <f t="shared" si="471"/>
        <v>0</v>
      </c>
      <c r="DQ85" s="299">
        <f t="shared" si="745"/>
        <v>0</v>
      </c>
      <c r="DR85" s="279">
        <f t="shared" si="746"/>
        <v>0</v>
      </c>
      <c r="DS85" s="299">
        <f t="shared" si="747"/>
        <v>0</v>
      </c>
      <c r="DT85" s="279">
        <f t="shared" si="472"/>
        <v>0</v>
      </c>
      <c r="DU85" s="299">
        <f t="shared" si="748"/>
        <v>0</v>
      </c>
      <c r="DV85" s="252">
        <f t="shared" si="749"/>
        <v>0</v>
      </c>
      <c r="DW85" s="251">
        <f t="shared" si="888"/>
        <v>0</v>
      </c>
      <c r="DY85" s="256">
        <v>0</v>
      </c>
      <c r="DZ85" s="2"/>
      <c r="EA85" s="254">
        <f t="shared" si="663"/>
        <v>0</v>
      </c>
      <c r="EB85" s="249">
        <f t="shared" si="871"/>
        <v>0</v>
      </c>
      <c r="EC85" s="250">
        <f t="shared" si="750"/>
        <v>0</v>
      </c>
      <c r="ED85" s="356">
        <f t="shared" si="871"/>
        <v>0</v>
      </c>
      <c r="EE85" s="250">
        <f t="shared" si="750"/>
        <v>0</v>
      </c>
      <c r="EF85" s="249">
        <f t="shared" si="872"/>
        <v>0</v>
      </c>
      <c r="EG85" s="250">
        <f t="shared" si="751"/>
        <v>0</v>
      </c>
      <c r="EH85" s="249">
        <f t="shared" si="872"/>
        <v>0</v>
      </c>
      <c r="EI85" s="250">
        <f t="shared" si="751"/>
        <v>0</v>
      </c>
      <c r="EJ85" s="249">
        <f t="shared" si="872"/>
        <v>0</v>
      </c>
      <c r="EK85" s="250">
        <f t="shared" si="752"/>
        <v>0</v>
      </c>
      <c r="EL85" s="249">
        <f t="shared" si="872"/>
        <v>0</v>
      </c>
      <c r="EM85" s="250">
        <f t="shared" si="753"/>
        <v>0</v>
      </c>
      <c r="EN85" s="249">
        <f t="shared" si="872"/>
        <v>0</v>
      </c>
      <c r="EO85" s="250">
        <f t="shared" si="754"/>
        <v>0</v>
      </c>
      <c r="EP85" s="249">
        <f t="shared" si="872"/>
        <v>0</v>
      </c>
      <c r="EQ85" s="250">
        <f t="shared" si="755"/>
        <v>0</v>
      </c>
      <c r="ER85" s="249">
        <f t="shared" si="872"/>
        <v>0</v>
      </c>
      <c r="ES85" s="250">
        <f t="shared" si="756"/>
        <v>0</v>
      </c>
      <c r="ET85" s="249">
        <f t="shared" si="391"/>
        <v>0</v>
      </c>
      <c r="EU85" s="250">
        <f t="shared" si="757"/>
        <v>0</v>
      </c>
      <c r="EV85" s="249">
        <f t="shared" si="758"/>
        <v>0</v>
      </c>
      <c r="EW85" s="250">
        <f t="shared" si="759"/>
        <v>0</v>
      </c>
      <c r="EX85" s="249">
        <f t="shared" si="392"/>
        <v>0</v>
      </c>
      <c r="EY85" s="250">
        <f t="shared" si="760"/>
        <v>0</v>
      </c>
      <c r="EZ85" s="252">
        <f t="shared" si="761"/>
        <v>0</v>
      </c>
      <c r="FA85" s="251">
        <f t="shared" si="664"/>
        <v>0</v>
      </c>
      <c r="FC85" s="1"/>
      <c r="FD85" s="2"/>
      <c r="FE85" s="257">
        <f t="shared" si="152"/>
        <v>0</v>
      </c>
      <c r="FF85" s="249">
        <f t="shared" si="762"/>
        <v>0</v>
      </c>
      <c r="FG85" s="250">
        <f t="shared" si="763"/>
        <v>0</v>
      </c>
      <c r="FH85" s="372">
        <f t="shared" si="873"/>
        <v>0</v>
      </c>
      <c r="FI85" s="339">
        <f t="shared" si="764"/>
        <v>0</v>
      </c>
      <c r="FJ85" s="372">
        <f t="shared" si="873"/>
        <v>0</v>
      </c>
      <c r="FK85" s="339">
        <f t="shared" si="764"/>
        <v>0</v>
      </c>
      <c r="FL85" s="372">
        <f t="shared" si="873"/>
        <v>0</v>
      </c>
      <c r="FM85" s="339">
        <f t="shared" si="765"/>
        <v>0</v>
      </c>
      <c r="FN85" s="372">
        <f t="shared" si="873"/>
        <v>0</v>
      </c>
      <c r="FO85" s="339">
        <f t="shared" si="766"/>
        <v>0</v>
      </c>
      <c r="FP85" s="372">
        <f t="shared" si="873"/>
        <v>0</v>
      </c>
      <c r="FQ85" s="339">
        <f t="shared" si="767"/>
        <v>0</v>
      </c>
      <c r="FR85" s="372">
        <f t="shared" si="873"/>
        <v>0</v>
      </c>
      <c r="FS85" s="339">
        <f t="shared" si="768"/>
        <v>0</v>
      </c>
      <c r="FT85" s="372">
        <f t="shared" si="873"/>
        <v>0</v>
      </c>
      <c r="FU85" s="339">
        <f t="shared" si="769"/>
        <v>0</v>
      </c>
      <c r="FV85" s="372">
        <f t="shared" si="770"/>
        <v>0</v>
      </c>
      <c r="FW85" s="339">
        <f t="shared" si="771"/>
        <v>0</v>
      </c>
      <c r="FX85" s="372">
        <f t="shared" si="479"/>
        <v>0</v>
      </c>
      <c r="FY85" s="339">
        <f t="shared" si="772"/>
        <v>0</v>
      </c>
      <c r="FZ85" s="372">
        <f t="shared" si="773"/>
        <v>0</v>
      </c>
      <c r="GA85" s="339">
        <f t="shared" si="774"/>
        <v>0</v>
      </c>
      <c r="GB85" s="372">
        <f t="shared" si="480"/>
        <v>0</v>
      </c>
      <c r="GC85" s="339">
        <f t="shared" si="775"/>
        <v>0</v>
      </c>
      <c r="GD85" s="252">
        <f t="shared" si="776"/>
        <v>0</v>
      </c>
      <c r="GE85" s="251">
        <f t="shared" si="686"/>
        <v>0</v>
      </c>
      <c r="GG85" s="1"/>
      <c r="GH85" s="2">
        <v>0.2</v>
      </c>
      <c r="GI85" s="257">
        <f t="shared" si="665"/>
        <v>0</v>
      </c>
      <c r="GJ85" s="249">
        <f t="shared" si="777"/>
        <v>0</v>
      </c>
      <c r="GK85" s="250">
        <f>+GJ85*$G85</f>
        <v>0</v>
      </c>
      <c r="GL85" s="249">
        <f t="shared" si="777"/>
        <v>0</v>
      </c>
      <c r="GM85" s="250">
        <f>+GL85*$G85</f>
        <v>0</v>
      </c>
      <c r="GN85" s="249">
        <f t="shared" si="777"/>
        <v>0</v>
      </c>
      <c r="GO85" s="250">
        <f>+GN85*$G85</f>
        <v>0</v>
      </c>
      <c r="GP85" s="249">
        <f t="shared" si="777"/>
        <v>0</v>
      </c>
      <c r="GQ85" s="250">
        <f>+GP85*$G85</f>
        <v>0</v>
      </c>
      <c r="GR85" s="249">
        <f t="shared" si="777"/>
        <v>0</v>
      </c>
      <c r="GS85" s="250">
        <f>+GR85*$G85</f>
        <v>0</v>
      </c>
      <c r="GT85" s="249">
        <f t="shared" si="777"/>
        <v>0</v>
      </c>
      <c r="GU85" s="250">
        <f>+GT85*$G85</f>
        <v>0</v>
      </c>
      <c r="GV85" s="249">
        <f t="shared" si="777"/>
        <v>0</v>
      </c>
      <c r="GW85" s="250">
        <f>+GV85*$G85</f>
        <v>0</v>
      </c>
      <c r="GX85" s="249">
        <f t="shared" si="784"/>
        <v>0</v>
      </c>
      <c r="GY85" s="250">
        <f>+GX85*$G85</f>
        <v>0</v>
      </c>
      <c r="GZ85" s="249">
        <f t="shared" si="786"/>
        <v>0</v>
      </c>
      <c r="HA85" s="250">
        <f>+GZ85*$G85</f>
        <v>0</v>
      </c>
      <c r="HB85" s="249">
        <f t="shared" si="788"/>
        <v>0</v>
      </c>
      <c r="HC85" s="250">
        <f>+HB85*$G85</f>
        <v>0</v>
      </c>
      <c r="HD85" s="249">
        <f t="shared" si="790"/>
        <v>0</v>
      </c>
      <c r="HE85" s="250">
        <f>+HD85*$G85</f>
        <v>0</v>
      </c>
      <c r="HF85" s="249">
        <f t="shared" si="792"/>
        <v>0</v>
      </c>
      <c r="HG85" s="250">
        <f>+HF85*$G85</f>
        <v>0</v>
      </c>
      <c r="HH85" s="252">
        <f t="shared" si="794"/>
        <v>0</v>
      </c>
      <c r="HI85" s="251">
        <f t="shared" si="666"/>
        <v>0</v>
      </c>
      <c r="HK85" s="1"/>
      <c r="HL85" s="2"/>
      <c r="HM85" s="257">
        <f t="shared" si="667"/>
        <v>0</v>
      </c>
      <c r="HN85" s="249">
        <f t="shared" si="795"/>
        <v>0</v>
      </c>
      <c r="HO85" s="250">
        <f t="shared" si="668"/>
        <v>0</v>
      </c>
      <c r="HP85" s="249">
        <f t="shared" si="796"/>
        <v>0</v>
      </c>
      <c r="HQ85" s="250">
        <f t="shared" si="797"/>
        <v>0</v>
      </c>
      <c r="HR85" s="249">
        <f t="shared" si="796"/>
        <v>0</v>
      </c>
      <c r="HS85" s="250">
        <f t="shared" si="797"/>
        <v>0</v>
      </c>
      <c r="HT85" s="249">
        <f t="shared" si="796"/>
        <v>0</v>
      </c>
      <c r="HU85" s="250">
        <f t="shared" si="798"/>
        <v>0</v>
      </c>
      <c r="HV85" s="249">
        <f t="shared" si="796"/>
        <v>0</v>
      </c>
      <c r="HW85" s="250">
        <f t="shared" si="799"/>
        <v>0</v>
      </c>
      <c r="HX85" s="249">
        <f t="shared" si="796"/>
        <v>0</v>
      </c>
      <c r="HY85" s="250">
        <f t="shared" si="800"/>
        <v>0</v>
      </c>
      <c r="HZ85" s="249">
        <f t="shared" si="796"/>
        <v>0</v>
      </c>
      <c r="IA85" s="250">
        <f t="shared" si="801"/>
        <v>0</v>
      </c>
      <c r="IB85" s="249">
        <f t="shared" si="796"/>
        <v>0</v>
      </c>
      <c r="IC85" s="250">
        <f t="shared" si="802"/>
        <v>0</v>
      </c>
      <c r="ID85" s="249">
        <f t="shared" si="803"/>
        <v>0</v>
      </c>
      <c r="IE85" s="250">
        <f t="shared" si="804"/>
        <v>0</v>
      </c>
      <c r="IF85" s="249">
        <f t="shared" si="805"/>
        <v>0</v>
      </c>
      <c r="IG85" s="250">
        <f t="shared" si="806"/>
        <v>0</v>
      </c>
      <c r="IH85" s="249">
        <f t="shared" si="807"/>
        <v>0</v>
      </c>
      <c r="II85" s="250">
        <f t="shared" si="808"/>
        <v>0</v>
      </c>
      <c r="IJ85" s="249">
        <f t="shared" si="809"/>
        <v>0</v>
      </c>
      <c r="IK85" s="250">
        <f t="shared" si="810"/>
        <v>0</v>
      </c>
      <c r="IL85" s="252">
        <f t="shared" si="811"/>
        <v>0</v>
      </c>
      <c r="IM85" s="251">
        <f t="shared" si="812"/>
        <v>0</v>
      </c>
      <c r="IO85" s="1"/>
      <c r="IP85" s="2">
        <v>8.3333333333333329E-2</v>
      </c>
      <c r="IQ85" s="257">
        <f t="shared" si="669"/>
        <v>0</v>
      </c>
      <c r="IR85" s="249">
        <f t="shared" si="813"/>
        <v>0</v>
      </c>
      <c r="IS85" s="250">
        <f t="shared" si="814"/>
        <v>0</v>
      </c>
      <c r="IT85" s="279">
        <f t="shared" si="874"/>
        <v>0</v>
      </c>
      <c r="IU85" s="289">
        <f t="shared" si="815"/>
        <v>0</v>
      </c>
      <c r="IV85" s="279">
        <f t="shared" si="874"/>
        <v>0</v>
      </c>
      <c r="IW85" s="289">
        <f t="shared" si="815"/>
        <v>0</v>
      </c>
      <c r="IX85" s="279">
        <f t="shared" si="874"/>
        <v>0</v>
      </c>
      <c r="IY85" s="289">
        <f t="shared" si="816"/>
        <v>0</v>
      </c>
      <c r="IZ85" s="279">
        <f t="shared" si="874"/>
        <v>0</v>
      </c>
      <c r="JA85" s="289">
        <f t="shared" si="817"/>
        <v>0</v>
      </c>
      <c r="JB85" s="279">
        <f t="shared" si="874"/>
        <v>0</v>
      </c>
      <c r="JC85" s="289">
        <f t="shared" si="818"/>
        <v>0</v>
      </c>
      <c r="JD85" s="279">
        <f t="shared" si="874"/>
        <v>0</v>
      </c>
      <c r="JE85" s="289">
        <f t="shared" si="819"/>
        <v>0</v>
      </c>
      <c r="JF85" s="279">
        <f t="shared" si="874"/>
        <v>0</v>
      </c>
      <c r="JG85" s="289">
        <f t="shared" si="820"/>
        <v>0</v>
      </c>
      <c r="JH85" s="279">
        <f t="shared" si="821"/>
        <v>0</v>
      </c>
      <c r="JI85" s="289">
        <f t="shared" si="822"/>
        <v>0</v>
      </c>
      <c r="JJ85" s="279">
        <f t="shared" si="407"/>
        <v>0</v>
      </c>
      <c r="JK85" s="289">
        <f t="shared" si="823"/>
        <v>0</v>
      </c>
      <c r="JL85" s="279">
        <f t="shared" si="824"/>
        <v>0</v>
      </c>
      <c r="JM85" s="289">
        <f t="shared" si="825"/>
        <v>0</v>
      </c>
      <c r="JN85" s="279">
        <f t="shared" si="408"/>
        <v>0</v>
      </c>
      <c r="JO85" s="289">
        <f t="shared" si="826"/>
        <v>0</v>
      </c>
      <c r="JP85" s="252">
        <f t="shared" si="827"/>
        <v>0</v>
      </c>
      <c r="JQ85" s="251">
        <f t="shared" si="828"/>
        <v>0</v>
      </c>
      <c r="JS85" s="1"/>
      <c r="JT85" s="2">
        <v>8.3333333333333329E-2</v>
      </c>
      <c r="JU85" s="257">
        <f t="shared" si="670"/>
        <v>0</v>
      </c>
      <c r="JV85" s="249">
        <f t="shared" si="829"/>
        <v>0</v>
      </c>
      <c r="JW85" s="250">
        <f t="shared" si="830"/>
        <v>0</v>
      </c>
      <c r="JX85" s="372">
        <f t="shared" si="875"/>
        <v>0</v>
      </c>
      <c r="JY85" s="339">
        <f t="shared" si="831"/>
        <v>0</v>
      </c>
      <c r="JZ85" s="372">
        <f t="shared" si="875"/>
        <v>0</v>
      </c>
      <c r="KA85" s="339">
        <f t="shared" si="831"/>
        <v>0</v>
      </c>
      <c r="KB85" s="372">
        <f t="shared" si="875"/>
        <v>0</v>
      </c>
      <c r="KC85" s="339">
        <f t="shared" si="832"/>
        <v>0</v>
      </c>
      <c r="KD85" s="372">
        <f t="shared" si="875"/>
        <v>0</v>
      </c>
      <c r="KE85" s="339">
        <f t="shared" si="833"/>
        <v>0</v>
      </c>
      <c r="KF85" s="372">
        <f t="shared" si="875"/>
        <v>0</v>
      </c>
      <c r="KG85" s="339">
        <f t="shared" si="834"/>
        <v>0</v>
      </c>
      <c r="KH85" s="372">
        <f t="shared" si="875"/>
        <v>0</v>
      </c>
      <c r="KI85" s="339">
        <f t="shared" si="835"/>
        <v>0</v>
      </c>
      <c r="KJ85" s="372">
        <f t="shared" si="875"/>
        <v>0</v>
      </c>
      <c r="KK85" s="339">
        <f t="shared" si="836"/>
        <v>0</v>
      </c>
      <c r="KL85" s="372">
        <f t="shared" si="837"/>
        <v>0</v>
      </c>
      <c r="KM85" s="339">
        <f t="shared" si="838"/>
        <v>0</v>
      </c>
      <c r="KN85" s="372">
        <f t="shared" si="677"/>
        <v>0</v>
      </c>
      <c r="KO85" s="339">
        <f t="shared" si="839"/>
        <v>0</v>
      </c>
      <c r="KP85" s="372">
        <f t="shared" si="840"/>
        <v>0</v>
      </c>
      <c r="KQ85" s="339">
        <f t="shared" si="841"/>
        <v>0</v>
      </c>
      <c r="KR85" s="372">
        <f t="shared" si="678"/>
        <v>0</v>
      </c>
      <c r="KS85" s="377">
        <f t="shared" si="842"/>
        <v>0</v>
      </c>
      <c r="KT85" s="379">
        <f t="shared" si="843"/>
        <v>0</v>
      </c>
      <c r="KU85" s="251">
        <f t="shared" si="679"/>
        <v>0</v>
      </c>
      <c r="KW85" s="1"/>
      <c r="KX85" s="2">
        <v>8.3333333333333329E-2</v>
      </c>
      <c r="KY85" s="254">
        <f t="shared" si="680"/>
        <v>0</v>
      </c>
      <c r="KZ85" s="249">
        <f t="shared" si="876"/>
        <v>0</v>
      </c>
      <c r="LA85" s="251">
        <f t="shared" si="681"/>
        <v>0</v>
      </c>
      <c r="LB85" s="279">
        <f t="shared" si="844"/>
        <v>0</v>
      </c>
      <c r="LC85" s="339">
        <f t="shared" si="845"/>
        <v>0</v>
      </c>
      <c r="LD85" s="279">
        <f t="shared" si="844"/>
        <v>0</v>
      </c>
      <c r="LE85" s="339">
        <f t="shared" si="845"/>
        <v>0</v>
      </c>
      <c r="LF85" s="279">
        <f t="shared" si="844"/>
        <v>0</v>
      </c>
      <c r="LG85" s="339">
        <f t="shared" si="846"/>
        <v>0</v>
      </c>
      <c r="LH85" s="279">
        <f t="shared" si="844"/>
        <v>0</v>
      </c>
      <c r="LI85" s="339">
        <f t="shared" si="847"/>
        <v>0</v>
      </c>
      <c r="LJ85" s="279">
        <f t="shared" si="844"/>
        <v>0</v>
      </c>
      <c r="LK85" s="339">
        <f t="shared" si="848"/>
        <v>0</v>
      </c>
      <c r="LL85" s="279">
        <f t="shared" si="844"/>
        <v>0</v>
      </c>
      <c r="LM85" s="339">
        <f t="shared" si="849"/>
        <v>0</v>
      </c>
      <c r="LN85" s="279">
        <f t="shared" si="844"/>
        <v>0</v>
      </c>
      <c r="LO85" s="339">
        <f t="shared" si="850"/>
        <v>0</v>
      </c>
      <c r="LP85" s="279">
        <f t="shared" si="877"/>
        <v>0</v>
      </c>
      <c r="LQ85" s="339">
        <f t="shared" si="851"/>
        <v>0</v>
      </c>
      <c r="LR85" s="279">
        <f t="shared" si="878"/>
        <v>0</v>
      </c>
      <c r="LS85" s="339">
        <f t="shared" si="852"/>
        <v>0</v>
      </c>
      <c r="LT85" s="279">
        <f t="shared" si="879"/>
        <v>0</v>
      </c>
      <c r="LU85" s="339">
        <f t="shared" si="853"/>
        <v>0</v>
      </c>
      <c r="LV85" s="279">
        <f t="shared" si="880"/>
        <v>0</v>
      </c>
      <c r="LW85" s="339">
        <f t="shared" si="854"/>
        <v>0</v>
      </c>
      <c r="LX85" s="252">
        <f t="shared" si="855"/>
        <v>0</v>
      </c>
      <c r="LY85" s="253">
        <f t="shared" si="856"/>
        <v>0</v>
      </c>
      <c r="MA85" s="249">
        <f t="shared" si="688"/>
        <v>0</v>
      </c>
      <c r="MB85" s="253">
        <f t="shared" si="857"/>
        <v>0</v>
      </c>
      <c r="MC85" s="397">
        <f t="shared" si="689"/>
        <v>0</v>
      </c>
      <c r="MD85" s="253">
        <f t="shared" si="858"/>
        <v>0</v>
      </c>
      <c r="ME85" s="397">
        <f t="shared" si="690"/>
        <v>0</v>
      </c>
      <c r="MF85" s="253">
        <f t="shared" si="858"/>
        <v>0</v>
      </c>
      <c r="MG85" s="397">
        <f t="shared" si="691"/>
        <v>0</v>
      </c>
      <c r="MH85" s="253">
        <f t="shared" si="859"/>
        <v>0</v>
      </c>
      <c r="MI85" s="397">
        <f t="shared" si="692"/>
        <v>0</v>
      </c>
      <c r="MJ85" s="253">
        <f t="shared" si="860"/>
        <v>0</v>
      </c>
      <c r="MK85" s="397">
        <f t="shared" si="693"/>
        <v>0</v>
      </c>
      <c r="ML85" s="253">
        <f t="shared" si="861"/>
        <v>0</v>
      </c>
      <c r="MM85" s="397">
        <f t="shared" si="694"/>
        <v>0</v>
      </c>
      <c r="MN85" s="253">
        <f t="shared" si="862"/>
        <v>0</v>
      </c>
      <c r="MO85" s="397">
        <f t="shared" si="695"/>
        <v>0</v>
      </c>
      <c r="MP85" s="253">
        <f t="shared" si="863"/>
        <v>0</v>
      </c>
      <c r="MQ85" s="397">
        <f t="shared" si="696"/>
        <v>0</v>
      </c>
      <c r="MR85" s="253">
        <f t="shared" si="864"/>
        <v>0</v>
      </c>
      <c r="MS85" s="397">
        <f t="shared" si="697"/>
        <v>0</v>
      </c>
      <c r="MT85" s="253">
        <f t="shared" si="865"/>
        <v>0</v>
      </c>
      <c r="MU85" s="397">
        <f t="shared" si="698"/>
        <v>0</v>
      </c>
      <c r="MV85" s="253">
        <f t="shared" si="866"/>
        <v>0</v>
      </c>
      <c r="MW85" s="397">
        <f t="shared" si="699"/>
        <v>0</v>
      </c>
      <c r="MX85" s="253">
        <f t="shared" si="867"/>
        <v>0</v>
      </c>
      <c r="MY85" s="252">
        <f t="shared" si="868"/>
        <v>0</v>
      </c>
      <c r="MZ85" s="251">
        <f t="shared" si="869"/>
        <v>0</v>
      </c>
    </row>
    <row r="86" spans="1:364" ht="39.6" x14ac:dyDescent="0.25">
      <c r="A86" s="533"/>
      <c r="B86" s="245" t="s">
        <v>180</v>
      </c>
      <c r="C86" s="246" t="s">
        <v>181</v>
      </c>
      <c r="D86" s="247" t="s">
        <v>28</v>
      </c>
      <c r="E86" s="4">
        <v>1</v>
      </c>
      <c r="F86" s="353">
        <v>44529.322817836808</v>
      </c>
      <c r="G86" s="353">
        <f t="shared" si="700"/>
        <v>46385.135357368745</v>
      </c>
      <c r="I86" s="30"/>
      <c r="J86" s="2">
        <v>8.3333333333333329E-2</v>
      </c>
      <c r="K86" s="248">
        <f t="shared" si="701"/>
        <v>0</v>
      </c>
      <c r="L86" s="249"/>
      <c r="M86" s="301">
        <f t="shared" si="445"/>
        <v>0</v>
      </c>
      <c r="N86" s="279">
        <f t="shared" ref="N86:AF110" si="889">+$I86*$J86</f>
        <v>0</v>
      </c>
      <c r="O86" s="289">
        <f t="shared" si="883"/>
        <v>0</v>
      </c>
      <c r="P86" s="279">
        <f t="shared" si="889"/>
        <v>0</v>
      </c>
      <c r="Q86" s="289">
        <f t="shared" si="883"/>
        <v>0</v>
      </c>
      <c r="R86" s="279">
        <f t="shared" si="889"/>
        <v>0</v>
      </c>
      <c r="S86" s="289">
        <f t="shared" si="702"/>
        <v>0</v>
      </c>
      <c r="T86" s="279">
        <f t="shared" si="889"/>
        <v>0</v>
      </c>
      <c r="U86" s="289">
        <f t="shared" si="703"/>
        <v>0</v>
      </c>
      <c r="V86" s="279">
        <f t="shared" si="889"/>
        <v>0</v>
      </c>
      <c r="W86" s="289">
        <f t="shared" si="704"/>
        <v>0</v>
      </c>
      <c r="X86" s="279">
        <f t="shared" si="889"/>
        <v>0</v>
      </c>
      <c r="Y86" s="289">
        <f t="shared" si="705"/>
        <v>0</v>
      </c>
      <c r="Z86" s="279">
        <f t="shared" si="889"/>
        <v>0</v>
      </c>
      <c r="AA86" s="289">
        <f t="shared" si="706"/>
        <v>0</v>
      </c>
      <c r="AB86" s="279">
        <f t="shared" si="889"/>
        <v>0</v>
      </c>
      <c r="AC86" s="289">
        <f t="shared" si="707"/>
        <v>0</v>
      </c>
      <c r="AD86" s="279">
        <f t="shared" si="889"/>
        <v>0</v>
      </c>
      <c r="AE86" s="289">
        <f t="shared" si="708"/>
        <v>0</v>
      </c>
      <c r="AF86" s="279">
        <f t="shared" si="889"/>
        <v>0</v>
      </c>
      <c r="AG86" s="289">
        <f t="shared" ref="AG86:AG110" si="890">+AF86*$G86</f>
        <v>0</v>
      </c>
      <c r="AH86" s="249">
        <f t="shared" si="456"/>
        <v>0</v>
      </c>
      <c r="AI86" s="299">
        <f t="shared" ref="AI86:AI110" si="891">+AH86*$G86</f>
        <v>0</v>
      </c>
      <c r="AJ86" s="252">
        <f t="shared" si="709"/>
        <v>0</v>
      </c>
      <c r="AK86" s="312">
        <f t="shared" si="710"/>
        <v>0</v>
      </c>
      <c r="AM86" s="1"/>
      <c r="AN86" s="2">
        <v>8.3333333333333329E-2</v>
      </c>
      <c r="AO86" s="254">
        <f t="shared" si="660"/>
        <v>0</v>
      </c>
      <c r="AP86" s="249">
        <f t="shared" si="328"/>
        <v>0</v>
      </c>
      <c r="AQ86" s="301">
        <f t="shared" si="683"/>
        <v>0</v>
      </c>
      <c r="AR86" s="249">
        <f t="shared" si="884"/>
        <v>0</v>
      </c>
      <c r="AS86" s="301">
        <f t="shared" si="683"/>
        <v>0</v>
      </c>
      <c r="AT86" s="249">
        <f t="shared" si="884"/>
        <v>0</v>
      </c>
      <c r="AU86" s="301">
        <f t="shared" si="684"/>
        <v>0</v>
      </c>
      <c r="AV86" s="249">
        <f t="shared" si="884"/>
        <v>0</v>
      </c>
      <c r="AW86" s="301">
        <f t="shared" si="711"/>
        <v>0</v>
      </c>
      <c r="AX86" s="249">
        <f t="shared" si="884"/>
        <v>0</v>
      </c>
      <c r="AY86" s="301">
        <f t="shared" si="712"/>
        <v>0</v>
      </c>
      <c r="AZ86" s="249">
        <f t="shared" si="884"/>
        <v>0</v>
      </c>
      <c r="BA86" s="301">
        <f t="shared" si="713"/>
        <v>0</v>
      </c>
      <c r="BB86" s="249">
        <f t="shared" si="884"/>
        <v>0</v>
      </c>
      <c r="BC86" s="301">
        <f t="shared" si="714"/>
        <v>0</v>
      </c>
      <c r="BD86" s="249">
        <f t="shared" si="884"/>
        <v>0</v>
      </c>
      <c r="BE86" s="301">
        <f t="shared" si="715"/>
        <v>0</v>
      </c>
      <c r="BF86" s="249">
        <f t="shared" si="882"/>
        <v>0</v>
      </c>
      <c r="BG86" s="301">
        <f t="shared" si="716"/>
        <v>0</v>
      </c>
      <c r="BH86" s="249">
        <f t="shared" si="885"/>
        <v>0</v>
      </c>
      <c r="BI86" s="301">
        <f t="shared" ref="BI86:BK101" si="892">+BH86*$G86</f>
        <v>0</v>
      </c>
      <c r="BJ86" s="249">
        <f t="shared" si="885"/>
        <v>0</v>
      </c>
      <c r="BK86" s="301">
        <f t="shared" si="892"/>
        <v>0</v>
      </c>
      <c r="BL86" s="249">
        <f t="shared" si="661"/>
        <v>0</v>
      </c>
      <c r="BM86" s="299">
        <f t="shared" si="718"/>
        <v>0</v>
      </c>
      <c r="BN86" s="252">
        <f t="shared" si="719"/>
        <v>0</v>
      </c>
      <c r="BO86" s="312">
        <f t="shared" si="685"/>
        <v>0</v>
      </c>
      <c r="BQ86" s="1"/>
      <c r="BR86" s="2"/>
      <c r="BS86" s="255">
        <f t="shared" si="886"/>
        <v>0</v>
      </c>
      <c r="BT86" s="249">
        <f t="shared" si="881"/>
        <v>0</v>
      </c>
      <c r="BU86" s="336">
        <f t="shared" si="720"/>
        <v>0</v>
      </c>
      <c r="BV86" s="279">
        <f t="shared" si="721"/>
        <v>0</v>
      </c>
      <c r="BW86" s="339">
        <f t="shared" si="722"/>
        <v>0</v>
      </c>
      <c r="BX86" s="279">
        <f t="shared" si="721"/>
        <v>0</v>
      </c>
      <c r="BY86" s="339">
        <f t="shared" si="723"/>
        <v>0</v>
      </c>
      <c r="BZ86" s="279">
        <f t="shared" si="721"/>
        <v>0</v>
      </c>
      <c r="CA86" s="339">
        <f t="shared" si="724"/>
        <v>0</v>
      </c>
      <c r="CB86" s="279">
        <f t="shared" si="721"/>
        <v>0</v>
      </c>
      <c r="CC86" s="339">
        <f t="shared" si="725"/>
        <v>0</v>
      </c>
      <c r="CD86" s="279">
        <f t="shared" si="721"/>
        <v>0</v>
      </c>
      <c r="CE86" s="339">
        <f t="shared" si="726"/>
        <v>0</v>
      </c>
      <c r="CF86" s="279">
        <f t="shared" si="721"/>
        <v>0</v>
      </c>
      <c r="CG86" s="339">
        <f t="shared" si="727"/>
        <v>0</v>
      </c>
      <c r="CH86" s="279">
        <f t="shared" si="721"/>
        <v>0</v>
      </c>
      <c r="CI86" s="339">
        <f t="shared" si="728"/>
        <v>0</v>
      </c>
      <c r="CJ86" s="279">
        <f t="shared" si="729"/>
        <v>0</v>
      </c>
      <c r="CK86" s="339">
        <f t="shared" si="730"/>
        <v>0</v>
      </c>
      <c r="CL86" s="279">
        <f t="shared" si="463"/>
        <v>0</v>
      </c>
      <c r="CM86" s="339">
        <f t="shared" si="731"/>
        <v>0</v>
      </c>
      <c r="CN86" s="279">
        <f t="shared" si="732"/>
        <v>0</v>
      </c>
      <c r="CO86" s="339">
        <f t="shared" si="733"/>
        <v>0</v>
      </c>
      <c r="CP86" s="279">
        <f t="shared" si="464"/>
        <v>0</v>
      </c>
      <c r="CQ86" s="250">
        <f t="shared" si="662"/>
        <v>0</v>
      </c>
      <c r="CR86" s="252">
        <f t="shared" si="734"/>
        <v>0</v>
      </c>
      <c r="CS86" s="251">
        <f t="shared" si="887"/>
        <v>0</v>
      </c>
      <c r="CU86" s="1"/>
      <c r="CV86" s="2"/>
      <c r="CW86" s="255">
        <f t="shared" si="299"/>
        <v>0</v>
      </c>
      <c r="CX86" s="249">
        <f t="shared" si="735"/>
        <v>0</v>
      </c>
      <c r="CY86" s="250">
        <f t="shared" si="736"/>
        <v>0</v>
      </c>
      <c r="CZ86" s="279">
        <f t="shared" si="870"/>
        <v>0</v>
      </c>
      <c r="DA86" s="299">
        <f t="shared" si="736"/>
        <v>0</v>
      </c>
      <c r="DB86" s="279">
        <f t="shared" si="870"/>
        <v>0</v>
      </c>
      <c r="DC86" s="299">
        <f t="shared" si="737"/>
        <v>0</v>
      </c>
      <c r="DD86" s="279">
        <f t="shared" si="870"/>
        <v>0</v>
      </c>
      <c r="DE86" s="299">
        <f t="shared" si="738"/>
        <v>0</v>
      </c>
      <c r="DF86" s="279">
        <f t="shared" si="870"/>
        <v>0</v>
      </c>
      <c r="DG86" s="299">
        <f t="shared" si="739"/>
        <v>0</v>
      </c>
      <c r="DH86" s="279">
        <f t="shared" si="870"/>
        <v>0</v>
      </c>
      <c r="DI86" s="299">
        <f t="shared" si="740"/>
        <v>0</v>
      </c>
      <c r="DJ86" s="279">
        <f t="shared" si="870"/>
        <v>0</v>
      </c>
      <c r="DK86" s="299">
        <f t="shared" si="741"/>
        <v>0</v>
      </c>
      <c r="DL86" s="279">
        <f t="shared" si="870"/>
        <v>0</v>
      </c>
      <c r="DM86" s="299">
        <f t="shared" si="742"/>
        <v>0</v>
      </c>
      <c r="DN86" s="279">
        <f t="shared" si="743"/>
        <v>0</v>
      </c>
      <c r="DO86" s="299">
        <f t="shared" si="744"/>
        <v>0</v>
      </c>
      <c r="DP86" s="279">
        <f t="shared" si="471"/>
        <v>0</v>
      </c>
      <c r="DQ86" s="299">
        <f t="shared" si="745"/>
        <v>0</v>
      </c>
      <c r="DR86" s="279">
        <f t="shared" si="746"/>
        <v>0</v>
      </c>
      <c r="DS86" s="299">
        <f t="shared" si="747"/>
        <v>0</v>
      </c>
      <c r="DT86" s="279">
        <f t="shared" si="472"/>
        <v>0</v>
      </c>
      <c r="DU86" s="299">
        <f t="shared" si="748"/>
        <v>0</v>
      </c>
      <c r="DV86" s="252">
        <f t="shared" si="749"/>
        <v>0</v>
      </c>
      <c r="DW86" s="251">
        <f t="shared" si="888"/>
        <v>0</v>
      </c>
      <c r="DY86" s="256">
        <v>0</v>
      </c>
      <c r="DZ86" s="2"/>
      <c r="EA86" s="254">
        <f t="shared" si="663"/>
        <v>0</v>
      </c>
      <c r="EB86" s="249">
        <f t="shared" si="871"/>
        <v>0</v>
      </c>
      <c r="EC86" s="250">
        <f t="shared" si="750"/>
        <v>0</v>
      </c>
      <c r="ED86" s="356">
        <f t="shared" si="871"/>
        <v>0</v>
      </c>
      <c r="EE86" s="250">
        <f t="shared" si="750"/>
        <v>0</v>
      </c>
      <c r="EF86" s="249">
        <f t="shared" si="872"/>
        <v>0</v>
      </c>
      <c r="EG86" s="250">
        <f t="shared" ref="EG86:EI101" si="893">+EF86*$G86</f>
        <v>0</v>
      </c>
      <c r="EH86" s="249">
        <f t="shared" si="872"/>
        <v>0</v>
      </c>
      <c r="EI86" s="250">
        <f t="shared" si="893"/>
        <v>0</v>
      </c>
      <c r="EJ86" s="249">
        <f t="shared" si="872"/>
        <v>0</v>
      </c>
      <c r="EK86" s="250">
        <f t="shared" si="752"/>
        <v>0</v>
      </c>
      <c r="EL86" s="249">
        <f t="shared" si="872"/>
        <v>0</v>
      </c>
      <c r="EM86" s="250">
        <f t="shared" si="753"/>
        <v>0</v>
      </c>
      <c r="EN86" s="249">
        <f t="shared" si="872"/>
        <v>0</v>
      </c>
      <c r="EO86" s="250">
        <f t="shared" si="754"/>
        <v>0</v>
      </c>
      <c r="EP86" s="249">
        <f t="shared" si="872"/>
        <v>0</v>
      </c>
      <c r="EQ86" s="250">
        <f t="shared" si="755"/>
        <v>0</v>
      </c>
      <c r="ER86" s="249">
        <f t="shared" si="872"/>
        <v>0</v>
      </c>
      <c r="ES86" s="250">
        <f t="shared" si="756"/>
        <v>0</v>
      </c>
      <c r="ET86" s="249">
        <f t="shared" si="391"/>
        <v>0</v>
      </c>
      <c r="EU86" s="250">
        <f t="shared" si="757"/>
        <v>0</v>
      </c>
      <c r="EV86" s="249">
        <f t="shared" si="758"/>
        <v>0</v>
      </c>
      <c r="EW86" s="250">
        <f t="shared" si="759"/>
        <v>0</v>
      </c>
      <c r="EX86" s="249">
        <f t="shared" si="392"/>
        <v>0</v>
      </c>
      <c r="EY86" s="250">
        <f t="shared" si="760"/>
        <v>0</v>
      </c>
      <c r="EZ86" s="252">
        <f t="shared" si="761"/>
        <v>0</v>
      </c>
      <c r="FA86" s="251">
        <f t="shared" si="664"/>
        <v>0</v>
      </c>
      <c r="FC86" s="1"/>
      <c r="FD86" s="2"/>
      <c r="FE86" s="257">
        <f t="shared" si="152"/>
        <v>0</v>
      </c>
      <c r="FF86" s="249">
        <f t="shared" si="762"/>
        <v>0</v>
      </c>
      <c r="FG86" s="250">
        <f t="shared" si="763"/>
        <v>0</v>
      </c>
      <c r="FH86" s="372">
        <f t="shared" si="873"/>
        <v>0</v>
      </c>
      <c r="FI86" s="339">
        <f t="shared" si="764"/>
        <v>0</v>
      </c>
      <c r="FJ86" s="372">
        <f t="shared" si="873"/>
        <v>0</v>
      </c>
      <c r="FK86" s="339">
        <f t="shared" si="764"/>
        <v>0</v>
      </c>
      <c r="FL86" s="372">
        <f t="shared" si="873"/>
        <v>0</v>
      </c>
      <c r="FM86" s="339">
        <f t="shared" si="765"/>
        <v>0</v>
      </c>
      <c r="FN86" s="372">
        <f t="shared" si="873"/>
        <v>0</v>
      </c>
      <c r="FO86" s="339">
        <f t="shared" si="766"/>
        <v>0</v>
      </c>
      <c r="FP86" s="372">
        <f t="shared" si="873"/>
        <v>0</v>
      </c>
      <c r="FQ86" s="339">
        <f t="shared" si="767"/>
        <v>0</v>
      </c>
      <c r="FR86" s="372">
        <f t="shared" si="873"/>
        <v>0</v>
      </c>
      <c r="FS86" s="339">
        <f t="shared" si="768"/>
        <v>0</v>
      </c>
      <c r="FT86" s="372">
        <f t="shared" si="873"/>
        <v>0</v>
      </c>
      <c r="FU86" s="339">
        <f t="shared" si="769"/>
        <v>0</v>
      </c>
      <c r="FV86" s="372">
        <f t="shared" si="770"/>
        <v>0</v>
      </c>
      <c r="FW86" s="339">
        <f t="shared" si="771"/>
        <v>0</v>
      </c>
      <c r="FX86" s="372">
        <f t="shared" si="479"/>
        <v>0</v>
      </c>
      <c r="FY86" s="339">
        <f t="shared" si="772"/>
        <v>0</v>
      </c>
      <c r="FZ86" s="372">
        <f t="shared" si="773"/>
        <v>0</v>
      </c>
      <c r="GA86" s="339">
        <f t="shared" si="774"/>
        <v>0</v>
      </c>
      <c r="GB86" s="372">
        <f t="shared" si="480"/>
        <v>0</v>
      </c>
      <c r="GC86" s="339">
        <f t="shared" si="775"/>
        <v>0</v>
      </c>
      <c r="GD86" s="252">
        <f t="shared" si="776"/>
        <v>0</v>
      </c>
      <c r="GE86" s="251">
        <f t="shared" si="686"/>
        <v>0</v>
      </c>
      <c r="GG86" s="1"/>
      <c r="GH86" s="2">
        <v>0.2</v>
      </c>
      <c r="GI86" s="257">
        <f t="shared" si="665"/>
        <v>0</v>
      </c>
      <c r="GJ86" s="249">
        <f t="shared" si="777"/>
        <v>0</v>
      </c>
      <c r="GK86" s="250">
        <f t="shared" si="778"/>
        <v>0</v>
      </c>
      <c r="GL86" s="249">
        <f t="shared" si="777"/>
        <v>0</v>
      </c>
      <c r="GM86" s="250">
        <f t="shared" si="778"/>
        <v>0</v>
      </c>
      <c r="GN86" s="249">
        <f t="shared" si="777"/>
        <v>0</v>
      </c>
      <c r="GO86" s="250">
        <f t="shared" ref="GO86:GO110" si="894">+GN86*$G86</f>
        <v>0</v>
      </c>
      <c r="GP86" s="249">
        <f t="shared" si="777"/>
        <v>0</v>
      </c>
      <c r="GQ86" s="250">
        <f t="shared" ref="GQ86:GQ110" si="895">+GP86*$G86</f>
        <v>0</v>
      </c>
      <c r="GR86" s="249">
        <f t="shared" si="777"/>
        <v>0</v>
      </c>
      <c r="GS86" s="250">
        <f t="shared" ref="GS86:GS110" si="896">+GR86*$G86</f>
        <v>0</v>
      </c>
      <c r="GT86" s="249">
        <f t="shared" si="777"/>
        <v>0</v>
      </c>
      <c r="GU86" s="250">
        <f t="shared" ref="GU86:GU110" si="897">+GT86*$G86</f>
        <v>0</v>
      </c>
      <c r="GV86" s="249">
        <f t="shared" si="777"/>
        <v>0</v>
      </c>
      <c r="GW86" s="250">
        <f t="shared" ref="GW86:GW110" si="898">+GV86*$G86</f>
        <v>0</v>
      </c>
      <c r="GX86" s="249">
        <f t="shared" si="784"/>
        <v>0</v>
      </c>
      <c r="GY86" s="250">
        <f t="shared" ref="GY86:GY110" si="899">+GX86*$G86</f>
        <v>0</v>
      </c>
      <c r="GZ86" s="249">
        <f t="shared" si="786"/>
        <v>0</v>
      </c>
      <c r="HA86" s="250">
        <f t="shared" ref="HA86:HA110" si="900">+GZ86*$G86</f>
        <v>0</v>
      </c>
      <c r="HB86" s="249">
        <f t="shared" si="788"/>
        <v>0</v>
      </c>
      <c r="HC86" s="250">
        <f t="shared" ref="HC86:HC110" si="901">+HB86*$G86</f>
        <v>0</v>
      </c>
      <c r="HD86" s="249">
        <f t="shared" si="790"/>
        <v>0</v>
      </c>
      <c r="HE86" s="250">
        <f t="shared" ref="HE86:HE110" si="902">+HD86*$G86</f>
        <v>0</v>
      </c>
      <c r="HF86" s="249">
        <f t="shared" si="792"/>
        <v>0</v>
      </c>
      <c r="HG86" s="250">
        <f t="shared" ref="HG86:HG110" si="903">+HF86*$G86</f>
        <v>0</v>
      </c>
      <c r="HH86" s="252">
        <f t="shared" si="794"/>
        <v>0</v>
      </c>
      <c r="HI86" s="251">
        <f t="shared" si="666"/>
        <v>0</v>
      </c>
      <c r="HK86" s="1"/>
      <c r="HL86" s="2"/>
      <c r="HM86" s="257">
        <f t="shared" si="667"/>
        <v>0</v>
      </c>
      <c r="HN86" s="249">
        <f t="shared" si="795"/>
        <v>0</v>
      </c>
      <c r="HO86" s="250">
        <f t="shared" si="668"/>
        <v>0</v>
      </c>
      <c r="HP86" s="249">
        <f t="shared" si="796"/>
        <v>0</v>
      </c>
      <c r="HQ86" s="250">
        <f t="shared" si="797"/>
        <v>0</v>
      </c>
      <c r="HR86" s="249">
        <f t="shared" si="796"/>
        <v>0</v>
      </c>
      <c r="HS86" s="250">
        <f t="shared" si="797"/>
        <v>0</v>
      </c>
      <c r="HT86" s="249">
        <f t="shared" si="796"/>
        <v>0</v>
      </c>
      <c r="HU86" s="250">
        <f t="shared" si="798"/>
        <v>0</v>
      </c>
      <c r="HV86" s="249">
        <f t="shared" si="796"/>
        <v>0</v>
      </c>
      <c r="HW86" s="250">
        <f t="shared" si="799"/>
        <v>0</v>
      </c>
      <c r="HX86" s="249">
        <f t="shared" si="796"/>
        <v>0</v>
      </c>
      <c r="HY86" s="250">
        <f t="shared" si="800"/>
        <v>0</v>
      </c>
      <c r="HZ86" s="249">
        <f t="shared" si="796"/>
        <v>0</v>
      </c>
      <c r="IA86" s="250">
        <f t="shared" si="801"/>
        <v>0</v>
      </c>
      <c r="IB86" s="249">
        <f t="shared" si="796"/>
        <v>0</v>
      </c>
      <c r="IC86" s="250">
        <f t="shared" si="802"/>
        <v>0</v>
      </c>
      <c r="ID86" s="249">
        <f t="shared" si="803"/>
        <v>0</v>
      </c>
      <c r="IE86" s="250">
        <f t="shared" si="804"/>
        <v>0</v>
      </c>
      <c r="IF86" s="249">
        <f t="shared" si="805"/>
        <v>0</v>
      </c>
      <c r="IG86" s="250">
        <f t="shared" si="806"/>
        <v>0</v>
      </c>
      <c r="IH86" s="249">
        <f t="shared" si="807"/>
        <v>0</v>
      </c>
      <c r="II86" s="250">
        <f t="shared" si="808"/>
        <v>0</v>
      </c>
      <c r="IJ86" s="249">
        <f t="shared" si="809"/>
        <v>0</v>
      </c>
      <c r="IK86" s="250">
        <f t="shared" si="810"/>
        <v>0</v>
      </c>
      <c r="IL86" s="252">
        <f t="shared" si="811"/>
        <v>0</v>
      </c>
      <c r="IM86" s="251">
        <f t="shared" si="812"/>
        <v>0</v>
      </c>
      <c r="IO86" s="1"/>
      <c r="IP86" s="2">
        <v>8.3333333333333329E-2</v>
      </c>
      <c r="IQ86" s="257">
        <f t="shared" si="669"/>
        <v>0</v>
      </c>
      <c r="IR86" s="249">
        <f t="shared" si="813"/>
        <v>0</v>
      </c>
      <c r="IS86" s="250">
        <f t="shared" si="814"/>
        <v>0</v>
      </c>
      <c r="IT86" s="279">
        <f t="shared" si="874"/>
        <v>0</v>
      </c>
      <c r="IU86" s="289">
        <f t="shared" si="815"/>
        <v>0</v>
      </c>
      <c r="IV86" s="279">
        <f t="shared" si="874"/>
        <v>0</v>
      </c>
      <c r="IW86" s="289">
        <f t="shared" si="815"/>
        <v>0</v>
      </c>
      <c r="IX86" s="279">
        <f t="shared" si="874"/>
        <v>0</v>
      </c>
      <c r="IY86" s="289">
        <f t="shared" si="816"/>
        <v>0</v>
      </c>
      <c r="IZ86" s="279">
        <f t="shared" si="874"/>
        <v>0</v>
      </c>
      <c r="JA86" s="289">
        <f t="shared" si="817"/>
        <v>0</v>
      </c>
      <c r="JB86" s="279">
        <f t="shared" si="874"/>
        <v>0</v>
      </c>
      <c r="JC86" s="289">
        <f t="shared" si="818"/>
        <v>0</v>
      </c>
      <c r="JD86" s="279">
        <f t="shared" si="874"/>
        <v>0</v>
      </c>
      <c r="JE86" s="289">
        <f t="shared" si="819"/>
        <v>0</v>
      </c>
      <c r="JF86" s="279">
        <f t="shared" si="874"/>
        <v>0</v>
      </c>
      <c r="JG86" s="289">
        <f t="shared" si="820"/>
        <v>0</v>
      </c>
      <c r="JH86" s="279">
        <f t="shared" si="821"/>
        <v>0</v>
      </c>
      <c r="JI86" s="289">
        <f t="shared" si="822"/>
        <v>0</v>
      </c>
      <c r="JJ86" s="279">
        <f t="shared" si="407"/>
        <v>0</v>
      </c>
      <c r="JK86" s="289">
        <f t="shared" si="823"/>
        <v>0</v>
      </c>
      <c r="JL86" s="279">
        <f t="shared" si="824"/>
        <v>0</v>
      </c>
      <c r="JM86" s="289">
        <f t="shared" si="825"/>
        <v>0</v>
      </c>
      <c r="JN86" s="279">
        <f t="shared" si="408"/>
        <v>0</v>
      </c>
      <c r="JO86" s="289">
        <f t="shared" si="826"/>
        <v>0</v>
      </c>
      <c r="JP86" s="252">
        <f t="shared" si="827"/>
        <v>0</v>
      </c>
      <c r="JQ86" s="251">
        <f t="shared" si="828"/>
        <v>0</v>
      </c>
      <c r="JS86" s="1"/>
      <c r="JT86" s="2">
        <v>8.3333333333333329E-2</v>
      </c>
      <c r="JU86" s="257">
        <f t="shared" si="670"/>
        <v>0</v>
      </c>
      <c r="JV86" s="249">
        <f t="shared" si="829"/>
        <v>0</v>
      </c>
      <c r="JW86" s="250">
        <f t="shared" si="830"/>
        <v>0</v>
      </c>
      <c r="JX86" s="372">
        <f t="shared" si="875"/>
        <v>0</v>
      </c>
      <c r="JY86" s="339">
        <f t="shared" si="831"/>
        <v>0</v>
      </c>
      <c r="JZ86" s="372">
        <f t="shared" si="875"/>
        <v>0</v>
      </c>
      <c r="KA86" s="339">
        <f t="shared" si="831"/>
        <v>0</v>
      </c>
      <c r="KB86" s="372">
        <f t="shared" si="875"/>
        <v>0</v>
      </c>
      <c r="KC86" s="339">
        <f t="shared" si="832"/>
        <v>0</v>
      </c>
      <c r="KD86" s="372">
        <f t="shared" si="875"/>
        <v>0</v>
      </c>
      <c r="KE86" s="339">
        <f t="shared" si="833"/>
        <v>0</v>
      </c>
      <c r="KF86" s="372">
        <f t="shared" si="875"/>
        <v>0</v>
      </c>
      <c r="KG86" s="339">
        <f t="shared" si="834"/>
        <v>0</v>
      </c>
      <c r="KH86" s="372">
        <f t="shared" si="875"/>
        <v>0</v>
      </c>
      <c r="KI86" s="339">
        <f t="shared" si="835"/>
        <v>0</v>
      </c>
      <c r="KJ86" s="372">
        <f t="shared" si="875"/>
        <v>0</v>
      </c>
      <c r="KK86" s="339">
        <f t="shared" si="836"/>
        <v>0</v>
      </c>
      <c r="KL86" s="372">
        <f t="shared" si="837"/>
        <v>0</v>
      </c>
      <c r="KM86" s="339">
        <f t="shared" si="838"/>
        <v>0</v>
      </c>
      <c r="KN86" s="372">
        <f t="shared" si="677"/>
        <v>0</v>
      </c>
      <c r="KO86" s="339">
        <f t="shared" si="839"/>
        <v>0</v>
      </c>
      <c r="KP86" s="372">
        <f t="shared" si="840"/>
        <v>0</v>
      </c>
      <c r="KQ86" s="339">
        <f t="shared" si="841"/>
        <v>0</v>
      </c>
      <c r="KR86" s="372">
        <f t="shared" si="678"/>
        <v>0</v>
      </c>
      <c r="KS86" s="377">
        <f t="shared" si="842"/>
        <v>0</v>
      </c>
      <c r="KT86" s="379">
        <f t="shared" si="843"/>
        <v>0</v>
      </c>
      <c r="KU86" s="251">
        <f t="shared" si="679"/>
        <v>0</v>
      </c>
      <c r="KW86" s="1"/>
      <c r="KX86" s="2">
        <v>8.3333333333333329E-2</v>
      </c>
      <c r="KY86" s="254">
        <f t="shared" si="680"/>
        <v>0</v>
      </c>
      <c r="KZ86" s="249">
        <f t="shared" si="876"/>
        <v>0</v>
      </c>
      <c r="LA86" s="251">
        <f t="shared" si="681"/>
        <v>0</v>
      </c>
      <c r="LB86" s="279">
        <f t="shared" si="844"/>
        <v>0</v>
      </c>
      <c r="LC86" s="339">
        <f t="shared" si="845"/>
        <v>0</v>
      </c>
      <c r="LD86" s="279">
        <f t="shared" si="844"/>
        <v>0</v>
      </c>
      <c r="LE86" s="339">
        <f t="shared" si="845"/>
        <v>0</v>
      </c>
      <c r="LF86" s="279">
        <f t="shared" si="844"/>
        <v>0</v>
      </c>
      <c r="LG86" s="339">
        <f t="shared" si="846"/>
        <v>0</v>
      </c>
      <c r="LH86" s="279">
        <f t="shared" si="844"/>
        <v>0</v>
      </c>
      <c r="LI86" s="339">
        <f t="shared" si="847"/>
        <v>0</v>
      </c>
      <c r="LJ86" s="279">
        <f t="shared" si="844"/>
        <v>0</v>
      </c>
      <c r="LK86" s="339">
        <f t="shared" si="848"/>
        <v>0</v>
      </c>
      <c r="LL86" s="279">
        <f t="shared" si="844"/>
        <v>0</v>
      </c>
      <c r="LM86" s="339">
        <f t="shared" si="849"/>
        <v>0</v>
      </c>
      <c r="LN86" s="279">
        <f t="shared" si="844"/>
        <v>0</v>
      </c>
      <c r="LO86" s="339">
        <f t="shared" si="850"/>
        <v>0</v>
      </c>
      <c r="LP86" s="279">
        <f t="shared" si="877"/>
        <v>0</v>
      </c>
      <c r="LQ86" s="339">
        <f t="shared" si="851"/>
        <v>0</v>
      </c>
      <c r="LR86" s="279">
        <f t="shared" si="878"/>
        <v>0</v>
      </c>
      <c r="LS86" s="339">
        <f t="shared" si="852"/>
        <v>0</v>
      </c>
      <c r="LT86" s="279">
        <f t="shared" si="879"/>
        <v>0</v>
      </c>
      <c r="LU86" s="339">
        <f t="shared" si="853"/>
        <v>0</v>
      </c>
      <c r="LV86" s="279">
        <f t="shared" si="880"/>
        <v>0</v>
      </c>
      <c r="LW86" s="339">
        <f t="shared" si="854"/>
        <v>0</v>
      </c>
      <c r="LX86" s="252">
        <f t="shared" si="855"/>
        <v>0</v>
      </c>
      <c r="LY86" s="253">
        <f t="shared" si="856"/>
        <v>0</v>
      </c>
      <c r="MA86" s="249">
        <f t="shared" si="688"/>
        <v>0</v>
      </c>
      <c r="MB86" s="253">
        <f t="shared" si="857"/>
        <v>0</v>
      </c>
      <c r="MC86" s="397">
        <f t="shared" si="689"/>
        <v>0</v>
      </c>
      <c r="MD86" s="253">
        <f t="shared" si="858"/>
        <v>0</v>
      </c>
      <c r="ME86" s="397">
        <f t="shared" si="690"/>
        <v>0</v>
      </c>
      <c r="MF86" s="253">
        <f t="shared" si="858"/>
        <v>0</v>
      </c>
      <c r="MG86" s="397">
        <f t="shared" si="691"/>
        <v>0</v>
      </c>
      <c r="MH86" s="253">
        <f t="shared" si="859"/>
        <v>0</v>
      </c>
      <c r="MI86" s="397">
        <f t="shared" si="692"/>
        <v>0</v>
      </c>
      <c r="MJ86" s="253">
        <f t="shared" si="860"/>
        <v>0</v>
      </c>
      <c r="MK86" s="397">
        <f t="shared" si="693"/>
        <v>0</v>
      </c>
      <c r="ML86" s="253">
        <f t="shared" si="861"/>
        <v>0</v>
      </c>
      <c r="MM86" s="397">
        <f t="shared" si="694"/>
        <v>0</v>
      </c>
      <c r="MN86" s="253">
        <f t="shared" si="862"/>
        <v>0</v>
      </c>
      <c r="MO86" s="397">
        <f t="shared" si="695"/>
        <v>0</v>
      </c>
      <c r="MP86" s="253">
        <f t="shared" si="863"/>
        <v>0</v>
      </c>
      <c r="MQ86" s="397">
        <f t="shared" si="696"/>
        <v>0</v>
      </c>
      <c r="MR86" s="253">
        <f t="shared" si="864"/>
        <v>0</v>
      </c>
      <c r="MS86" s="397">
        <f t="shared" si="697"/>
        <v>0</v>
      </c>
      <c r="MT86" s="253">
        <f t="shared" si="865"/>
        <v>0</v>
      </c>
      <c r="MU86" s="397">
        <f t="shared" si="698"/>
        <v>0</v>
      </c>
      <c r="MV86" s="253">
        <f t="shared" si="866"/>
        <v>0</v>
      </c>
      <c r="MW86" s="397">
        <f t="shared" si="699"/>
        <v>0</v>
      </c>
      <c r="MX86" s="253">
        <f t="shared" si="867"/>
        <v>0</v>
      </c>
      <c r="MY86" s="252">
        <f t="shared" si="868"/>
        <v>0</v>
      </c>
      <c r="MZ86" s="251">
        <f t="shared" si="869"/>
        <v>0</v>
      </c>
    </row>
    <row r="87" spans="1:364" ht="26.4" x14ac:dyDescent="0.25">
      <c r="A87" s="533"/>
      <c r="B87" s="245" t="s">
        <v>182</v>
      </c>
      <c r="C87" s="246" t="s">
        <v>183</v>
      </c>
      <c r="D87" s="247" t="s">
        <v>28</v>
      </c>
      <c r="E87" s="4">
        <v>1</v>
      </c>
      <c r="F87" s="353">
        <v>83803.66461100569</v>
      </c>
      <c r="G87" s="353">
        <f t="shared" si="700"/>
        <v>87296.28209993674</v>
      </c>
      <c r="I87" s="30"/>
      <c r="J87" s="2">
        <v>8.3333333333333329E-2</v>
      </c>
      <c r="K87" s="248">
        <f t="shared" si="701"/>
        <v>0</v>
      </c>
      <c r="L87" s="249"/>
      <c r="M87" s="301">
        <f t="shared" si="445"/>
        <v>0</v>
      </c>
      <c r="N87" s="279">
        <f t="shared" si="889"/>
        <v>0</v>
      </c>
      <c r="O87" s="289">
        <f t="shared" si="883"/>
        <v>0</v>
      </c>
      <c r="P87" s="279">
        <f t="shared" si="889"/>
        <v>0</v>
      </c>
      <c r="Q87" s="289">
        <f t="shared" si="883"/>
        <v>0</v>
      </c>
      <c r="R87" s="279">
        <f t="shared" si="889"/>
        <v>0</v>
      </c>
      <c r="S87" s="289">
        <f t="shared" si="702"/>
        <v>0</v>
      </c>
      <c r="T87" s="279">
        <f t="shared" si="889"/>
        <v>0</v>
      </c>
      <c r="U87" s="289">
        <f t="shared" si="703"/>
        <v>0</v>
      </c>
      <c r="V87" s="279">
        <f t="shared" si="889"/>
        <v>0</v>
      </c>
      <c r="W87" s="289">
        <f t="shared" si="704"/>
        <v>0</v>
      </c>
      <c r="X87" s="279">
        <f t="shared" si="889"/>
        <v>0</v>
      </c>
      <c r="Y87" s="289">
        <f t="shared" si="705"/>
        <v>0</v>
      </c>
      <c r="Z87" s="279">
        <f t="shared" si="889"/>
        <v>0</v>
      </c>
      <c r="AA87" s="289">
        <f t="shared" si="706"/>
        <v>0</v>
      </c>
      <c r="AB87" s="279">
        <f t="shared" si="889"/>
        <v>0</v>
      </c>
      <c r="AC87" s="289">
        <f t="shared" si="707"/>
        <v>0</v>
      </c>
      <c r="AD87" s="279">
        <f t="shared" si="889"/>
        <v>0</v>
      </c>
      <c r="AE87" s="289">
        <f t="shared" si="708"/>
        <v>0</v>
      </c>
      <c r="AF87" s="279">
        <f t="shared" si="889"/>
        <v>0</v>
      </c>
      <c r="AG87" s="289">
        <f t="shared" si="890"/>
        <v>0</v>
      </c>
      <c r="AH87" s="249">
        <f t="shared" si="456"/>
        <v>0</v>
      </c>
      <c r="AI87" s="299">
        <f t="shared" si="891"/>
        <v>0</v>
      </c>
      <c r="AJ87" s="252">
        <f t="shared" si="709"/>
        <v>0</v>
      </c>
      <c r="AK87" s="312">
        <f t="shared" si="710"/>
        <v>0</v>
      </c>
      <c r="AM87" s="1"/>
      <c r="AN87" s="2">
        <v>8.3333333333333329E-2</v>
      </c>
      <c r="AO87" s="254">
        <f t="shared" ref="AO87:AO110" si="904">+AM87*G87</f>
        <v>0</v>
      </c>
      <c r="AP87" s="249">
        <f t="shared" si="328"/>
        <v>0</v>
      </c>
      <c r="AQ87" s="301">
        <f t="shared" si="683"/>
        <v>0</v>
      </c>
      <c r="AR87" s="249">
        <f t="shared" si="884"/>
        <v>0</v>
      </c>
      <c r="AS87" s="301">
        <f t="shared" si="683"/>
        <v>0</v>
      </c>
      <c r="AT87" s="249">
        <f t="shared" si="884"/>
        <v>0</v>
      </c>
      <c r="AU87" s="301">
        <f t="shared" si="684"/>
        <v>0</v>
      </c>
      <c r="AV87" s="249">
        <f t="shared" si="884"/>
        <v>0</v>
      </c>
      <c r="AW87" s="301">
        <f t="shared" si="711"/>
        <v>0</v>
      </c>
      <c r="AX87" s="249">
        <f t="shared" si="884"/>
        <v>0</v>
      </c>
      <c r="AY87" s="301">
        <f t="shared" si="712"/>
        <v>0</v>
      </c>
      <c r="AZ87" s="249">
        <f t="shared" si="884"/>
        <v>0</v>
      </c>
      <c r="BA87" s="301">
        <f t="shared" si="713"/>
        <v>0</v>
      </c>
      <c r="BB87" s="249">
        <f t="shared" si="884"/>
        <v>0</v>
      </c>
      <c r="BC87" s="301">
        <f t="shared" si="714"/>
        <v>0</v>
      </c>
      <c r="BD87" s="249">
        <f t="shared" si="884"/>
        <v>0</v>
      </c>
      <c r="BE87" s="301">
        <f t="shared" si="715"/>
        <v>0</v>
      </c>
      <c r="BF87" s="249">
        <f t="shared" si="882"/>
        <v>0</v>
      </c>
      <c r="BG87" s="301">
        <f t="shared" si="716"/>
        <v>0</v>
      </c>
      <c r="BH87" s="249">
        <f t="shared" si="885"/>
        <v>0</v>
      </c>
      <c r="BI87" s="301">
        <f t="shared" si="892"/>
        <v>0</v>
      </c>
      <c r="BJ87" s="249">
        <f t="shared" si="885"/>
        <v>0</v>
      </c>
      <c r="BK87" s="301">
        <f t="shared" si="892"/>
        <v>0</v>
      </c>
      <c r="BL87" s="249">
        <f t="shared" si="661"/>
        <v>0</v>
      </c>
      <c r="BM87" s="299">
        <f t="shared" si="718"/>
        <v>0</v>
      </c>
      <c r="BN87" s="252">
        <f t="shared" si="719"/>
        <v>0</v>
      </c>
      <c r="BO87" s="312">
        <f t="shared" si="685"/>
        <v>0</v>
      </c>
      <c r="BQ87" s="1"/>
      <c r="BR87" s="2"/>
      <c r="BS87" s="255">
        <f t="shared" si="886"/>
        <v>0</v>
      </c>
      <c r="BT87" s="249">
        <f t="shared" si="881"/>
        <v>0</v>
      </c>
      <c r="BU87" s="336">
        <f t="shared" si="720"/>
        <v>0</v>
      </c>
      <c r="BV87" s="279">
        <f t="shared" si="721"/>
        <v>0</v>
      </c>
      <c r="BW87" s="339">
        <f t="shared" si="722"/>
        <v>0</v>
      </c>
      <c r="BX87" s="279">
        <f t="shared" si="721"/>
        <v>0</v>
      </c>
      <c r="BY87" s="339">
        <f t="shared" si="723"/>
        <v>0</v>
      </c>
      <c r="BZ87" s="279">
        <f t="shared" si="721"/>
        <v>0</v>
      </c>
      <c r="CA87" s="339">
        <f t="shared" si="724"/>
        <v>0</v>
      </c>
      <c r="CB87" s="279">
        <f t="shared" si="721"/>
        <v>0</v>
      </c>
      <c r="CC87" s="339">
        <f t="shared" si="725"/>
        <v>0</v>
      </c>
      <c r="CD87" s="279">
        <f t="shared" si="721"/>
        <v>0</v>
      </c>
      <c r="CE87" s="339">
        <f t="shared" si="726"/>
        <v>0</v>
      </c>
      <c r="CF87" s="279">
        <f t="shared" si="721"/>
        <v>0</v>
      </c>
      <c r="CG87" s="339">
        <f t="shared" si="727"/>
        <v>0</v>
      </c>
      <c r="CH87" s="279">
        <f t="shared" si="721"/>
        <v>0</v>
      </c>
      <c r="CI87" s="339">
        <f t="shared" si="728"/>
        <v>0</v>
      </c>
      <c r="CJ87" s="279">
        <f t="shared" si="729"/>
        <v>0</v>
      </c>
      <c r="CK87" s="339">
        <f t="shared" si="730"/>
        <v>0</v>
      </c>
      <c r="CL87" s="279">
        <f t="shared" si="463"/>
        <v>0</v>
      </c>
      <c r="CM87" s="339">
        <f t="shared" si="731"/>
        <v>0</v>
      </c>
      <c r="CN87" s="279">
        <f t="shared" si="732"/>
        <v>0</v>
      </c>
      <c r="CO87" s="339">
        <f t="shared" si="733"/>
        <v>0</v>
      </c>
      <c r="CP87" s="279">
        <f t="shared" si="464"/>
        <v>0</v>
      </c>
      <c r="CQ87" s="250">
        <f t="shared" ref="CQ87:CQ110" si="905">+CP87*G87</f>
        <v>0</v>
      </c>
      <c r="CR87" s="252">
        <f t="shared" si="734"/>
        <v>0</v>
      </c>
      <c r="CS87" s="251">
        <f t="shared" si="887"/>
        <v>0</v>
      </c>
      <c r="CU87" s="1"/>
      <c r="CV87" s="2"/>
      <c r="CW87" s="255">
        <f t="shared" si="299"/>
        <v>0</v>
      </c>
      <c r="CX87" s="249">
        <f t="shared" si="735"/>
        <v>0</v>
      </c>
      <c r="CY87" s="250">
        <f t="shared" si="736"/>
        <v>0</v>
      </c>
      <c r="CZ87" s="279">
        <f t="shared" si="870"/>
        <v>0</v>
      </c>
      <c r="DA87" s="299">
        <f t="shared" si="736"/>
        <v>0</v>
      </c>
      <c r="DB87" s="279">
        <f t="shared" si="870"/>
        <v>0</v>
      </c>
      <c r="DC87" s="299">
        <f t="shared" si="737"/>
        <v>0</v>
      </c>
      <c r="DD87" s="279">
        <f t="shared" si="870"/>
        <v>0</v>
      </c>
      <c r="DE87" s="299">
        <f t="shared" si="738"/>
        <v>0</v>
      </c>
      <c r="DF87" s="279">
        <f t="shared" si="870"/>
        <v>0</v>
      </c>
      <c r="DG87" s="299">
        <f t="shared" si="739"/>
        <v>0</v>
      </c>
      <c r="DH87" s="279">
        <f t="shared" si="870"/>
        <v>0</v>
      </c>
      <c r="DI87" s="299">
        <f t="shared" si="740"/>
        <v>0</v>
      </c>
      <c r="DJ87" s="279">
        <f t="shared" si="870"/>
        <v>0</v>
      </c>
      <c r="DK87" s="299">
        <f t="shared" si="741"/>
        <v>0</v>
      </c>
      <c r="DL87" s="279">
        <f t="shared" si="870"/>
        <v>0</v>
      </c>
      <c r="DM87" s="299">
        <f t="shared" si="742"/>
        <v>0</v>
      </c>
      <c r="DN87" s="279">
        <f t="shared" si="743"/>
        <v>0</v>
      </c>
      <c r="DO87" s="299">
        <f t="shared" si="744"/>
        <v>0</v>
      </c>
      <c r="DP87" s="279">
        <f t="shared" si="471"/>
        <v>0</v>
      </c>
      <c r="DQ87" s="299">
        <f t="shared" si="745"/>
        <v>0</v>
      </c>
      <c r="DR87" s="279">
        <f t="shared" si="746"/>
        <v>0</v>
      </c>
      <c r="DS87" s="299">
        <f t="shared" si="747"/>
        <v>0</v>
      </c>
      <c r="DT87" s="279">
        <f t="shared" si="472"/>
        <v>0</v>
      </c>
      <c r="DU87" s="299">
        <f t="shared" si="748"/>
        <v>0</v>
      </c>
      <c r="DV87" s="252">
        <f t="shared" si="749"/>
        <v>0</v>
      </c>
      <c r="DW87" s="251">
        <f t="shared" si="888"/>
        <v>0</v>
      </c>
      <c r="DY87" s="256">
        <v>0</v>
      </c>
      <c r="DZ87" s="2"/>
      <c r="EA87" s="254">
        <f t="shared" ref="EA87:EA110" si="906">+G87*DY87</f>
        <v>0</v>
      </c>
      <c r="EB87" s="249">
        <f t="shared" si="871"/>
        <v>0</v>
      </c>
      <c r="EC87" s="250">
        <f t="shared" si="750"/>
        <v>0</v>
      </c>
      <c r="ED87" s="356">
        <f t="shared" si="871"/>
        <v>0</v>
      </c>
      <c r="EE87" s="250">
        <f t="shared" si="750"/>
        <v>0</v>
      </c>
      <c r="EF87" s="249">
        <f t="shared" si="872"/>
        <v>0</v>
      </c>
      <c r="EG87" s="250">
        <f t="shared" si="893"/>
        <v>0</v>
      </c>
      <c r="EH87" s="249">
        <f t="shared" si="872"/>
        <v>0</v>
      </c>
      <c r="EI87" s="250">
        <f t="shared" si="893"/>
        <v>0</v>
      </c>
      <c r="EJ87" s="249">
        <f t="shared" si="872"/>
        <v>0</v>
      </c>
      <c r="EK87" s="250">
        <f t="shared" si="752"/>
        <v>0</v>
      </c>
      <c r="EL87" s="249">
        <f t="shared" si="872"/>
        <v>0</v>
      </c>
      <c r="EM87" s="250">
        <f t="shared" si="753"/>
        <v>0</v>
      </c>
      <c r="EN87" s="249">
        <f t="shared" si="872"/>
        <v>0</v>
      </c>
      <c r="EO87" s="250">
        <f t="shared" si="754"/>
        <v>0</v>
      </c>
      <c r="EP87" s="249">
        <f t="shared" si="872"/>
        <v>0</v>
      </c>
      <c r="EQ87" s="250">
        <f t="shared" si="755"/>
        <v>0</v>
      </c>
      <c r="ER87" s="249">
        <f t="shared" si="872"/>
        <v>0</v>
      </c>
      <c r="ES87" s="250">
        <f t="shared" si="756"/>
        <v>0</v>
      </c>
      <c r="ET87" s="249">
        <f t="shared" si="391"/>
        <v>0</v>
      </c>
      <c r="EU87" s="250">
        <f t="shared" si="757"/>
        <v>0</v>
      </c>
      <c r="EV87" s="249">
        <f t="shared" si="758"/>
        <v>0</v>
      </c>
      <c r="EW87" s="250">
        <f t="shared" si="759"/>
        <v>0</v>
      </c>
      <c r="EX87" s="249">
        <f t="shared" si="392"/>
        <v>0</v>
      </c>
      <c r="EY87" s="250">
        <f t="shared" si="760"/>
        <v>0</v>
      </c>
      <c r="EZ87" s="252">
        <f t="shared" si="761"/>
        <v>0</v>
      </c>
      <c r="FA87" s="251">
        <f t="shared" ref="FA87:FA110" si="907">+EZ87*G87</f>
        <v>0</v>
      </c>
      <c r="FC87" s="1"/>
      <c r="FD87" s="2"/>
      <c r="FE87" s="257">
        <f t="shared" ref="FE87:FE110" si="908">+FD87*FC87</f>
        <v>0</v>
      </c>
      <c r="FF87" s="249">
        <f t="shared" si="762"/>
        <v>0</v>
      </c>
      <c r="FG87" s="250">
        <f t="shared" si="763"/>
        <v>0</v>
      </c>
      <c r="FH87" s="372">
        <f t="shared" si="873"/>
        <v>0</v>
      </c>
      <c r="FI87" s="339">
        <f t="shared" si="764"/>
        <v>0</v>
      </c>
      <c r="FJ87" s="372">
        <f t="shared" si="873"/>
        <v>0</v>
      </c>
      <c r="FK87" s="339">
        <f t="shared" si="764"/>
        <v>0</v>
      </c>
      <c r="FL87" s="372">
        <f t="shared" si="873"/>
        <v>0</v>
      </c>
      <c r="FM87" s="339">
        <f t="shared" si="765"/>
        <v>0</v>
      </c>
      <c r="FN87" s="372">
        <f t="shared" si="873"/>
        <v>0</v>
      </c>
      <c r="FO87" s="339">
        <f t="shared" si="766"/>
        <v>0</v>
      </c>
      <c r="FP87" s="372">
        <f t="shared" si="873"/>
        <v>0</v>
      </c>
      <c r="FQ87" s="339">
        <f t="shared" si="767"/>
        <v>0</v>
      </c>
      <c r="FR87" s="372">
        <f t="shared" si="873"/>
        <v>0</v>
      </c>
      <c r="FS87" s="339">
        <f t="shared" si="768"/>
        <v>0</v>
      </c>
      <c r="FT87" s="372">
        <f t="shared" si="873"/>
        <v>0</v>
      </c>
      <c r="FU87" s="339">
        <f t="shared" si="769"/>
        <v>0</v>
      </c>
      <c r="FV87" s="372">
        <f t="shared" si="770"/>
        <v>0</v>
      </c>
      <c r="FW87" s="339">
        <f t="shared" si="771"/>
        <v>0</v>
      </c>
      <c r="FX87" s="372">
        <f t="shared" si="479"/>
        <v>0</v>
      </c>
      <c r="FY87" s="339">
        <f t="shared" si="772"/>
        <v>0</v>
      </c>
      <c r="FZ87" s="372">
        <f t="shared" si="773"/>
        <v>0</v>
      </c>
      <c r="GA87" s="339">
        <f t="shared" si="774"/>
        <v>0</v>
      </c>
      <c r="GB87" s="372">
        <f t="shared" si="480"/>
        <v>0</v>
      </c>
      <c r="GC87" s="339">
        <f t="shared" si="775"/>
        <v>0</v>
      </c>
      <c r="GD87" s="252">
        <f t="shared" si="776"/>
        <v>0</v>
      </c>
      <c r="GE87" s="251">
        <f t="shared" si="686"/>
        <v>0</v>
      </c>
      <c r="GG87" s="1"/>
      <c r="GH87" s="2">
        <v>0.2</v>
      </c>
      <c r="GI87" s="257">
        <f t="shared" ref="GI87:GI110" si="909">+GG87*G87</f>
        <v>0</v>
      </c>
      <c r="GJ87" s="249">
        <f t="shared" si="777"/>
        <v>0</v>
      </c>
      <c r="GK87" s="250">
        <f t="shared" si="778"/>
        <v>0</v>
      </c>
      <c r="GL87" s="249">
        <f t="shared" si="777"/>
        <v>0</v>
      </c>
      <c r="GM87" s="250">
        <f t="shared" si="778"/>
        <v>0</v>
      </c>
      <c r="GN87" s="249">
        <f t="shared" si="777"/>
        <v>0</v>
      </c>
      <c r="GO87" s="250">
        <f t="shared" si="894"/>
        <v>0</v>
      </c>
      <c r="GP87" s="249">
        <f t="shared" si="777"/>
        <v>0</v>
      </c>
      <c r="GQ87" s="250">
        <f t="shared" si="895"/>
        <v>0</v>
      </c>
      <c r="GR87" s="249">
        <f t="shared" si="777"/>
        <v>0</v>
      </c>
      <c r="GS87" s="250">
        <f t="shared" si="896"/>
        <v>0</v>
      </c>
      <c r="GT87" s="249">
        <f t="shared" si="777"/>
        <v>0</v>
      </c>
      <c r="GU87" s="250">
        <f t="shared" si="897"/>
        <v>0</v>
      </c>
      <c r="GV87" s="249">
        <f t="shared" si="777"/>
        <v>0</v>
      </c>
      <c r="GW87" s="250">
        <f t="shared" si="898"/>
        <v>0</v>
      </c>
      <c r="GX87" s="249">
        <f t="shared" si="784"/>
        <v>0</v>
      </c>
      <c r="GY87" s="250">
        <f t="shared" si="899"/>
        <v>0</v>
      </c>
      <c r="GZ87" s="249">
        <f t="shared" si="786"/>
        <v>0</v>
      </c>
      <c r="HA87" s="250">
        <f t="shared" si="900"/>
        <v>0</v>
      </c>
      <c r="HB87" s="249">
        <f t="shared" si="788"/>
        <v>0</v>
      </c>
      <c r="HC87" s="250">
        <f t="shared" si="901"/>
        <v>0</v>
      </c>
      <c r="HD87" s="249">
        <f t="shared" si="790"/>
        <v>0</v>
      </c>
      <c r="HE87" s="250">
        <f t="shared" si="902"/>
        <v>0</v>
      </c>
      <c r="HF87" s="249">
        <f t="shared" si="792"/>
        <v>0</v>
      </c>
      <c r="HG87" s="250">
        <f t="shared" si="903"/>
        <v>0</v>
      </c>
      <c r="HH87" s="252">
        <f t="shared" si="794"/>
        <v>0</v>
      </c>
      <c r="HI87" s="251">
        <f t="shared" ref="HI87:HI110" si="910">+HH87*G87</f>
        <v>0</v>
      </c>
      <c r="HK87" s="1"/>
      <c r="HL87" s="2"/>
      <c r="HM87" s="257">
        <f t="shared" ref="HM87:HM110" si="911">+HL87*HK87*G87</f>
        <v>0</v>
      </c>
      <c r="HN87" s="249">
        <f t="shared" si="795"/>
        <v>0</v>
      </c>
      <c r="HO87" s="250">
        <f t="shared" ref="HO87:HO110" si="912">+HN87*G87</f>
        <v>0</v>
      </c>
      <c r="HP87" s="249">
        <f t="shared" si="796"/>
        <v>0</v>
      </c>
      <c r="HQ87" s="250">
        <f t="shared" si="797"/>
        <v>0</v>
      </c>
      <c r="HR87" s="249">
        <f t="shared" si="796"/>
        <v>0</v>
      </c>
      <c r="HS87" s="250">
        <f t="shared" si="797"/>
        <v>0</v>
      </c>
      <c r="HT87" s="249">
        <f t="shared" si="796"/>
        <v>0</v>
      </c>
      <c r="HU87" s="250">
        <f t="shared" si="798"/>
        <v>0</v>
      </c>
      <c r="HV87" s="249">
        <f t="shared" si="796"/>
        <v>0</v>
      </c>
      <c r="HW87" s="250">
        <f t="shared" si="799"/>
        <v>0</v>
      </c>
      <c r="HX87" s="249">
        <f t="shared" si="796"/>
        <v>0</v>
      </c>
      <c r="HY87" s="250">
        <f t="shared" si="800"/>
        <v>0</v>
      </c>
      <c r="HZ87" s="249">
        <f t="shared" si="796"/>
        <v>0</v>
      </c>
      <c r="IA87" s="250">
        <f t="shared" si="801"/>
        <v>0</v>
      </c>
      <c r="IB87" s="249">
        <f t="shared" si="796"/>
        <v>0</v>
      </c>
      <c r="IC87" s="250">
        <f t="shared" si="802"/>
        <v>0</v>
      </c>
      <c r="ID87" s="249">
        <f t="shared" si="803"/>
        <v>0</v>
      </c>
      <c r="IE87" s="250">
        <f t="shared" si="804"/>
        <v>0</v>
      </c>
      <c r="IF87" s="249">
        <f t="shared" si="805"/>
        <v>0</v>
      </c>
      <c r="IG87" s="250">
        <f t="shared" si="806"/>
        <v>0</v>
      </c>
      <c r="IH87" s="249">
        <f t="shared" si="807"/>
        <v>0</v>
      </c>
      <c r="II87" s="250">
        <f t="shared" si="808"/>
        <v>0</v>
      </c>
      <c r="IJ87" s="249">
        <f t="shared" si="809"/>
        <v>0</v>
      </c>
      <c r="IK87" s="250">
        <f t="shared" si="810"/>
        <v>0</v>
      </c>
      <c r="IL87" s="252">
        <f t="shared" si="811"/>
        <v>0</v>
      </c>
      <c r="IM87" s="251">
        <f t="shared" si="812"/>
        <v>0</v>
      </c>
      <c r="IO87" s="1"/>
      <c r="IP87" s="2">
        <v>8.3333333333333329E-2</v>
      </c>
      <c r="IQ87" s="257">
        <f t="shared" ref="IQ87:IQ110" si="913">+IO87*G87*IP87</f>
        <v>0</v>
      </c>
      <c r="IR87" s="249">
        <f t="shared" si="813"/>
        <v>0</v>
      </c>
      <c r="IS87" s="250">
        <f t="shared" si="814"/>
        <v>0</v>
      </c>
      <c r="IT87" s="279">
        <f t="shared" si="874"/>
        <v>0</v>
      </c>
      <c r="IU87" s="289">
        <f t="shared" si="815"/>
        <v>0</v>
      </c>
      <c r="IV87" s="279">
        <f t="shared" si="874"/>
        <v>0</v>
      </c>
      <c r="IW87" s="289">
        <f t="shared" si="815"/>
        <v>0</v>
      </c>
      <c r="IX87" s="279">
        <f t="shared" si="874"/>
        <v>0</v>
      </c>
      <c r="IY87" s="289">
        <f t="shared" si="816"/>
        <v>0</v>
      </c>
      <c r="IZ87" s="279">
        <f t="shared" si="874"/>
        <v>0</v>
      </c>
      <c r="JA87" s="289">
        <f t="shared" si="817"/>
        <v>0</v>
      </c>
      <c r="JB87" s="279">
        <f t="shared" si="874"/>
        <v>0</v>
      </c>
      <c r="JC87" s="289">
        <f t="shared" si="818"/>
        <v>0</v>
      </c>
      <c r="JD87" s="279">
        <f t="shared" si="874"/>
        <v>0</v>
      </c>
      <c r="JE87" s="289">
        <f t="shared" si="819"/>
        <v>0</v>
      </c>
      <c r="JF87" s="279">
        <f t="shared" si="874"/>
        <v>0</v>
      </c>
      <c r="JG87" s="289">
        <f t="shared" si="820"/>
        <v>0</v>
      </c>
      <c r="JH87" s="279">
        <f t="shared" si="821"/>
        <v>0</v>
      </c>
      <c r="JI87" s="289">
        <f t="shared" si="822"/>
        <v>0</v>
      </c>
      <c r="JJ87" s="279">
        <f t="shared" si="407"/>
        <v>0</v>
      </c>
      <c r="JK87" s="289">
        <f t="shared" si="823"/>
        <v>0</v>
      </c>
      <c r="JL87" s="279">
        <f t="shared" si="824"/>
        <v>0</v>
      </c>
      <c r="JM87" s="289">
        <f t="shared" si="825"/>
        <v>0</v>
      </c>
      <c r="JN87" s="279">
        <f t="shared" si="408"/>
        <v>0</v>
      </c>
      <c r="JO87" s="289">
        <f t="shared" si="826"/>
        <v>0</v>
      </c>
      <c r="JP87" s="252">
        <f t="shared" si="827"/>
        <v>0</v>
      </c>
      <c r="JQ87" s="251">
        <f t="shared" si="828"/>
        <v>0</v>
      </c>
      <c r="JS87" s="1"/>
      <c r="JT87" s="2">
        <v>8.3333333333333329E-2</v>
      </c>
      <c r="JU87" s="257">
        <f t="shared" ref="JU87:JU110" si="914">+JT87*JS87*G87</f>
        <v>0</v>
      </c>
      <c r="JV87" s="249">
        <f t="shared" si="829"/>
        <v>0</v>
      </c>
      <c r="JW87" s="250">
        <f t="shared" si="830"/>
        <v>0</v>
      </c>
      <c r="JX87" s="372">
        <f t="shared" si="875"/>
        <v>0</v>
      </c>
      <c r="JY87" s="339">
        <f t="shared" si="831"/>
        <v>0</v>
      </c>
      <c r="JZ87" s="372">
        <f t="shared" si="875"/>
        <v>0</v>
      </c>
      <c r="KA87" s="339">
        <f t="shared" si="831"/>
        <v>0</v>
      </c>
      <c r="KB87" s="372">
        <f t="shared" si="875"/>
        <v>0</v>
      </c>
      <c r="KC87" s="339">
        <f t="shared" si="832"/>
        <v>0</v>
      </c>
      <c r="KD87" s="372">
        <f t="shared" si="875"/>
        <v>0</v>
      </c>
      <c r="KE87" s="339">
        <f t="shared" si="833"/>
        <v>0</v>
      </c>
      <c r="KF87" s="372">
        <f t="shared" si="875"/>
        <v>0</v>
      </c>
      <c r="KG87" s="339">
        <f t="shared" si="834"/>
        <v>0</v>
      </c>
      <c r="KH87" s="372">
        <f t="shared" si="875"/>
        <v>0</v>
      </c>
      <c r="KI87" s="339">
        <f t="shared" si="835"/>
        <v>0</v>
      </c>
      <c r="KJ87" s="372">
        <f t="shared" si="875"/>
        <v>0</v>
      </c>
      <c r="KK87" s="339">
        <f t="shared" si="836"/>
        <v>0</v>
      </c>
      <c r="KL87" s="372">
        <f t="shared" si="837"/>
        <v>0</v>
      </c>
      <c r="KM87" s="339">
        <f t="shared" si="838"/>
        <v>0</v>
      </c>
      <c r="KN87" s="372">
        <f t="shared" si="677"/>
        <v>0</v>
      </c>
      <c r="KO87" s="339">
        <f t="shared" si="839"/>
        <v>0</v>
      </c>
      <c r="KP87" s="372">
        <f t="shared" si="840"/>
        <v>0</v>
      </c>
      <c r="KQ87" s="339">
        <f t="shared" si="841"/>
        <v>0</v>
      </c>
      <c r="KR87" s="372">
        <f t="shared" si="678"/>
        <v>0</v>
      </c>
      <c r="KS87" s="377">
        <f t="shared" si="842"/>
        <v>0</v>
      </c>
      <c r="KT87" s="379">
        <f t="shared" si="843"/>
        <v>0</v>
      </c>
      <c r="KU87" s="251">
        <f t="shared" ref="KU87:KU110" si="915">+KT87*G87</f>
        <v>0</v>
      </c>
      <c r="KW87" s="1"/>
      <c r="KX87" s="2">
        <v>8.3333333333333329E-2</v>
      </c>
      <c r="KY87" s="254">
        <f t="shared" si="680"/>
        <v>0</v>
      </c>
      <c r="KZ87" s="249">
        <f t="shared" si="876"/>
        <v>0</v>
      </c>
      <c r="LA87" s="251">
        <f t="shared" si="681"/>
        <v>0</v>
      </c>
      <c r="LB87" s="279">
        <f t="shared" si="844"/>
        <v>0</v>
      </c>
      <c r="LC87" s="339">
        <f t="shared" si="845"/>
        <v>0</v>
      </c>
      <c r="LD87" s="279">
        <f t="shared" si="844"/>
        <v>0</v>
      </c>
      <c r="LE87" s="339">
        <f t="shared" si="845"/>
        <v>0</v>
      </c>
      <c r="LF87" s="279">
        <f t="shared" si="844"/>
        <v>0</v>
      </c>
      <c r="LG87" s="339">
        <f t="shared" si="846"/>
        <v>0</v>
      </c>
      <c r="LH87" s="279">
        <f t="shared" si="844"/>
        <v>0</v>
      </c>
      <c r="LI87" s="339">
        <f t="shared" si="847"/>
        <v>0</v>
      </c>
      <c r="LJ87" s="279">
        <f t="shared" si="844"/>
        <v>0</v>
      </c>
      <c r="LK87" s="339">
        <f t="shared" si="848"/>
        <v>0</v>
      </c>
      <c r="LL87" s="279">
        <f t="shared" si="844"/>
        <v>0</v>
      </c>
      <c r="LM87" s="339">
        <f t="shared" si="849"/>
        <v>0</v>
      </c>
      <c r="LN87" s="279">
        <f t="shared" si="844"/>
        <v>0</v>
      </c>
      <c r="LO87" s="339">
        <f t="shared" si="850"/>
        <v>0</v>
      </c>
      <c r="LP87" s="279">
        <f t="shared" si="877"/>
        <v>0</v>
      </c>
      <c r="LQ87" s="339">
        <f t="shared" si="851"/>
        <v>0</v>
      </c>
      <c r="LR87" s="279">
        <f t="shared" si="878"/>
        <v>0</v>
      </c>
      <c r="LS87" s="339">
        <f t="shared" si="852"/>
        <v>0</v>
      </c>
      <c r="LT87" s="279">
        <f t="shared" si="879"/>
        <v>0</v>
      </c>
      <c r="LU87" s="339">
        <f t="shared" si="853"/>
        <v>0</v>
      </c>
      <c r="LV87" s="279">
        <f t="shared" si="880"/>
        <v>0</v>
      </c>
      <c r="LW87" s="339">
        <f t="shared" si="854"/>
        <v>0</v>
      </c>
      <c r="LX87" s="252">
        <f t="shared" si="855"/>
        <v>0</v>
      </c>
      <c r="LY87" s="253">
        <f t="shared" si="856"/>
        <v>0</v>
      </c>
      <c r="MA87" s="249">
        <f t="shared" si="688"/>
        <v>0</v>
      </c>
      <c r="MB87" s="253">
        <f t="shared" si="857"/>
        <v>0</v>
      </c>
      <c r="MC87" s="397">
        <f t="shared" si="689"/>
        <v>0</v>
      </c>
      <c r="MD87" s="253">
        <f t="shared" si="858"/>
        <v>0</v>
      </c>
      <c r="ME87" s="397">
        <f t="shared" si="690"/>
        <v>0</v>
      </c>
      <c r="MF87" s="253">
        <f t="shared" si="858"/>
        <v>0</v>
      </c>
      <c r="MG87" s="397">
        <f t="shared" si="691"/>
        <v>0</v>
      </c>
      <c r="MH87" s="253">
        <f t="shared" si="859"/>
        <v>0</v>
      </c>
      <c r="MI87" s="397">
        <f t="shared" si="692"/>
        <v>0</v>
      </c>
      <c r="MJ87" s="253">
        <f t="shared" si="860"/>
        <v>0</v>
      </c>
      <c r="MK87" s="397">
        <f t="shared" si="693"/>
        <v>0</v>
      </c>
      <c r="ML87" s="253">
        <f t="shared" si="861"/>
        <v>0</v>
      </c>
      <c r="MM87" s="397">
        <f t="shared" si="694"/>
        <v>0</v>
      </c>
      <c r="MN87" s="253">
        <f t="shared" si="862"/>
        <v>0</v>
      </c>
      <c r="MO87" s="397">
        <f t="shared" si="695"/>
        <v>0</v>
      </c>
      <c r="MP87" s="253">
        <f t="shared" si="863"/>
        <v>0</v>
      </c>
      <c r="MQ87" s="397">
        <f t="shared" si="696"/>
        <v>0</v>
      </c>
      <c r="MR87" s="253">
        <f t="shared" si="864"/>
        <v>0</v>
      </c>
      <c r="MS87" s="397">
        <f t="shared" si="697"/>
        <v>0</v>
      </c>
      <c r="MT87" s="253">
        <f t="shared" si="865"/>
        <v>0</v>
      </c>
      <c r="MU87" s="397">
        <f t="shared" si="698"/>
        <v>0</v>
      </c>
      <c r="MV87" s="253">
        <f t="shared" si="866"/>
        <v>0</v>
      </c>
      <c r="MW87" s="397">
        <f t="shared" si="699"/>
        <v>0</v>
      </c>
      <c r="MX87" s="253">
        <f t="shared" si="867"/>
        <v>0</v>
      </c>
      <c r="MY87" s="252">
        <f t="shared" si="868"/>
        <v>0</v>
      </c>
      <c r="MZ87" s="251">
        <f t="shared" si="869"/>
        <v>0</v>
      </c>
    </row>
    <row r="88" spans="1:364" ht="26.4" x14ac:dyDescent="0.25">
      <c r="A88" s="533"/>
      <c r="B88" s="245" t="s">
        <v>184</v>
      </c>
      <c r="C88" s="246" t="s">
        <v>185</v>
      </c>
      <c r="D88" s="247" t="s">
        <v>37</v>
      </c>
      <c r="E88" s="4">
        <v>1</v>
      </c>
      <c r="F88" s="353">
        <v>76297.883064516122</v>
      </c>
      <c r="G88" s="353">
        <f t="shared" si="700"/>
        <v>79477.688172042996</v>
      </c>
      <c r="I88" s="30"/>
      <c r="J88" s="2">
        <v>8.3333333333333329E-2</v>
      </c>
      <c r="K88" s="248">
        <f t="shared" si="701"/>
        <v>0</v>
      </c>
      <c r="L88" s="249"/>
      <c r="M88" s="301">
        <f t="shared" si="445"/>
        <v>0</v>
      </c>
      <c r="N88" s="279">
        <f t="shared" si="889"/>
        <v>0</v>
      </c>
      <c r="O88" s="289">
        <f t="shared" si="883"/>
        <v>0</v>
      </c>
      <c r="P88" s="279">
        <f t="shared" si="889"/>
        <v>0</v>
      </c>
      <c r="Q88" s="289">
        <f t="shared" si="883"/>
        <v>0</v>
      </c>
      <c r="R88" s="279">
        <f t="shared" si="889"/>
        <v>0</v>
      </c>
      <c r="S88" s="289">
        <f t="shared" si="702"/>
        <v>0</v>
      </c>
      <c r="T88" s="279">
        <f t="shared" si="889"/>
        <v>0</v>
      </c>
      <c r="U88" s="289">
        <f t="shared" si="703"/>
        <v>0</v>
      </c>
      <c r="V88" s="279">
        <f t="shared" si="889"/>
        <v>0</v>
      </c>
      <c r="W88" s="289">
        <f t="shared" si="704"/>
        <v>0</v>
      </c>
      <c r="X88" s="279">
        <f t="shared" si="889"/>
        <v>0</v>
      </c>
      <c r="Y88" s="289">
        <f t="shared" si="705"/>
        <v>0</v>
      </c>
      <c r="Z88" s="279">
        <f t="shared" si="889"/>
        <v>0</v>
      </c>
      <c r="AA88" s="289">
        <f t="shared" si="706"/>
        <v>0</v>
      </c>
      <c r="AB88" s="279">
        <f t="shared" si="889"/>
        <v>0</v>
      </c>
      <c r="AC88" s="289">
        <f t="shared" si="707"/>
        <v>0</v>
      </c>
      <c r="AD88" s="279">
        <f t="shared" si="889"/>
        <v>0</v>
      </c>
      <c r="AE88" s="289">
        <f t="shared" si="708"/>
        <v>0</v>
      </c>
      <c r="AF88" s="279">
        <f t="shared" si="889"/>
        <v>0</v>
      </c>
      <c r="AG88" s="289">
        <f t="shared" si="890"/>
        <v>0</v>
      </c>
      <c r="AH88" s="249">
        <f t="shared" si="456"/>
        <v>0</v>
      </c>
      <c r="AI88" s="299">
        <f t="shared" si="891"/>
        <v>0</v>
      </c>
      <c r="AJ88" s="252">
        <f t="shared" si="709"/>
        <v>0</v>
      </c>
      <c r="AK88" s="312">
        <f t="shared" si="710"/>
        <v>0</v>
      </c>
      <c r="AM88" s="1"/>
      <c r="AN88" s="2">
        <v>8.3333333333333329E-2</v>
      </c>
      <c r="AO88" s="254">
        <f t="shared" si="904"/>
        <v>0</v>
      </c>
      <c r="AP88" s="249">
        <f t="shared" si="328"/>
        <v>0</v>
      </c>
      <c r="AQ88" s="301">
        <f t="shared" si="683"/>
        <v>0</v>
      </c>
      <c r="AR88" s="249">
        <f t="shared" si="884"/>
        <v>0</v>
      </c>
      <c r="AS88" s="301">
        <f t="shared" si="683"/>
        <v>0</v>
      </c>
      <c r="AT88" s="249">
        <f t="shared" si="884"/>
        <v>0</v>
      </c>
      <c r="AU88" s="301">
        <f t="shared" si="684"/>
        <v>0</v>
      </c>
      <c r="AV88" s="249">
        <f t="shared" si="884"/>
        <v>0</v>
      </c>
      <c r="AW88" s="301">
        <f t="shared" si="711"/>
        <v>0</v>
      </c>
      <c r="AX88" s="249">
        <f t="shared" si="884"/>
        <v>0</v>
      </c>
      <c r="AY88" s="301">
        <f t="shared" si="712"/>
        <v>0</v>
      </c>
      <c r="AZ88" s="249">
        <f t="shared" si="884"/>
        <v>0</v>
      </c>
      <c r="BA88" s="301">
        <f t="shared" si="713"/>
        <v>0</v>
      </c>
      <c r="BB88" s="249">
        <f t="shared" si="884"/>
        <v>0</v>
      </c>
      <c r="BC88" s="301">
        <f t="shared" si="714"/>
        <v>0</v>
      </c>
      <c r="BD88" s="249">
        <f t="shared" si="884"/>
        <v>0</v>
      </c>
      <c r="BE88" s="301">
        <f t="shared" si="715"/>
        <v>0</v>
      </c>
      <c r="BF88" s="249">
        <f t="shared" si="882"/>
        <v>0</v>
      </c>
      <c r="BG88" s="301">
        <f t="shared" si="716"/>
        <v>0</v>
      </c>
      <c r="BH88" s="249">
        <f t="shared" si="885"/>
        <v>0</v>
      </c>
      <c r="BI88" s="301">
        <f t="shared" si="892"/>
        <v>0</v>
      </c>
      <c r="BJ88" s="249">
        <f t="shared" si="885"/>
        <v>0</v>
      </c>
      <c r="BK88" s="301">
        <f t="shared" si="892"/>
        <v>0</v>
      </c>
      <c r="BL88" s="249">
        <f t="shared" si="661"/>
        <v>0</v>
      </c>
      <c r="BM88" s="299">
        <f t="shared" si="718"/>
        <v>0</v>
      </c>
      <c r="BN88" s="252">
        <f t="shared" si="719"/>
        <v>0</v>
      </c>
      <c r="BO88" s="312">
        <f t="shared" si="685"/>
        <v>0</v>
      </c>
      <c r="BQ88" s="1"/>
      <c r="BR88" s="2"/>
      <c r="BS88" s="255">
        <f t="shared" si="886"/>
        <v>0</v>
      </c>
      <c r="BT88" s="249">
        <f t="shared" si="881"/>
        <v>0</v>
      </c>
      <c r="BU88" s="336">
        <f t="shared" si="720"/>
        <v>0</v>
      </c>
      <c r="BV88" s="279">
        <f t="shared" si="721"/>
        <v>0</v>
      </c>
      <c r="BW88" s="339">
        <f t="shared" si="722"/>
        <v>0</v>
      </c>
      <c r="BX88" s="279">
        <f t="shared" si="721"/>
        <v>0</v>
      </c>
      <c r="BY88" s="339">
        <f t="shared" si="723"/>
        <v>0</v>
      </c>
      <c r="BZ88" s="279">
        <f t="shared" si="721"/>
        <v>0</v>
      </c>
      <c r="CA88" s="339">
        <f t="shared" si="724"/>
        <v>0</v>
      </c>
      <c r="CB88" s="279">
        <f t="shared" si="721"/>
        <v>0</v>
      </c>
      <c r="CC88" s="339">
        <f t="shared" si="725"/>
        <v>0</v>
      </c>
      <c r="CD88" s="279">
        <f t="shared" si="721"/>
        <v>0</v>
      </c>
      <c r="CE88" s="339">
        <f t="shared" si="726"/>
        <v>0</v>
      </c>
      <c r="CF88" s="279">
        <f t="shared" si="721"/>
        <v>0</v>
      </c>
      <c r="CG88" s="339">
        <f t="shared" si="727"/>
        <v>0</v>
      </c>
      <c r="CH88" s="279">
        <f t="shared" si="721"/>
        <v>0</v>
      </c>
      <c r="CI88" s="339">
        <f t="shared" si="728"/>
        <v>0</v>
      </c>
      <c r="CJ88" s="279">
        <f t="shared" si="729"/>
        <v>0</v>
      </c>
      <c r="CK88" s="339">
        <f t="shared" si="730"/>
        <v>0</v>
      </c>
      <c r="CL88" s="279">
        <f t="shared" si="463"/>
        <v>0</v>
      </c>
      <c r="CM88" s="339">
        <f t="shared" si="731"/>
        <v>0</v>
      </c>
      <c r="CN88" s="279">
        <f t="shared" si="732"/>
        <v>0</v>
      </c>
      <c r="CO88" s="339">
        <f t="shared" si="733"/>
        <v>0</v>
      </c>
      <c r="CP88" s="279">
        <f t="shared" si="464"/>
        <v>0</v>
      </c>
      <c r="CQ88" s="250">
        <f t="shared" si="905"/>
        <v>0</v>
      </c>
      <c r="CR88" s="252">
        <f t="shared" si="734"/>
        <v>0</v>
      </c>
      <c r="CS88" s="251">
        <f t="shared" si="887"/>
        <v>0</v>
      </c>
      <c r="CU88" s="1"/>
      <c r="CV88" s="2"/>
      <c r="CW88" s="255">
        <f t="shared" si="299"/>
        <v>0</v>
      </c>
      <c r="CX88" s="249">
        <f t="shared" si="735"/>
        <v>0</v>
      </c>
      <c r="CY88" s="250">
        <f t="shared" si="736"/>
        <v>0</v>
      </c>
      <c r="CZ88" s="279">
        <f t="shared" si="870"/>
        <v>0</v>
      </c>
      <c r="DA88" s="299">
        <f t="shared" si="736"/>
        <v>0</v>
      </c>
      <c r="DB88" s="279">
        <f t="shared" si="870"/>
        <v>0</v>
      </c>
      <c r="DC88" s="299">
        <f t="shared" si="737"/>
        <v>0</v>
      </c>
      <c r="DD88" s="279">
        <f t="shared" si="870"/>
        <v>0</v>
      </c>
      <c r="DE88" s="299">
        <f t="shared" si="738"/>
        <v>0</v>
      </c>
      <c r="DF88" s="279">
        <f t="shared" si="870"/>
        <v>0</v>
      </c>
      <c r="DG88" s="299">
        <f t="shared" si="739"/>
        <v>0</v>
      </c>
      <c r="DH88" s="279">
        <f t="shared" si="870"/>
        <v>0</v>
      </c>
      <c r="DI88" s="299">
        <f t="shared" si="740"/>
        <v>0</v>
      </c>
      <c r="DJ88" s="279">
        <f t="shared" si="870"/>
        <v>0</v>
      </c>
      <c r="DK88" s="299">
        <f t="shared" si="741"/>
        <v>0</v>
      </c>
      <c r="DL88" s="279">
        <f t="shared" si="870"/>
        <v>0</v>
      </c>
      <c r="DM88" s="299">
        <f t="shared" si="742"/>
        <v>0</v>
      </c>
      <c r="DN88" s="279">
        <f t="shared" si="743"/>
        <v>0</v>
      </c>
      <c r="DO88" s="299">
        <f t="shared" si="744"/>
        <v>0</v>
      </c>
      <c r="DP88" s="279">
        <f t="shared" si="471"/>
        <v>0</v>
      </c>
      <c r="DQ88" s="299">
        <f t="shared" si="745"/>
        <v>0</v>
      </c>
      <c r="DR88" s="279">
        <f t="shared" si="746"/>
        <v>0</v>
      </c>
      <c r="DS88" s="299">
        <f t="shared" si="747"/>
        <v>0</v>
      </c>
      <c r="DT88" s="279">
        <f t="shared" si="472"/>
        <v>0</v>
      </c>
      <c r="DU88" s="299">
        <f t="shared" si="748"/>
        <v>0</v>
      </c>
      <c r="DV88" s="252">
        <f t="shared" si="749"/>
        <v>0</v>
      </c>
      <c r="DW88" s="251">
        <f t="shared" si="888"/>
        <v>0</v>
      </c>
      <c r="DY88" s="256">
        <v>0</v>
      </c>
      <c r="DZ88" s="2"/>
      <c r="EA88" s="254">
        <f t="shared" si="906"/>
        <v>0</v>
      </c>
      <c r="EB88" s="249">
        <f t="shared" si="871"/>
        <v>0</v>
      </c>
      <c r="EC88" s="250">
        <f t="shared" si="750"/>
        <v>0</v>
      </c>
      <c r="ED88" s="356">
        <f t="shared" si="871"/>
        <v>0</v>
      </c>
      <c r="EE88" s="250">
        <f t="shared" si="750"/>
        <v>0</v>
      </c>
      <c r="EF88" s="249">
        <f t="shared" si="872"/>
        <v>0</v>
      </c>
      <c r="EG88" s="250">
        <f t="shared" si="893"/>
        <v>0</v>
      </c>
      <c r="EH88" s="249">
        <f t="shared" si="872"/>
        <v>0</v>
      </c>
      <c r="EI88" s="250">
        <f t="shared" si="893"/>
        <v>0</v>
      </c>
      <c r="EJ88" s="249">
        <f t="shared" si="872"/>
        <v>0</v>
      </c>
      <c r="EK88" s="250">
        <f t="shared" si="752"/>
        <v>0</v>
      </c>
      <c r="EL88" s="249">
        <f t="shared" si="872"/>
        <v>0</v>
      </c>
      <c r="EM88" s="250">
        <f t="shared" si="753"/>
        <v>0</v>
      </c>
      <c r="EN88" s="249">
        <f t="shared" si="872"/>
        <v>0</v>
      </c>
      <c r="EO88" s="250">
        <f t="shared" si="754"/>
        <v>0</v>
      </c>
      <c r="EP88" s="249">
        <f t="shared" si="872"/>
        <v>0</v>
      </c>
      <c r="EQ88" s="250">
        <f t="shared" si="755"/>
        <v>0</v>
      </c>
      <c r="ER88" s="249">
        <f t="shared" si="872"/>
        <v>0</v>
      </c>
      <c r="ES88" s="250">
        <f t="shared" si="756"/>
        <v>0</v>
      </c>
      <c r="ET88" s="249">
        <f t="shared" si="391"/>
        <v>0</v>
      </c>
      <c r="EU88" s="250">
        <f t="shared" si="757"/>
        <v>0</v>
      </c>
      <c r="EV88" s="249">
        <f t="shared" si="758"/>
        <v>0</v>
      </c>
      <c r="EW88" s="250">
        <f t="shared" si="759"/>
        <v>0</v>
      </c>
      <c r="EX88" s="249">
        <f t="shared" si="392"/>
        <v>0</v>
      </c>
      <c r="EY88" s="250">
        <f t="shared" si="760"/>
        <v>0</v>
      </c>
      <c r="EZ88" s="252">
        <f t="shared" si="761"/>
        <v>0</v>
      </c>
      <c r="FA88" s="251">
        <f t="shared" si="907"/>
        <v>0</v>
      </c>
      <c r="FC88" s="1"/>
      <c r="FD88" s="2"/>
      <c r="FE88" s="257">
        <f t="shared" si="908"/>
        <v>0</v>
      </c>
      <c r="FF88" s="249">
        <f t="shared" si="762"/>
        <v>0</v>
      </c>
      <c r="FG88" s="250">
        <f t="shared" si="763"/>
        <v>0</v>
      </c>
      <c r="FH88" s="372">
        <f t="shared" si="873"/>
        <v>0</v>
      </c>
      <c r="FI88" s="339">
        <f t="shared" si="764"/>
        <v>0</v>
      </c>
      <c r="FJ88" s="372">
        <f t="shared" si="873"/>
        <v>0</v>
      </c>
      <c r="FK88" s="339">
        <f t="shared" si="764"/>
        <v>0</v>
      </c>
      <c r="FL88" s="372">
        <f t="shared" si="873"/>
        <v>0</v>
      </c>
      <c r="FM88" s="339">
        <f t="shared" si="765"/>
        <v>0</v>
      </c>
      <c r="FN88" s="372">
        <f t="shared" si="873"/>
        <v>0</v>
      </c>
      <c r="FO88" s="339">
        <f t="shared" si="766"/>
        <v>0</v>
      </c>
      <c r="FP88" s="372">
        <f t="shared" si="873"/>
        <v>0</v>
      </c>
      <c r="FQ88" s="339">
        <f t="shared" si="767"/>
        <v>0</v>
      </c>
      <c r="FR88" s="372">
        <f t="shared" si="873"/>
        <v>0</v>
      </c>
      <c r="FS88" s="339">
        <f t="shared" si="768"/>
        <v>0</v>
      </c>
      <c r="FT88" s="372">
        <f t="shared" si="873"/>
        <v>0</v>
      </c>
      <c r="FU88" s="339">
        <f t="shared" si="769"/>
        <v>0</v>
      </c>
      <c r="FV88" s="372">
        <f t="shared" si="770"/>
        <v>0</v>
      </c>
      <c r="FW88" s="339">
        <f t="shared" si="771"/>
        <v>0</v>
      </c>
      <c r="FX88" s="372">
        <f t="shared" si="479"/>
        <v>0</v>
      </c>
      <c r="FY88" s="339">
        <f t="shared" si="772"/>
        <v>0</v>
      </c>
      <c r="FZ88" s="372">
        <f t="shared" si="773"/>
        <v>0</v>
      </c>
      <c r="GA88" s="339">
        <f t="shared" si="774"/>
        <v>0</v>
      </c>
      <c r="GB88" s="372">
        <f t="shared" si="480"/>
        <v>0</v>
      </c>
      <c r="GC88" s="339">
        <f t="shared" si="775"/>
        <v>0</v>
      </c>
      <c r="GD88" s="252">
        <f t="shared" si="776"/>
        <v>0</v>
      </c>
      <c r="GE88" s="251">
        <f t="shared" si="686"/>
        <v>0</v>
      </c>
      <c r="GG88" s="1"/>
      <c r="GH88" s="2">
        <v>0.2</v>
      </c>
      <c r="GI88" s="257">
        <f t="shared" si="909"/>
        <v>0</v>
      </c>
      <c r="GJ88" s="249">
        <f t="shared" si="777"/>
        <v>0</v>
      </c>
      <c r="GK88" s="250">
        <f t="shared" si="778"/>
        <v>0</v>
      </c>
      <c r="GL88" s="249">
        <f t="shared" si="777"/>
        <v>0</v>
      </c>
      <c r="GM88" s="250">
        <f t="shared" si="778"/>
        <v>0</v>
      </c>
      <c r="GN88" s="249">
        <f t="shared" si="777"/>
        <v>0</v>
      </c>
      <c r="GO88" s="250">
        <f t="shared" si="894"/>
        <v>0</v>
      </c>
      <c r="GP88" s="249">
        <f t="shared" si="777"/>
        <v>0</v>
      </c>
      <c r="GQ88" s="250">
        <f t="shared" si="895"/>
        <v>0</v>
      </c>
      <c r="GR88" s="249">
        <f t="shared" si="777"/>
        <v>0</v>
      </c>
      <c r="GS88" s="250">
        <f t="shared" si="896"/>
        <v>0</v>
      </c>
      <c r="GT88" s="249">
        <f t="shared" si="777"/>
        <v>0</v>
      </c>
      <c r="GU88" s="250">
        <f t="shared" si="897"/>
        <v>0</v>
      </c>
      <c r="GV88" s="249">
        <f t="shared" si="777"/>
        <v>0</v>
      </c>
      <c r="GW88" s="250">
        <f t="shared" si="898"/>
        <v>0</v>
      </c>
      <c r="GX88" s="249">
        <f t="shared" si="784"/>
        <v>0</v>
      </c>
      <c r="GY88" s="250">
        <f t="shared" si="899"/>
        <v>0</v>
      </c>
      <c r="GZ88" s="249">
        <f t="shared" si="786"/>
        <v>0</v>
      </c>
      <c r="HA88" s="250">
        <f t="shared" si="900"/>
        <v>0</v>
      </c>
      <c r="HB88" s="249">
        <f t="shared" si="788"/>
        <v>0</v>
      </c>
      <c r="HC88" s="250">
        <f t="shared" si="901"/>
        <v>0</v>
      </c>
      <c r="HD88" s="249">
        <f t="shared" si="790"/>
        <v>0</v>
      </c>
      <c r="HE88" s="250">
        <f t="shared" si="902"/>
        <v>0</v>
      </c>
      <c r="HF88" s="249">
        <f t="shared" si="792"/>
        <v>0</v>
      </c>
      <c r="HG88" s="250">
        <f t="shared" si="903"/>
        <v>0</v>
      </c>
      <c r="HH88" s="252">
        <f t="shared" si="794"/>
        <v>0</v>
      </c>
      <c r="HI88" s="251">
        <f t="shared" si="910"/>
        <v>0</v>
      </c>
      <c r="HK88" s="1"/>
      <c r="HL88" s="2"/>
      <c r="HM88" s="257">
        <f t="shared" si="911"/>
        <v>0</v>
      </c>
      <c r="HN88" s="249">
        <f t="shared" si="795"/>
        <v>0</v>
      </c>
      <c r="HO88" s="250">
        <f t="shared" si="912"/>
        <v>0</v>
      </c>
      <c r="HP88" s="249">
        <f t="shared" si="796"/>
        <v>0</v>
      </c>
      <c r="HQ88" s="250">
        <f t="shared" si="797"/>
        <v>0</v>
      </c>
      <c r="HR88" s="249">
        <f t="shared" si="796"/>
        <v>0</v>
      </c>
      <c r="HS88" s="250">
        <f t="shared" si="797"/>
        <v>0</v>
      </c>
      <c r="HT88" s="249">
        <f t="shared" si="796"/>
        <v>0</v>
      </c>
      <c r="HU88" s="250">
        <f t="shared" si="798"/>
        <v>0</v>
      </c>
      <c r="HV88" s="249">
        <f t="shared" si="796"/>
        <v>0</v>
      </c>
      <c r="HW88" s="250">
        <f t="shared" si="799"/>
        <v>0</v>
      </c>
      <c r="HX88" s="249">
        <f t="shared" si="796"/>
        <v>0</v>
      </c>
      <c r="HY88" s="250">
        <f t="shared" si="800"/>
        <v>0</v>
      </c>
      <c r="HZ88" s="249">
        <f t="shared" si="796"/>
        <v>0</v>
      </c>
      <c r="IA88" s="250">
        <f t="shared" si="801"/>
        <v>0</v>
      </c>
      <c r="IB88" s="249">
        <f t="shared" si="796"/>
        <v>0</v>
      </c>
      <c r="IC88" s="250">
        <f t="shared" si="802"/>
        <v>0</v>
      </c>
      <c r="ID88" s="249">
        <f t="shared" si="803"/>
        <v>0</v>
      </c>
      <c r="IE88" s="250">
        <f t="shared" si="804"/>
        <v>0</v>
      </c>
      <c r="IF88" s="249">
        <f t="shared" si="805"/>
        <v>0</v>
      </c>
      <c r="IG88" s="250">
        <f t="shared" si="806"/>
        <v>0</v>
      </c>
      <c r="IH88" s="249">
        <f t="shared" si="807"/>
        <v>0</v>
      </c>
      <c r="II88" s="250">
        <f t="shared" si="808"/>
        <v>0</v>
      </c>
      <c r="IJ88" s="249">
        <f t="shared" si="809"/>
        <v>0</v>
      </c>
      <c r="IK88" s="250">
        <f t="shared" si="810"/>
        <v>0</v>
      </c>
      <c r="IL88" s="252">
        <f t="shared" si="811"/>
        <v>0</v>
      </c>
      <c r="IM88" s="251">
        <f t="shared" si="812"/>
        <v>0</v>
      </c>
      <c r="IO88" s="1"/>
      <c r="IP88" s="2">
        <v>8.3333333333333329E-2</v>
      </c>
      <c r="IQ88" s="257">
        <f t="shared" si="913"/>
        <v>0</v>
      </c>
      <c r="IR88" s="249">
        <f t="shared" si="813"/>
        <v>0</v>
      </c>
      <c r="IS88" s="250">
        <f t="shared" si="814"/>
        <v>0</v>
      </c>
      <c r="IT88" s="279">
        <f t="shared" si="874"/>
        <v>0</v>
      </c>
      <c r="IU88" s="289">
        <f t="shared" si="815"/>
        <v>0</v>
      </c>
      <c r="IV88" s="279">
        <f t="shared" si="874"/>
        <v>0</v>
      </c>
      <c r="IW88" s="289">
        <f t="shared" si="815"/>
        <v>0</v>
      </c>
      <c r="IX88" s="279">
        <f t="shared" si="874"/>
        <v>0</v>
      </c>
      <c r="IY88" s="289">
        <f t="shared" si="816"/>
        <v>0</v>
      </c>
      <c r="IZ88" s="279">
        <f t="shared" si="874"/>
        <v>0</v>
      </c>
      <c r="JA88" s="289">
        <f t="shared" si="817"/>
        <v>0</v>
      </c>
      <c r="JB88" s="279">
        <f t="shared" si="874"/>
        <v>0</v>
      </c>
      <c r="JC88" s="289">
        <f t="shared" si="818"/>
        <v>0</v>
      </c>
      <c r="JD88" s="279">
        <f t="shared" si="874"/>
        <v>0</v>
      </c>
      <c r="JE88" s="289">
        <f t="shared" si="819"/>
        <v>0</v>
      </c>
      <c r="JF88" s="279">
        <f t="shared" si="874"/>
        <v>0</v>
      </c>
      <c r="JG88" s="289">
        <f t="shared" si="820"/>
        <v>0</v>
      </c>
      <c r="JH88" s="279">
        <f t="shared" si="821"/>
        <v>0</v>
      </c>
      <c r="JI88" s="289">
        <f t="shared" si="822"/>
        <v>0</v>
      </c>
      <c r="JJ88" s="279">
        <f t="shared" si="407"/>
        <v>0</v>
      </c>
      <c r="JK88" s="289">
        <f t="shared" si="823"/>
        <v>0</v>
      </c>
      <c r="JL88" s="279">
        <f t="shared" si="824"/>
        <v>0</v>
      </c>
      <c r="JM88" s="289">
        <f t="shared" si="825"/>
        <v>0</v>
      </c>
      <c r="JN88" s="279">
        <f t="shared" si="408"/>
        <v>0</v>
      </c>
      <c r="JO88" s="289">
        <f t="shared" si="826"/>
        <v>0</v>
      </c>
      <c r="JP88" s="252">
        <f t="shared" si="827"/>
        <v>0</v>
      </c>
      <c r="JQ88" s="251">
        <f t="shared" si="828"/>
        <v>0</v>
      </c>
      <c r="JS88" s="1"/>
      <c r="JT88" s="2">
        <v>8.3333333333333329E-2</v>
      </c>
      <c r="JU88" s="257">
        <f t="shared" si="914"/>
        <v>0</v>
      </c>
      <c r="JV88" s="249">
        <f t="shared" si="829"/>
        <v>0</v>
      </c>
      <c r="JW88" s="250">
        <f t="shared" si="830"/>
        <v>0</v>
      </c>
      <c r="JX88" s="372">
        <f t="shared" si="875"/>
        <v>0</v>
      </c>
      <c r="JY88" s="339">
        <f t="shared" si="831"/>
        <v>0</v>
      </c>
      <c r="JZ88" s="372">
        <f t="shared" si="875"/>
        <v>0</v>
      </c>
      <c r="KA88" s="339">
        <f t="shared" si="831"/>
        <v>0</v>
      </c>
      <c r="KB88" s="372">
        <f t="shared" si="875"/>
        <v>0</v>
      </c>
      <c r="KC88" s="339">
        <f t="shared" si="832"/>
        <v>0</v>
      </c>
      <c r="KD88" s="372">
        <f t="shared" si="875"/>
        <v>0</v>
      </c>
      <c r="KE88" s="339">
        <f t="shared" si="833"/>
        <v>0</v>
      </c>
      <c r="KF88" s="372">
        <f t="shared" si="875"/>
        <v>0</v>
      </c>
      <c r="KG88" s="339">
        <f t="shared" si="834"/>
        <v>0</v>
      </c>
      <c r="KH88" s="372">
        <f t="shared" si="875"/>
        <v>0</v>
      </c>
      <c r="KI88" s="339">
        <f t="shared" si="835"/>
        <v>0</v>
      </c>
      <c r="KJ88" s="372">
        <f t="shared" si="875"/>
        <v>0</v>
      </c>
      <c r="KK88" s="339">
        <f t="shared" si="836"/>
        <v>0</v>
      </c>
      <c r="KL88" s="372">
        <f t="shared" si="837"/>
        <v>0</v>
      </c>
      <c r="KM88" s="339">
        <f t="shared" si="838"/>
        <v>0</v>
      </c>
      <c r="KN88" s="372">
        <f t="shared" si="677"/>
        <v>0</v>
      </c>
      <c r="KO88" s="339">
        <f t="shared" si="839"/>
        <v>0</v>
      </c>
      <c r="KP88" s="372">
        <f t="shared" si="840"/>
        <v>0</v>
      </c>
      <c r="KQ88" s="339">
        <f t="shared" si="841"/>
        <v>0</v>
      </c>
      <c r="KR88" s="372">
        <f t="shared" si="678"/>
        <v>0</v>
      </c>
      <c r="KS88" s="377">
        <f t="shared" si="842"/>
        <v>0</v>
      </c>
      <c r="KT88" s="379">
        <f t="shared" si="843"/>
        <v>0</v>
      </c>
      <c r="KU88" s="251">
        <f t="shared" si="915"/>
        <v>0</v>
      </c>
      <c r="KW88" s="1"/>
      <c r="KX88" s="2">
        <v>8.3333333333333329E-2</v>
      </c>
      <c r="KY88" s="254">
        <f t="shared" si="680"/>
        <v>0</v>
      </c>
      <c r="KZ88" s="249">
        <f t="shared" si="876"/>
        <v>0</v>
      </c>
      <c r="LA88" s="251">
        <f t="shared" si="681"/>
        <v>0</v>
      </c>
      <c r="LB88" s="279">
        <f t="shared" si="844"/>
        <v>0</v>
      </c>
      <c r="LC88" s="339">
        <f t="shared" si="845"/>
        <v>0</v>
      </c>
      <c r="LD88" s="279">
        <f t="shared" si="844"/>
        <v>0</v>
      </c>
      <c r="LE88" s="339">
        <f t="shared" si="845"/>
        <v>0</v>
      </c>
      <c r="LF88" s="279">
        <f t="shared" si="844"/>
        <v>0</v>
      </c>
      <c r="LG88" s="339">
        <f t="shared" si="846"/>
        <v>0</v>
      </c>
      <c r="LH88" s="279">
        <f t="shared" si="844"/>
        <v>0</v>
      </c>
      <c r="LI88" s="339">
        <f t="shared" si="847"/>
        <v>0</v>
      </c>
      <c r="LJ88" s="279">
        <f t="shared" si="844"/>
        <v>0</v>
      </c>
      <c r="LK88" s="339">
        <f t="shared" si="848"/>
        <v>0</v>
      </c>
      <c r="LL88" s="279">
        <f t="shared" si="844"/>
        <v>0</v>
      </c>
      <c r="LM88" s="339">
        <f t="shared" si="849"/>
        <v>0</v>
      </c>
      <c r="LN88" s="279">
        <f t="shared" si="844"/>
        <v>0</v>
      </c>
      <c r="LO88" s="339">
        <f t="shared" si="850"/>
        <v>0</v>
      </c>
      <c r="LP88" s="279">
        <f t="shared" si="877"/>
        <v>0</v>
      </c>
      <c r="LQ88" s="339">
        <f t="shared" si="851"/>
        <v>0</v>
      </c>
      <c r="LR88" s="279">
        <f t="shared" si="878"/>
        <v>0</v>
      </c>
      <c r="LS88" s="339">
        <f t="shared" si="852"/>
        <v>0</v>
      </c>
      <c r="LT88" s="279">
        <f t="shared" si="879"/>
        <v>0</v>
      </c>
      <c r="LU88" s="339">
        <f t="shared" si="853"/>
        <v>0</v>
      </c>
      <c r="LV88" s="279">
        <f t="shared" si="880"/>
        <v>0</v>
      </c>
      <c r="LW88" s="339">
        <f t="shared" si="854"/>
        <v>0</v>
      </c>
      <c r="LX88" s="252">
        <f t="shared" si="855"/>
        <v>0</v>
      </c>
      <c r="LY88" s="253">
        <f t="shared" si="856"/>
        <v>0</v>
      </c>
      <c r="MA88" s="249">
        <f t="shared" si="688"/>
        <v>0</v>
      </c>
      <c r="MB88" s="253">
        <f t="shared" si="857"/>
        <v>0</v>
      </c>
      <c r="MC88" s="397">
        <f t="shared" si="689"/>
        <v>0</v>
      </c>
      <c r="MD88" s="253">
        <f t="shared" si="858"/>
        <v>0</v>
      </c>
      <c r="ME88" s="397">
        <f t="shared" si="690"/>
        <v>0</v>
      </c>
      <c r="MF88" s="253">
        <f t="shared" si="858"/>
        <v>0</v>
      </c>
      <c r="MG88" s="397">
        <f t="shared" si="691"/>
        <v>0</v>
      </c>
      <c r="MH88" s="253">
        <f t="shared" si="859"/>
        <v>0</v>
      </c>
      <c r="MI88" s="397">
        <f t="shared" si="692"/>
        <v>0</v>
      </c>
      <c r="MJ88" s="253">
        <f t="shared" si="860"/>
        <v>0</v>
      </c>
      <c r="MK88" s="397">
        <f t="shared" si="693"/>
        <v>0</v>
      </c>
      <c r="ML88" s="253">
        <f t="shared" si="861"/>
        <v>0</v>
      </c>
      <c r="MM88" s="397">
        <f t="shared" si="694"/>
        <v>0</v>
      </c>
      <c r="MN88" s="253">
        <f t="shared" si="862"/>
        <v>0</v>
      </c>
      <c r="MO88" s="397">
        <f t="shared" si="695"/>
        <v>0</v>
      </c>
      <c r="MP88" s="253">
        <f t="shared" si="863"/>
        <v>0</v>
      </c>
      <c r="MQ88" s="397">
        <f t="shared" si="696"/>
        <v>0</v>
      </c>
      <c r="MR88" s="253">
        <f t="shared" si="864"/>
        <v>0</v>
      </c>
      <c r="MS88" s="397">
        <f t="shared" si="697"/>
        <v>0</v>
      </c>
      <c r="MT88" s="253">
        <f t="shared" si="865"/>
        <v>0</v>
      </c>
      <c r="MU88" s="397">
        <f t="shared" si="698"/>
        <v>0</v>
      </c>
      <c r="MV88" s="253">
        <f t="shared" si="866"/>
        <v>0</v>
      </c>
      <c r="MW88" s="397">
        <f t="shared" si="699"/>
        <v>0</v>
      </c>
      <c r="MX88" s="253">
        <f t="shared" si="867"/>
        <v>0</v>
      </c>
      <c r="MY88" s="252">
        <f t="shared" si="868"/>
        <v>0</v>
      </c>
      <c r="MZ88" s="251">
        <f t="shared" si="869"/>
        <v>0</v>
      </c>
    </row>
    <row r="89" spans="1:364" ht="39.6" x14ac:dyDescent="0.25">
      <c r="A89" s="533"/>
      <c r="B89" s="245" t="s">
        <v>186</v>
      </c>
      <c r="C89" s="246" t="s">
        <v>187</v>
      </c>
      <c r="D89" s="247" t="s">
        <v>119</v>
      </c>
      <c r="E89" s="4">
        <v>10</v>
      </c>
      <c r="F89" s="353">
        <v>5868734.5825426942</v>
      </c>
      <c r="G89" s="353">
        <f t="shared" si="700"/>
        <v>6113321.082858949</v>
      </c>
      <c r="I89" s="30"/>
      <c r="J89" s="2">
        <v>8.3333333333333329E-2</v>
      </c>
      <c r="K89" s="248">
        <f t="shared" si="701"/>
        <v>0</v>
      </c>
      <c r="L89" s="249"/>
      <c r="M89" s="301">
        <f t="shared" si="445"/>
        <v>0</v>
      </c>
      <c r="N89" s="279">
        <f t="shared" si="889"/>
        <v>0</v>
      </c>
      <c r="O89" s="289">
        <f t="shared" si="883"/>
        <v>0</v>
      </c>
      <c r="P89" s="279">
        <f t="shared" si="889"/>
        <v>0</v>
      </c>
      <c r="Q89" s="289">
        <f t="shared" si="883"/>
        <v>0</v>
      </c>
      <c r="R89" s="279">
        <f t="shared" si="889"/>
        <v>0</v>
      </c>
      <c r="S89" s="289">
        <f t="shared" si="702"/>
        <v>0</v>
      </c>
      <c r="T89" s="279">
        <f t="shared" si="889"/>
        <v>0</v>
      </c>
      <c r="U89" s="289">
        <f t="shared" si="703"/>
        <v>0</v>
      </c>
      <c r="V89" s="279">
        <f t="shared" si="889"/>
        <v>0</v>
      </c>
      <c r="W89" s="289">
        <f t="shared" si="704"/>
        <v>0</v>
      </c>
      <c r="X89" s="279">
        <f t="shared" si="889"/>
        <v>0</v>
      </c>
      <c r="Y89" s="289">
        <f t="shared" si="705"/>
        <v>0</v>
      </c>
      <c r="Z89" s="279">
        <f t="shared" si="889"/>
        <v>0</v>
      </c>
      <c r="AA89" s="289">
        <f t="shared" si="706"/>
        <v>0</v>
      </c>
      <c r="AB89" s="279">
        <f t="shared" si="889"/>
        <v>0</v>
      </c>
      <c r="AC89" s="289">
        <f t="shared" si="707"/>
        <v>0</v>
      </c>
      <c r="AD89" s="279">
        <f t="shared" si="889"/>
        <v>0</v>
      </c>
      <c r="AE89" s="289">
        <f t="shared" si="708"/>
        <v>0</v>
      </c>
      <c r="AF89" s="279">
        <f t="shared" si="889"/>
        <v>0</v>
      </c>
      <c r="AG89" s="289">
        <f t="shared" si="890"/>
        <v>0</v>
      </c>
      <c r="AH89" s="249">
        <f t="shared" si="456"/>
        <v>0</v>
      </c>
      <c r="AI89" s="299">
        <f t="shared" si="891"/>
        <v>0</v>
      </c>
      <c r="AJ89" s="252">
        <f t="shared" si="709"/>
        <v>0</v>
      </c>
      <c r="AK89" s="312">
        <f t="shared" si="710"/>
        <v>0</v>
      </c>
      <c r="AM89" s="1"/>
      <c r="AN89" s="2">
        <v>8.3333333333333329E-2</v>
      </c>
      <c r="AO89" s="254">
        <f t="shared" si="904"/>
        <v>0</v>
      </c>
      <c r="AP89" s="249">
        <f t="shared" si="328"/>
        <v>0</v>
      </c>
      <c r="AQ89" s="301">
        <f t="shared" si="683"/>
        <v>0</v>
      </c>
      <c r="AR89" s="249">
        <f t="shared" si="884"/>
        <v>0</v>
      </c>
      <c r="AS89" s="301">
        <f t="shared" si="683"/>
        <v>0</v>
      </c>
      <c r="AT89" s="249">
        <f t="shared" si="884"/>
        <v>0</v>
      </c>
      <c r="AU89" s="301">
        <f t="shared" si="684"/>
        <v>0</v>
      </c>
      <c r="AV89" s="249">
        <f t="shared" si="884"/>
        <v>0</v>
      </c>
      <c r="AW89" s="301">
        <f t="shared" si="711"/>
        <v>0</v>
      </c>
      <c r="AX89" s="249">
        <f t="shared" si="884"/>
        <v>0</v>
      </c>
      <c r="AY89" s="301">
        <f t="shared" si="712"/>
        <v>0</v>
      </c>
      <c r="AZ89" s="249">
        <f t="shared" si="884"/>
        <v>0</v>
      </c>
      <c r="BA89" s="301">
        <f t="shared" si="713"/>
        <v>0</v>
      </c>
      <c r="BB89" s="249">
        <f t="shared" si="884"/>
        <v>0</v>
      </c>
      <c r="BC89" s="301">
        <f t="shared" si="714"/>
        <v>0</v>
      </c>
      <c r="BD89" s="249">
        <f t="shared" si="884"/>
        <v>0</v>
      </c>
      <c r="BE89" s="301">
        <f t="shared" si="715"/>
        <v>0</v>
      </c>
      <c r="BF89" s="249">
        <f t="shared" si="882"/>
        <v>0</v>
      </c>
      <c r="BG89" s="301">
        <f t="shared" si="716"/>
        <v>0</v>
      </c>
      <c r="BH89" s="249">
        <f t="shared" si="885"/>
        <v>0</v>
      </c>
      <c r="BI89" s="301">
        <f t="shared" si="892"/>
        <v>0</v>
      </c>
      <c r="BJ89" s="249">
        <f t="shared" si="885"/>
        <v>0</v>
      </c>
      <c r="BK89" s="301">
        <f t="shared" si="892"/>
        <v>0</v>
      </c>
      <c r="BL89" s="249">
        <f t="shared" si="661"/>
        <v>0</v>
      </c>
      <c r="BM89" s="299">
        <f t="shared" si="718"/>
        <v>0</v>
      </c>
      <c r="BN89" s="252">
        <f t="shared" si="719"/>
        <v>0</v>
      </c>
      <c r="BO89" s="312">
        <f t="shared" si="685"/>
        <v>0</v>
      </c>
      <c r="BQ89" s="1"/>
      <c r="BR89" s="2"/>
      <c r="BS89" s="255">
        <f t="shared" si="886"/>
        <v>0</v>
      </c>
      <c r="BT89" s="249">
        <f t="shared" si="881"/>
        <v>0</v>
      </c>
      <c r="BU89" s="336">
        <f t="shared" si="720"/>
        <v>0</v>
      </c>
      <c r="BV89" s="279">
        <f t="shared" si="721"/>
        <v>0</v>
      </c>
      <c r="BW89" s="339">
        <f t="shared" si="722"/>
        <v>0</v>
      </c>
      <c r="BX89" s="279">
        <f t="shared" si="721"/>
        <v>0</v>
      </c>
      <c r="BY89" s="339">
        <f t="shared" si="723"/>
        <v>0</v>
      </c>
      <c r="BZ89" s="279">
        <f t="shared" si="721"/>
        <v>0</v>
      </c>
      <c r="CA89" s="339">
        <f t="shared" si="724"/>
        <v>0</v>
      </c>
      <c r="CB89" s="279">
        <f t="shared" si="721"/>
        <v>0</v>
      </c>
      <c r="CC89" s="339">
        <f t="shared" si="725"/>
        <v>0</v>
      </c>
      <c r="CD89" s="279">
        <f t="shared" si="721"/>
        <v>0</v>
      </c>
      <c r="CE89" s="339">
        <f t="shared" si="726"/>
        <v>0</v>
      </c>
      <c r="CF89" s="279">
        <f t="shared" si="721"/>
        <v>0</v>
      </c>
      <c r="CG89" s="339">
        <f t="shared" si="727"/>
        <v>0</v>
      </c>
      <c r="CH89" s="279">
        <f t="shared" si="721"/>
        <v>0</v>
      </c>
      <c r="CI89" s="339">
        <f t="shared" si="728"/>
        <v>0</v>
      </c>
      <c r="CJ89" s="279">
        <f t="shared" si="729"/>
        <v>0</v>
      </c>
      <c r="CK89" s="339">
        <f t="shared" si="730"/>
        <v>0</v>
      </c>
      <c r="CL89" s="279">
        <f t="shared" si="463"/>
        <v>0</v>
      </c>
      <c r="CM89" s="339">
        <f t="shared" si="731"/>
        <v>0</v>
      </c>
      <c r="CN89" s="279">
        <f t="shared" si="732"/>
        <v>0</v>
      </c>
      <c r="CO89" s="339">
        <f t="shared" si="733"/>
        <v>0</v>
      </c>
      <c r="CP89" s="279">
        <f t="shared" si="464"/>
        <v>0</v>
      </c>
      <c r="CQ89" s="250">
        <f t="shared" si="905"/>
        <v>0</v>
      </c>
      <c r="CR89" s="252">
        <f t="shared" si="734"/>
        <v>0</v>
      </c>
      <c r="CS89" s="251">
        <f t="shared" si="887"/>
        <v>0</v>
      </c>
      <c r="CU89" s="1"/>
      <c r="CV89" s="2"/>
      <c r="CW89" s="255">
        <f t="shared" si="299"/>
        <v>0</v>
      </c>
      <c r="CX89" s="249">
        <f t="shared" si="735"/>
        <v>0</v>
      </c>
      <c r="CY89" s="250">
        <f t="shared" si="736"/>
        <v>0</v>
      </c>
      <c r="CZ89" s="279">
        <f t="shared" si="870"/>
        <v>0</v>
      </c>
      <c r="DA89" s="299">
        <f t="shared" si="736"/>
        <v>0</v>
      </c>
      <c r="DB89" s="279">
        <f t="shared" si="870"/>
        <v>0</v>
      </c>
      <c r="DC89" s="299">
        <f t="shared" si="737"/>
        <v>0</v>
      </c>
      <c r="DD89" s="279">
        <f t="shared" si="870"/>
        <v>0</v>
      </c>
      <c r="DE89" s="299">
        <f t="shared" si="738"/>
        <v>0</v>
      </c>
      <c r="DF89" s="279">
        <f t="shared" si="870"/>
        <v>0</v>
      </c>
      <c r="DG89" s="299">
        <f t="shared" si="739"/>
        <v>0</v>
      </c>
      <c r="DH89" s="279">
        <f t="shared" si="870"/>
        <v>0</v>
      </c>
      <c r="DI89" s="299">
        <f t="shared" si="740"/>
        <v>0</v>
      </c>
      <c r="DJ89" s="279">
        <f t="shared" si="870"/>
        <v>0</v>
      </c>
      <c r="DK89" s="299">
        <f t="shared" si="741"/>
        <v>0</v>
      </c>
      <c r="DL89" s="279">
        <f t="shared" si="870"/>
        <v>0</v>
      </c>
      <c r="DM89" s="299">
        <f t="shared" si="742"/>
        <v>0</v>
      </c>
      <c r="DN89" s="279">
        <f t="shared" si="743"/>
        <v>0</v>
      </c>
      <c r="DO89" s="299">
        <f t="shared" si="744"/>
        <v>0</v>
      </c>
      <c r="DP89" s="279">
        <f t="shared" si="471"/>
        <v>0</v>
      </c>
      <c r="DQ89" s="299">
        <f t="shared" si="745"/>
        <v>0</v>
      </c>
      <c r="DR89" s="279">
        <f t="shared" si="746"/>
        <v>0</v>
      </c>
      <c r="DS89" s="299">
        <f t="shared" si="747"/>
        <v>0</v>
      </c>
      <c r="DT89" s="279">
        <f t="shared" si="472"/>
        <v>0</v>
      </c>
      <c r="DU89" s="299">
        <f t="shared" si="748"/>
        <v>0</v>
      </c>
      <c r="DV89" s="252">
        <f t="shared" si="749"/>
        <v>0</v>
      </c>
      <c r="DW89" s="251">
        <f t="shared" si="888"/>
        <v>0</v>
      </c>
      <c r="DY89" s="256">
        <v>0</v>
      </c>
      <c r="DZ89" s="2"/>
      <c r="EA89" s="254">
        <f t="shared" si="906"/>
        <v>0</v>
      </c>
      <c r="EB89" s="249">
        <f t="shared" si="871"/>
        <v>0</v>
      </c>
      <c r="EC89" s="250">
        <f t="shared" si="750"/>
        <v>0</v>
      </c>
      <c r="ED89" s="356">
        <f t="shared" si="871"/>
        <v>0</v>
      </c>
      <c r="EE89" s="250">
        <f t="shared" si="750"/>
        <v>0</v>
      </c>
      <c r="EF89" s="249">
        <f t="shared" si="872"/>
        <v>0</v>
      </c>
      <c r="EG89" s="250">
        <f t="shared" si="893"/>
        <v>0</v>
      </c>
      <c r="EH89" s="249">
        <f t="shared" si="872"/>
        <v>0</v>
      </c>
      <c r="EI89" s="250">
        <f t="shared" si="893"/>
        <v>0</v>
      </c>
      <c r="EJ89" s="249">
        <f t="shared" si="872"/>
        <v>0</v>
      </c>
      <c r="EK89" s="250">
        <f t="shared" si="752"/>
        <v>0</v>
      </c>
      <c r="EL89" s="249">
        <f t="shared" si="872"/>
        <v>0</v>
      </c>
      <c r="EM89" s="250">
        <f t="shared" si="753"/>
        <v>0</v>
      </c>
      <c r="EN89" s="249">
        <f t="shared" si="872"/>
        <v>0</v>
      </c>
      <c r="EO89" s="250">
        <f t="shared" si="754"/>
        <v>0</v>
      </c>
      <c r="EP89" s="249">
        <f t="shared" si="872"/>
        <v>0</v>
      </c>
      <c r="EQ89" s="250">
        <f t="shared" si="755"/>
        <v>0</v>
      </c>
      <c r="ER89" s="249">
        <f t="shared" si="872"/>
        <v>0</v>
      </c>
      <c r="ES89" s="250">
        <f t="shared" si="756"/>
        <v>0</v>
      </c>
      <c r="ET89" s="249">
        <f t="shared" si="391"/>
        <v>0</v>
      </c>
      <c r="EU89" s="250">
        <f t="shared" si="757"/>
        <v>0</v>
      </c>
      <c r="EV89" s="249">
        <f t="shared" si="758"/>
        <v>0</v>
      </c>
      <c r="EW89" s="250">
        <f t="shared" si="759"/>
        <v>0</v>
      </c>
      <c r="EX89" s="249">
        <f t="shared" si="392"/>
        <v>0</v>
      </c>
      <c r="EY89" s="250">
        <f t="shared" si="760"/>
        <v>0</v>
      </c>
      <c r="EZ89" s="252">
        <f t="shared" si="761"/>
        <v>0</v>
      </c>
      <c r="FA89" s="251">
        <f t="shared" si="907"/>
        <v>0</v>
      </c>
      <c r="FC89" s="1"/>
      <c r="FD89" s="2"/>
      <c r="FE89" s="257">
        <f t="shared" si="908"/>
        <v>0</v>
      </c>
      <c r="FF89" s="249">
        <f t="shared" si="762"/>
        <v>0</v>
      </c>
      <c r="FG89" s="250">
        <f t="shared" si="763"/>
        <v>0</v>
      </c>
      <c r="FH89" s="372">
        <f t="shared" si="873"/>
        <v>0</v>
      </c>
      <c r="FI89" s="339">
        <f t="shared" si="764"/>
        <v>0</v>
      </c>
      <c r="FJ89" s="372">
        <f t="shared" si="873"/>
        <v>0</v>
      </c>
      <c r="FK89" s="339">
        <f t="shared" si="764"/>
        <v>0</v>
      </c>
      <c r="FL89" s="372">
        <f t="shared" si="873"/>
        <v>0</v>
      </c>
      <c r="FM89" s="339">
        <f t="shared" si="765"/>
        <v>0</v>
      </c>
      <c r="FN89" s="372">
        <f t="shared" si="873"/>
        <v>0</v>
      </c>
      <c r="FO89" s="339">
        <f t="shared" si="766"/>
        <v>0</v>
      </c>
      <c r="FP89" s="372">
        <f t="shared" si="873"/>
        <v>0</v>
      </c>
      <c r="FQ89" s="339">
        <f t="shared" si="767"/>
        <v>0</v>
      </c>
      <c r="FR89" s="372">
        <f t="shared" si="873"/>
        <v>0</v>
      </c>
      <c r="FS89" s="339">
        <f t="shared" si="768"/>
        <v>0</v>
      </c>
      <c r="FT89" s="372">
        <f t="shared" si="873"/>
        <v>0</v>
      </c>
      <c r="FU89" s="339">
        <f t="shared" si="769"/>
        <v>0</v>
      </c>
      <c r="FV89" s="372">
        <f t="shared" si="770"/>
        <v>0</v>
      </c>
      <c r="FW89" s="339">
        <f t="shared" si="771"/>
        <v>0</v>
      </c>
      <c r="FX89" s="372">
        <f t="shared" si="479"/>
        <v>0</v>
      </c>
      <c r="FY89" s="339">
        <f t="shared" si="772"/>
        <v>0</v>
      </c>
      <c r="FZ89" s="372">
        <f t="shared" si="773"/>
        <v>0</v>
      </c>
      <c r="GA89" s="339">
        <f t="shared" si="774"/>
        <v>0</v>
      </c>
      <c r="GB89" s="372">
        <f t="shared" si="480"/>
        <v>0</v>
      </c>
      <c r="GC89" s="339">
        <f t="shared" si="775"/>
        <v>0</v>
      </c>
      <c r="GD89" s="252">
        <f t="shared" si="776"/>
        <v>0</v>
      </c>
      <c r="GE89" s="251">
        <f t="shared" si="686"/>
        <v>0</v>
      </c>
      <c r="GG89" s="1"/>
      <c r="GH89" s="2">
        <v>0.2</v>
      </c>
      <c r="GI89" s="257">
        <f t="shared" si="909"/>
        <v>0</v>
      </c>
      <c r="GJ89" s="249">
        <f t="shared" si="777"/>
        <v>0</v>
      </c>
      <c r="GK89" s="250">
        <f t="shared" si="778"/>
        <v>0</v>
      </c>
      <c r="GL89" s="249">
        <f t="shared" si="777"/>
        <v>0</v>
      </c>
      <c r="GM89" s="250">
        <f t="shared" si="778"/>
        <v>0</v>
      </c>
      <c r="GN89" s="249">
        <f t="shared" si="777"/>
        <v>0</v>
      </c>
      <c r="GO89" s="250">
        <f t="shared" si="894"/>
        <v>0</v>
      </c>
      <c r="GP89" s="249">
        <f t="shared" si="777"/>
        <v>0</v>
      </c>
      <c r="GQ89" s="250">
        <f t="shared" si="895"/>
        <v>0</v>
      </c>
      <c r="GR89" s="249">
        <f t="shared" si="777"/>
        <v>0</v>
      </c>
      <c r="GS89" s="250">
        <f t="shared" si="896"/>
        <v>0</v>
      </c>
      <c r="GT89" s="249">
        <f t="shared" si="777"/>
        <v>0</v>
      </c>
      <c r="GU89" s="250">
        <f t="shared" si="897"/>
        <v>0</v>
      </c>
      <c r="GV89" s="249">
        <f t="shared" si="777"/>
        <v>0</v>
      </c>
      <c r="GW89" s="250">
        <f t="shared" si="898"/>
        <v>0</v>
      </c>
      <c r="GX89" s="249">
        <f t="shared" si="784"/>
        <v>0</v>
      </c>
      <c r="GY89" s="250">
        <f t="shared" si="899"/>
        <v>0</v>
      </c>
      <c r="GZ89" s="249">
        <f t="shared" si="786"/>
        <v>0</v>
      </c>
      <c r="HA89" s="250">
        <f t="shared" si="900"/>
        <v>0</v>
      </c>
      <c r="HB89" s="249">
        <f t="shared" si="788"/>
        <v>0</v>
      </c>
      <c r="HC89" s="250">
        <f t="shared" si="901"/>
        <v>0</v>
      </c>
      <c r="HD89" s="249">
        <f t="shared" si="790"/>
        <v>0</v>
      </c>
      <c r="HE89" s="250">
        <f t="shared" si="902"/>
        <v>0</v>
      </c>
      <c r="HF89" s="249">
        <f t="shared" si="792"/>
        <v>0</v>
      </c>
      <c r="HG89" s="250">
        <f t="shared" si="903"/>
        <v>0</v>
      </c>
      <c r="HH89" s="252">
        <f t="shared" si="794"/>
        <v>0</v>
      </c>
      <c r="HI89" s="251">
        <f t="shared" si="910"/>
        <v>0</v>
      </c>
      <c r="HK89" s="1"/>
      <c r="HL89" s="2"/>
      <c r="HM89" s="257">
        <f t="shared" si="911"/>
        <v>0</v>
      </c>
      <c r="HN89" s="249">
        <f t="shared" si="795"/>
        <v>0</v>
      </c>
      <c r="HO89" s="250">
        <f t="shared" si="912"/>
        <v>0</v>
      </c>
      <c r="HP89" s="249">
        <f t="shared" si="796"/>
        <v>0</v>
      </c>
      <c r="HQ89" s="250">
        <f t="shared" si="797"/>
        <v>0</v>
      </c>
      <c r="HR89" s="249">
        <f t="shared" si="796"/>
        <v>0</v>
      </c>
      <c r="HS89" s="250">
        <f t="shared" si="797"/>
        <v>0</v>
      </c>
      <c r="HT89" s="249">
        <f t="shared" si="796"/>
        <v>0</v>
      </c>
      <c r="HU89" s="250">
        <f t="shared" si="798"/>
        <v>0</v>
      </c>
      <c r="HV89" s="249">
        <f t="shared" si="796"/>
        <v>0</v>
      </c>
      <c r="HW89" s="250">
        <f t="shared" si="799"/>
        <v>0</v>
      </c>
      <c r="HX89" s="249">
        <f t="shared" si="796"/>
        <v>0</v>
      </c>
      <c r="HY89" s="250">
        <f t="shared" si="800"/>
        <v>0</v>
      </c>
      <c r="HZ89" s="249">
        <f t="shared" si="796"/>
        <v>0</v>
      </c>
      <c r="IA89" s="250">
        <f t="shared" si="801"/>
        <v>0</v>
      </c>
      <c r="IB89" s="249">
        <f t="shared" si="796"/>
        <v>0</v>
      </c>
      <c r="IC89" s="250">
        <f t="shared" si="802"/>
        <v>0</v>
      </c>
      <c r="ID89" s="249">
        <f t="shared" si="803"/>
        <v>0</v>
      </c>
      <c r="IE89" s="250">
        <f t="shared" si="804"/>
        <v>0</v>
      </c>
      <c r="IF89" s="249">
        <f t="shared" si="805"/>
        <v>0</v>
      </c>
      <c r="IG89" s="250">
        <f t="shared" si="806"/>
        <v>0</v>
      </c>
      <c r="IH89" s="249">
        <f t="shared" si="807"/>
        <v>0</v>
      </c>
      <c r="II89" s="250">
        <f t="shared" si="808"/>
        <v>0</v>
      </c>
      <c r="IJ89" s="249">
        <f t="shared" si="809"/>
        <v>0</v>
      </c>
      <c r="IK89" s="250">
        <f t="shared" si="810"/>
        <v>0</v>
      </c>
      <c r="IL89" s="252">
        <f t="shared" si="811"/>
        <v>0</v>
      </c>
      <c r="IM89" s="251">
        <f t="shared" si="812"/>
        <v>0</v>
      </c>
      <c r="IO89" s="1"/>
      <c r="IP89" s="2">
        <v>8.3333333333333329E-2</v>
      </c>
      <c r="IQ89" s="257">
        <f t="shared" si="913"/>
        <v>0</v>
      </c>
      <c r="IR89" s="249">
        <f t="shared" si="813"/>
        <v>0</v>
      </c>
      <c r="IS89" s="250">
        <f t="shared" si="814"/>
        <v>0</v>
      </c>
      <c r="IT89" s="279">
        <f t="shared" si="874"/>
        <v>0</v>
      </c>
      <c r="IU89" s="289">
        <f t="shared" si="815"/>
        <v>0</v>
      </c>
      <c r="IV89" s="279">
        <f t="shared" si="874"/>
        <v>0</v>
      </c>
      <c r="IW89" s="289">
        <f t="shared" si="815"/>
        <v>0</v>
      </c>
      <c r="IX89" s="279">
        <f t="shared" si="874"/>
        <v>0</v>
      </c>
      <c r="IY89" s="289">
        <f t="shared" si="816"/>
        <v>0</v>
      </c>
      <c r="IZ89" s="279">
        <f t="shared" si="874"/>
        <v>0</v>
      </c>
      <c r="JA89" s="289">
        <f t="shared" si="817"/>
        <v>0</v>
      </c>
      <c r="JB89" s="279">
        <f t="shared" si="874"/>
        <v>0</v>
      </c>
      <c r="JC89" s="289">
        <f t="shared" si="818"/>
        <v>0</v>
      </c>
      <c r="JD89" s="279">
        <f t="shared" si="874"/>
        <v>0</v>
      </c>
      <c r="JE89" s="289">
        <f t="shared" si="819"/>
        <v>0</v>
      </c>
      <c r="JF89" s="279">
        <f t="shared" si="874"/>
        <v>0</v>
      </c>
      <c r="JG89" s="289">
        <f t="shared" si="820"/>
        <v>0</v>
      </c>
      <c r="JH89" s="279">
        <f t="shared" si="821"/>
        <v>0</v>
      </c>
      <c r="JI89" s="289">
        <f t="shared" si="822"/>
        <v>0</v>
      </c>
      <c r="JJ89" s="279">
        <f t="shared" si="407"/>
        <v>0</v>
      </c>
      <c r="JK89" s="289">
        <f t="shared" si="823"/>
        <v>0</v>
      </c>
      <c r="JL89" s="279">
        <f t="shared" si="824"/>
        <v>0</v>
      </c>
      <c r="JM89" s="289">
        <f t="shared" si="825"/>
        <v>0</v>
      </c>
      <c r="JN89" s="279">
        <f t="shared" si="408"/>
        <v>0</v>
      </c>
      <c r="JO89" s="289">
        <f t="shared" si="826"/>
        <v>0</v>
      </c>
      <c r="JP89" s="252">
        <f t="shared" si="827"/>
        <v>0</v>
      </c>
      <c r="JQ89" s="251">
        <f t="shared" si="828"/>
        <v>0</v>
      </c>
      <c r="JS89" s="1"/>
      <c r="JT89" s="2">
        <v>8.3333333333333329E-2</v>
      </c>
      <c r="JU89" s="257">
        <f t="shared" si="914"/>
        <v>0</v>
      </c>
      <c r="JV89" s="249">
        <f t="shared" si="829"/>
        <v>0</v>
      </c>
      <c r="JW89" s="250">
        <f t="shared" si="830"/>
        <v>0</v>
      </c>
      <c r="JX89" s="372">
        <f t="shared" si="875"/>
        <v>0</v>
      </c>
      <c r="JY89" s="339">
        <f t="shared" si="831"/>
        <v>0</v>
      </c>
      <c r="JZ89" s="372">
        <f t="shared" si="875"/>
        <v>0</v>
      </c>
      <c r="KA89" s="339">
        <f t="shared" si="831"/>
        <v>0</v>
      </c>
      <c r="KB89" s="372">
        <f t="shared" si="875"/>
        <v>0</v>
      </c>
      <c r="KC89" s="339">
        <f t="shared" si="832"/>
        <v>0</v>
      </c>
      <c r="KD89" s="372">
        <f t="shared" si="875"/>
        <v>0</v>
      </c>
      <c r="KE89" s="339">
        <f t="shared" si="833"/>
        <v>0</v>
      </c>
      <c r="KF89" s="372">
        <f t="shared" si="875"/>
        <v>0</v>
      </c>
      <c r="KG89" s="339">
        <f t="shared" si="834"/>
        <v>0</v>
      </c>
      <c r="KH89" s="372">
        <f t="shared" si="875"/>
        <v>0</v>
      </c>
      <c r="KI89" s="339">
        <f t="shared" si="835"/>
        <v>0</v>
      </c>
      <c r="KJ89" s="372">
        <f t="shared" si="875"/>
        <v>0</v>
      </c>
      <c r="KK89" s="339">
        <f t="shared" si="836"/>
        <v>0</v>
      </c>
      <c r="KL89" s="372">
        <f t="shared" si="837"/>
        <v>0</v>
      </c>
      <c r="KM89" s="339">
        <f t="shared" si="838"/>
        <v>0</v>
      </c>
      <c r="KN89" s="372">
        <f t="shared" si="677"/>
        <v>0</v>
      </c>
      <c r="KO89" s="339">
        <f t="shared" si="839"/>
        <v>0</v>
      </c>
      <c r="KP89" s="372">
        <f t="shared" si="840"/>
        <v>0</v>
      </c>
      <c r="KQ89" s="339">
        <f t="shared" si="841"/>
        <v>0</v>
      </c>
      <c r="KR89" s="372">
        <f t="shared" si="678"/>
        <v>0</v>
      </c>
      <c r="KS89" s="377">
        <f t="shared" si="842"/>
        <v>0</v>
      </c>
      <c r="KT89" s="379">
        <f t="shared" si="843"/>
        <v>0</v>
      </c>
      <c r="KU89" s="251">
        <f t="shared" si="915"/>
        <v>0</v>
      </c>
      <c r="KW89" s="1"/>
      <c r="KX89" s="2">
        <v>8.3333333333333329E-2</v>
      </c>
      <c r="KY89" s="254">
        <f t="shared" si="680"/>
        <v>0</v>
      </c>
      <c r="KZ89" s="249">
        <f t="shared" si="876"/>
        <v>0</v>
      </c>
      <c r="LA89" s="251">
        <f t="shared" si="681"/>
        <v>0</v>
      </c>
      <c r="LB89" s="279">
        <f t="shared" si="844"/>
        <v>0</v>
      </c>
      <c r="LC89" s="339">
        <f t="shared" si="845"/>
        <v>0</v>
      </c>
      <c r="LD89" s="279">
        <f t="shared" si="844"/>
        <v>0</v>
      </c>
      <c r="LE89" s="339">
        <f t="shared" si="845"/>
        <v>0</v>
      </c>
      <c r="LF89" s="279">
        <f t="shared" si="844"/>
        <v>0</v>
      </c>
      <c r="LG89" s="339">
        <f t="shared" si="846"/>
        <v>0</v>
      </c>
      <c r="LH89" s="279">
        <f t="shared" si="844"/>
        <v>0</v>
      </c>
      <c r="LI89" s="339">
        <f t="shared" si="847"/>
        <v>0</v>
      </c>
      <c r="LJ89" s="279">
        <f t="shared" si="844"/>
        <v>0</v>
      </c>
      <c r="LK89" s="339">
        <f t="shared" si="848"/>
        <v>0</v>
      </c>
      <c r="LL89" s="279">
        <f t="shared" si="844"/>
        <v>0</v>
      </c>
      <c r="LM89" s="339">
        <f t="shared" si="849"/>
        <v>0</v>
      </c>
      <c r="LN89" s="279">
        <f t="shared" si="844"/>
        <v>0</v>
      </c>
      <c r="LO89" s="339">
        <f t="shared" si="850"/>
        <v>0</v>
      </c>
      <c r="LP89" s="279">
        <f t="shared" si="877"/>
        <v>0</v>
      </c>
      <c r="LQ89" s="339">
        <f t="shared" si="851"/>
        <v>0</v>
      </c>
      <c r="LR89" s="279">
        <f t="shared" si="878"/>
        <v>0</v>
      </c>
      <c r="LS89" s="339">
        <f t="shared" si="852"/>
        <v>0</v>
      </c>
      <c r="LT89" s="279">
        <f t="shared" si="879"/>
        <v>0</v>
      </c>
      <c r="LU89" s="339">
        <f t="shared" si="853"/>
        <v>0</v>
      </c>
      <c r="LV89" s="279">
        <f t="shared" si="880"/>
        <v>0</v>
      </c>
      <c r="LW89" s="339">
        <f t="shared" si="854"/>
        <v>0</v>
      </c>
      <c r="LX89" s="252">
        <f t="shared" si="855"/>
        <v>0</v>
      </c>
      <c r="LY89" s="253">
        <f t="shared" si="856"/>
        <v>0</v>
      </c>
      <c r="MA89" s="249">
        <f t="shared" si="688"/>
        <v>0</v>
      </c>
      <c r="MB89" s="253">
        <f t="shared" si="857"/>
        <v>0</v>
      </c>
      <c r="MC89" s="397">
        <f t="shared" si="689"/>
        <v>0</v>
      </c>
      <c r="MD89" s="253">
        <f t="shared" si="858"/>
        <v>0</v>
      </c>
      <c r="ME89" s="397">
        <f t="shared" si="690"/>
        <v>0</v>
      </c>
      <c r="MF89" s="253">
        <f t="shared" si="858"/>
        <v>0</v>
      </c>
      <c r="MG89" s="397">
        <f t="shared" si="691"/>
        <v>0</v>
      </c>
      <c r="MH89" s="253">
        <f t="shared" si="859"/>
        <v>0</v>
      </c>
      <c r="MI89" s="397">
        <f t="shared" si="692"/>
        <v>0</v>
      </c>
      <c r="MJ89" s="253">
        <f t="shared" si="860"/>
        <v>0</v>
      </c>
      <c r="MK89" s="397">
        <f t="shared" si="693"/>
        <v>0</v>
      </c>
      <c r="ML89" s="253">
        <f t="shared" si="861"/>
        <v>0</v>
      </c>
      <c r="MM89" s="397">
        <f t="shared" si="694"/>
        <v>0</v>
      </c>
      <c r="MN89" s="253">
        <f t="shared" si="862"/>
        <v>0</v>
      </c>
      <c r="MO89" s="397">
        <f t="shared" si="695"/>
        <v>0</v>
      </c>
      <c r="MP89" s="253">
        <f t="shared" si="863"/>
        <v>0</v>
      </c>
      <c r="MQ89" s="397">
        <f t="shared" si="696"/>
        <v>0</v>
      </c>
      <c r="MR89" s="253">
        <f t="shared" si="864"/>
        <v>0</v>
      </c>
      <c r="MS89" s="397">
        <f t="shared" si="697"/>
        <v>0</v>
      </c>
      <c r="MT89" s="253">
        <f t="shared" si="865"/>
        <v>0</v>
      </c>
      <c r="MU89" s="397">
        <f t="shared" si="698"/>
        <v>0</v>
      </c>
      <c r="MV89" s="253">
        <f t="shared" si="866"/>
        <v>0</v>
      </c>
      <c r="MW89" s="397">
        <f t="shared" si="699"/>
        <v>0</v>
      </c>
      <c r="MX89" s="253">
        <f t="shared" si="867"/>
        <v>0</v>
      </c>
      <c r="MY89" s="252">
        <f t="shared" si="868"/>
        <v>0</v>
      </c>
      <c r="MZ89" s="251">
        <f t="shared" si="869"/>
        <v>0</v>
      </c>
    </row>
    <row r="90" spans="1:364" ht="52.8" x14ac:dyDescent="0.25">
      <c r="A90" s="533"/>
      <c r="B90" s="245" t="s">
        <v>188</v>
      </c>
      <c r="C90" s="246" t="s">
        <v>189</v>
      </c>
      <c r="D90" s="247" t="s">
        <v>119</v>
      </c>
      <c r="E90" s="4">
        <v>10</v>
      </c>
      <c r="F90" s="353">
        <v>5788157.1691176463</v>
      </c>
      <c r="G90" s="353">
        <f t="shared" si="700"/>
        <v>6029385.5098039201</v>
      </c>
      <c r="I90" s="30"/>
      <c r="J90" s="2">
        <v>8.3333333333333329E-2</v>
      </c>
      <c r="K90" s="248">
        <f t="shared" si="701"/>
        <v>0</v>
      </c>
      <c r="L90" s="249"/>
      <c r="M90" s="301">
        <f t="shared" si="445"/>
        <v>0</v>
      </c>
      <c r="N90" s="279">
        <f t="shared" si="889"/>
        <v>0</v>
      </c>
      <c r="O90" s="289">
        <f t="shared" si="883"/>
        <v>0</v>
      </c>
      <c r="P90" s="279">
        <f t="shared" si="889"/>
        <v>0</v>
      </c>
      <c r="Q90" s="289">
        <f t="shared" si="883"/>
        <v>0</v>
      </c>
      <c r="R90" s="279">
        <f t="shared" si="889"/>
        <v>0</v>
      </c>
      <c r="S90" s="289">
        <f t="shared" si="702"/>
        <v>0</v>
      </c>
      <c r="T90" s="279">
        <f t="shared" si="889"/>
        <v>0</v>
      </c>
      <c r="U90" s="289">
        <f t="shared" si="703"/>
        <v>0</v>
      </c>
      <c r="V90" s="279">
        <f t="shared" si="889"/>
        <v>0</v>
      </c>
      <c r="W90" s="289">
        <f t="shared" si="704"/>
        <v>0</v>
      </c>
      <c r="X90" s="279">
        <f t="shared" si="889"/>
        <v>0</v>
      </c>
      <c r="Y90" s="289">
        <f t="shared" si="705"/>
        <v>0</v>
      </c>
      <c r="Z90" s="279">
        <f t="shared" si="889"/>
        <v>0</v>
      </c>
      <c r="AA90" s="289">
        <f t="shared" si="706"/>
        <v>0</v>
      </c>
      <c r="AB90" s="279">
        <f t="shared" si="889"/>
        <v>0</v>
      </c>
      <c r="AC90" s="289">
        <f t="shared" si="707"/>
        <v>0</v>
      </c>
      <c r="AD90" s="279">
        <f t="shared" si="889"/>
        <v>0</v>
      </c>
      <c r="AE90" s="289">
        <f t="shared" si="708"/>
        <v>0</v>
      </c>
      <c r="AF90" s="279">
        <f t="shared" si="889"/>
        <v>0</v>
      </c>
      <c r="AG90" s="289">
        <f t="shared" si="890"/>
        <v>0</v>
      </c>
      <c r="AH90" s="249">
        <f t="shared" si="456"/>
        <v>0</v>
      </c>
      <c r="AI90" s="299">
        <f t="shared" si="891"/>
        <v>0</v>
      </c>
      <c r="AJ90" s="252">
        <f t="shared" si="709"/>
        <v>0</v>
      </c>
      <c r="AK90" s="312">
        <f t="shared" si="710"/>
        <v>0</v>
      </c>
      <c r="AM90" s="1"/>
      <c r="AN90" s="2">
        <v>8.3333333333333329E-2</v>
      </c>
      <c r="AO90" s="254">
        <f t="shared" si="904"/>
        <v>0</v>
      </c>
      <c r="AP90" s="249">
        <f t="shared" si="328"/>
        <v>0</v>
      </c>
      <c r="AQ90" s="301">
        <f t="shared" si="683"/>
        <v>0</v>
      </c>
      <c r="AR90" s="249">
        <f t="shared" si="884"/>
        <v>0</v>
      </c>
      <c r="AS90" s="301">
        <f t="shared" si="683"/>
        <v>0</v>
      </c>
      <c r="AT90" s="249">
        <f t="shared" si="884"/>
        <v>0</v>
      </c>
      <c r="AU90" s="301">
        <f t="shared" si="684"/>
        <v>0</v>
      </c>
      <c r="AV90" s="249">
        <f t="shared" si="884"/>
        <v>0</v>
      </c>
      <c r="AW90" s="301">
        <f t="shared" si="711"/>
        <v>0</v>
      </c>
      <c r="AX90" s="249">
        <f t="shared" si="884"/>
        <v>0</v>
      </c>
      <c r="AY90" s="301">
        <f t="shared" si="712"/>
        <v>0</v>
      </c>
      <c r="AZ90" s="249">
        <f t="shared" si="884"/>
        <v>0</v>
      </c>
      <c r="BA90" s="301">
        <f t="shared" si="713"/>
        <v>0</v>
      </c>
      <c r="BB90" s="249">
        <f t="shared" si="884"/>
        <v>0</v>
      </c>
      <c r="BC90" s="301">
        <f t="shared" si="714"/>
        <v>0</v>
      </c>
      <c r="BD90" s="249">
        <f t="shared" si="884"/>
        <v>0</v>
      </c>
      <c r="BE90" s="301">
        <f t="shared" si="715"/>
        <v>0</v>
      </c>
      <c r="BF90" s="249">
        <f t="shared" si="882"/>
        <v>0</v>
      </c>
      <c r="BG90" s="301">
        <f t="shared" si="716"/>
        <v>0</v>
      </c>
      <c r="BH90" s="249">
        <f t="shared" si="885"/>
        <v>0</v>
      </c>
      <c r="BI90" s="301">
        <f t="shared" si="892"/>
        <v>0</v>
      </c>
      <c r="BJ90" s="249">
        <f t="shared" si="885"/>
        <v>0</v>
      </c>
      <c r="BK90" s="301">
        <f t="shared" si="892"/>
        <v>0</v>
      </c>
      <c r="BL90" s="249">
        <f t="shared" si="661"/>
        <v>0</v>
      </c>
      <c r="BM90" s="299">
        <f t="shared" si="718"/>
        <v>0</v>
      </c>
      <c r="BN90" s="252">
        <f t="shared" si="719"/>
        <v>0</v>
      </c>
      <c r="BO90" s="312">
        <f t="shared" si="685"/>
        <v>0</v>
      </c>
      <c r="BQ90" s="1"/>
      <c r="BR90" s="2"/>
      <c r="BS90" s="255">
        <f t="shared" si="886"/>
        <v>0</v>
      </c>
      <c r="BT90" s="249">
        <f t="shared" si="881"/>
        <v>0</v>
      </c>
      <c r="BU90" s="336">
        <f t="shared" si="720"/>
        <v>0</v>
      </c>
      <c r="BV90" s="279">
        <f t="shared" si="721"/>
        <v>0</v>
      </c>
      <c r="BW90" s="339">
        <f t="shared" si="722"/>
        <v>0</v>
      </c>
      <c r="BX90" s="279">
        <f t="shared" si="721"/>
        <v>0</v>
      </c>
      <c r="BY90" s="339">
        <f t="shared" si="723"/>
        <v>0</v>
      </c>
      <c r="BZ90" s="279">
        <f t="shared" si="721"/>
        <v>0</v>
      </c>
      <c r="CA90" s="339">
        <f t="shared" si="724"/>
        <v>0</v>
      </c>
      <c r="CB90" s="279">
        <f t="shared" si="721"/>
        <v>0</v>
      </c>
      <c r="CC90" s="339">
        <f t="shared" si="725"/>
        <v>0</v>
      </c>
      <c r="CD90" s="279">
        <f t="shared" si="721"/>
        <v>0</v>
      </c>
      <c r="CE90" s="339">
        <f t="shared" si="726"/>
        <v>0</v>
      </c>
      <c r="CF90" s="279">
        <f t="shared" si="721"/>
        <v>0</v>
      </c>
      <c r="CG90" s="339">
        <f t="shared" si="727"/>
        <v>0</v>
      </c>
      <c r="CH90" s="279">
        <f t="shared" si="721"/>
        <v>0</v>
      </c>
      <c r="CI90" s="339">
        <f t="shared" si="728"/>
        <v>0</v>
      </c>
      <c r="CJ90" s="279">
        <f t="shared" si="729"/>
        <v>0</v>
      </c>
      <c r="CK90" s="339">
        <f t="shared" si="730"/>
        <v>0</v>
      </c>
      <c r="CL90" s="279">
        <f t="shared" si="463"/>
        <v>0</v>
      </c>
      <c r="CM90" s="339">
        <f t="shared" si="731"/>
        <v>0</v>
      </c>
      <c r="CN90" s="279">
        <f t="shared" si="732"/>
        <v>0</v>
      </c>
      <c r="CO90" s="339">
        <f t="shared" si="733"/>
        <v>0</v>
      </c>
      <c r="CP90" s="279">
        <f t="shared" si="464"/>
        <v>0</v>
      </c>
      <c r="CQ90" s="250">
        <f t="shared" si="905"/>
        <v>0</v>
      </c>
      <c r="CR90" s="252">
        <f t="shared" si="734"/>
        <v>0</v>
      </c>
      <c r="CS90" s="251">
        <f t="shared" si="887"/>
        <v>0</v>
      </c>
      <c r="CU90" s="1"/>
      <c r="CV90" s="2"/>
      <c r="CW90" s="255">
        <f t="shared" si="299"/>
        <v>0</v>
      </c>
      <c r="CX90" s="249">
        <f t="shared" si="735"/>
        <v>0</v>
      </c>
      <c r="CY90" s="250">
        <f t="shared" si="736"/>
        <v>0</v>
      </c>
      <c r="CZ90" s="279">
        <f t="shared" si="870"/>
        <v>0</v>
      </c>
      <c r="DA90" s="299">
        <f t="shared" si="736"/>
        <v>0</v>
      </c>
      <c r="DB90" s="279">
        <f t="shared" si="870"/>
        <v>0</v>
      </c>
      <c r="DC90" s="299">
        <f t="shared" si="737"/>
        <v>0</v>
      </c>
      <c r="DD90" s="279">
        <f t="shared" si="870"/>
        <v>0</v>
      </c>
      <c r="DE90" s="299">
        <f t="shared" si="738"/>
        <v>0</v>
      </c>
      <c r="DF90" s="279">
        <f t="shared" si="870"/>
        <v>0</v>
      </c>
      <c r="DG90" s="299">
        <f t="shared" si="739"/>
        <v>0</v>
      </c>
      <c r="DH90" s="279">
        <f t="shared" si="870"/>
        <v>0</v>
      </c>
      <c r="DI90" s="299">
        <f t="shared" si="740"/>
        <v>0</v>
      </c>
      <c r="DJ90" s="279">
        <f t="shared" si="870"/>
        <v>0</v>
      </c>
      <c r="DK90" s="299">
        <f t="shared" si="741"/>
        <v>0</v>
      </c>
      <c r="DL90" s="279">
        <f t="shared" si="870"/>
        <v>0</v>
      </c>
      <c r="DM90" s="299">
        <f t="shared" si="742"/>
        <v>0</v>
      </c>
      <c r="DN90" s="279">
        <f t="shared" si="743"/>
        <v>0</v>
      </c>
      <c r="DO90" s="299">
        <f t="shared" si="744"/>
        <v>0</v>
      </c>
      <c r="DP90" s="279">
        <f t="shared" si="471"/>
        <v>0</v>
      </c>
      <c r="DQ90" s="299">
        <f t="shared" si="745"/>
        <v>0</v>
      </c>
      <c r="DR90" s="279">
        <f t="shared" si="746"/>
        <v>0</v>
      </c>
      <c r="DS90" s="299">
        <f t="shared" si="747"/>
        <v>0</v>
      </c>
      <c r="DT90" s="279">
        <f t="shared" si="472"/>
        <v>0</v>
      </c>
      <c r="DU90" s="299">
        <f t="shared" si="748"/>
        <v>0</v>
      </c>
      <c r="DV90" s="252">
        <f t="shared" si="749"/>
        <v>0</v>
      </c>
      <c r="DW90" s="251">
        <f t="shared" si="888"/>
        <v>0</v>
      </c>
      <c r="DY90" s="256">
        <v>0</v>
      </c>
      <c r="DZ90" s="2"/>
      <c r="EA90" s="254">
        <f t="shared" si="906"/>
        <v>0</v>
      </c>
      <c r="EB90" s="249">
        <f t="shared" si="871"/>
        <v>0</v>
      </c>
      <c r="EC90" s="250">
        <f t="shared" si="750"/>
        <v>0</v>
      </c>
      <c r="ED90" s="356">
        <f t="shared" si="871"/>
        <v>0</v>
      </c>
      <c r="EE90" s="250">
        <f t="shared" si="750"/>
        <v>0</v>
      </c>
      <c r="EF90" s="249">
        <f t="shared" si="872"/>
        <v>0</v>
      </c>
      <c r="EG90" s="250">
        <f t="shared" si="893"/>
        <v>0</v>
      </c>
      <c r="EH90" s="249">
        <f t="shared" si="872"/>
        <v>0</v>
      </c>
      <c r="EI90" s="250">
        <f t="shared" si="893"/>
        <v>0</v>
      </c>
      <c r="EJ90" s="249">
        <f t="shared" si="872"/>
        <v>0</v>
      </c>
      <c r="EK90" s="250">
        <f t="shared" si="752"/>
        <v>0</v>
      </c>
      <c r="EL90" s="249">
        <f t="shared" si="872"/>
        <v>0</v>
      </c>
      <c r="EM90" s="250">
        <f t="shared" si="753"/>
        <v>0</v>
      </c>
      <c r="EN90" s="249">
        <f t="shared" si="872"/>
        <v>0</v>
      </c>
      <c r="EO90" s="250">
        <f t="shared" si="754"/>
        <v>0</v>
      </c>
      <c r="EP90" s="249">
        <f t="shared" si="872"/>
        <v>0</v>
      </c>
      <c r="EQ90" s="250">
        <f t="shared" si="755"/>
        <v>0</v>
      </c>
      <c r="ER90" s="249">
        <f t="shared" si="872"/>
        <v>0</v>
      </c>
      <c r="ES90" s="250">
        <f t="shared" si="756"/>
        <v>0</v>
      </c>
      <c r="ET90" s="249">
        <f t="shared" si="391"/>
        <v>0</v>
      </c>
      <c r="EU90" s="250">
        <f t="shared" si="757"/>
        <v>0</v>
      </c>
      <c r="EV90" s="249">
        <f t="shared" si="758"/>
        <v>0</v>
      </c>
      <c r="EW90" s="250">
        <f t="shared" si="759"/>
        <v>0</v>
      </c>
      <c r="EX90" s="249">
        <f t="shared" si="392"/>
        <v>0</v>
      </c>
      <c r="EY90" s="250">
        <f t="shared" si="760"/>
        <v>0</v>
      </c>
      <c r="EZ90" s="252">
        <f t="shared" si="761"/>
        <v>0</v>
      </c>
      <c r="FA90" s="251">
        <f t="shared" si="907"/>
        <v>0</v>
      </c>
      <c r="FC90" s="1"/>
      <c r="FD90" s="2"/>
      <c r="FE90" s="257">
        <f t="shared" si="908"/>
        <v>0</v>
      </c>
      <c r="FF90" s="249">
        <f t="shared" si="762"/>
        <v>0</v>
      </c>
      <c r="FG90" s="250">
        <f t="shared" si="763"/>
        <v>0</v>
      </c>
      <c r="FH90" s="372">
        <f t="shared" si="873"/>
        <v>0</v>
      </c>
      <c r="FI90" s="339">
        <f t="shared" si="764"/>
        <v>0</v>
      </c>
      <c r="FJ90" s="372">
        <f t="shared" si="873"/>
        <v>0</v>
      </c>
      <c r="FK90" s="339">
        <f t="shared" si="764"/>
        <v>0</v>
      </c>
      <c r="FL90" s="372">
        <f t="shared" si="873"/>
        <v>0</v>
      </c>
      <c r="FM90" s="339">
        <f t="shared" si="765"/>
        <v>0</v>
      </c>
      <c r="FN90" s="372">
        <f t="shared" si="873"/>
        <v>0</v>
      </c>
      <c r="FO90" s="339">
        <f t="shared" si="766"/>
        <v>0</v>
      </c>
      <c r="FP90" s="372">
        <f t="shared" si="873"/>
        <v>0</v>
      </c>
      <c r="FQ90" s="339">
        <f t="shared" si="767"/>
        <v>0</v>
      </c>
      <c r="FR90" s="372">
        <f t="shared" si="873"/>
        <v>0</v>
      </c>
      <c r="FS90" s="339">
        <f t="shared" si="768"/>
        <v>0</v>
      </c>
      <c r="FT90" s="372">
        <f t="shared" si="873"/>
        <v>0</v>
      </c>
      <c r="FU90" s="339">
        <f t="shared" si="769"/>
        <v>0</v>
      </c>
      <c r="FV90" s="372">
        <f t="shared" si="770"/>
        <v>0</v>
      </c>
      <c r="FW90" s="339">
        <f t="shared" si="771"/>
        <v>0</v>
      </c>
      <c r="FX90" s="372">
        <f t="shared" si="479"/>
        <v>0</v>
      </c>
      <c r="FY90" s="339">
        <f t="shared" si="772"/>
        <v>0</v>
      </c>
      <c r="FZ90" s="372">
        <f t="shared" si="773"/>
        <v>0</v>
      </c>
      <c r="GA90" s="339">
        <f t="shared" si="774"/>
        <v>0</v>
      </c>
      <c r="GB90" s="372">
        <f t="shared" si="480"/>
        <v>0</v>
      </c>
      <c r="GC90" s="339">
        <f t="shared" si="775"/>
        <v>0</v>
      </c>
      <c r="GD90" s="252">
        <f t="shared" si="776"/>
        <v>0</v>
      </c>
      <c r="GE90" s="251">
        <f t="shared" si="686"/>
        <v>0</v>
      </c>
      <c r="GG90" s="1"/>
      <c r="GH90" s="2">
        <v>0.2</v>
      </c>
      <c r="GI90" s="257">
        <f t="shared" si="909"/>
        <v>0</v>
      </c>
      <c r="GJ90" s="249">
        <f t="shared" si="777"/>
        <v>0</v>
      </c>
      <c r="GK90" s="250">
        <f t="shared" si="778"/>
        <v>0</v>
      </c>
      <c r="GL90" s="249">
        <f t="shared" si="777"/>
        <v>0</v>
      </c>
      <c r="GM90" s="250">
        <f t="shared" si="778"/>
        <v>0</v>
      </c>
      <c r="GN90" s="249">
        <f t="shared" si="777"/>
        <v>0</v>
      </c>
      <c r="GO90" s="250">
        <f t="shared" si="894"/>
        <v>0</v>
      </c>
      <c r="GP90" s="249">
        <f t="shared" si="777"/>
        <v>0</v>
      </c>
      <c r="GQ90" s="250">
        <f t="shared" si="895"/>
        <v>0</v>
      </c>
      <c r="GR90" s="249">
        <f t="shared" si="777"/>
        <v>0</v>
      </c>
      <c r="GS90" s="250">
        <f t="shared" si="896"/>
        <v>0</v>
      </c>
      <c r="GT90" s="249">
        <f t="shared" si="777"/>
        <v>0</v>
      </c>
      <c r="GU90" s="250">
        <f t="shared" si="897"/>
        <v>0</v>
      </c>
      <c r="GV90" s="249">
        <f t="shared" si="777"/>
        <v>0</v>
      </c>
      <c r="GW90" s="250">
        <f t="shared" si="898"/>
        <v>0</v>
      </c>
      <c r="GX90" s="249">
        <f t="shared" si="784"/>
        <v>0</v>
      </c>
      <c r="GY90" s="250">
        <f t="shared" si="899"/>
        <v>0</v>
      </c>
      <c r="GZ90" s="249">
        <f t="shared" si="786"/>
        <v>0</v>
      </c>
      <c r="HA90" s="250">
        <f t="shared" si="900"/>
        <v>0</v>
      </c>
      <c r="HB90" s="249">
        <f t="shared" si="788"/>
        <v>0</v>
      </c>
      <c r="HC90" s="250">
        <f t="shared" si="901"/>
        <v>0</v>
      </c>
      <c r="HD90" s="249">
        <f t="shared" si="790"/>
        <v>0</v>
      </c>
      <c r="HE90" s="250">
        <f t="shared" si="902"/>
        <v>0</v>
      </c>
      <c r="HF90" s="249">
        <f t="shared" si="792"/>
        <v>0</v>
      </c>
      <c r="HG90" s="250">
        <f t="shared" si="903"/>
        <v>0</v>
      </c>
      <c r="HH90" s="252">
        <f t="shared" si="794"/>
        <v>0</v>
      </c>
      <c r="HI90" s="251">
        <f t="shared" si="910"/>
        <v>0</v>
      </c>
      <c r="HK90" s="1"/>
      <c r="HL90" s="2"/>
      <c r="HM90" s="257">
        <f t="shared" si="911"/>
        <v>0</v>
      </c>
      <c r="HN90" s="249">
        <f t="shared" si="795"/>
        <v>0</v>
      </c>
      <c r="HO90" s="250">
        <f t="shared" si="912"/>
        <v>0</v>
      </c>
      <c r="HP90" s="249">
        <f t="shared" si="796"/>
        <v>0</v>
      </c>
      <c r="HQ90" s="250">
        <f t="shared" si="797"/>
        <v>0</v>
      </c>
      <c r="HR90" s="249">
        <f t="shared" si="796"/>
        <v>0</v>
      </c>
      <c r="HS90" s="250">
        <f t="shared" si="797"/>
        <v>0</v>
      </c>
      <c r="HT90" s="249">
        <f t="shared" si="796"/>
        <v>0</v>
      </c>
      <c r="HU90" s="250">
        <f t="shared" si="798"/>
        <v>0</v>
      </c>
      <c r="HV90" s="249">
        <f t="shared" si="796"/>
        <v>0</v>
      </c>
      <c r="HW90" s="250">
        <f t="shared" si="799"/>
        <v>0</v>
      </c>
      <c r="HX90" s="249">
        <f t="shared" si="796"/>
        <v>0</v>
      </c>
      <c r="HY90" s="250">
        <f t="shared" si="800"/>
        <v>0</v>
      </c>
      <c r="HZ90" s="249">
        <f t="shared" si="796"/>
        <v>0</v>
      </c>
      <c r="IA90" s="250">
        <f t="shared" si="801"/>
        <v>0</v>
      </c>
      <c r="IB90" s="249">
        <f t="shared" si="796"/>
        <v>0</v>
      </c>
      <c r="IC90" s="250">
        <f t="shared" si="802"/>
        <v>0</v>
      </c>
      <c r="ID90" s="249">
        <f t="shared" si="803"/>
        <v>0</v>
      </c>
      <c r="IE90" s="250">
        <f t="shared" si="804"/>
        <v>0</v>
      </c>
      <c r="IF90" s="249">
        <f t="shared" si="805"/>
        <v>0</v>
      </c>
      <c r="IG90" s="250">
        <f t="shared" si="806"/>
        <v>0</v>
      </c>
      <c r="IH90" s="249">
        <f t="shared" si="807"/>
        <v>0</v>
      </c>
      <c r="II90" s="250">
        <f t="shared" si="808"/>
        <v>0</v>
      </c>
      <c r="IJ90" s="249">
        <f t="shared" si="809"/>
        <v>0</v>
      </c>
      <c r="IK90" s="250">
        <f t="shared" si="810"/>
        <v>0</v>
      </c>
      <c r="IL90" s="252">
        <f t="shared" si="811"/>
        <v>0</v>
      </c>
      <c r="IM90" s="251">
        <f t="shared" si="812"/>
        <v>0</v>
      </c>
      <c r="IO90" s="1"/>
      <c r="IP90" s="2">
        <v>8.3333333333333329E-2</v>
      </c>
      <c r="IQ90" s="257">
        <f t="shared" si="913"/>
        <v>0</v>
      </c>
      <c r="IR90" s="249">
        <f t="shared" si="813"/>
        <v>0</v>
      </c>
      <c r="IS90" s="250">
        <f t="shared" si="814"/>
        <v>0</v>
      </c>
      <c r="IT90" s="279">
        <f t="shared" si="874"/>
        <v>0</v>
      </c>
      <c r="IU90" s="289">
        <f t="shared" si="815"/>
        <v>0</v>
      </c>
      <c r="IV90" s="279">
        <f t="shared" si="874"/>
        <v>0</v>
      </c>
      <c r="IW90" s="289">
        <f t="shared" si="815"/>
        <v>0</v>
      </c>
      <c r="IX90" s="279">
        <f t="shared" si="874"/>
        <v>0</v>
      </c>
      <c r="IY90" s="289">
        <f t="shared" si="816"/>
        <v>0</v>
      </c>
      <c r="IZ90" s="279">
        <f t="shared" si="874"/>
        <v>0</v>
      </c>
      <c r="JA90" s="289">
        <f t="shared" si="817"/>
        <v>0</v>
      </c>
      <c r="JB90" s="279">
        <f t="shared" si="874"/>
        <v>0</v>
      </c>
      <c r="JC90" s="289">
        <f t="shared" si="818"/>
        <v>0</v>
      </c>
      <c r="JD90" s="279">
        <f t="shared" si="874"/>
        <v>0</v>
      </c>
      <c r="JE90" s="289">
        <f t="shared" si="819"/>
        <v>0</v>
      </c>
      <c r="JF90" s="279">
        <f t="shared" si="874"/>
        <v>0</v>
      </c>
      <c r="JG90" s="289">
        <f t="shared" si="820"/>
        <v>0</v>
      </c>
      <c r="JH90" s="279">
        <f t="shared" si="821"/>
        <v>0</v>
      </c>
      <c r="JI90" s="289">
        <f t="shared" si="822"/>
        <v>0</v>
      </c>
      <c r="JJ90" s="279">
        <f t="shared" si="407"/>
        <v>0</v>
      </c>
      <c r="JK90" s="289">
        <f t="shared" si="823"/>
        <v>0</v>
      </c>
      <c r="JL90" s="279">
        <f t="shared" si="824"/>
        <v>0</v>
      </c>
      <c r="JM90" s="289">
        <f t="shared" si="825"/>
        <v>0</v>
      </c>
      <c r="JN90" s="279">
        <f t="shared" si="408"/>
        <v>0</v>
      </c>
      <c r="JO90" s="289">
        <f t="shared" si="826"/>
        <v>0</v>
      </c>
      <c r="JP90" s="252">
        <f t="shared" si="827"/>
        <v>0</v>
      </c>
      <c r="JQ90" s="251">
        <f t="shared" si="828"/>
        <v>0</v>
      </c>
      <c r="JS90" s="1"/>
      <c r="JT90" s="2">
        <v>8.3333333333333329E-2</v>
      </c>
      <c r="JU90" s="257">
        <f t="shared" si="914"/>
        <v>0</v>
      </c>
      <c r="JV90" s="249">
        <f t="shared" si="829"/>
        <v>0</v>
      </c>
      <c r="JW90" s="250">
        <f t="shared" si="830"/>
        <v>0</v>
      </c>
      <c r="JX90" s="372">
        <f t="shared" si="875"/>
        <v>0</v>
      </c>
      <c r="JY90" s="339">
        <f t="shared" si="831"/>
        <v>0</v>
      </c>
      <c r="JZ90" s="372">
        <f t="shared" si="875"/>
        <v>0</v>
      </c>
      <c r="KA90" s="339">
        <f t="shared" si="831"/>
        <v>0</v>
      </c>
      <c r="KB90" s="372">
        <f t="shared" si="875"/>
        <v>0</v>
      </c>
      <c r="KC90" s="339">
        <f t="shared" si="832"/>
        <v>0</v>
      </c>
      <c r="KD90" s="372">
        <f t="shared" si="875"/>
        <v>0</v>
      </c>
      <c r="KE90" s="339">
        <f t="shared" si="833"/>
        <v>0</v>
      </c>
      <c r="KF90" s="372">
        <f t="shared" si="875"/>
        <v>0</v>
      </c>
      <c r="KG90" s="339">
        <f t="shared" si="834"/>
        <v>0</v>
      </c>
      <c r="KH90" s="372">
        <f t="shared" si="875"/>
        <v>0</v>
      </c>
      <c r="KI90" s="339">
        <f t="shared" si="835"/>
        <v>0</v>
      </c>
      <c r="KJ90" s="372">
        <f t="shared" si="875"/>
        <v>0</v>
      </c>
      <c r="KK90" s="339">
        <f t="shared" si="836"/>
        <v>0</v>
      </c>
      <c r="KL90" s="372">
        <f t="shared" si="837"/>
        <v>0</v>
      </c>
      <c r="KM90" s="339">
        <f t="shared" si="838"/>
        <v>0</v>
      </c>
      <c r="KN90" s="372">
        <f t="shared" si="677"/>
        <v>0</v>
      </c>
      <c r="KO90" s="339">
        <f t="shared" si="839"/>
        <v>0</v>
      </c>
      <c r="KP90" s="372">
        <f t="shared" si="840"/>
        <v>0</v>
      </c>
      <c r="KQ90" s="339">
        <f t="shared" si="841"/>
        <v>0</v>
      </c>
      <c r="KR90" s="372">
        <f t="shared" si="678"/>
        <v>0</v>
      </c>
      <c r="KS90" s="377">
        <f t="shared" si="842"/>
        <v>0</v>
      </c>
      <c r="KT90" s="379">
        <f t="shared" si="843"/>
        <v>0</v>
      </c>
      <c r="KU90" s="251">
        <f t="shared" si="915"/>
        <v>0</v>
      </c>
      <c r="KW90" s="1"/>
      <c r="KX90" s="2">
        <v>8.3333333333333329E-2</v>
      </c>
      <c r="KY90" s="254">
        <f t="shared" si="680"/>
        <v>0</v>
      </c>
      <c r="KZ90" s="249">
        <f t="shared" si="876"/>
        <v>0</v>
      </c>
      <c r="LA90" s="251">
        <f t="shared" si="681"/>
        <v>0</v>
      </c>
      <c r="LB90" s="279">
        <f t="shared" si="844"/>
        <v>0</v>
      </c>
      <c r="LC90" s="339">
        <f t="shared" si="845"/>
        <v>0</v>
      </c>
      <c r="LD90" s="279">
        <f t="shared" si="844"/>
        <v>0</v>
      </c>
      <c r="LE90" s="339">
        <f t="shared" si="845"/>
        <v>0</v>
      </c>
      <c r="LF90" s="279">
        <f t="shared" si="844"/>
        <v>0</v>
      </c>
      <c r="LG90" s="339">
        <f t="shared" si="846"/>
        <v>0</v>
      </c>
      <c r="LH90" s="279">
        <f t="shared" si="844"/>
        <v>0</v>
      </c>
      <c r="LI90" s="339">
        <f t="shared" si="847"/>
        <v>0</v>
      </c>
      <c r="LJ90" s="279">
        <f t="shared" si="844"/>
        <v>0</v>
      </c>
      <c r="LK90" s="339">
        <f t="shared" si="848"/>
        <v>0</v>
      </c>
      <c r="LL90" s="279">
        <f t="shared" si="844"/>
        <v>0</v>
      </c>
      <c r="LM90" s="339">
        <f t="shared" si="849"/>
        <v>0</v>
      </c>
      <c r="LN90" s="279">
        <f t="shared" si="844"/>
        <v>0</v>
      </c>
      <c r="LO90" s="339">
        <f t="shared" si="850"/>
        <v>0</v>
      </c>
      <c r="LP90" s="279">
        <f t="shared" si="877"/>
        <v>0</v>
      </c>
      <c r="LQ90" s="339">
        <f t="shared" si="851"/>
        <v>0</v>
      </c>
      <c r="LR90" s="279">
        <f t="shared" si="878"/>
        <v>0</v>
      </c>
      <c r="LS90" s="339">
        <f t="shared" si="852"/>
        <v>0</v>
      </c>
      <c r="LT90" s="279">
        <f t="shared" si="879"/>
        <v>0</v>
      </c>
      <c r="LU90" s="339">
        <f t="shared" si="853"/>
        <v>0</v>
      </c>
      <c r="LV90" s="279">
        <f t="shared" si="880"/>
        <v>0</v>
      </c>
      <c r="LW90" s="339">
        <f t="shared" si="854"/>
        <v>0</v>
      </c>
      <c r="LX90" s="252">
        <f t="shared" si="855"/>
        <v>0</v>
      </c>
      <c r="LY90" s="253">
        <f t="shared" si="856"/>
        <v>0</v>
      </c>
      <c r="MA90" s="249">
        <f t="shared" si="688"/>
        <v>0</v>
      </c>
      <c r="MB90" s="253">
        <f t="shared" si="857"/>
        <v>0</v>
      </c>
      <c r="MC90" s="397">
        <f t="shared" si="689"/>
        <v>0</v>
      </c>
      <c r="MD90" s="253">
        <f t="shared" si="858"/>
        <v>0</v>
      </c>
      <c r="ME90" s="397">
        <f t="shared" si="690"/>
        <v>0</v>
      </c>
      <c r="MF90" s="253">
        <f t="shared" si="858"/>
        <v>0</v>
      </c>
      <c r="MG90" s="397">
        <f t="shared" si="691"/>
        <v>0</v>
      </c>
      <c r="MH90" s="253">
        <f t="shared" si="859"/>
        <v>0</v>
      </c>
      <c r="MI90" s="397">
        <f t="shared" si="692"/>
        <v>0</v>
      </c>
      <c r="MJ90" s="253">
        <f t="shared" si="860"/>
        <v>0</v>
      </c>
      <c r="MK90" s="397">
        <f t="shared" si="693"/>
        <v>0</v>
      </c>
      <c r="ML90" s="253">
        <f t="shared" si="861"/>
        <v>0</v>
      </c>
      <c r="MM90" s="397">
        <f t="shared" si="694"/>
        <v>0</v>
      </c>
      <c r="MN90" s="253">
        <f t="shared" si="862"/>
        <v>0</v>
      </c>
      <c r="MO90" s="397">
        <f t="shared" si="695"/>
        <v>0</v>
      </c>
      <c r="MP90" s="253">
        <f t="shared" si="863"/>
        <v>0</v>
      </c>
      <c r="MQ90" s="397">
        <f t="shared" si="696"/>
        <v>0</v>
      </c>
      <c r="MR90" s="253">
        <f t="shared" si="864"/>
        <v>0</v>
      </c>
      <c r="MS90" s="397">
        <f t="shared" si="697"/>
        <v>0</v>
      </c>
      <c r="MT90" s="253">
        <f t="shared" si="865"/>
        <v>0</v>
      </c>
      <c r="MU90" s="397">
        <f t="shared" si="698"/>
        <v>0</v>
      </c>
      <c r="MV90" s="253">
        <f t="shared" si="866"/>
        <v>0</v>
      </c>
      <c r="MW90" s="397">
        <f t="shared" si="699"/>
        <v>0</v>
      </c>
      <c r="MX90" s="253">
        <f t="shared" si="867"/>
        <v>0</v>
      </c>
      <c r="MY90" s="252">
        <f t="shared" si="868"/>
        <v>0</v>
      </c>
      <c r="MZ90" s="251">
        <f t="shared" si="869"/>
        <v>0</v>
      </c>
    </row>
    <row r="91" spans="1:364" ht="39.6" x14ac:dyDescent="0.25">
      <c r="A91" s="533"/>
      <c r="B91" s="245" t="s">
        <v>190</v>
      </c>
      <c r="C91" s="246" t="s">
        <v>191</v>
      </c>
      <c r="D91" s="247" t="s">
        <v>119</v>
      </c>
      <c r="E91" s="4">
        <v>10</v>
      </c>
      <c r="F91" s="353">
        <v>5788157.1691176463</v>
      </c>
      <c r="G91" s="353">
        <f t="shared" si="700"/>
        <v>6029385.5098039201</v>
      </c>
      <c r="I91" s="30"/>
      <c r="J91" s="2">
        <v>8.3333333333333329E-2</v>
      </c>
      <c r="K91" s="248">
        <f t="shared" si="701"/>
        <v>0</v>
      </c>
      <c r="L91" s="249"/>
      <c r="M91" s="301">
        <f t="shared" si="445"/>
        <v>0</v>
      </c>
      <c r="N91" s="279">
        <f t="shared" si="889"/>
        <v>0</v>
      </c>
      <c r="O91" s="289">
        <f t="shared" ref="O91:Q106" si="916">+N91*$G91</f>
        <v>0</v>
      </c>
      <c r="P91" s="279">
        <f t="shared" si="889"/>
        <v>0</v>
      </c>
      <c r="Q91" s="289">
        <f t="shared" si="916"/>
        <v>0</v>
      </c>
      <c r="R91" s="279">
        <f t="shared" si="889"/>
        <v>0</v>
      </c>
      <c r="S91" s="289">
        <f t="shared" si="702"/>
        <v>0</v>
      </c>
      <c r="T91" s="279">
        <f t="shared" si="889"/>
        <v>0</v>
      </c>
      <c r="U91" s="289">
        <f t="shared" si="703"/>
        <v>0</v>
      </c>
      <c r="V91" s="279">
        <f t="shared" si="889"/>
        <v>0</v>
      </c>
      <c r="W91" s="289">
        <f t="shared" si="704"/>
        <v>0</v>
      </c>
      <c r="X91" s="279">
        <f t="shared" si="889"/>
        <v>0</v>
      </c>
      <c r="Y91" s="289">
        <f t="shared" si="705"/>
        <v>0</v>
      </c>
      <c r="Z91" s="279">
        <f t="shared" si="889"/>
        <v>0</v>
      </c>
      <c r="AA91" s="289">
        <f t="shared" si="706"/>
        <v>0</v>
      </c>
      <c r="AB91" s="279">
        <f t="shared" si="889"/>
        <v>0</v>
      </c>
      <c r="AC91" s="289">
        <f t="shared" si="707"/>
        <v>0</v>
      </c>
      <c r="AD91" s="279">
        <f t="shared" si="889"/>
        <v>0</v>
      </c>
      <c r="AE91" s="289">
        <f t="shared" si="708"/>
        <v>0</v>
      </c>
      <c r="AF91" s="279">
        <f t="shared" si="889"/>
        <v>0</v>
      </c>
      <c r="AG91" s="289">
        <f t="shared" si="890"/>
        <v>0</v>
      </c>
      <c r="AH91" s="249">
        <f t="shared" si="456"/>
        <v>0</v>
      </c>
      <c r="AI91" s="299">
        <f t="shared" si="891"/>
        <v>0</v>
      </c>
      <c r="AJ91" s="252">
        <f t="shared" si="709"/>
        <v>0</v>
      </c>
      <c r="AK91" s="312">
        <f t="shared" si="710"/>
        <v>0</v>
      </c>
      <c r="AM91" s="1"/>
      <c r="AN91" s="2">
        <v>8.3333333333333329E-2</v>
      </c>
      <c r="AO91" s="254">
        <f t="shared" si="904"/>
        <v>0</v>
      </c>
      <c r="AP91" s="249">
        <f t="shared" si="328"/>
        <v>0</v>
      </c>
      <c r="AQ91" s="301">
        <f t="shared" si="683"/>
        <v>0</v>
      </c>
      <c r="AR91" s="249">
        <f t="shared" si="884"/>
        <v>0</v>
      </c>
      <c r="AS91" s="301">
        <f t="shared" si="683"/>
        <v>0</v>
      </c>
      <c r="AT91" s="249">
        <f t="shared" si="884"/>
        <v>0</v>
      </c>
      <c r="AU91" s="301">
        <f t="shared" si="684"/>
        <v>0</v>
      </c>
      <c r="AV91" s="249">
        <f t="shared" si="884"/>
        <v>0</v>
      </c>
      <c r="AW91" s="301">
        <f t="shared" si="711"/>
        <v>0</v>
      </c>
      <c r="AX91" s="249">
        <f t="shared" si="884"/>
        <v>0</v>
      </c>
      <c r="AY91" s="301">
        <f t="shared" si="712"/>
        <v>0</v>
      </c>
      <c r="AZ91" s="249">
        <f t="shared" si="884"/>
        <v>0</v>
      </c>
      <c r="BA91" s="301">
        <f t="shared" si="713"/>
        <v>0</v>
      </c>
      <c r="BB91" s="249">
        <f t="shared" si="884"/>
        <v>0</v>
      </c>
      <c r="BC91" s="301">
        <f t="shared" si="714"/>
        <v>0</v>
      </c>
      <c r="BD91" s="249">
        <f t="shared" si="884"/>
        <v>0</v>
      </c>
      <c r="BE91" s="301">
        <f t="shared" si="715"/>
        <v>0</v>
      </c>
      <c r="BF91" s="249">
        <f t="shared" si="882"/>
        <v>0</v>
      </c>
      <c r="BG91" s="301">
        <f t="shared" si="716"/>
        <v>0</v>
      </c>
      <c r="BH91" s="249">
        <f t="shared" si="885"/>
        <v>0</v>
      </c>
      <c r="BI91" s="301">
        <f t="shared" si="892"/>
        <v>0</v>
      </c>
      <c r="BJ91" s="249">
        <f t="shared" si="885"/>
        <v>0</v>
      </c>
      <c r="BK91" s="301">
        <f t="shared" si="892"/>
        <v>0</v>
      </c>
      <c r="BL91" s="249">
        <f t="shared" si="661"/>
        <v>0</v>
      </c>
      <c r="BM91" s="299">
        <f t="shared" si="718"/>
        <v>0</v>
      </c>
      <c r="BN91" s="252">
        <f t="shared" si="719"/>
        <v>0</v>
      </c>
      <c r="BO91" s="312">
        <f t="shared" si="685"/>
        <v>0</v>
      </c>
      <c r="BQ91" s="1"/>
      <c r="BR91" s="2"/>
      <c r="BS91" s="255">
        <f t="shared" si="886"/>
        <v>0</v>
      </c>
      <c r="BT91" s="249">
        <f t="shared" si="881"/>
        <v>0</v>
      </c>
      <c r="BU91" s="336">
        <f t="shared" si="720"/>
        <v>0</v>
      </c>
      <c r="BV91" s="279">
        <f t="shared" si="721"/>
        <v>0</v>
      </c>
      <c r="BW91" s="339">
        <f t="shared" si="722"/>
        <v>0</v>
      </c>
      <c r="BX91" s="279">
        <f t="shared" si="721"/>
        <v>0</v>
      </c>
      <c r="BY91" s="339">
        <f t="shared" si="723"/>
        <v>0</v>
      </c>
      <c r="BZ91" s="279">
        <f t="shared" si="721"/>
        <v>0</v>
      </c>
      <c r="CA91" s="339">
        <f t="shared" si="724"/>
        <v>0</v>
      </c>
      <c r="CB91" s="279">
        <f t="shared" si="721"/>
        <v>0</v>
      </c>
      <c r="CC91" s="339">
        <f t="shared" si="725"/>
        <v>0</v>
      </c>
      <c r="CD91" s="279">
        <f t="shared" si="721"/>
        <v>0</v>
      </c>
      <c r="CE91" s="339">
        <f t="shared" si="726"/>
        <v>0</v>
      </c>
      <c r="CF91" s="279">
        <f t="shared" si="721"/>
        <v>0</v>
      </c>
      <c r="CG91" s="339">
        <f t="shared" si="727"/>
        <v>0</v>
      </c>
      <c r="CH91" s="279">
        <f t="shared" si="721"/>
        <v>0</v>
      </c>
      <c r="CI91" s="339">
        <f t="shared" si="728"/>
        <v>0</v>
      </c>
      <c r="CJ91" s="279">
        <f t="shared" si="729"/>
        <v>0</v>
      </c>
      <c r="CK91" s="339">
        <f t="shared" si="730"/>
        <v>0</v>
      </c>
      <c r="CL91" s="279">
        <f t="shared" si="463"/>
        <v>0</v>
      </c>
      <c r="CM91" s="339">
        <f t="shared" si="731"/>
        <v>0</v>
      </c>
      <c r="CN91" s="279">
        <f t="shared" si="732"/>
        <v>0</v>
      </c>
      <c r="CO91" s="339">
        <f t="shared" si="733"/>
        <v>0</v>
      </c>
      <c r="CP91" s="279">
        <f t="shared" si="464"/>
        <v>0</v>
      </c>
      <c r="CQ91" s="250">
        <f t="shared" si="905"/>
        <v>0</v>
      </c>
      <c r="CR91" s="252">
        <f t="shared" si="734"/>
        <v>0</v>
      </c>
      <c r="CS91" s="251">
        <f t="shared" si="887"/>
        <v>0</v>
      </c>
      <c r="CU91" s="1"/>
      <c r="CV91" s="2"/>
      <c r="CW91" s="255">
        <f t="shared" si="299"/>
        <v>0</v>
      </c>
      <c r="CX91" s="249">
        <f t="shared" si="735"/>
        <v>0</v>
      </c>
      <c r="CY91" s="250">
        <f t="shared" si="736"/>
        <v>0</v>
      </c>
      <c r="CZ91" s="279">
        <f t="shared" si="870"/>
        <v>0</v>
      </c>
      <c r="DA91" s="299">
        <f t="shared" si="736"/>
        <v>0</v>
      </c>
      <c r="DB91" s="279">
        <f t="shared" si="870"/>
        <v>0</v>
      </c>
      <c r="DC91" s="299">
        <f t="shared" si="737"/>
        <v>0</v>
      </c>
      <c r="DD91" s="279">
        <f t="shared" si="870"/>
        <v>0</v>
      </c>
      <c r="DE91" s="299">
        <f t="shared" si="738"/>
        <v>0</v>
      </c>
      <c r="DF91" s="279">
        <f t="shared" si="870"/>
        <v>0</v>
      </c>
      <c r="DG91" s="299">
        <f t="shared" si="739"/>
        <v>0</v>
      </c>
      <c r="DH91" s="279">
        <f t="shared" si="870"/>
        <v>0</v>
      </c>
      <c r="DI91" s="299">
        <f t="shared" si="740"/>
        <v>0</v>
      </c>
      <c r="DJ91" s="279">
        <f t="shared" si="870"/>
        <v>0</v>
      </c>
      <c r="DK91" s="299">
        <f t="shared" si="741"/>
        <v>0</v>
      </c>
      <c r="DL91" s="279">
        <f t="shared" si="870"/>
        <v>0</v>
      </c>
      <c r="DM91" s="299">
        <f t="shared" si="742"/>
        <v>0</v>
      </c>
      <c r="DN91" s="279">
        <f t="shared" si="743"/>
        <v>0</v>
      </c>
      <c r="DO91" s="299">
        <f t="shared" si="744"/>
        <v>0</v>
      </c>
      <c r="DP91" s="279">
        <f t="shared" si="471"/>
        <v>0</v>
      </c>
      <c r="DQ91" s="299">
        <f t="shared" si="745"/>
        <v>0</v>
      </c>
      <c r="DR91" s="279">
        <f t="shared" si="746"/>
        <v>0</v>
      </c>
      <c r="DS91" s="299">
        <f t="shared" si="747"/>
        <v>0</v>
      </c>
      <c r="DT91" s="279">
        <f t="shared" si="472"/>
        <v>0</v>
      </c>
      <c r="DU91" s="299">
        <f t="shared" si="748"/>
        <v>0</v>
      </c>
      <c r="DV91" s="252">
        <f t="shared" si="749"/>
        <v>0</v>
      </c>
      <c r="DW91" s="251">
        <f t="shared" si="888"/>
        <v>0</v>
      </c>
      <c r="DY91" s="256">
        <v>0</v>
      </c>
      <c r="DZ91" s="2"/>
      <c r="EA91" s="254">
        <f t="shared" si="906"/>
        <v>0</v>
      </c>
      <c r="EB91" s="249">
        <f t="shared" si="871"/>
        <v>0</v>
      </c>
      <c r="EC91" s="250">
        <f t="shared" si="750"/>
        <v>0</v>
      </c>
      <c r="ED91" s="356">
        <f t="shared" si="871"/>
        <v>0</v>
      </c>
      <c r="EE91" s="250">
        <f t="shared" si="750"/>
        <v>0</v>
      </c>
      <c r="EF91" s="249">
        <f t="shared" si="872"/>
        <v>0</v>
      </c>
      <c r="EG91" s="250">
        <f t="shared" si="893"/>
        <v>0</v>
      </c>
      <c r="EH91" s="249">
        <f t="shared" si="872"/>
        <v>0</v>
      </c>
      <c r="EI91" s="250">
        <f t="shared" si="893"/>
        <v>0</v>
      </c>
      <c r="EJ91" s="249">
        <f t="shared" si="872"/>
        <v>0</v>
      </c>
      <c r="EK91" s="250">
        <f t="shared" si="752"/>
        <v>0</v>
      </c>
      <c r="EL91" s="249">
        <f t="shared" si="872"/>
        <v>0</v>
      </c>
      <c r="EM91" s="250">
        <f t="shared" si="753"/>
        <v>0</v>
      </c>
      <c r="EN91" s="249">
        <f t="shared" si="872"/>
        <v>0</v>
      </c>
      <c r="EO91" s="250">
        <f t="shared" si="754"/>
        <v>0</v>
      </c>
      <c r="EP91" s="249">
        <f t="shared" si="872"/>
        <v>0</v>
      </c>
      <c r="EQ91" s="250">
        <f t="shared" si="755"/>
        <v>0</v>
      </c>
      <c r="ER91" s="249">
        <f t="shared" si="872"/>
        <v>0</v>
      </c>
      <c r="ES91" s="250">
        <f t="shared" si="756"/>
        <v>0</v>
      </c>
      <c r="ET91" s="249">
        <f t="shared" si="391"/>
        <v>0</v>
      </c>
      <c r="EU91" s="250">
        <f t="shared" si="757"/>
        <v>0</v>
      </c>
      <c r="EV91" s="249">
        <f t="shared" si="758"/>
        <v>0</v>
      </c>
      <c r="EW91" s="250">
        <f t="shared" si="759"/>
        <v>0</v>
      </c>
      <c r="EX91" s="249">
        <f t="shared" si="392"/>
        <v>0</v>
      </c>
      <c r="EY91" s="250">
        <f t="shared" si="760"/>
        <v>0</v>
      </c>
      <c r="EZ91" s="252">
        <f t="shared" si="761"/>
        <v>0</v>
      </c>
      <c r="FA91" s="251">
        <f t="shared" si="907"/>
        <v>0</v>
      </c>
      <c r="FC91" s="1"/>
      <c r="FD91" s="2"/>
      <c r="FE91" s="257">
        <f t="shared" si="908"/>
        <v>0</v>
      </c>
      <c r="FF91" s="249">
        <f t="shared" si="762"/>
        <v>0</v>
      </c>
      <c r="FG91" s="250">
        <f t="shared" si="763"/>
        <v>0</v>
      </c>
      <c r="FH91" s="372">
        <f t="shared" si="873"/>
        <v>0</v>
      </c>
      <c r="FI91" s="339">
        <f t="shared" si="764"/>
        <v>0</v>
      </c>
      <c r="FJ91" s="372">
        <f t="shared" si="873"/>
        <v>0</v>
      </c>
      <c r="FK91" s="339">
        <f t="shared" si="764"/>
        <v>0</v>
      </c>
      <c r="FL91" s="372">
        <f t="shared" si="873"/>
        <v>0</v>
      </c>
      <c r="FM91" s="339">
        <f t="shared" si="765"/>
        <v>0</v>
      </c>
      <c r="FN91" s="372">
        <f t="shared" si="873"/>
        <v>0</v>
      </c>
      <c r="FO91" s="339">
        <f t="shared" si="766"/>
        <v>0</v>
      </c>
      <c r="FP91" s="372">
        <f t="shared" si="873"/>
        <v>0</v>
      </c>
      <c r="FQ91" s="339">
        <f t="shared" si="767"/>
        <v>0</v>
      </c>
      <c r="FR91" s="372">
        <f t="shared" si="873"/>
        <v>0</v>
      </c>
      <c r="FS91" s="339">
        <f t="shared" si="768"/>
        <v>0</v>
      </c>
      <c r="FT91" s="372">
        <f t="shared" si="873"/>
        <v>0</v>
      </c>
      <c r="FU91" s="339">
        <f t="shared" si="769"/>
        <v>0</v>
      </c>
      <c r="FV91" s="372">
        <f t="shared" si="770"/>
        <v>0</v>
      </c>
      <c r="FW91" s="339">
        <f t="shared" si="771"/>
        <v>0</v>
      </c>
      <c r="FX91" s="372">
        <f t="shared" si="479"/>
        <v>0</v>
      </c>
      <c r="FY91" s="339">
        <f t="shared" si="772"/>
        <v>0</v>
      </c>
      <c r="FZ91" s="372">
        <f t="shared" si="773"/>
        <v>0</v>
      </c>
      <c r="GA91" s="339">
        <f t="shared" si="774"/>
        <v>0</v>
      </c>
      <c r="GB91" s="372">
        <f t="shared" si="480"/>
        <v>0</v>
      </c>
      <c r="GC91" s="339">
        <f t="shared" si="775"/>
        <v>0</v>
      </c>
      <c r="GD91" s="252">
        <f t="shared" si="776"/>
        <v>0</v>
      </c>
      <c r="GE91" s="251">
        <f t="shared" si="686"/>
        <v>0</v>
      </c>
      <c r="GG91" s="1"/>
      <c r="GH91" s="2">
        <v>0.2</v>
      </c>
      <c r="GI91" s="257">
        <f t="shared" si="909"/>
        <v>0</v>
      </c>
      <c r="GJ91" s="249">
        <f t="shared" si="777"/>
        <v>0</v>
      </c>
      <c r="GK91" s="250">
        <f t="shared" si="778"/>
        <v>0</v>
      </c>
      <c r="GL91" s="249">
        <f t="shared" si="777"/>
        <v>0</v>
      </c>
      <c r="GM91" s="250">
        <f t="shared" si="778"/>
        <v>0</v>
      </c>
      <c r="GN91" s="249">
        <f t="shared" si="777"/>
        <v>0</v>
      </c>
      <c r="GO91" s="250">
        <f t="shared" si="894"/>
        <v>0</v>
      </c>
      <c r="GP91" s="249">
        <f t="shared" si="777"/>
        <v>0</v>
      </c>
      <c r="GQ91" s="250">
        <f t="shared" si="895"/>
        <v>0</v>
      </c>
      <c r="GR91" s="249">
        <f t="shared" si="777"/>
        <v>0</v>
      </c>
      <c r="GS91" s="250">
        <f t="shared" si="896"/>
        <v>0</v>
      </c>
      <c r="GT91" s="249">
        <f t="shared" si="777"/>
        <v>0</v>
      </c>
      <c r="GU91" s="250">
        <f t="shared" si="897"/>
        <v>0</v>
      </c>
      <c r="GV91" s="249">
        <f t="shared" si="777"/>
        <v>0</v>
      </c>
      <c r="GW91" s="250">
        <f t="shared" si="898"/>
        <v>0</v>
      </c>
      <c r="GX91" s="249">
        <f t="shared" si="784"/>
        <v>0</v>
      </c>
      <c r="GY91" s="250">
        <f t="shared" si="899"/>
        <v>0</v>
      </c>
      <c r="GZ91" s="249">
        <f t="shared" si="786"/>
        <v>0</v>
      </c>
      <c r="HA91" s="250">
        <f t="shared" si="900"/>
        <v>0</v>
      </c>
      <c r="HB91" s="249">
        <f t="shared" si="788"/>
        <v>0</v>
      </c>
      <c r="HC91" s="250">
        <f t="shared" si="901"/>
        <v>0</v>
      </c>
      <c r="HD91" s="249">
        <f t="shared" si="790"/>
        <v>0</v>
      </c>
      <c r="HE91" s="250">
        <f t="shared" si="902"/>
        <v>0</v>
      </c>
      <c r="HF91" s="249">
        <f t="shared" si="792"/>
        <v>0</v>
      </c>
      <c r="HG91" s="250">
        <f t="shared" si="903"/>
        <v>0</v>
      </c>
      <c r="HH91" s="252">
        <f t="shared" si="794"/>
        <v>0</v>
      </c>
      <c r="HI91" s="251">
        <f t="shared" si="910"/>
        <v>0</v>
      </c>
      <c r="HK91" s="1"/>
      <c r="HL91" s="2"/>
      <c r="HM91" s="257">
        <f t="shared" si="911"/>
        <v>0</v>
      </c>
      <c r="HN91" s="249">
        <f t="shared" si="795"/>
        <v>0</v>
      </c>
      <c r="HO91" s="250">
        <f t="shared" si="912"/>
        <v>0</v>
      </c>
      <c r="HP91" s="249">
        <f t="shared" si="796"/>
        <v>0</v>
      </c>
      <c r="HQ91" s="250">
        <f t="shared" si="797"/>
        <v>0</v>
      </c>
      <c r="HR91" s="249">
        <f t="shared" si="796"/>
        <v>0</v>
      </c>
      <c r="HS91" s="250">
        <f t="shared" si="797"/>
        <v>0</v>
      </c>
      <c r="HT91" s="249">
        <f t="shared" si="796"/>
        <v>0</v>
      </c>
      <c r="HU91" s="250">
        <f t="shared" si="798"/>
        <v>0</v>
      </c>
      <c r="HV91" s="249">
        <f t="shared" si="796"/>
        <v>0</v>
      </c>
      <c r="HW91" s="250">
        <f t="shared" si="799"/>
        <v>0</v>
      </c>
      <c r="HX91" s="249">
        <f t="shared" si="796"/>
        <v>0</v>
      </c>
      <c r="HY91" s="250">
        <f t="shared" si="800"/>
        <v>0</v>
      </c>
      <c r="HZ91" s="249">
        <f t="shared" si="796"/>
        <v>0</v>
      </c>
      <c r="IA91" s="250">
        <f t="shared" si="801"/>
        <v>0</v>
      </c>
      <c r="IB91" s="249">
        <f t="shared" si="796"/>
        <v>0</v>
      </c>
      <c r="IC91" s="250">
        <f t="shared" si="802"/>
        <v>0</v>
      </c>
      <c r="ID91" s="249">
        <f t="shared" si="803"/>
        <v>0</v>
      </c>
      <c r="IE91" s="250">
        <f t="shared" si="804"/>
        <v>0</v>
      </c>
      <c r="IF91" s="249">
        <f t="shared" si="805"/>
        <v>0</v>
      </c>
      <c r="IG91" s="250">
        <f t="shared" si="806"/>
        <v>0</v>
      </c>
      <c r="IH91" s="249">
        <f t="shared" si="807"/>
        <v>0</v>
      </c>
      <c r="II91" s="250">
        <f t="shared" si="808"/>
        <v>0</v>
      </c>
      <c r="IJ91" s="249">
        <f t="shared" si="809"/>
        <v>0</v>
      </c>
      <c r="IK91" s="250">
        <f t="shared" si="810"/>
        <v>0</v>
      </c>
      <c r="IL91" s="252">
        <f t="shared" si="811"/>
        <v>0</v>
      </c>
      <c r="IM91" s="251">
        <f t="shared" si="812"/>
        <v>0</v>
      </c>
      <c r="IO91" s="1"/>
      <c r="IP91" s="2">
        <v>8.3333333333333329E-2</v>
      </c>
      <c r="IQ91" s="257">
        <f t="shared" si="913"/>
        <v>0</v>
      </c>
      <c r="IR91" s="249">
        <f t="shared" si="813"/>
        <v>0</v>
      </c>
      <c r="IS91" s="250">
        <f t="shared" si="814"/>
        <v>0</v>
      </c>
      <c r="IT91" s="279">
        <f t="shared" si="874"/>
        <v>0</v>
      </c>
      <c r="IU91" s="289">
        <f t="shared" si="815"/>
        <v>0</v>
      </c>
      <c r="IV91" s="279">
        <f t="shared" si="874"/>
        <v>0</v>
      </c>
      <c r="IW91" s="289">
        <f t="shared" si="815"/>
        <v>0</v>
      </c>
      <c r="IX91" s="279">
        <f t="shared" si="874"/>
        <v>0</v>
      </c>
      <c r="IY91" s="289">
        <f t="shared" si="816"/>
        <v>0</v>
      </c>
      <c r="IZ91" s="279">
        <f t="shared" si="874"/>
        <v>0</v>
      </c>
      <c r="JA91" s="289">
        <f t="shared" si="817"/>
        <v>0</v>
      </c>
      <c r="JB91" s="279">
        <f t="shared" si="874"/>
        <v>0</v>
      </c>
      <c r="JC91" s="289">
        <f t="shared" si="818"/>
        <v>0</v>
      </c>
      <c r="JD91" s="279">
        <f t="shared" si="874"/>
        <v>0</v>
      </c>
      <c r="JE91" s="289">
        <f t="shared" si="819"/>
        <v>0</v>
      </c>
      <c r="JF91" s="279">
        <f t="shared" si="874"/>
        <v>0</v>
      </c>
      <c r="JG91" s="289">
        <f t="shared" si="820"/>
        <v>0</v>
      </c>
      <c r="JH91" s="279">
        <f t="shared" si="821"/>
        <v>0</v>
      </c>
      <c r="JI91" s="289">
        <f t="shared" si="822"/>
        <v>0</v>
      </c>
      <c r="JJ91" s="279">
        <f t="shared" si="407"/>
        <v>0</v>
      </c>
      <c r="JK91" s="289">
        <f t="shared" si="823"/>
        <v>0</v>
      </c>
      <c r="JL91" s="279">
        <f t="shared" si="824"/>
        <v>0</v>
      </c>
      <c r="JM91" s="289">
        <f t="shared" si="825"/>
        <v>0</v>
      </c>
      <c r="JN91" s="279">
        <f t="shared" si="408"/>
        <v>0</v>
      </c>
      <c r="JO91" s="289">
        <f t="shared" si="826"/>
        <v>0</v>
      </c>
      <c r="JP91" s="252">
        <f t="shared" si="827"/>
        <v>0</v>
      </c>
      <c r="JQ91" s="251">
        <f t="shared" si="828"/>
        <v>0</v>
      </c>
      <c r="JS91" s="1"/>
      <c r="JT91" s="2">
        <v>8.3333333333333329E-2</v>
      </c>
      <c r="JU91" s="257">
        <f t="shared" si="914"/>
        <v>0</v>
      </c>
      <c r="JV91" s="249">
        <f t="shared" si="829"/>
        <v>0</v>
      </c>
      <c r="JW91" s="250">
        <f t="shared" si="830"/>
        <v>0</v>
      </c>
      <c r="JX91" s="372">
        <f t="shared" si="875"/>
        <v>0</v>
      </c>
      <c r="JY91" s="339">
        <f t="shared" si="831"/>
        <v>0</v>
      </c>
      <c r="JZ91" s="372">
        <f t="shared" si="875"/>
        <v>0</v>
      </c>
      <c r="KA91" s="339">
        <f t="shared" si="831"/>
        <v>0</v>
      </c>
      <c r="KB91" s="372">
        <f t="shared" si="875"/>
        <v>0</v>
      </c>
      <c r="KC91" s="339">
        <f t="shared" si="832"/>
        <v>0</v>
      </c>
      <c r="KD91" s="372">
        <f t="shared" si="875"/>
        <v>0</v>
      </c>
      <c r="KE91" s="339">
        <f t="shared" si="833"/>
        <v>0</v>
      </c>
      <c r="KF91" s="372">
        <f t="shared" si="875"/>
        <v>0</v>
      </c>
      <c r="KG91" s="339">
        <f t="shared" si="834"/>
        <v>0</v>
      </c>
      <c r="KH91" s="372">
        <f t="shared" si="875"/>
        <v>0</v>
      </c>
      <c r="KI91" s="339">
        <f t="shared" si="835"/>
        <v>0</v>
      </c>
      <c r="KJ91" s="372">
        <f t="shared" si="875"/>
        <v>0</v>
      </c>
      <c r="KK91" s="339">
        <f t="shared" si="836"/>
        <v>0</v>
      </c>
      <c r="KL91" s="372">
        <f t="shared" si="837"/>
        <v>0</v>
      </c>
      <c r="KM91" s="339">
        <f t="shared" si="838"/>
        <v>0</v>
      </c>
      <c r="KN91" s="372">
        <f t="shared" si="677"/>
        <v>0</v>
      </c>
      <c r="KO91" s="339">
        <f t="shared" si="839"/>
        <v>0</v>
      </c>
      <c r="KP91" s="372">
        <f t="shared" si="840"/>
        <v>0</v>
      </c>
      <c r="KQ91" s="339">
        <f t="shared" si="841"/>
        <v>0</v>
      </c>
      <c r="KR91" s="372">
        <f t="shared" si="678"/>
        <v>0</v>
      </c>
      <c r="KS91" s="377">
        <f t="shared" si="842"/>
        <v>0</v>
      </c>
      <c r="KT91" s="379">
        <f t="shared" si="843"/>
        <v>0</v>
      </c>
      <c r="KU91" s="251">
        <f t="shared" si="915"/>
        <v>0</v>
      </c>
      <c r="KW91" s="1"/>
      <c r="KX91" s="2">
        <v>8.3333333333333329E-2</v>
      </c>
      <c r="KY91" s="254">
        <f t="shared" si="680"/>
        <v>0</v>
      </c>
      <c r="KZ91" s="249">
        <f t="shared" si="876"/>
        <v>0</v>
      </c>
      <c r="LA91" s="251">
        <f t="shared" si="681"/>
        <v>0</v>
      </c>
      <c r="LB91" s="279">
        <f t="shared" si="844"/>
        <v>0</v>
      </c>
      <c r="LC91" s="339">
        <f t="shared" si="845"/>
        <v>0</v>
      </c>
      <c r="LD91" s="279">
        <f t="shared" si="844"/>
        <v>0</v>
      </c>
      <c r="LE91" s="339">
        <f t="shared" si="845"/>
        <v>0</v>
      </c>
      <c r="LF91" s="279">
        <f t="shared" si="844"/>
        <v>0</v>
      </c>
      <c r="LG91" s="339">
        <f t="shared" si="846"/>
        <v>0</v>
      </c>
      <c r="LH91" s="279">
        <f t="shared" si="844"/>
        <v>0</v>
      </c>
      <c r="LI91" s="339">
        <f t="shared" si="847"/>
        <v>0</v>
      </c>
      <c r="LJ91" s="279">
        <f t="shared" si="844"/>
        <v>0</v>
      </c>
      <c r="LK91" s="339">
        <f t="shared" si="848"/>
        <v>0</v>
      </c>
      <c r="LL91" s="279">
        <f t="shared" si="844"/>
        <v>0</v>
      </c>
      <c r="LM91" s="339">
        <f t="shared" si="849"/>
        <v>0</v>
      </c>
      <c r="LN91" s="279">
        <f t="shared" si="844"/>
        <v>0</v>
      </c>
      <c r="LO91" s="339">
        <f t="shared" si="850"/>
        <v>0</v>
      </c>
      <c r="LP91" s="279">
        <f t="shared" si="877"/>
        <v>0</v>
      </c>
      <c r="LQ91" s="339">
        <f t="shared" si="851"/>
        <v>0</v>
      </c>
      <c r="LR91" s="279">
        <f t="shared" si="878"/>
        <v>0</v>
      </c>
      <c r="LS91" s="339">
        <f t="shared" si="852"/>
        <v>0</v>
      </c>
      <c r="LT91" s="279">
        <f t="shared" si="879"/>
        <v>0</v>
      </c>
      <c r="LU91" s="339">
        <f t="shared" si="853"/>
        <v>0</v>
      </c>
      <c r="LV91" s="279">
        <f t="shared" si="880"/>
        <v>0</v>
      </c>
      <c r="LW91" s="339">
        <f t="shared" si="854"/>
        <v>0</v>
      </c>
      <c r="LX91" s="252">
        <f t="shared" si="855"/>
        <v>0</v>
      </c>
      <c r="LY91" s="253">
        <f t="shared" si="856"/>
        <v>0</v>
      </c>
      <c r="MA91" s="249">
        <f t="shared" si="688"/>
        <v>0</v>
      </c>
      <c r="MB91" s="253">
        <f t="shared" si="857"/>
        <v>0</v>
      </c>
      <c r="MC91" s="397">
        <f t="shared" si="689"/>
        <v>0</v>
      </c>
      <c r="MD91" s="253">
        <f t="shared" si="858"/>
        <v>0</v>
      </c>
      <c r="ME91" s="397">
        <f t="shared" si="690"/>
        <v>0</v>
      </c>
      <c r="MF91" s="253">
        <f t="shared" si="858"/>
        <v>0</v>
      </c>
      <c r="MG91" s="397">
        <f t="shared" si="691"/>
        <v>0</v>
      </c>
      <c r="MH91" s="253">
        <f t="shared" si="859"/>
        <v>0</v>
      </c>
      <c r="MI91" s="397">
        <f t="shared" si="692"/>
        <v>0</v>
      </c>
      <c r="MJ91" s="253">
        <f t="shared" si="860"/>
        <v>0</v>
      </c>
      <c r="MK91" s="397">
        <f t="shared" si="693"/>
        <v>0</v>
      </c>
      <c r="ML91" s="253">
        <f t="shared" si="861"/>
        <v>0</v>
      </c>
      <c r="MM91" s="397">
        <f t="shared" si="694"/>
        <v>0</v>
      </c>
      <c r="MN91" s="253">
        <f t="shared" si="862"/>
        <v>0</v>
      </c>
      <c r="MO91" s="397">
        <f t="shared" si="695"/>
        <v>0</v>
      </c>
      <c r="MP91" s="253">
        <f t="shared" si="863"/>
        <v>0</v>
      </c>
      <c r="MQ91" s="397">
        <f t="shared" si="696"/>
        <v>0</v>
      </c>
      <c r="MR91" s="253">
        <f t="shared" si="864"/>
        <v>0</v>
      </c>
      <c r="MS91" s="397">
        <f t="shared" si="697"/>
        <v>0</v>
      </c>
      <c r="MT91" s="253">
        <f t="shared" si="865"/>
        <v>0</v>
      </c>
      <c r="MU91" s="397">
        <f t="shared" si="698"/>
        <v>0</v>
      </c>
      <c r="MV91" s="253">
        <f t="shared" si="866"/>
        <v>0</v>
      </c>
      <c r="MW91" s="397">
        <f t="shared" si="699"/>
        <v>0</v>
      </c>
      <c r="MX91" s="253">
        <f t="shared" si="867"/>
        <v>0</v>
      </c>
      <c r="MY91" s="252">
        <f t="shared" si="868"/>
        <v>0</v>
      </c>
      <c r="MZ91" s="251">
        <f t="shared" si="869"/>
        <v>0</v>
      </c>
    </row>
    <row r="92" spans="1:364" ht="52.8" x14ac:dyDescent="0.25">
      <c r="A92" s="533"/>
      <c r="B92" s="245" t="s">
        <v>192</v>
      </c>
      <c r="C92" s="246" t="s">
        <v>193</v>
      </c>
      <c r="D92" s="247" t="s">
        <v>119</v>
      </c>
      <c r="E92" s="4">
        <v>10</v>
      </c>
      <c r="F92" s="353">
        <v>5020651.8323055021</v>
      </c>
      <c r="G92" s="353">
        <f t="shared" si="700"/>
        <v>5229893.4743833011</v>
      </c>
      <c r="I92" s="30"/>
      <c r="J92" s="2">
        <v>8.3333333333333329E-2</v>
      </c>
      <c r="K92" s="248">
        <f t="shared" si="701"/>
        <v>0</v>
      </c>
      <c r="L92" s="249"/>
      <c r="M92" s="301">
        <f t="shared" si="445"/>
        <v>0</v>
      </c>
      <c r="N92" s="279">
        <f t="shared" si="889"/>
        <v>0</v>
      </c>
      <c r="O92" s="289">
        <f t="shared" si="916"/>
        <v>0</v>
      </c>
      <c r="P92" s="279">
        <f t="shared" si="889"/>
        <v>0</v>
      </c>
      <c r="Q92" s="289">
        <f t="shared" si="916"/>
        <v>0</v>
      </c>
      <c r="R92" s="279">
        <f t="shared" si="889"/>
        <v>0</v>
      </c>
      <c r="S92" s="289">
        <f t="shared" si="702"/>
        <v>0</v>
      </c>
      <c r="T92" s="279">
        <f t="shared" si="889"/>
        <v>0</v>
      </c>
      <c r="U92" s="289">
        <f t="shared" si="703"/>
        <v>0</v>
      </c>
      <c r="V92" s="279">
        <f t="shared" si="889"/>
        <v>0</v>
      </c>
      <c r="W92" s="289">
        <f t="shared" si="704"/>
        <v>0</v>
      </c>
      <c r="X92" s="279">
        <f t="shared" si="889"/>
        <v>0</v>
      </c>
      <c r="Y92" s="289">
        <f t="shared" si="705"/>
        <v>0</v>
      </c>
      <c r="Z92" s="279">
        <f t="shared" si="889"/>
        <v>0</v>
      </c>
      <c r="AA92" s="289">
        <f t="shared" si="706"/>
        <v>0</v>
      </c>
      <c r="AB92" s="279">
        <f t="shared" si="889"/>
        <v>0</v>
      </c>
      <c r="AC92" s="289">
        <f t="shared" si="707"/>
        <v>0</v>
      </c>
      <c r="AD92" s="279">
        <f t="shared" si="889"/>
        <v>0</v>
      </c>
      <c r="AE92" s="289">
        <f t="shared" si="708"/>
        <v>0</v>
      </c>
      <c r="AF92" s="279">
        <f t="shared" si="889"/>
        <v>0</v>
      </c>
      <c r="AG92" s="289">
        <f t="shared" si="890"/>
        <v>0</v>
      </c>
      <c r="AH92" s="249">
        <f t="shared" si="456"/>
        <v>0</v>
      </c>
      <c r="AI92" s="299">
        <f t="shared" si="891"/>
        <v>0</v>
      </c>
      <c r="AJ92" s="252">
        <f t="shared" si="709"/>
        <v>0</v>
      </c>
      <c r="AK92" s="312">
        <f t="shared" si="710"/>
        <v>0</v>
      </c>
      <c r="AM92" s="1"/>
      <c r="AN92" s="2">
        <v>8.3333333333333329E-2</v>
      </c>
      <c r="AO92" s="254">
        <f t="shared" si="904"/>
        <v>0</v>
      </c>
      <c r="AP92" s="249">
        <f t="shared" si="328"/>
        <v>0</v>
      </c>
      <c r="AQ92" s="301">
        <f t="shared" si="683"/>
        <v>0</v>
      </c>
      <c r="AR92" s="249">
        <f t="shared" si="884"/>
        <v>0</v>
      </c>
      <c r="AS92" s="301">
        <f t="shared" si="683"/>
        <v>0</v>
      </c>
      <c r="AT92" s="249">
        <f t="shared" si="884"/>
        <v>0</v>
      </c>
      <c r="AU92" s="301">
        <f t="shared" si="684"/>
        <v>0</v>
      </c>
      <c r="AV92" s="249">
        <f t="shared" si="884"/>
        <v>0</v>
      </c>
      <c r="AW92" s="301">
        <f t="shared" si="711"/>
        <v>0</v>
      </c>
      <c r="AX92" s="249">
        <f t="shared" si="884"/>
        <v>0</v>
      </c>
      <c r="AY92" s="301">
        <f t="shared" si="712"/>
        <v>0</v>
      </c>
      <c r="AZ92" s="249">
        <f t="shared" si="884"/>
        <v>0</v>
      </c>
      <c r="BA92" s="301">
        <f t="shared" si="713"/>
        <v>0</v>
      </c>
      <c r="BB92" s="249">
        <f t="shared" si="884"/>
        <v>0</v>
      </c>
      <c r="BC92" s="301">
        <f t="shared" si="714"/>
        <v>0</v>
      </c>
      <c r="BD92" s="249">
        <f t="shared" si="884"/>
        <v>0</v>
      </c>
      <c r="BE92" s="301">
        <f t="shared" si="715"/>
        <v>0</v>
      </c>
      <c r="BF92" s="249">
        <f t="shared" si="882"/>
        <v>0</v>
      </c>
      <c r="BG92" s="301">
        <f t="shared" si="716"/>
        <v>0</v>
      </c>
      <c r="BH92" s="249">
        <f t="shared" si="885"/>
        <v>0</v>
      </c>
      <c r="BI92" s="301">
        <f t="shared" si="892"/>
        <v>0</v>
      </c>
      <c r="BJ92" s="249">
        <f t="shared" si="885"/>
        <v>0</v>
      </c>
      <c r="BK92" s="301">
        <f t="shared" si="892"/>
        <v>0</v>
      </c>
      <c r="BL92" s="249">
        <f t="shared" si="661"/>
        <v>0</v>
      </c>
      <c r="BM92" s="299">
        <f t="shared" si="718"/>
        <v>0</v>
      </c>
      <c r="BN92" s="252">
        <f t="shared" si="719"/>
        <v>0</v>
      </c>
      <c r="BO92" s="312">
        <f t="shared" si="685"/>
        <v>0</v>
      </c>
      <c r="BQ92" s="1"/>
      <c r="BR92" s="2"/>
      <c r="BS92" s="255">
        <f t="shared" si="886"/>
        <v>0</v>
      </c>
      <c r="BT92" s="249">
        <f t="shared" si="881"/>
        <v>0</v>
      </c>
      <c r="BU92" s="336">
        <f t="shared" si="720"/>
        <v>0</v>
      </c>
      <c r="BV92" s="279">
        <f t="shared" si="721"/>
        <v>0</v>
      </c>
      <c r="BW92" s="339">
        <f t="shared" si="722"/>
        <v>0</v>
      </c>
      <c r="BX92" s="279">
        <f t="shared" si="721"/>
        <v>0</v>
      </c>
      <c r="BY92" s="339">
        <f t="shared" si="723"/>
        <v>0</v>
      </c>
      <c r="BZ92" s="279">
        <f t="shared" si="721"/>
        <v>0</v>
      </c>
      <c r="CA92" s="339">
        <f t="shared" si="724"/>
        <v>0</v>
      </c>
      <c r="CB92" s="279">
        <f t="shared" si="721"/>
        <v>0</v>
      </c>
      <c r="CC92" s="339">
        <f t="shared" si="725"/>
        <v>0</v>
      </c>
      <c r="CD92" s="279">
        <f t="shared" si="721"/>
        <v>0</v>
      </c>
      <c r="CE92" s="339">
        <f t="shared" si="726"/>
        <v>0</v>
      </c>
      <c r="CF92" s="279">
        <f t="shared" si="721"/>
        <v>0</v>
      </c>
      <c r="CG92" s="339">
        <f t="shared" si="727"/>
        <v>0</v>
      </c>
      <c r="CH92" s="279">
        <f t="shared" si="721"/>
        <v>0</v>
      </c>
      <c r="CI92" s="339">
        <f t="shared" si="728"/>
        <v>0</v>
      </c>
      <c r="CJ92" s="279">
        <f t="shared" si="729"/>
        <v>0</v>
      </c>
      <c r="CK92" s="339">
        <f t="shared" si="730"/>
        <v>0</v>
      </c>
      <c r="CL92" s="279">
        <f t="shared" si="463"/>
        <v>0</v>
      </c>
      <c r="CM92" s="339">
        <f t="shared" si="731"/>
        <v>0</v>
      </c>
      <c r="CN92" s="279">
        <f t="shared" si="732"/>
        <v>0</v>
      </c>
      <c r="CO92" s="339">
        <f t="shared" si="733"/>
        <v>0</v>
      </c>
      <c r="CP92" s="279">
        <f t="shared" si="464"/>
        <v>0</v>
      </c>
      <c r="CQ92" s="250">
        <f t="shared" si="905"/>
        <v>0</v>
      </c>
      <c r="CR92" s="252">
        <f t="shared" si="734"/>
        <v>0</v>
      </c>
      <c r="CS92" s="251">
        <f t="shared" si="887"/>
        <v>0</v>
      </c>
      <c r="CU92" s="1"/>
      <c r="CV92" s="2"/>
      <c r="CW92" s="255">
        <f t="shared" si="299"/>
        <v>0</v>
      </c>
      <c r="CX92" s="249">
        <f t="shared" si="735"/>
        <v>0</v>
      </c>
      <c r="CY92" s="250">
        <f t="shared" si="736"/>
        <v>0</v>
      </c>
      <c r="CZ92" s="279">
        <f t="shared" si="870"/>
        <v>0</v>
      </c>
      <c r="DA92" s="299">
        <f t="shared" si="736"/>
        <v>0</v>
      </c>
      <c r="DB92" s="279">
        <f t="shared" si="870"/>
        <v>0</v>
      </c>
      <c r="DC92" s="299">
        <f t="shared" si="737"/>
        <v>0</v>
      </c>
      <c r="DD92" s="279">
        <f t="shared" si="870"/>
        <v>0</v>
      </c>
      <c r="DE92" s="299">
        <f t="shared" si="738"/>
        <v>0</v>
      </c>
      <c r="DF92" s="279">
        <f t="shared" si="870"/>
        <v>0</v>
      </c>
      <c r="DG92" s="299">
        <f t="shared" si="739"/>
        <v>0</v>
      </c>
      <c r="DH92" s="279">
        <f t="shared" si="870"/>
        <v>0</v>
      </c>
      <c r="DI92" s="299">
        <f t="shared" si="740"/>
        <v>0</v>
      </c>
      <c r="DJ92" s="279">
        <f t="shared" si="870"/>
        <v>0</v>
      </c>
      <c r="DK92" s="299">
        <f t="shared" si="741"/>
        <v>0</v>
      </c>
      <c r="DL92" s="279">
        <f t="shared" si="870"/>
        <v>0</v>
      </c>
      <c r="DM92" s="299">
        <f t="shared" si="742"/>
        <v>0</v>
      </c>
      <c r="DN92" s="279">
        <f t="shared" si="743"/>
        <v>0</v>
      </c>
      <c r="DO92" s="299">
        <f t="shared" si="744"/>
        <v>0</v>
      </c>
      <c r="DP92" s="279">
        <f t="shared" si="471"/>
        <v>0</v>
      </c>
      <c r="DQ92" s="299">
        <f t="shared" si="745"/>
        <v>0</v>
      </c>
      <c r="DR92" s="279">
        <f t="shared" si="746"/>
        <v>0</v>
      </c>
      <c r="DS92" s="299">
        <f t="shared" si="747"/>
        <v>0</v>
      </c>
      <c r="DT92" s="279">
        <f t="shared" si="472"/>
        <v>0</v>
      </c>
      <c r="DU92" s="299">
        <f t="shared" si="748"/>
        <v>0</v>
      </c>
      <c r="DV92" s="252">
        <f t="shared" si="749"/>
        <v>0</v>
      </c>
      <c r="DW92" s="251">
        <f t="shared" si="888"/>
        <v>0</v>
      </c>
      <c r="DY92" s="256">
        <v>0</v>
      </c>
      <c r="DZ92" s="2"/>
      <c r="EA92" s="254">
        <f t="shared" si="906"/>
        <v>0</v>
      </c>
      <c r="EB92" s="249">
        <f t="shared" si="871"/>
        <v>0</v>
      </c>
      <c r="EC92" s="250">
        <f t="shared" si="750"/>
        <v>0</v>
      </c>
      <c r="ED92" s="356">
        <f t="shared" si="871"/>
        <v>0</v>
      </c>
      <c r="EE92" s="250">
        <f t="shared" si="750"/>
        <v>0</v>
      </c>
      <c r="EF92" s="249">
        <f t="shared" si="872"/>
        <v>0</v>
      </c>
      <c r="EG92" s="250">
        <f t="shared" si="893"/>
        <v>0</v>
      </c>
      <c r="EH92" s="249">
        <f t="shared" si="872"/>
        <v>0</v>
      </c>
      <c r="EI92" s="250">
        <f t="shared" si="893"/>
        <v>0</v>
      </c>
      <c r="EJ92" s="249">
        <f t="shared" si="872"/>
        <v>0</v>
      </c>
      <c r="EK92" s="250">
        <f t="shared" si="752"/>
        <v>0</v>
      </c>
      <c r="EL92" s="249">
        <f t="shared" si="872"/>
        <v>0</v>
      </c>
      <c r="EM92" s="250">
        <f t="shared" si="753"/>
        <v>0</v>
      </c>
      <c r="EN92" s="249">
        <f t="shared" si="872"/>
        <v>0</v>
      </c>
      <c r="EO92" s="250">
        <f t="shared" si="754"/>
        <v>0</v>
      </c>
      <c r="EP92" s="249">
        <f t="shared" si="872"/>
        <v>0</v>
      </c>
      <c r="EQ92" s="250">
        <f t="shared" si="755"/>
        <v>0</v>
      </c>
      <c r="ER92" s="249">
        <f t="shared" si="872"/>
        <v>0</v>
      </c>
      <c r="ES92" s="250">
        <f t="shared" si="756"/>
        <v>0</v>
      </c>
      <c r="ET92" s="249">
        <f t="shared" si="391"/>
        <v>0</v>
      </c>
      <c r="EU92" s="250">
        <f t="shared" si="757"/>
        <v>0</v>
      </c>
      <c r="EV92" s="249">
        <f t="shared" si="758"/>
        <v>0</v>
      </c>
      <c r="EW92" s="250">
        <f t="shared" si="759"/>
        <v>0</v>
      </c>
      <c r="EX92" s="249">
        <f t="shared" si="392"/>
        <v>0</v>
      </c>
      <c r="EY92" s="250">
        <f t="shared" si="760"/>
        <v>0</v>
      </c>
      <c r="EZ92" s="252">
        <f t="shared" si="761"/>
        <v>0</v>
      </c>
      <c r="FA92" s="251">
        <f t="shared" si="907"/>
        <v>0</v>
      </c>
      <c r="FC92" s="1"/>
      <c r="FD92" s="2"/>
      <c r="FE92" s="257">
        <f t="shared" si="908"/>
        <v>0</v>
      </c>
      <c r="FF92" s="249">
        <f t="shared" si="762"/>
        <v>0</v>
      </c>
      <c r="FG92" s="250">
        <f t="shared" si="763"/>
        <v>0</v>
      </c>
      <c r="FH92" s="372">
        <f t="shared" si="873"/>
        <v>0</v>
      </c>
      <c r="FI92" s="339">
        <f t="shared" si="764"/>
        <v>0</v>
      </c>
      <c r="FJ92" s="372">
        <f t="shared" si="873"/>
        <v>0</v>
      </c>
      <c r="FK92" s="339">
        <f t="shared" si="764"/>
        <v>0</v>
      </c>
      <c r="FL92" s="372">
        <f t="shared" si="873"/>
        <v>0</v>
      </c>
      <c r="FM92" s="339">
        <f t="shared" si="765"/>
        <v>0</v>
      </c>
      <c r="FN92" s="372">
        <f t="shared" si="873"/>
        <v>0</v>
      </c>
      <c r="FO92" s="339">
        <f t="shared" si="766"/>
        <v>0</v>
      </c>
      <c r="FP92" s="372">
        <f t="shared" si="873"/>
        <v>0</v>
      </c>
      <c r="FQ92" s="339">
        <f t="shared" si="767"/>
        <v>0</v>
      </c>
      <c r="FR92" s="372">
        <f t="shared" si="873"/>
        <v>0</v>
      </c>
      <c r="FS92" s="339">
        <f t="shared" si="768"/>
        <v>0</v>
      </c>
      <c r="FT92" s="372">
        <f t="shared" si="873"/>
        <v>0</v>
      </c>
      <c r="FU92" s="339">
        <f t="shared" si="769"/>
        <v>0</v>
      </c>
      <c r="FV92" s="372">
        <f t="shared" si="770"/>
        <v>0</v>
      </c>
      <c r="FW92" s="339">
        <f t="shared" si="771"/>
        <v>0</v>
      </c>
      <c r="FX92" s="372">
        <f t="shared" si="479"/>
        <v>0</v>
      </c>
      <c r="FY92" s="339">
        <f t="shared" si="772"/>
        <v>0</v>
      </c>
      <c r="FZ92" s="372">
        <f t="shared" si="773"/>
        <v>0</v>
      </c>
      <c r="GA92" s="339">
        <f t="shared" si="774"/>
        <v>0</v>
      </c>
      <c r="GB92" s="372">
        <f t="shared" si="480"/>
        <v>0</v>
      </c>
      <c r="GC92" s="339">
        <f t="shared" si="775"/>
        <v>0</v>
      </c>
      <c r="GD92" s="252">
        <f t="shared" si="776"/>
        <v>0</v>
      </c>
      <c r="GE92" s="251">
        <f t="shared" si="686"/>
        <v>0</v>
      </c>
      <c r="GG92" s="1"/>
      <c r="GH92" s="2">
        <v>0.2</v>
      </c>
      <c r="GI92" s="257">
        <f t="shared" si="909"/>
        <v>0</v>
      </c>
      <c r="GJ92" s="249">
        <f t="shared" si="777"/>
        <v>0</v>
      </c>
      <c r="GK92" s="250">
        <f t="shared" si="778"/>
        <v>0</v>
      </c>
      <c r="GL92" s="249">
        <f t="shared" si="777"/>
        <v>0</v>
      </c>
      <c r="GM92" s="250">
        <f t="shared" si="778"/>
        <v>0</v>
      </c>
      <c r="GN92" s="249">
        <f t="shared" si="777"/>
        <v>0</v>
      </c>
      <c r="GO92" s="250">
        <f t="shared" si="894"/>
        <v>0</v>
      </c>
      <c r="GP92" s="249">
        <f t="shared" si="777"/>
        <v>0</v>
      </c>
      <c r="GQ92" s="250">
        <f t="shared" si="895"/>
        <v>0</v>
      </c>
      <c r="GR92" s="249">
        <f t="shared" si="777"/>
        <v>0</v>
      </c>
      <c r="GS92" s="250">
        <f t="shared" si="896"/>
        <v>0</v>
      </c>
      <c r="GT92" s="249">
        <f t="shared" si="777"/>
        <v>0</v>
      </c>
      <c r="GU92" s="250">
        <f t="shared" si="897"/>
        <v>0</v>
      </c>
      <c r="GV92" s="249">
        <f t="shared" si="777"/>
        <v>0</v>
      </c>
      <c r="GW92" s="250">
        <f t="shared" si="898"/>
        <v>0</v>
      </c>
      <c r="GX92" s="249">
        <f t="shared" si="784"/>
        <v>0</v>
      </c>
      <c r="GY92" s="250">
        <f t="shared" si="899"/>
        <v>0</v>
      </c>
      <c r="GZ92" s="249">
        <f t="shared" si="786"/>
        <v>0</v>
      </c>
      <c r="HA92" s="250">
        <f t="shared" si="900"/>
        <v>0</v>
      </c>
      <c r="HB92" s="249">
        <f t="shared" si="788"/>
        <v>0</v>
      </c>
      <c r="HC92" s="250">
        <f t="shared" si="901"/>
        <v>0</v>
      </c>
      <c r="HD92" s="249">
        <f t="shared" si="790"/>
        <v>0</v>
      </c>
      <c r="HE92" s="250">
        <f t="shared" si="902"/>
        <v>0</v>
      </c>
      <c r="HF92" s="249">
        <f t="shared" si="792"/>
        <v>0</v>
      </c>
      <c r="HG92" s="250">
        <f t="shared" si="903"/>
        <v>0</v>
      </c>
      <c r="HH92" s="252">
        <f t="shared" si="794"/>
        <v>0</v>
      </c>
      <c r="HI92" s="251">
        <f t="shared" si="910"/>
        <v>0</v>
      </c>
      <c r="HK92" s="1"/>
      <c r="HL92" s="2"/>
      <c r="HM92" s="257">
        <f t="shared" si="911"/>
        <v>0</v>
      </c>
      <c r="HN92" s="249">
        <f t="shared" si="795"/>
        <v>0</v>
      </c>
      <c r="HO92" s="250">
        <f t="shared" si="912"/>
        <v>0</v>
      </c>
      <c r="HP92" s="249">
        <f t="shared" si="796"/>
        <v>0</v>
      </c>
      <c r="HQ92" s="250">
        <f t="shared" si="797"/>
        <v>0</v>
      </c>
      <c r="HR92" s="249">
        <f t="shared" si="796"/>
        <v>0</v>
      </c>
      <c r="HS92" s="250">
        <f t="shared" si="797"/>
        <v>0</v>
      </c>
      <c r="HT92" s="249">
        <f t="shared" si="796"/>
        <v>0</v>
      </c>
      <c r="HU92" s="250">
        <f t="shared" si="798"/>
        <v>0</v>
      </c>
      <c r="HV92" s="249">
        <f t="shared" si="796"/>
        <v>0</v>
      </c>
      <c r="HW92" s="250">
        <f t="shared" si="799"/>
        <v>0</v>
      </c>
      <c r="HX92" s="249">
        <f t="shared" si="796"/>
        <v>0</v>
      </c>
      <c r="HY92" s="250">
        <f t="shared" si="800"/>
        <v>0</v>
      </c>
      <c r="HZ92" s="249">
        <f t="shared" si="796"/>
        <v>0</v>
      </c>
      <c r="IA92" s="250">
        <f t="shared" si="801"/>
        <v>0</v>
      </c>
      <c r="IB92" s="249">
        <f t="shared" si="796"/>
        <v>0</v>
      </c>
      <c r="IC92" s="250">
        <f t="shared" si="802"/>
        <v>0</v>
      </c>
      <c r="ID92" s="249">
        <f t="shared" si="803"/>
        <v>0</v>
      </c>
      <c r="IE92" s="250">
        <f t="shared" si="804"/>
        <v>0</v>
      </c>
      <c r="IF92" s="249">
        <f t="shared" si="805"/>
        <v>0</v>
      </c>
      <c r="IG92" s="250">
        <f t="shared" si="806"/>
        <v>0</v>
      </c>
      <c r="IH92" s="249">
        <f t="shared" si="807"/>
        <v>0</v>
      </c>
      <c r="II92" s="250">
        <f t="shared" si="808"/>
        <v>0</v>
      </c>
      <c r="IJ92" s="249">
        <f t="shared" si="809"/>
        <v>0</v>
      </c>
      <c r="IK92" s="250">
        <f t="shared" si="810"/>
        <v>0</v>
      </c>
      <c r="IL92" s="252">
        <f t="shared" si="811"/>
        <v>0</v>
      </c>
      <c r="IM92" s="251">
        <f t="shared" si="812"/>
        <v>0</v>
      </c>
      <c r="IO92" s="1"/>
      <c r="IP92" s="2">
        <v>8.3333333333333329E-2</v>
      </c>
      <c r="IQ92" s="257">
        <f t="shared" si="913"/>
        <v>0</v>
      </c>
      <c r="IR92" s="249">
        <f t="shared" si="813"/>
        <v>0</v>
      </c>
      <c r="IS92" s="250">
        <f t="shared" si="814"/>
        <v>0</v>
      </c>
      <c r="IT92" s="279">
        <f t="shared" si="874"/>
        <v>0</v>
      </c>
      <c r="IU92" s="289">
        <f t="shared" si="815"/>
        <v>0</v>
      </c>
      <c r="IV92" s="279">
        <f t="shared" si="874"/>
        <v>0</v>
      </c>
      <c r="IW92" s="289">
        <f t="shared" si="815"/>
        <v>0</v>
      </c>
      <c r="IX92" s="279">
        <f t="shared" si="874"/>
        <v>0</v>
      </c>
      <c r="IY92" s="289">
        <f t="shared" si="816"/>
        <v>0</v>
      </c>
      <c r="IZ92" s="279">
        <f t="shared" si="874"/>
        <v>0</v>
      </c>
      <c r="JA92" s="289">
        <f t="shared" si="817"/>
        <v>0</v>
      </c>
      <c r="JB92" s="279">
        <f t="shared" si="874"/>
        <v>0</v>
      </c>
      <c r="JC92" s="289">
        <f t="shared" si="818"/>
        <v>0</v>
      </c>
      <c r="JD92" s="279">
        <f t="shared" si="874"/>
        <v>0</v>
      </c>
      <c r="JE92" s="289">
        <f t="shared" si="819"/>
        <v>0</v>
      </c>
      <c r="JF92" s="279">
        <f t="shared" si="874"/>
        <v>0</v>
      </c>
      <c r="JG92" s="289">
        <f t="shared" si="820"/>
        <v>0</v>
      </c>
      <c r="JH92" s="279">
        <f t="shared" si="821"/>
        <v>0</v>
      </c>
      <c r="JI92" s="289">
        <f t="shared" si="822"/>
        <v>0</v>
      </c>
      <c r="JJ92" s="279">
        <f t="shared" si="407"/>
        <v>0</v>
      </c>
      <c r="JK92" s="289">
        <f t="shared" si="823"/>
        <v>0</v>
      </c>
      <c r="JL92" s="279">
        <f t="shared" si="824"/>
        <v>0</v>
      </c>
      <c r="JM92" s="289">
        <f t="shared" si="825"/>
        <v>0</v>
      </c>
      <c r="JN92" s="279">
        <f t="shared" si="408"/>
        <v>0</v>
      </c>
      <c r="JO92" s="289">
        <f t="shared" si="826"/>
        <v>0</v>
      </c>
      <c r="JP92" s="252">
        <f t="shared" si="827"/>
        <v>0</v>
      </c>
      <c r="JQ92" s="251">
        <f t="shared" si="828"/>
        <v>0</v>
      </c>
      <c r="JS92" s="1"/>
      <c r="JT92" s="2">
        <v>8.3333333333333329E-2</v>
      </c>
      <c r="JU92" s="257">
        <f t="shared" si="914"/>
        <v>0</v>
      </c>
      <c r="JV92" s="249">
        <f t="shared" si="829"/>
        <v>0</v>
      </c>
      <c r="JW92" s="250">
        <f t="shared" si="830"/>
        <v>0</v>
      </c>
      <c r="JX92" s="372">
        <f t="shared" si="875"/>
        <v>0</v>
      </c>
      <c r="JY92" s="339">
        <f t="shared" si="831"/>
        <v>0</v>
      </c>
      <c r="JZ92" s="372">
        <f t="shared" si="875"/>
        <v>0</v>
      </c>
      <c r="KA92" s="339">
        <f t="shared" si="831"/>
        <v>0</v>
      </c>
      <c r="KB92" s="372">
        <f t="shared" si="875"/>
        <v>0</v>
      </c>
      <c r="KC92" s="339">
        <f t="shared" si="832"/>
        <v>0</v>
      </c>
      <c r="KD92" s="372">
        <f t="shared" si="875"/>
        <v>0</v>
      </c>
      <c r="KE92" s="339">
        <f t="shared" si="833"/>
        <v>0</v>
      </c>
      <c r="KF92" s="372">
        <f t="shared" si="875"/>
        <v>0</v>
      </c>
      <c r="KG92" s="339">
        <f t="shared" si="834"/>
        <v>0</v>
      </c>
      <c r="KH92" s="372">
        <f t="shared" si="875"/>
        <v>0</v>
      </c>
      <c r="KI92" s="339">
        <f t="shared" si="835"/>
        <v>0</v>
      </c>
      <c r="KJ92" s="372">
        <f t="shared" si="875"/>
        <v>0</v>
      </c>
      <c r="KK92" s="339">
        <f t="shared" si="836"/>
        <v>0</v>
      </c>
      <c r="KL92" s="372">
        <f t="shared" si="837"/>
        <v>0</v>
      </c>
      <c r="KM92" s="339">
        <f t="shared" si="838"/>
        <v>0</v>
      </c>
      <c r="KN92" s="372">
        <f t="shared" si="677"/>
        <v>0</v>
      </c>
      <c r="KO92" s="339">
        <f t="shared" si="839"/>
        <v>0</v>
      </c>
      <c r="KP92" s="372">
        <f t="shared" si="840"/>
        <v>0</v>
      </c>
      <c r="KQ92" s="339">
        <f t="shared" si="841"/>
        <v>0</v>
      </c>
      <c r="KR92" s="372">
        <f t="shared" si="678"/>
        <v>0</v>
      </c>
      <c r="KS92" s="377">
        <f t="shared" si="842"/>
        <v>0</v>
      </c>
      <c r="KT92" s="379">
        <f t="shared" si="843"/>
        <v>0</v>
      </c>
      <c r="KU92" s="251">
        <f t="shared" si="915"/>
        <v>0</v>
      </c>
      <c r="KW92" s="1"/>
      <c r="KX92" s="2">
        <v>8.3333333333333329E-2</v>
      </c>
      <c r="KY92" s="254">
        <f t="shared" si="680"/>
        <v>0</v>
      </c>
      <c r="KZ92" s="249">
        <f t="shared" si="876"/>
        <v>0</v>
      </c>
      <c r="LA92" s="251">
        <f t="shared" si="681"/>
        <v>0</v>
      </c>
      <c r="LB92" s="279">
        <f t="shared" si="844"/>
        <v>0</v>
      </c>
      <c r="LC92" s="339">
        <f t="shared" si="845"/>
        <v>0</v>
      </c>
      <c r="LD92" s="279">
        <f t="shared" si="844"/>
        <v>0</v>
      </c>
      <c r="LE92" s="339">
        <f t="shared" si="845"/>
        <v>0</v>
      </c>
      <c r="LF92" s="279">
        <f t="shared" si="844"/>
        <v>0</v>
      </c>
      <c r="LG92" s="339">
        <f t="shared" si="846"/>
        <v>0</v>
      </c>
      <c r="LH92" s="279">
        <f t="shared" si="844"/>
        <v>0</v>
      </c>
      <c r="LI92" s="339">
        <f t="shared" si="847"/>
        <v>0</v>
      </c>
      <c r="LJ92" s="279">
        <f t="shared" si="844"/>
        <v>0</v>
      </c>
      <c r="LK92" s="339">
        <f t="shared" si="848"/>
        <v>0</v>
      </c>
      <c r="LL92" s="279">
        <f t="shared" si="844"/>
        <v>0</v>
      </c>
      <c r="LM92" s="339">
        <f t="shared" si="849"/>
        <v>0</v>
      </c>
      <c r="LN92" s="279">
        <f t="shared" si="844"/>
        <v>0</v>
      </c>
      <c r="LO92" s="339">
        <f t="shared" si="850"/>
        <v>0</v>
      </c>
      <c r="LP92" s="279">
        <f t="shared" si="877"/>
        <v>0</v>
      </c>
      <c r="LQ92" s="339">
        <f t="shared" si="851"/>
        <v>0</v>
      </c>
      <c r="LR92" s="279">
        <f t="shared" si="878"/>
        <v>0</v>
      </c>
      <c r="LS92" s="339">
        <f t="shared" si="852"/>
        <v>0</v>
      </c>
      <c r="LT92" s="279">
        <f t="shared" si="879"/>
        <v>0</v>
      </c>
      <c r="LU92" s="339">
        <f t="shared" si="853"/>
        <v>0</v>
      </c>
      <c r="LV92" s="279">
        <f t="shared" si="880"/>
        <v>0</v>
      </c>
      <c r="LW92" s="339">
        <f t="shared" si="854"/>
        <v>0</v>
      </c>
      <c r="LX92" s="252">
        <f t="shared" si="855"/>
        <v>0</v>
      </c>
      <c r="LY92" s="253">
        <f t="shared" si="856"/>
        <v>0</v>
      </c>
      <c r="MA92" s="249">
        <f t="shared" si="688"/>
        <v>0</v>
      </c>
      <c r="MB92" s="253">
        <f t="shared" si="857"/>
        <v>0</v>
      </c>
      <c r="MC92" s="397">
        <f t="shared" si="689"/>
        <v>0</v>
      </c>
      <c r="MD92" s="253">
        <f t="shared" si="858"/>
        <v>0</v>
      </c>
      <c r="ME92" s="397">
        <f t="shared" si="690"/>
        <v>0</v>
      </c>
      <c r="MF92" s="253">
        <f t="shared" si="858"/>
        <v>0</v>
      </c>
      <c r="MG92" s="397">
        <f t="shared" si="691"/>
        <v>0</v>
      </c>
      <c r="MH92" s="253">
        <f t="shared" si="859"/>
        <v>0</v>
      </c>
      <c r="MI92" s="397">
        <f t="shared" si="692"/>
        <v>0</v>
      </c>
      <c r="MJ92" s="253">
        <f t="shared" si="860"/>
        <v>0</v>
      </c>
      <c r="MK92" s="397">
        <f t="shared" si="693"/>
        <v>0</v>
      </c>
      <c r="ML92" s="253">
        <f t="shared" si="861"/>
        <v>0</v>
      </c>
      <c r="MM92" s="397">
        <f t="shared" si="694"/>
        <v>0</v>
      </c>
      <c r="MN92" s="253">
        <f t="shared" si="862"/>
        <v>0</v>
      </c>
      <c r="MO92" s="397">
        <f t="shared" si="695"/>
        <v>0</v>
      </c>
      <c r="MP92" s="253">
        <f t="shared" si="863"/>
        <v>0</v>
      </c>
      <c r="MQ92" s="397">
        <f t="shared" si="696"/>
        <v>0</v>
      </c>
      <c r="MR92" s="253">
        <f t="shared" si="864"/>
        <v>0</v>
      </c>
      <c r="MS92" s="397">
        <f t="shared" si="697"/>
        <v>0</v>
      </c>
      <c r="MT92" s="253">
        <f t="shared" si="865"/>
        <v>0</v>
      </c>
      <c r="MU92" s="397">
        <f t="shared" si="698"/>
        <v>0</v>
      </c>
      <c r="MV92" s="253">
        <f t="shared" si="866"/>
        <v>0</v>
      </c>
      <c r="MW92" s="397">
        <f t="shared" si="699"/>
        <v>0</v>
      </c>
      <c r="MX92" s="253">
        <f t="shared" si="867"/>
        <v>0</v>
      </c>
      <c r="MY92" s="252">
        <f t="shared" si="868"/>
        <v>0</v>
      </c>
      <c r="MZ92" s="251">
        <f t="shared" si="869"/>
        <v>0</v>
      </c>
    </row>
    <row r="93" spans="1:364" ht="52.8" x14ac:dyDescent="0.25">
      <c r="A93" s="533"/>
      <c r="B93" s="245" t="s">
        <v>194</v>
      </c>
      <c r="C93" s="246" t="s">
        <v>195</v>
      </c>
      <c r="D93" s="247" t="s">
        <v>119</v>
      </c>
      <c r="E93" s="4">
        <v>10</v>
      </c>
      <c r="F93" s="353">
        <v>5189732.7146584438</v>
      </c>
      <c r="G93" s="353">
        <f t="shared" si="700"/>
        <v>5406021.0037950659</v>
      </c>
      <c r="I93" s="30"/>
      <c r="J93" s="2">
        <v>8.3333333333333329E-2</v>
      </c>
      <c r="K93" s="248">
        <f t="shared" si="701"/>
        <v>0</v>
      </c>
      <c r="L93" s="249"/>
      <c r="M93" s="301">
        <f t="shared" si="445"/>
        <v>0</v>
      </c>
      <c r="N93" s="279">
        <f t="shared" si="889"/>
        <v>0</v>
      </c>
      <c r="O93" s="289">
        <f t="shared" si="916"/>
        <v>0</v>
      </c>
      <c r="P93" s="279">
        <f t="shared" si="889"/>
        <v>0</v>
      </c>
      <c r="Q93" s="289">
        <f t="shared" si="916"/>
        <v>0</v>
      </c>
      <c r="R93" s="279">
        <f t="shared" si="889"/>
        <v>0</v>
      </c>
      <c r="S93" s="289">
        <f t="shared" si="702"/>
        <v>0</v>
      </c>
      <c r="T93" s="279">
        <f t="shared" si="889"/>
        <v>0</v>
      </c>
      <c r="U93" s="289">
        <f t="shared" si="703"/>
        <v>0</v>
      </c>
      <c r="V93" s="279">
        <f t="shared" si="889"/>
        <v>0</v>
      </c>
      <c r="W93" s="289">
        <f t="shared" si="704"/>
        <v>0</v>
      </c>
      <c r="X93" s="279">
        <f t="shared" si="889"/>
        <v>0</v>
      </c>
      <c r="Y93" s="289">
        <f t="shared" si="705"/>
        <v>0</v>
      </c>
      <c r="Z93" s="279">
        <f t="shared" si="889"/>
        <v>0</v>
      </c>
      <c r="AA93" s="289">
        <f t="shared" si="706"/>
        <v>0</v>
      </c>
      <c r="AB93" s="279">
        <f t="shared" si="889"/>
        <v>0</v>
      </c>
      <c r="AC93" s="289">
        <f t="shared" si="707"/>
        <v>0</v>
      </c>
      <c r="AD93" s="279">
        <f t="shared" si="889"/>
        <v>0</v>
      </c>
      <c r="AE93" s="289">
        <f t="shared" si="708"/>
        <v>0</v>
      </c>
      <c r="AF93" s="279">
        <f t="shared" si="889"/>
        <v>0</v>
      </c>
      <c r="AG93" s="289">
        <f t="shared" si="890"/>
        <v>0</v>
      </c>
      <c r="AH93" s="249">
        <f t="shared" si="456"/>
        <v>0</v>
      </c>
      <c r="AI93" s="299">
        <f t="shared" si="891"/>
        <v>0</v>
      </c>
      <c r="AJ93" s="252">
        <f t="shared" si="709"/>
        <v>0</v>
      </c>
      <c r="AK93" s="312">
        <f t="shared" si="710"/>
        <v>0</v>
      </c>
      <c r="AM93" s="1"/>
      <c r="AN93" s="2">
        <v>8.3333333333333329E-2</v>
      </c>
      <c r="AO93" s="254">
        <f t="shared" si="904"/>
        <v>0</v>
      </c>
      <c r="AP93" s="249">
        <f t="shared" ref="AP93:AP110" si="917">+$AM93*$AN93</f>
        <v>0</v>
      </c>
      <c r="AQ93" s="301">
        <f t="shared" si="683"/>
        <v>0</v>
      </c>
      <c r="AR93" s="249">
        <f t="shared" si="884"/>
        <v>0</v>
      </c>
      <c r="AS93" s="301">
        <f t="shared" si="683"/>
        <v>0</v>
      </c>
      <c r="AT93" s="249">
        <f t="shared" si="884"/>
        <v>0</v>
      </c>
      <c r="AU93" s="301">
        <f t="shared" si="684"/>
        <v>0</v>
      </c>
      <c r="AV93" s="249">
        <f t="shared" si="884"/>
        <v>0</v>
      </c>
      <c r="AW93" s="301">
        <f t="shared" si="711"/>
        <v>0</v>
      </c>
      <c r="AX93" s="249">
        <f t="shared" si="884"/>
        <v>0</v>
      </c>
      <c r="AY93" s="301">
        <f t="shared" si="712"/>
        <v>0</v>
      </c>
      <c r="AZ93" s="249">
        <f t="shared" si="884"/>
        <v>0</v>
      </c>
      <c r="BA93" s="301">
        <f t="shared" si="713"/>
        <v>0</v>
      </c>
      <c r="BB93" s="249">
        <f t="shared" si="884"/>
        <v>0</v>
      </c>
      <c r="BC93" s="301">
        <f t="shared" si="714"/>
        <v>0</v>
      </c>
      <c r="BD93" s="249">
        <f t="shared" si="884"/>
        <v>0</v>
      </c>
      <c r="BE93" s="301">
        <f t="shared" si="715"/>
        <v>0</v>
      </c>
      <c r="BF93" s="249">
        <f t="shared" si="882"/>
        <v>0</v>
      </c>
      <c r="BG93" s="301">
        <f t="shared" si="716"/>
        <v>0</v>
      </c>
      <c r="BH93" s="249">
        <f t="shared" si="885"/>
        <v>0</v>
      </c>
      <c r="BI93" s="301">
        <f t="shared" si="892"/>
        <v>0</v>
      </c>
      <c r="BJ93" s="249">
        <f t="shared" si="885"/>
        <v>0</v>
      </c>
      <c r="BK93" s="301">
        <f t="shared" si="892"/>
        <v>0</v>
      </c>
      <c r="BL93" s="249">
        <f t="shared" si="661"/>
        <v>0</v>
      </c>
      <c r="BM93" s="299">
        <f t="shared" si="718"/>
        <v>0</v>
      </c>
      <c r="BN93" s="252">
        <f t="shared" si="719"/>
        <v>0</v>
      </c>
      <c r="BO93" s="312">
        <f t="shared" si="685"/>
        <v>0</v>
      </c>
      <c r="BQ93" s="1"/>
      <c r="BR93" s="2"/>
      <c r="BS93" s="255">
        <f t="shared" si="886"/>
        <v>0</v>
      </c>
      <c r="BT93" s="249">
        <f t="shared" si="881"/>
        <v>0</v>
      </c>
      <c r="BU93" s="336">
        <f t="shared" si="720"/>
        <v>0</v>
      </c>
      <c r="BV93" s="279">
        <f t="shared" si="721"/>
        <v>0</v>
      </c>
      <c r="BW93" s="339">
        <f t="shared" si="722"/>
        <v>0</v>
      </c>
      <c r="BX93" s="279">
        <f t="shared" si="721"/>
        <v>0</v>
      </c>
      <c r="BY93" s="339">
        <f t="shared" si="723"/>
        <v>0</v>
      </c>
      <c r="BZ93" s="279">
        <f t="shared" si="721"/>
        <v>0</v>
      </c>
      <c r="CA93" s="339">
        <f t="shared" si="724"/>
        <v>0</v>
      </c>
      <c r="CB93" s="279">
        <f t="shared" si="721"/>
        <v>0</v>
      </c>
      <c r="CC93" s="339">
        <f t="shared" si="725"/>
        <v>0</v>
      </c>
      <c r="CD93" s="279">
        <f t="shared" si="721"/>
        <v>0</v>
      </c>
      <c r="CE93" s="339">
        <f t="shared" si="726"/>
        <v>0</v>
      </c>
      <c r="CF93" s="279">
        <f t="shared" si="721"/>
        <v>0</v>
      </c>
      <c r="CG93" s="339">
        <f t="shared" si="727"/>
        <v>0</v>
      </c>
      <c r="CH93" s="279">
        <f t="shared" si="721"/>
        <v>0</v>
      </c>
      <c r="CI93" s="339">
        <f t="shared" si="728"/>
        <v>0</v>
      </c>
      <c r="CJ93" s="279">
        <f t="shared" si="729"/>
        <v>0</v>
      </c>
      <c r="CK93" s="339">
        <f t="shared" si="730"/>
        <v>0</v>
      </c>
      <c r="CL93" s="279">
        <f t="shared" si="463"/>
        <v>0</v>
      </c>
      <c r="CM93" s="339">
        <f t="shared" si="731"/>
        <v>0</v>
      </c>
      <c r="CN93" s="279">
        <f t="shared" si="732"/>
        <v>0</v>
      </c>
      <c r="CO93" s="339">
        <f t="shared" si="733"/>
        <v>0</v>
      </c>
      <c r="CP93" s="279">
        <f t="shared" si="464"/>
        <v>0</v>
      </c>
      <c r="CQ93" s="250">
        <f t="shared" si="905"/>
        <v>0</v>
      </c>
      <c r="CR93" s="252">
        <f t="shared" si="734"/>
        <v>0</v>
      </c>
      <c r="CS93" s="251">
        <f t="shared" si="887"/>
        <v>0</v>
      </c>
      <c r="CU93" s="1"/>
      <c r="CV93" s="2"/>
      <c r="CW93" s="255">
        <f t="shared" si="299"/>
        <v>0</v>
      </c>
      <c r="CX93" s="249">
        <f t="shared" si="735"/>
        <v>0</v>
      </c>
      <c r="CY93" s="250">
        <f t="shared" si="736"/>
        <v>0</v>
      </c>
      <c r="CZ93" s="279">
        <f t="shared" si="870"/>
        <v>0</v>
      </c>
      <c r="DA93" s="299">
        <f t="shared" si="736"/>
        <v>0</v>
      </c>
      <c r="DB93" s="279">
        <f t="shared" si="870"/>
        <v>0</v>
      </c>
      <c r="DC93" s="299">
        <f t="shared" si="737"/>
        <v>0</v>
      </c>
      <c r="DD93" s="279">
        <f t="shared" si="870"/>
        <v>0</v>
      </c>
      <c r="DE93" s="299">
        <f t="shared" si="738"/>
        <v>0</v>
      </c>
      <c r="DF93" s="279">
        <f t="shared" si="870"/>
        <v>0</v>
      </c>
      <c r="DG93" s="299">
        <f t="shared" si="739"/>
        <v>0</v>
      </c>
      <c r="DH93" s="279">
        <f t="shared" si="870"/>
        <v>0</v>
      </c>
      <c r="DI93" s="299">
        <f t="shared" si="740"/>
        <v>0</v>
      </c>
      <c r="DJ93" s="279">
        <f t="shared" si="870"/>
        <v>0</v>
      </c>
      <c r="DK93" s="299">
        <f t="shared" si="741"/>
        <v>0</v>
      </c>
      <c r="DL93" s="279">
        <f t="shared" si="870"/>
        <v>0</v>
      </c>
      <c r="DM93" s="299">
        <f t="shared" si="742"/>
        <v>0</v>
      </c>
      <c r="DN93" s="279">
        <f t="shared" si="743"/>
        <v>0</v>
      </c>
      <c r="DO93" s="299">
        <f t="shared" si="744"/>
        <v>0</v>
      </c>
      <c r="DP93" s="279">
        <f t="shared" si="471"/>
        <v>0</v>
      </c>
      <c r="DQ93" s="299">
        <f t="shared" si="745"/>
        <v>0</v>
      </c>
      <c r="DR93" s="279">
        <f t="shared" si="746"/>
        <v>0</v>
      </c>
      <c r="DS93" s="299">
        <f t="shared" si="747"/>
        <v>0</v>
      </c>
      <c r="DT93" s="279">
        <f t="shared" si="472"/>
        <v>0</v>
      </c>
      <c r="DU93" s="299">
        <f t="shared" si="748"/>
        <v>0</v>
      </c>
      <c r="DV93" s="252">
        <f t="shared" si="749"/>
        <v>0</v>
      </c>
      <c r="DW93" s="251">
        <f t="shared" si="888"/>
        <v>0</v>
      </c>
      <c r="DY93" s="256">
        <v>0</v>
      </c>
      <c r="DZ93" s="2"/>
      <c r="EA93" s="254">
        <f t="shared" si="906"/>
        <v>0</v>
      </c>
      <c r="EB93" s="249">
        <f t="shared" si="871"/>
        <v>0</v>
      </c>
      <c r="EC93" s="250">
        <f t="shared" si="750"/>
        <v>0</v>
      </c>
      <c r="ED93" s="356">
        <f t="shared" si="871"/>
        <v>0</v>
      </c>
      <c r="EE93" s="250">
        <f t="shared" si="750"/>
        <v>0</v>
      </c>
      <c r="EF93" s="249">
        <f t="shared" si="872"/>
        <v>0</v>
      </c>
      <c r="EG93" s="250">
        <f t="shared" si="893"/>
        <v>0</v>
      </c>
      <c r="EH93" s="249">
        <f t="shared" si="872"/>
        <v>0</v>
      </c>
      <c r="EI93" s="250">
        <f t="shared" si="893"/>
        <v>0</v>
      </c>
      <c r="EJ93" s="249">
        <f t="shared" si="872"/>
        <v>0</v>
      </c>
      <c r="EK93" s="250">
        <f t="shared" si="752"/>
        <v>0</v>
      </c>
      <c r="EL93" s="249">
        <f t="shared" si="872"/>
        <v>0</v>
      </c>
      <c r="EM93" s="250">
        <f t="shared" si="753"/>
        <v>0</v>
      </c>
      <c r="EN93" s="249">
        <f t="shared" si="872"/>
        <v>0</v>
      </c>
      <c r="EO93" s="250">
        <f t="shared" si="754"/>
        <v>0</v>
      </c>
      <c r="EP93" s="249">
        <f t="shared" si="872"/>
        <v>0</v>
      </c>
      <c r="EQ93" s="250">
        <f t="shared" si="755"/>
        <v>0</v>
      </c>
      <c r="ER93" s="249">
        <f t="shared" si="872"/>
        <v>0</v>
      </c>
      <c r="ES93" s="250">
        <f t="shared" si="756"/>
        <v>0</v>
      </c>
      <c r="ET93" s="249">
        <f t="shared" si="391"/>
        <v>0</v>
      </c>
      <c r="EU93" s="250">
        <f t="shared" si="757"/>
        <v>0</v>
      </c>
      <c r="EV93" s="249">
        <f t="shared" si="758"/>
        <v>0</v>
      </c>
      <c r="EW93" s="250">
        <f t="shared" si="759"/>
        <v>0</v>
      </c>
      <c r="EX93" s="249">
        <f t="shared" si="392"/>
        <v>0</v>
      </c>
      <c r="EY93" s="250">
        <f t="shared" si="760"/>
        <v>0</v>
      </c>
      <c r="EZ93" s="252">
        <f t="shared" si="761"/>
        <v>0</v>
      </c>
      <c r="FA93" s="251">
        <f t="shared" si="907"/>
        <v>0</v>
      </c>
      <c r="FC93" s="1"/>
      <c r="FD93" s="2"/>
      <c r="FE93" s="257">
        <f t="shared" si="908"/>
        <v>0</v>
      </c>
      <c r="FF93" s="249">
        <f t="shared" si="762"/>
        <v>0</v>
      </c>
      <c r="FG93" s="250">
        <f t="shared" si="763"/>
        <v>0</v>
      </c>
      <c r="FH93" s="372">
        <f t="shared" si="873"/>
        <v>0</v>
      </c>
      <c r="FI93" s="339">
        <f t="shared" si="764"/>
        <v>0</v>
      </c>
      <c r="FJ93" s="372">
        <f t="shared" si="873"/>
        <v>0</v>
      </c>
      <c r="FK93" s="339">
        <f t="shared" si="764"/>
        <v>0</v>
      </c>
      <c r="FL93" s="372">
        <f t="shared" si="873"/>
        <v>0</v>
      </c>
      <c r="FM93" s="339">
        <f t="shared" si="765"/>
        <v>0</v>
      </c>
      <c r="FN93" s="372">
        <f t="shared" si="873"/>
        <v>0</v>
      </c>
      <c r="FO93" s="339">
        <f t="shared" si="766"/>
        <v>0</v>
      </c>
      <c r="FP93" s="372">
        <f t="shared" si="873"/>
        <v>0</v>
      </c>
      <c r="FQ93" s="339">
        <f t="shared" si="767"/>
        <v>0</v>
      </c>
      <c r="FR93" s="372">
        <f t="shared" si="873"/>
        <v>0</v>
      </c>
      <c r="FS93" s="339">
        <f t="shared" si="768"/>
        <v>0</v>
      </c>
      <c r="FT93" s="372">
        <f t="shared" si="873"/>
        <v>0</v>
      </c>
      <c r="FU93" s="339">
        <f t="shared" si="769"/>
        <v>0</v>
      </c>
      <c r="FV93" s="372">
        <f t="shared" si="770"/>
        <v>0</v>
      </c>
      <c r="FW93" s="339">
        <f t="shared" si="771"/>
        <v>0</v>
      </c>
      <c r="FX93" s="372">
        <f t="shared" si="479"/>
        <v>0</v>
      </c>
      <c r="FY93" s="339">
        <f t="shared" si="772"/>
        <v>0</v>
      </c>
      <c r="FZ93" s="372">
        <f t="shared" si="773"/>
        <v>0</v>
      </c>
      <c r="GA93" s="339">
        <f t="shared" si="774"/>
        <v>0</v>
      </c>
      <c r="GB93" s="372">
        <f t="shared" si="480"/>
        <v>0</v>
      </c>
      <c r="GC93" s="339">
        <f t="shared" si="775"/>
        <v>0</v>
      </c>
      <c r="GD93" s="252">
        <f t="shared" si="776"/>
        <v>0</v>
      </c>
      <c r="GE93" s="251">
        <f t="shared" si="686"/>
        <v>0</v>
      </c>
      <c r="GG93" s="1"/>
      <c r="GH93" s="2">
        <v>0.2</v>
      </c>
      <c r="GI93" s="257">
        <f t="shared" si="909"/>
        <v>0</v>
      </c>
      <c r="GJ93" s="249">
        <f t="shared" si="777"/>
        <v>0</v>
      </c>
      <c r="GK93" s="250">
        <f t="shared" si="778"/>
        <v>0</v>
      </c>
      <c r="GL93" s="249">
        <f t="shared" si="777"/>
        <v>0</v>
      </c>
      <c r="GM93" s="250">
        <f t="shared" si="778"/>
        <v>0</v>
      </c>
      <c r="GN93" s="249">
        <f t="shared" si="777"/>
        <v>0</v>
      </c>
      <c r="GO93" s="250">
        <f t="shared" si="894"/>
        <v>0</v>
      </c>
      <c r="GP93" s="249">
        <f t="shared" si="777"/>
        <v>0</v>
      </c>
      <c r="GQ93" s="250">
        <f t="shared" si="895"/>
        <v>0</v>
      </c>
      <c r="GR93" s="249">
        <f t="shared" si="777"/>
        <v>0</v>
      </c>
      <c r="GS93" s="250">
        <f t="shared" si="896"/>
        <v>0</v>
      </c>
      <c r="GT93" s="249">
        <f t="shared" si="777"/>
        <v>0</v>
      </c>
      <c r="GU93" s="250">
        <f t="shared" si="897"/>
        <v>0</v>
      </c>
      <c r="GV93" s="249">
        <f t="shared" si="777"/>
        <v>0</v>
      </c>
      <c r="GW93" s="250">
        <f t="shared" si="898"/>
        <v>0</v>
      </c>
      <c r="GX93" s="249">
        <f t="shared" si="784"/>
        <v>0</v>
      </c>
      <c r="GY93" s="250">
        <f t="shared" si="899"/>
        <v>0</v>
      </c>
      <c r="GZ93" s="249">
        <f t="shared" si="786"/>
        <v>0</v>
      </c>
      <c r="HA93" s="250">
        <f t="shared" si="900"/>
        <v>0</v>
      </c>
      <c r="HB93" s="249">
        <f t="shared" si="788"/>
        <v>0</v>
      </c>
      <c r="HC93" s="250">
        <f t="shared" si="901"/>
        <v>0</v>
      </c>
      <c r="HD93" s="249">
        <f t="shared" si="790"/>
        <v>0</v>
      </c>
      <c r="HE93" s="250">
        <f t="shared" si="902"/>
        <v>0</v>
      </c>
      <c r="HF93" s="249">
        <f t="shared" si="792"/>
        <v>0</v>
      </c>
      <c r="HG93" s="250">
        <f t="shared" si="903"/>
        <v>0</v>
      </c>
      <c r="HH93" s="252">
        <f t="shared" si="794"/>
        <v>0</v>
      </c>
      <c r="HI93" s="251">
        <f t="shared" si="910"/>
        <v>0</v>
      </c>
      <c r="HK93" s="1"/>
      <c r="HL93" s="2"/>
      <c r="HM93" s="257">
        <f t="shared" si="911"/>
        <v>0</v>
      </c>
      <c r="HN93" s="249">
        <f t="shared" si="795"/>
        <v>0</v>
      </c>
      <c r="HO93" s="250">
        <f t="shared" si="912"/>
        <v>0</v>
      </c>
      <c r="HP93" s="249">
        <f t="shared" si="796"/>
        <v>0</v>
      </c>
      <c r="HQ93" s="250">
        <f t="shared" si="797"/>
        <v>0</v>
      </c>
      <c r="HR93" s="249">
        <f t="shared" si="796"/>
        <v>0</v>
      </c>
      <c r="HS93" s="250">
        <f t="shared" si="797"/>
        <v>0</v>
      </c>
      <c r="HT93" s="249">
        <f t="shared" si="796"/>
        <v>0</v>
      </c>
      <c r="HU93" s="250">
        <f t="shared" si="798"/>
        <v>0</v>
      </c>
      <c r="HV93" s="249">
        <f t="shared" si="796"/>
        <v>0</v>
      </c>
      <c r="HW93" s="250">
        <f t="shared" si="799"/>
        <v>0</v>
      </c>
      <c r="HX93" s="249">
        <f t="shared" si="796"/>
        <v>0</v>
      </c>
      <c r="HY93" s="250">
        <f t="shared" si="800"/>
        <v>0</v>
      </c>
      <c r="HZ93" s="249">
        <f t="shared" si="796"/>
        <v>0</v>
      </c>
      <c r="IA93" s="250">
        <f t="shared" si="801"/>
        <v>0</v>
      </c>
      <c r="IB93" s="249">
        <f t="shared" si="796"/>
        <v>0</v>
      </c>
      <c r="IC93" s="250">
        <f t="shared" si="802"/>
        <v>0</v>
      </c>
      <c r="ID93" s="249">
        <f t="shared" si="803"/>
        <v>0</v>
      </c>
      <c r="IE93" s="250">
        <f t="shared" si="804"/>
        <v>0</v>
      </c>
      <c r="IF93" s="249">
        <f t="shared" si="805"/>
        <v>0</v>
      </c>
      <c r="IG93" s="250">
        <f t="shared" si="806"/>
        <v>0</v>
      </c>
      <c r="IH93" s="249">
        <f t="shared" si="807"/>
        <v>0</v>
      </c>
      <c r="II93" s="250">
        <f t="shared" si="808"/>
        <v>0</v>
      </c>
      <c r="IJ93" s="249">
        <f t="shared" si="809"/>
        <v>0</v>
      </c>
      <c r="IK93" s="250">
        <f t="shared" si="810"/>
        <v>0</v>
      </c>
      <c r="IL93" s="252">
        <f t="shared" si="811"/>
        <v>0</v>
      </c>
      <c r="IM93" s="251">
        <f t="shared" si="812"/>
        <v>0</v>
      </c>
      <c r="IO93" s="1"/>
      <c r="IP93" s="2">
        <v>8.3333333333333329E-2</v>
      </c>
      <c r="IQ93" s="257">
        <f t="shared" si="913"/>
        <v>0</v>
      </c>
      <c r="IR93" s="249">
        <f t="shared" si="813"/>
        <v>0</v>
      </c>
      <c r="IS93" s="250">
        <f t="shared" si="814"/>
        <v>0</v>
      </c>
      <c r="IT93" s="279">
        <f t="shared" si="874"/>
        <v>0</v>
      </c>
      <c r="IU93" s="289">
        <f t="shared" si="815"/>
        <v>0</v>
      </c>
      <c r="IV93" s="279">
        <f t="shared" si="874"/>
        <v>0</v>
      </c>
      <c r="IW93" s="289">
        <f t="shared" si="815"/>
        <v>0</v>
      </c>
      <c r="IX93" s="279">
        <f t="shared" si="874"/>
        <v>0</v>
      </c>
      <c r="IY93" s="289">
        <f t="shared" si="816"/>
        <v>0</v>
      </c>
      <c r="IZ93" s="279">
        <f t="shared" si="874"/>
        <v>0</v>
      </c>
      <c r="JA93" s="289">
        <f t="shared" si="817"/>
        <v>0</v>
      </c>
      <c r="JB93" s="279">
        <f t="shared" si="874"/>
        <v>0</v>
      </c>
      <c r="JC93" s="289">
        <f t="shared" si="818"/>
        <v>0</v>
      </c>
      <c r="JD93" s="279">
        <f t="shared" si="874"/>
        <v>0</v>
      </c>
      <c r="JE93" s="289">
        <f t="shared" si="819"/>
        <v>0</v>
      </c>
      <c r="JF93" s="279">
        <f t="shared" si="874"/>
        <v>0</v>
      </c>
      <c r="JG93" s="289">
        <f t="shared" si="820"/>
        <v>0</v>
      </c>
      <c r="JH93" s="279">
        <f t="shared" si="821"/>
        <v>0</v>
      </c>
      <c r="JI93" s="289">
        <f t="shared" si="822"/>
        <v>0</v>
      </c>
      <c r="JJ93" s="279">
        <f t="shared" si="407"/>
        <v>0</v>
      </c>
      <c r="JK93" s="289">
        <f t="shared" si="823"/>
        <v>0</v>
      </c>
      <c r="JL93" s="279">
        <f t="shared" si="824"/>
        <v>0</v>
      </c>
      <c r="JM93" s="289">
        <f t="shared" si="825"/>
        <v>0</v>
      </c>
      <c r="JN93" s="279">
        <f t="shared" si="408"/>
        <v>0</v>
      </c>
      <c r="JO93" s="289">
        <f t="shared" si="826"/>
        <v>0</v>
      </c>
      <c r="JP93" s="252">
        <f t="shared" si="827"/>
        <v>0</v>
      </c>
      <c r="JQ93" s="251">
        <f t="shared" si="828"/>
        <v>0</v>
      </c>
      <c r="JS93" s="1"/>
      <c r="JT93" s="2">
        <v>8.3333333333333329E-2</v>
      </c>
      <c r="JU93" s="257">
        <f t="shared" si="914"/>
        <v>0</v>
      </c>
      <c r="JV93" s="249">
        <f t="shared" si="829"/>
        <v>0</v>
      </c>
      <c r="JW93" s="250">
        <f t="shared" si="830"/>
        <v>0</v>
      </c>
      <c r="JX93" s="372">
        <f t="shared" si="875"/>
        <v>0</v>
      </c>
      <c r="JY93" s="339">
        <f t="shared" si="831"/>
        <v>0</v>
      </c>
      <c r="JZ93" s="372">
        <f t="shared" si="875"/>
        <v>0</v>
      </c>
      <c r="KA93" s="339">
        <f t="shared" si="831"/>
        <v>0</v>
      </c>
      <c r="KB93" s="372">
        <f t="shared" si="875"/>
        <v>0</v>
      </c>
      <c r="KC93" s="339">
        <f t="shared" si="832"/>
        <v>0</v>
      </c>
      <c r="KD93" s="372">
        <f t="shared" si="875"/>
        <v>0</v>
      </c>
      <c r="KE93" s="339">
        <f t="shared" si="833"/>
        <v>0</v>
      </c>
      <c r="KF93" s="372">
        <f t="shared" si="875"/>
        <v>0</v>
      </c>
      <c r="KG93" s="339">
        <f t="shared" si="834"/>
        <v>0</v>
      </c>
      <c r="KH93" s="372">
        <f t="shared" si="875"/>
        <v>0</v>
      </c>
      <c r="KI93" s="339">
        <f t="shared" si="835"/>
        <v>0</v>
      </c>
      <c r="KJ93" s="372">
        <f t="shared" si="875"/>
        <v>0</v>
      </c>
      <c r="KK93" s="339">
        <f t="shared" si="836"/>
        <v>0</v>
      </c>
      <c r="KL93" s="372">
        <f t="shared" si="837"/>
        <v>0</v>
      </c>
      <c r="KM93" s="339">
        <f t="shared" si="838"/>
        <v>0</v>
      </c>
      <c r="KN93" s="372">
        <f t="shared" si="677"/>
        <v>0</v>
      </c>
      <c r="KO93" s="339">
        <f t="shared" si="839"/>
        <v>0</v>
      </c>
      <c r="KP93" s="372">
        <f t="shared" si="840"/>
        <v>0</v>
      </c>
      <c r="KQ93" s="339">
        <f t="shared" si="841"/>
        <v>0</v>
      </c>
      <c r="KR93" s="372">
        <f t="shared" si="678"/>
        <v>0</v>
      </c>
      <c r="KS93" s="377">
        <f t="shared" si="842"/>
        <v>0</v>
      </c>
      <c r="KT93" s="379">
        <f t="shared" si="843"/>
        <v>0</v>
      </c>
      <c r="KU93" s="251">
        <f t="shared" si="915"/>
        <v>0</v>
      </c>
      <c r="KW93" s="1"/>
      <c r="KX93" s="2">
        <v>8.3333333333333329E-2</v>
      </c>
      <c r="KY93" s="254">
        <f t="shared" si="680"/>
        <v>0</v>
      </c>
      <c r="KZ93" s="249">
        <f t="shared" si="876"/>
        <v>0</v>
      </c>
      <c r="LA93" s="251">
        <f t="shared" si="681"/>
        <v>0</v>
      </c>
      <c r="LB93" s="279">
        <f t="shared" si="844"/>
        <v>0</v>
      </c>
      <c r="LC93" s="339">
        <f t="shared" si="845"/>
        <v>0</v>
      </c>
      <c r="LD93" s="279">
        <f t="shared" si="844"/>
        <v>0</v>
      </c>
      <c r="LE93" s="339">
        <f t="shared" si="845"/>
        <v>0</v>
      </c>
      <c r="LF93" s="279">
        <f t="shared" si="844"/>
        <v>0</v>
      </c>
      <c r="LG93" s="339">
        <f t="shared" si="846"/>
        <v>0</v>
      </c>
      <c r="LH93" s="279">
        <f t="shared" si="844"/>
        <v>0</v>
      </c>
      <c r="LI93" s="339">
        <f t="shared" si="847"/>
        <v>0</v>
      </c>
      <c r="LJ93" s="279">
        <f t="shared" si="844"/>
        <v>0</v>
      </c>
      <c r="LK93" s="339">
        <f t="shared" si="848"/>
        <v>0</v>
      </c>
      <c r="LL93" s="279">
        <f t="shared" si="844"/>
        <v>0</v>
      </c>
      <c r="LM93" s="339">
        <f t="shared" si="849"/>
        <v>0</v>
      </c>
      <c r="LN93" s="279">
        <f t="shared" si="844"/>
        <v>0</v>
      </c>
      <c r="LO93" s="339">
        <f t="shared" si="850"/>
        <v>0</v>
      </c>
      <c r="LP93" s="279">
        <f t="shared" si="877"/>
        <v>0</v>
      </c>
      <c r="LQ93" s="339">
        <f t="shared" si="851"/>
        <v>0</v>
      </c>
      <c r="LR93" s="279">
        <f t="shared" si="878"/>
        <v>0</v>
      </c>
      <c r="LS93" s="339">
        <f t="shared" si="852"/>
        <v>0</v>
      </c>
      <c r="LT93" s="279">
        <f t="shared" si="879"/>
        <v>0</v>
      </c>
      <c r="LU93" s="339">
        <f t="shared" si="853"/>
        <v>0</v>
      </c>
      <c r="LV93" s="279">
        <f t="shared" si="880"/>
        <v>0</v>
      </c>
      <c r="LW93" s="339">
        <f t="shared" si="854"/>
        <v>0</v>
      </c>
      <c r="LX93" s="252">
        <f t="shared" si="855"/>
        <v>0</v>
      </c>
      <c r="LY93" s="253">
        <f t="shared" si="856"/>
        <v>0</v>
      </c>
      <c r="MA93" s="249">
        <f t="shared" si="688"/>
        <v>0</v>
      </c>
      <c r="MB93" s="253">
        <f t="shared" si="857"/>
        <v>0</v>
      </c>
      <c r="MC93" s="397">
        <f t="shared" si="689"/>
        <v>0</v>
      </c>
      <c r="MD93" s="253">
        <f t="shared" si="858"/>
        <v>0</v>
      </c>
      <c r="ME93" s="397">
        <f t="shared" si="690"/>
        <v>0</v>
      </c>
      <c r="MF93" s="253">
        <f t="shared" si="858"/>
        <v>0</v>
      </c>
      <c r="MG93" s="397">
        <f t="shared" si="691"/>
        <v>0</v>
      </c>
      <c r="MH93" s="253">
        <f t="shared" si="859"/>
        <v>0</v>
      </c>
      <c r="MI93" s="397">
        <f t="shared" si="692"/>
        <v>0</v>
      </c>
      <c r="MJ93" s="253">
        <f t="shared" si="860"/>
        <v>0</v>
      </c>
      <c r="MK93" s="397">
        <f t="shared" si="693"/>
        <v>0</v>
      </c>
      <c r="ML93" s="253">
        <f t="shared" si="861"/>
        <v>0</v>
      </c>
      <c r="MM93" s="397">
        <f t="shared" si="694"/>
        <v>0</v>
      </c>
      <c r="MN93" s="253">
        <f t="shared" si="862"/>
        <v>0</v>
      </c>
      <c r="MO93" s="397">
        <f t="shared" si="695"/>
        <v>0</v>
      </c>
      <c r="MP93" s="253">
        <f t="shared" si="863"/>
        <v>0</v>
      </c>
      <c r="MQ93" s="397">
        <f t="shared" si="696"/>
        <v>0</v>
      </c>
      <c r="MR93" s="253">
        <f t="shared" si="864"/>
        <v>0</v>
      </c>
      <c r="MS93" s="397">
        <f t="shared" si="697"/>
        <v>0</v>
      </c>
      <c r="MT93" s="253">
        <f t="shared" si="865"/>
        <v>0</v>
      </c>
      <c r="MU93" s="397">
        <f t="shared" si="698"/>
        <v>0</v>
      </c>
      <c r="MV93" s="253">
        <f t="shared" si="866"/>
        <v>0</v>
      </c>
      <c r="MW93" s="397">
        <f t="shared" si="699"/>
        <v>0</v>
      </c>
      <c r="MX93" s="253">
        <f t="shared" si="867"/>
        <v>0</v>
      </c>
      <c r="MY93" s="252">
        <f t="shared" si="868"/>
        <v>0</v>
      </c>
      <c r="MZ93" s="251">
        <f t="shared" si="869"/>
        <v>0</v>
      </c>
    </row>
    <row r="94" spans="1:364" ht="52.8" x14ac:dyDescent="0.25">
      <c r="A94" s="533"/>
      <c r="B94" s="245" t="s">
        <v>196</v>
      </c>
      <c r="C94" s="246" t="s">
        <v>197</v>
      </c>
      <c r="D94" s="247" t="s">
        <v>119</v>
      </c>
      <c r="E94" s="4">
        <v>10</v>
      </c>
      <c r="F94" s="353">
        <v>5380064.9312144211</v>
      </c>
      <c r="G94" s="353">
        <f t="shared" si="700"/>
        <v>5604285.5420619855</v>
      </c>
      <c r="I94" s="30"/>
      <c r="J94" s="2">
        <v>8.3333333333333329E-2</v>
      </c>
      <c r="K94" s="248">
        <f t="shared" si="701"/>
        <v>0</v>
      </c>
      <c r="L94" s="249"/>
      <c r="M94" s="301">
        <f t="shared" si="445"/>
        <v>0</v>
      </c>
      <c r="N94" s="279">
        <f t="shared" si="889"/>
        <v>0</v>
      </c>
      <c r="O94" s="289">
        <f t="shared" si="916"/>
        <v>0</v>
      </c>
      <c r="P94" s="279">
        <f t="shared" si="889"/>
        <v>0</v>
      </c>
      <c r="Q94" s="289">
        <f t="shared" si="916"/>
        <v>0</v>
      </c>
      <c r="R94" s="279">
        <f t="shared" si="889"/>
        <v>0</v>
      </c>
      <c r="S94" s="289">
        <f t="shared" si="702"/>
        <v>0</v>
      </c>
      <c r="T94" s="279">
        <f t="shared" si="889"/>
        <v>0</v>
      </c>
      <c r="U94" s="289">
        <f t="shared" si="703"/>
        <v>0</v>
      </c>
      <c r="V94" s="279">
        <f t="shared" si="889"/>
        <v>0</v>
      </c>
      <c r="W94" s="289">
        <f t="shared" si="704"/>
        <v>0</v>
      </c>
      <c r="X94" s="279">
        <f t="shared" si="889"/>
        <v>0</v>
      </c>
      <c r="Y94" s="289">
        <f t="shared" si="705"/>
        <v>0</v>
      </c>
      <c r="Z94" s="279">
        <f t="shared" si="889"/>
        <v>0</v>
      </c>
      <c r="AA94" s="289">
        <f t="shared" si="706"/>
        <v>0</v>
      </c>
      <c r="AB94" s="279">
        <f t="shared" si="889"/>
        <v>0</v>
      </c>
      <c r="AC94" s="289">
        <f t="shared" si="707"/>
        <v>0</v>
      </c>
      <c r="AD94" s="279">
        <f t="shared" si="889"/>
        <v>0</v>
      </c>
      <c r="AE94" s="289">
        <f t="shared" si="708"/>
        <v>0</v>
      </c>
      <c r="AF94" s="279">
        <f t="shared" si="889"/>
        <v>0</v>
      </c>
      <c r="AG94" s="289">
        <f t="shared" si="890"/>
        <v>0</v>
      </c>
      <c r="AH94" s="249">
        <f t="shared" si="456"/>
        <v>0</v>
      </c>
      <c r="AI94" s="299">
        <f t="shared" si="891"/>
        <v>0</v>
      </c>
      <c r="AJ94" s="252">
        <f t="shared" si="709"/>
        <v>0</v>
      </c>
      <c r="AK94" s="312">
        <f t="shared" si="710"/>
        <v>0</v>
      </c>
      <c r="AM94" s="1"/>
      <c r="AN94" s="2">
        <v>8.3333333333333329E-2</v>
      </c>
      <c r="AO94" s="254">
        <f t="shared" si="904"/>
        <v>0</v>
      </c>
      <c r="AP94" s="249">
        <f t="shared" si="917"/>
        <v>0</v>
      </c>
      <c r="AQ94" s="301">
        <f t="shared" si="683"/>
        <v>0</v>
      </c>
      <c r="AR94" s="249">
        <f t="shared" si="884"/>
        <v>0</v>
      </c>
      <c r="AS94" s="301">
        <f t="shared" si="683"/>
        <v>0</v>
      </c>
      <c r="AT94" s="249">
        <f t="shared" si="884"/>
        <v>0</v>
      </c>
      <c r="AU94" s="301">
        <f t="shared" si="684"/>
        <v>0</v>
      </c>
      <c r="AV94" s="249">
        <f t="shared" si="884"/>
        <v>0</v>
      </c>
      <c r="AW94" s="301">
        <f t="shared" si="711"/>
        <v>0</v>
      </c>
      <c r="AX94" s="249">
        <f t="shared" si="884"/>
        <v>0</v>
      </c>
      <c r="AY94" s="301">
        <f t="shared" si="712"/>
        <v>0</v>
      </c>
      <c r="AZ94" s="249">
        <f t="shared" si="884"/>
        <v>0</v>
      </c>
      <c r="BA94" s="301">
        <f t="shared" si="713"/>
        <v>0</v>
      </c>
      <c r="BB94" s="249">
        <f t="shared" si="884"/>
        <v>0</v>
      </c>
      <c r="BC94" s="301">
        <f t="shared" si="714"/>
        <v>0</v>
      </c>
      <c r="BD94" s="249">
        <f t="shared" si="884"/>
        <v>0</v>
      </c>
      <c r="BE94" s="301">
        <f t="shared" si="715"/>
        <v>0</v>
      </c>
      <c r="BF94" s="249">
        <f t="shared" si="882"/>
        <v>0</v>
      </c>
      <c r="BG94" s="301">
        <f t="shared" si="716"/>
        <v>0</v>
      </c>
      <c r="BH94" s="249">
        <f t="shared" si="885"/>
        <v>0</v>
      </c>
      <c r="BI94" s="301">
        <f t="shared" si="892"/>
        <v>0</v>
      </c>
      <c r="BJ94" s="249">
        <f t="shared" si="885"/>
        <v>0</v>
      </c>
      <c r="BK94" s="301">
        <f t="shared" si="892"/>
        <v>0</v>
      </c>
      <c r="BL94" s="249">
        <f t="shared" si="661"/>
        <v>0</v>
      </c>
      <c r="BM94" s="299">
        <f t="shared" si="718"/>
        <v>0</v>
      </c>
      <c r="BN94" s="252">
        <f t="shared" si="719"/>
        <v>0</v>
      </c>
      <c r="BO94" s="312">
        <f t="shared" si="685"/>
        <v>0</v>
      </c>
      <c r="BQ94" s="1"/>
      <c r="BR94" s="2"/>
      <c r="BS94" s="255">
        <f>+BR94*BQ94*$G94</f>
        <v>0</v>
      </c>
      <c r="BT94" s="249">
        <f t="shared" si="881"/>
        <v>0</v>
      </c>
      <c r="BU94" s="336">
        <f t="shared" si="720"/>
        <v>0</v>
      </c>
      <c r="BV94" s="279">
        <f t="shared" si="721"/>
        <v>0</v>
      </c>
      <c r="BW94" s="339">
        <f t="shared" si="722"/>
        <v>0</v>
      </c>
      <c r="BX94" s="279">
        <f t="shared" si="721"/>
        <v>0</v>
      </c>
      <c r="BY94" s="339">
        <f t="shared" si="723"/>
        <v>0</v>
      </c>
      <c r="BZ94" s="279">
        <f t="shared" si="721"/>
        <v>0</v>
      </c>
      <c r="CA94" s="339">
        <f t="shared" si="724"/>
        <v>0</v>
      </c>
      <c r="CB94" s="279">
        <f t="shared" si="721"/>
        <v>0</v>
      </c>
      <c r="CC94" s="339">
        <f t="shared" si="725"/>
        <v>0</v>
      </c>
      <c r="CD94" s="279">
        <f t="shared" si="721"/>
        <v>0</v>
      </c>
      <c r="CE94" s="339">
        <f t="shared" si="726"/>
        <v>0</v>
      </c>
      <c r="CF94" s="279">
        <f t="shared" si="721"/>
        <v>0</v>
      </c>
      <c r="CG94" s="339">
        <f t="shared" si="727"/>
        <v>0</v>
      </c>
      <c r="CH94" s="279">
        <f t="shared" si="721"/>
        <v>0</v>
      </c>
      <c r="CI94" s="339">
        <f t="shared" si="728"/>
        <v>0</v>
      </c>
      <c r="CJ94" s="279">
        <f t="shared" si="729"/>
        <v>0</v>
      </c>
      <c r="CK94" s="339">
        <f t="shared" si="730"/>
        <v>0</v>
      </c>
      <c r="CL94" s="279">
        <f t="shared" si="463"/>
        <v>0</v>
      </c>
      <c r="CM94" s="339">
        <f t="shared" si="731"/>
        <v>0</v>
      </c>
      <c r="CN94" s="279">
        <f t="shared" si="732"/>
        <v>0</v>
      </c>
      <c r="CO94" s="339">
        <f t="shared" si="733"/>
        <v>0</v>
      </c>
      <c r="CP94" s="279">
        <f t="shared" si="464"/>
        <v>0</v>
      </c>
      <c r="CQ94" s="250">
        <f t="shared" si="905"/>
        <v>0</v>
      </c>
      <c r="CR94" s="252">
        <f t="shared" si="734"/>
        <v>0</v>
      </c>
      <c r="CS94" s="251">
        <f t="shared" si="887"/>
        <v>0</v>
      </c>
      <c r="CU94" s="1"/>
      <c r="CV94" s="2"/>
      <c r="CW94" s="255">
        <f>+CV94*CU94*$G94</f>
        <v>0</v>
      </c>
      <c r="CX94" s="249">
        <f t="shared" si="735"/>
        <v>0</v>
      </c>
      <c r="CY94" s="250">
        <f t="shared" si="736"/>
        <v>0</v>
      </c>
      <c r="CZ94" s="279">
        <f t="shared" si="870"/>
        <v>0</v>
      </c>
      <c r="DA94" s="299">
        <f t="shared" si="736"/>
        <v>0</v>
      </c>
      <c r="DB94" s="279">
        <f t="shared" si="870"/>
        <v>0</v>
      </c>
      <c r="DC94" s="299">
        <f t="shared" si="737"/>
        <v>0</v>
      </c>
      <c r="DD94" s="279">
        <f t="shared" si="870"/>
        <v>0</v>
      </c>
      <c r="DE94" s="299">
        <f t="shared" si="738"/>
        <v>0</v>
      </c>
      <c r="DF94" s="279">
        <f t="shared" si="870"/>
        <v>0</v>
      </c>
      <c r="DG94" s="299">
        <f t="shared" si="739"/>
        <v>0</v>
      </c>
      <c r="DH94" s="279">
        <f t="shared" si="870"/>
        <v>0</v>
      </c>
      <c r="DI94" s="299">
        <f t="shared" si="740"/>
        <v>0</v>
      </c>
      <c r="DJ94" s="279">
        <f t="shared" si="870"/>
        <v>0</v>
      </c>
      <c r="DK94" s="299">
        <f t="shared" si="741"/>
        <v>0</v>
      </c>
      <c r="DL94" s="279">
        <f t="shared" si="870"/>
        <v>0</v>
      </c>
      <c r="DM94" s="299">
        <f t="shared" si="742"/>
        <v>0</v>
      </c>
      <c r="DN94" s="279">
        <f t="shared" si="743"/>
        <v>0</v>
      </c>
      <c r="DO94" s="299">
        <f t="shared" si="744"/>
        <v>0</v>
      </c>
      <c r="DP94" s="279">
        <f t="shared" si="471"/>
        <v>0</v>
      </c>
      <c r="DQ94" s="299">
        <f t="shared" si="745"/>
        <v>0</v>
      </c>
      <c r="DR94" s="279">
        <f t="shared" si="746"/>
        <v>0</v>
      </c>
      <c r="DS94" s="299">
        <f t="shared" si="747"/>
        <v>0</v>
      </c>
      <c r="DT94" s="279">
        <f t="shared" si="472"/>
        <v>0</v>
      </c>
      <c r="DU94" s="299">
        <f t="shared" si="748"/>
        <v>0</v>
      </c>
      <c r="DV94" s="252">
        <f t="shared" si="749"/>
        <v>0</v>
      </c>
      <c r="DW94" s="251">
        <f t="shared" si="888"/>
        <v>0</v>
      </c>
      <c r="DY94" s="256">
        <v>0</v>
      </c>
      <c r="DZ94" s="2"/>
      <c r="EA94" s="254">
        <f t="shared" si="906"/>
        <v>0</v>
      </c>
      <c r="EB94" s="249">
        <f t="shared" si="871"/>
        <v>0</v>
      </c>
      <c r="EC94" s="250">
        <f t="shared" si="750"/>
        <v>0</v>
      </c>
      <c r="ED94" s="356">
        <f t="shared" si="871"/>
        <v>0</v>
      </c>
      <c r="EE94" s="250">
        <f t="shared" si="750"/>
        <v>0</v>
      </c>
      <c r="EF94" s="249">
        <f t="shared" si="872"/>
        <v>0</v>
      </c>
      <c r="EG94" s="250">
        <f t="shared" si="893"/>
        <v>0</v>
      </c>
      <c r="EH94" s="249">
        <f t="shared" si="872"/>
        <v>0</v>
      </c>
      <c r="EI94" s="250">
        <f t="shared" si="893"/>
        <v>0</v>
      </c>
      <c r="EJ94" s="249">
        <f t="shared" si="872"/>
        <v>0</v>
      </c>
      <c r="EK94" s="250">
        <f t="shared" si="752"/>
        <v>0</v>
      </c>
      <c r="EL94" s="249">
        <f t="shared" si="872"/>
        <v>0</v>
      </c>
      <c r="EM94" s="250">
        <f t="shared" si="753"/>
        <v>0</v>
      </c>
      <c r="EN94" s="249">
        <f t="shared" si="872"/>
        <v>0</v>
      </c>
      <c r="EO94" s="250">
        <f t="shared" si="754"/>
        <v>0</v>
      </c>
      <c r="EP94" s="249">
        <f t="shared" si="872"/>
        <v>0</v>
      </c>
      <c r="EQ94" s="250">
        <f t="shared" si="755"/>
        <v>0</v>
      </c>
      <c r="ER94" s="249">
        <f t="shared" si="872"/>
        <v>0</v>
      </c>
      <c r="ES94" s="250">
        <f t="shared" si="756"/>
        <v>0</v>
      </c>
      <c r="ET94" s="249">
        <f t="shared" si="391"/>
        <v>0</v>
      </c>
      <c r="EU94" s="250">
        <f t="shared" si="757"/>
        <v>0</v>
      </c>
      <c r="EV94" s="249">
        <f t="shared" si="758"/>
        <v>0</v>
      </c>
      <c r="EW94" s="250">
        <f t="shared" si="759"/>
        <v>0</v>
      </c>
      <c r="EX94" s="249">
        <f t="shared" si="392"/>
        <v>0</v>
      </c>
      <c r="EY94" s="250">
        <f t="shared" si="760"/>
        <v>0</v>
      </c>
      <c r="EZ94" s="252">
        <f t="shared" si="761"/>
        <v>0</v>
      </c>
      <c r="FA94" s="251">
        <f t="shared" si="907"/>
        <v>0</v>
      </c>
      <c r="FC94" s="1"/>
      <c r="FD94" s="2"/>
      <c r="FE94" s="257">
        <f t="shared" si="908"/>
        <v>0</v>
      </c>
      <c r="FF94" s="249">
        <f t="shared" si="762"/>
        <v>0</v>
      </c>
      <c r="FG94" s="250">
        <f t="shared" si="763"/>
        <v>0</v>
      </c>
      <c r="FH94" s="372">
        <f t="shared" si="873"/>
        <v>0</v>
      </c>
      <c r="FI94" s="339">
        <f t="shared" si="764"/>
        <v>0</v>
      </c>
      <c r="FJ94" s="372">
        <f t="shared" si="873"/>
        <v>0</v>
      </c>
      <c r="FK94" s="339">
        <f t="shared" si="764"/>
        <v>0</v>
      </c>
      <c r="FL94" s="372">
        <f t="shared" si="873"/>
        <v>0</v>
      </c>
      <c r="FM94" s="339">
        <f t="shared" si="765"/>
        <v>0</v>
      </c>
      <c r="FN94" s="372">
        <f t="shared" si="873"/>
        <v>0</v>
      </c>
      <c r="FO94" s="339">
        <f t="shared" si="766"/>
        <v>0</v>
      </c>
      <c r="FP94" s="372">
        <f t="shared" si="873"/>
        <v>0</v>
      </c>
      <c r="FQ94" s="339">
        <f t="shared" si="767"/>
        <v>0</v>
      </c>
      <c r="FR94" s="372">
        <f t="shared" si="873"/>
        <v>0</v>
      </c>
      <c r="FS94" s="339">
        <f t="shared" si="768"/>
        <v>0</v>
      </c>
      <c r="FT94" s="372">
        <f t="shared" si="873"/>
        <v>0</v>
      </c>
      <c r="FU94" s="339">
        <f t="shared" si="769"/>
        <v>0</v>
      </c>
      <c r="FV94" s="372">
        <f t="shared" si="770"/>
        <v>0</v>
      </c>
      <c r="FW94" s="339">
        <f t="shared" si="771"/>
        <v>0</v>
      </c>
      <c r="FX94" s="372">
        <f t="shared" si="479"/>
        <v>0</v>
      </c>
      <c r="FY94" s="339">
        <f t="shared" si="772"/>
        <v>0</v>
      </c>
      <c r="FZ94" s="372">
        <f t="shared" si="773"/>
        <v>0</v>
      </c>
      <c r="GA94" s="339">
        <f t="shared" si="774"/>
        <v>0</v>
      </c>
      <c r="GB94" s="372">
        <f t="shared" si="480"/>
        <v>0</v>
      </c>
      <c r="GC94" s="339">
        <f t="shared" si="775"/>
        <v>0</v>
      </c>
      <c r="GD94" s="252">
        <f t="shared" si="776"/>
        <v>0</v>
      </c>
      <c r="GE94" s="251">
        <f t="shared" si="686"/>
        <v>0</v>
      </c>
      <c r="GG94" s="1"/>
      <c r="GH94" s="2">
        <v>0.2</v>
      </c>
      <c r="GI94" s="257">
        <f t="shared" si="909"/>
        <v>0</v>
      </c>
      <c r="GJ94" s="249">
        <f t="shared" si="777"/>
        <v>0</v>
      </c>
      <c r="GK94" s="250">
        <f t="shared" si="778"/>
        <v>0</v>
      </c>
      <c r="GL94" s="249">
        <f t="shared" si="777"/>
        <v>0</v>
      </c>
      <c r="GM94" s="250">
        <f t="shared" si="778"/>
        <v>0</v>
      </c>
      <c r="GN94" s="249">
        <f t="shared" si="777"/>
        <v>0</v>
      </c>
      <c r="GO94" s="250">
        <f t="shared" si="894"/>
        <v>0</v>
      </c>
      <c r="GP94" s="249">
        <f t="shared" si="777"/>
        <v>0</v>
      </c>
      <c r="GQ94" s="250">
        <f t="shared" si="895"/>
        <v>0</v>
      </c>
      <c r="GR94" s="249">
        <f t="shared" si="777"/>
        <v>0</v>
      </c>
      <c r="GS94" s="250">
        <f t="shared" si="896"/>
        <v>0</v>
      </c>
      <c r="GT94" s="249">
        <f t="shared" si="777"/>
        <v>0</v>
      </c>
      <c r="GU94" s="250">
        <f t="shared" si="897"/>
        <v>0</v>
      </c>
      <c r="GV94" s="249">
        <f t="shared" si="777"/>
        <v>0</v>
      </c>
      <c r="GW94" s="250">
        <f t="shared" si="898"/>
        <v>0</v>
      </c>
      <c r="GX94" s="249">
        <f t="shared" si="784"/>
        <v>0</v>
      </c>
      <c r="GY94" s="250">
        <f t="shared" si="899"/>
        <v>0</v>
      </c>
      <c r="GZ94" s="249">
        <f t="shared" si="786"/>
        <v>0</v>
      </c>
      <c r="HA94" s="250">
        <f t="shared" si="900"/>
        <v>0</v>
      </c>
      <c r="HB94" s="249">
        <f t="shared" si="788"/>
        <v>0</v>
      </c>
      <c r="HC94" s="250">
        <f t="shared" si="901"/>
        <v>0</v>
      </c>
      <c r="HD94" s="249">
        <f t="shared" si="790"/>
        <v>0</v>
      </c>
      <c r="HE94" s="250">
        <f t="shared" si="902"/>
        <v>0</v>
      </c>
      <c r="HF94" s="249">
        <f t="shared" si="792"/>
        <v>0</v>
      </c>
      <c r="HG94" s="250">
        <f t="shared" si="903"/>
        <v>0</v>
      </c>
      <c r="HH94" s="252">
        <f t="shared" si="794"/>
        <v>0</v>
      </c>
      <c r="HI94" s="251">
        <f t="shared" si="910"/>
        <v>0</v>
      </c>
      <c r="HK94" s="1"/>
      <c r="HL94" s="2"/>
      <c r="HM94" s="257">
        <f t="shared" si="911"/>
        <v>0</v>
      </c>
      <c r="HN94" s="249">
        <f t="shared" si="795"/>
        <v>0</v>
      </c>
      <c r="HO94" s="250">
        <f t="shared" si="912"/>
        <v>0</v>
      </c>
      <c r="HP94" s="249">
        <f t="shared" si="796"/>
        <v>0</v>
      </c>
      <c r="HQ94" s="250">
        <f t="shared" si="797"/>
        <v>0</v>
      </c>
      <c r="HR94" s="249">
        <f t="shared" si="796"/>
        <v>0</v>
      </c>
      <c r="HS94" s="250">
        <f t="shared" si="797"/>
        <v>0</v>
      </c>
      <c r="HT94" s="249">
        <f t="shared" si="796"/>
        <v>0</v>
      </c>
      <c r="HU94" s="250">
        <f t="shared" si="798"/>
        <v>0</v>
      </c>
      <c r="HV94" s="249">
        <f t="shared" si="796"/>
        <v>0</v>
      </c>
      <c r="HW94" s="250">
        <f t="shared" si="799"/>
        <v>0</v>
      </c>
      <c r="HX94" s="249">
        <f t="shared" si="796"/>
        <v>0</v>
      </c>
      <c r="HY94" s="250">
        <f t="shared" si="800"/>
        <v>0</v>
      </c>
      <c r="HZ94" s="249">
        <f t="shared" si="796"/>
        <v>0</v>
      </c>
      <c r="IA94" s="250">
        <f t="shared" si="801"/>
        <v>0</v>
      </c>
      <c r="IB94" s="249">
        <f t="shared" si="796"/>
        <v>0</v>
      </c>
      <c r="IC94" s="250">
        <f t="shared" si="802"/>
        <v>0</v>
      </c>
      <c r="ID94" s="249">
        <f t="shared" si="803"/>
        <v>0</v>
      </c>
      <c r="IE94" s="250">
        <f t="shared" si="804"/>
        <v>0</v>
      </c>
      <c r="IF94" s="249">
        <f t="shared" si="805"/>
        <v>0</v>
      </c>
      <c r="IG94" s="250">
        <f t="shared" si="806"/>
        <v>0</v>
      </c>
      <c r="IH94" s="249">
        <f t="shared" si="807"/>
        <v>0</v>
      </c>
      <c r="II94" s="250">
        <f t="shared" si="808"/>
        <v>0</v>
      </c>
      <c r="IJ94" s="249">
        <f t="shared" si="809"/>
        <v>0</v>
      </c>
      <c r="IK94" s="250">
        <f t="shared" si="810"/>
        <v>0</v>
      </c>
      <c r="IL94" s="252">
        <f t="shared" si="811"/>
        <v>0</v>
      </c>
      <c r="IM94" s="251">
        <f t="shared" si="812"/>
        <v>0</v>
      </c>
      <c r="IO94" s="1"/>
      <c r="IP94" s="2">
        <v>8.3333333333333329E-2</v>
      </c>
      <c r="IQ94" s="257">
        <f t="shared" si="913"/>
        <v>0</v>
      </c>
      <c r="IR94" s="249">
        <f t="shared" si="813"/>
        <v>0</v>
      </c>
      <c r="IS94" s="250">
        <f t="shared" si="814"/>
        <v>0</v>
      </c>
      <c r="IT94" s="279">
        <f t="shared" si="874"/>
        <v>0</v>
      </c>
      <c r="IU94" s="289">
        <f t="shared" si="815"/>
        <v>0</v>
      </c>
      <c r="IV94" s="279">
        <f t="shared" si="874"/>
        <v>0</v>
      </c>
      <c r="IW94" s="289">
        <f t="shared" si="815"/>
        <v>0</v>
      </c>
      <c r="IX94" s="279">
        <f t="shared" si="874"/>
        <v>0</v>
      </c>
      <c r="IY94" s="289">
        <f t="shared" si="816"/>
        <v>0</v>
      </c>
      <c r="IZ94" s="279">
        <f t="shared" si="874"/>
        <v>0</v>
      </c>
      <c r="JA94" s="289">
        <f t="shared" si="817"/>
        <v>0</v>
      </c>
      <c r="JB94" s="279">
        <f t="shared" si="874"/>
        <v>0</v>
      </c>
      <c r="JC94" s="289">
        <f t="shared" si="818"/>
        <v>0</v>
      </c>
      <c r="JD94" s="279">
        <f t="shared" si="874"/>
        <v>0</v>
      </c>
      <c r="JE94" s="289">
        <f t="shared" si="819"/>
        <v>0</v>
      </c>
      <c r="JF94" s="279">
        <f t="shared" si="874"/>
        <v>0</v>
      </c>
      <c r="JG94" s="289">
        <f t="shared" si="820"/>
        <v>0</v>
      </c>
      <c r="JH94" s="279">
        <f t="shared" si="821"/>
        <v>0</v>
      </c>
      <c r="JI94" s="289">
        <f t="shared" si="822"/>
        <v>0</v>
      </c>
      <c r="JJ94" s="279">
        <f t="shared" si="407"/>
        <v>0</v>
      </c>
      <c r="JK94" s="289">
        <f t="shared" si="823"/>
        <v>0</v>
      </c>
      <c r="JL94" s="279">
        <f t="shared" si="824"/>
        <v>0</v>
      </c>
      <c r="JM94" s="289">
        <f t="shared" si="825"/>
        <v>0</v>
      </c>
      <c r="JN94" s="279">
        <f t="shared" si="408"/>
        <v>0</v>
      </c>
      <c r="JO94" s="289">
        <f t="shared" si="826"/>
        <v>0</v>
      </c>
      <c r="JP94" s="252">
        <f t="shared" si="827"/>
        <v>0</v>
      </c>
      <c r="JQ94" s="251">
        <f t="shared" si="828"/>
        <v>0</v>
      </c>
      <c r="JS94" s="1"/>
      <c r="JT94" s="2">
        <v>8.3333333333333329E-2</v>
      </c>
      <c r="JU94" s="257">
        <f t="shared" si="914"/>
        <v>0</v>
      </c>
      <c r="JV94" s="249">
        <f t="shared" si="829"/>
        <v>0</v>
      </c>
      <c r="JW94" s="250">
        <f t="shared" si="830"/>
        <v>0</v>
      </c>
      <c r="JX94" s="372">
        <f t="shared" si="875"/>
        <v>0</v>
      </c>
      <c r="JY94" s="339">
        <f t="shared" si="831"/>
        <v>0</v>
      </c>
      <c r="JZ94" s="372">
        <f t="shared" si="875"/>
        <v>0</v>
      </c>
      <c r="KA94" s="339">
        <f t="shared" si="831"/>
        <v>0</v>
      </c>
      <c r="KB94" s="372">
        <f t="shared" si="875"/>
        <v>0</v>
      </c>
      <c r="KC94" s="339">
        <f t="shared" si="832"/>
        <v>0</v>
      </c>
      <c r="KD94" s="372">
        <f t="shared" si="875"/>
        <v>0</v>
      </c>
      <c r="KE94" s="339">
        <f t="shared" si="833"/>
        <v>0</v>
      </c>
      <c r="KF94" s="372">
        <f t="shared" si="875"/>
        <v>0</v>
      </c>
      <c r="KG94" s="339">
        <f t="shared" si="834"/>
        <v>0</v>
      </c>
      <c r="KH94" s="372">
        <f t="shared" si="875"/>
        <v>0</v>
      </c>
      <c r="KI94" s="339">
        <f t="shared" si="835"/>
        <v>0</v>
      </c>
      <c r="KJ94" s="372">
        <f t="shared" si="875"/>
        <v>0</v>
      </c>
      <c r="KK94" s="339">
        <f t="shared" si="836"/>
        <v>0</v>
      </c>
      <c r="KL94" s="372">
        <f t="shared" si="837"/>
        <v>0</v>
      </c>
      <c r="KM94" s="339">
        <f t="shared" si="838"/>
        <v>0</v>
      </c>
      <c r="KN94" s="372">
        <f t="shared" ref="KN94:KN110" si="918">+$JS94*$JT94</f>
        <v>0</v>
      </c>
      <c r="KO94" s="339">
        <f t="shared" si="839"/>
        <v>0</v>
      </c>
      <c r="KP94" s="372">
        <f t="shared" si="840"/>
        <v>0</v>
      </c>
      <c r="KQ94" s="339">
        <f t="shared" si="841"/>
        <v>0</v>
      </c>
      <c r="KR94" s="372">
        <f t="shared" si="678"/>
        <v>0</v>
      </c>
      <c r="KS94" s="377">
        <f t="shared" si="842"/>
        <v>0</v>
      </c>
      <c r="KT94" s="379">
        <f t="shared" si="843"/>
        <v>0</v>
      </c>
      <c r="KU94" s="251">
        <f t="shared" si="915"/>
        <v>0</v>
      </c>
      <c r="KW94" s="1"/>
      <c r="KX94" s="2">
        <v>8.3333333333333329E-2</v>
      </c>
      <c r="KY94" s="254">
        <f t="shared" si="680"/>
        <v>0</v>
      </c>
      <c r="KZ94" s="249">
        <f t="shared" si="876"/>
        <v>0</v>
      </c>
      <c r="LA94" s="251">
        <f t="shared" si="681"/>
        <v>0</v>
      </c>
      <c r="LB94" s="279">
        <f t="shared" si="844"/>
        <v>0</v>
      </c>
      <c r="LC94" s="339">
        <f t="shared" si="845"/>
        <v>0</v>
      </c>
      <c r="LD94" s="279">
        <f t="shared" si="844"/>
        <v>0</v>
      </c>
      <c r="LE94" s="339">
        <f t="shared" si="845"/>
        <v>0</v>
      </c>
      <c r="LF94" s="279">
        <f t="shared" si="844"/>
        <v>0</v>
      </c>
      <c r="LG94" s="339">
        <f t="shared" si="846"/>
        <v>0</v>
      </c>
      <c r="LH94" s="279">
        <f t="shared" si="844"/>
        <v>0</v>
      </c>
      <c r="LI94" s="339">
        <f t="shared" si="847"/>
        <v>0</v>
      </c>
      <c r="LJ94" s="279">
        <f t="shared" si="844"/>
        <v>0</v>
      </c>
      <c r="LK94" s="339">
        <f t="shared" si="848"/>
        <v>0</v>
      </c>
      <c r="LL94" s="279">
        <f t="shared" si="844"/>
        <v>0</v>
      </c>
      <c r="LM94" s="339">
        <f t="shared" si="849"/>
        <v>0</v>
      </c>
      <c r="LN94" s="279">
        <f t="shared" si="844"/>
        <v>0</v>
      </c>
      <c r="LO94" s="339">
        <f t="shared" si="850"/>
        <v>0</v>
      </c>
      <c r="LP94" s="279">
        <f t="shared" si="877"/>
        <v>0</v>
      </c>
      <c r="LQ94" s="339">
        <f t="shared" si="851"/>
        <v>0</v>
      </c>
      <c r="LR94" s="279">
        <f t="shared" si="878"/>
        <v>0</v>
      </c>
      <c r="LS94" s="339">
        <f t="shared" si="852"/>
        <v>0</v>
      </c>
      <c r="LT94" s="279">
        <f t="shared" si="879"/>
        <v>0</v>
      </c>
      <c r="LU94" s="339">
        <f t="shared" si="853"/>
        <v>0</v>
      </c>
      <c r="LV94" s="279">
        <f t="shared" si="880"/>
        <v>0</v>
      </c>
      <c r="LW94" s="339">
        <f t="shared" si="854"/>
        <v>0</v>
      </c>
      <c r="LX94" s="252">
        <f t="shared" si="855"/>
        <v>0</v>
      </c>
      <c r="LY94" s="253">
        <f t="shared" si="856"/>
        <v>0</v>
      </c>
      <c r="MA94" s="249">
        <f t="shared" si="688"/>
        <v>0</v>
      </c>
      <c r="MB94" s="253">
        <f t="shared" si="857"/>
        <v>0</v>
      </c>
      <c r="MC94" s="397">
        <f t="shared" si="689"/>
        <v>0</v>
      </c>
      <c r="MD94" s="253">
        <f t="shared" si="858"/>
        <v>0</v>
      </c>
      <c r="ME94" s="397">
        <f t="shared" si="690"/>
        <v>0</v>
      </c>
      <c r="MF94" s="253">
        <f t="shared" si="858"/>
        <v>0</v>
      </c>
      <c r="MG94" s="397">
        <f t="shared" si="691"/>
        <v>0</v>
      </c>
      <c r="MH94" s="253">
        <f t="shared" si="859"/>
        <v>0</v>
      </c>
      <c r="MI94" s="397">
        <f t="shared" si="692"/>
        <v>0</v>
      </c>
      <c r="MJ94" s="253">
        <f t="shared" si="860"/>
        <v>0</v>
      </c>
      <c r="MK94" s="397">
        <f t="shared" si="693"/>
        <v>0</v>
      </c>
      <c r="ML94" s="253">
        <f t="shared" si="861"/>
        <v>0</v>
      </c>
      <c r="MM94" s="397">
        <f t="shared" si="694"/>
        <v>0</v>
      </c>
      <c r="MN94" s="253">
        <f t="shared" si="862"/>
        <v>0</v>
      </c>
      <c r="MO94" s="397">
        <f t="shared" si="695"/>
        <v>0</v>
      </c>
      <c r="MP94" s="253">
        <f t="shared" si="863"/>
        <v>0</v>
      </c>
      <c r="MQ94" s="397">
        <f t="shared" si="696"/>
        <v>0</v>
      </c>
      <c r="MR94" s="253">
        <f t="shared" si="864"/>
        <v>0</v>
      </c>
      <c r="MS94" s="397">
        <f t="shared" si="697"/>
        <v>0</v>
      </c>
      <c r="MT94" s="253">
        <f t="shared" si="865"/>
        <v>0</v>
      </c>
      <c r="MU94" s="397">
        <f t="shared" si="698"/>
        <v>0</v>
      </c>
      <c r="MV94" s="253">
        <f t="shared" si="866"/>
        <v>0</v>
      </c>
      <c r="MW94" s="397">
        <f t="shared" si="699"/>
        <v>0</v>
      </c>
      <c r="MX94" s="253">
        <f t="shared" si="867"/>
        <v>0</v>
      </c>
      <c r="MY94" s="252">
        <f t="shared" si="868"/>
        <v>0</v>
      </c>
      <c r="MZ94" s="251">
        <f t="shared" si="869"/>
        <v>0</v>
      </c>
    </row>
    <row r="95" spans="1:364" ht="39.6" x14ac:dyDescent="0.25">
      <c r="A95" s="533"/>
      <c r="B95" s="245" t="s">
        <v>198</v>
      </c>
      <c r="C95" s="246" t="s">
        <v>199</v>
      </c>
      <c r="D95" s="247" t="s">
        <v>119</v>
      </c>
      <c r="E95" s="4">
        <v>10</v>
      </c>
      <c r="F95" s="353">
        <v>5682545.9558823528</v>
      </c>
      <c r="G95" s="353">
        <f t="shared" si="700"/>
        <v>5919372.8235294111</v>
      </c>
      <c r="I95" s="30"/>
      <c r="J95" s="2">
        <v>8.3333333333333329E-2</v>
      </c>
      <c r="K95" s="248">
        <f t="shared" si="701"/>
        <v>0</v>
      </c>
      <c r="L95" s="249"/>
      <c r="M95" s="301">
        <f t="shared" si="445"/>
        <v>0</v>
      </c>
      <c r="N95" s="279">
        <f t="shared" si="889"/>
        <v>0</v>
      </c>
      <c r="O95" s="289">
        <f t="shared" si="916"/>
        <v>0</v>
      </c>
      <c r="P95" s="279">
        <f t="shared" si="889"/>
        <v>0</v>
      </c>
      <c r="Q95" s="289">
        <f t="shared" si="916"/>
        <v>0</v>
      </c>
      <c r="R95" s="279">
        <f t="shared" si="889"/>
        <v>0</v>
      </c>
      <c r="S95" s="289">
        <f t="shared" si="702"/>
        <v>0</v>
      </c>
      <c r="T95" s="279">
        <f t="shared" si="889"/>
        <v>0</v>
      </c>
      <c r="U95" s="289">
        <f t="shared" si="703"/>
        <v>0</v>
      </c>
      <c r="V95" s="279">
        <f t="shared" si="889"/>
        <v>0</v>
      </c>
      <c r="W95" s="289">
        <f t="shared" si="704"/>
        <v>0</v>
      </c>
      <c r="X95" s="279">
        <f t="shared" si="889"/>
        <v>0</v>
      </c>
      <c r="Y95" s="289">
        <f t="shared" si="705"/>
        <v>0</v>
      </c>
      <c r="Z95" s="279">
        <f t="shared" si="889"/>
        <v>0</v>
      </c>
      <c r="AA95" s="289">
        <f t="shared" si="706"/>
        <v>0</v>
      </c>
      <c r="AB95" s="279">
        <f t="shared" si="889"/>
        <v>0</v>
      </c>
      <c r="AC95" s="289">
        <f t="shared" si="707"/>
        <v>0</v>
      </c>
      <c r="AD95" s="279">
        <f t="shared" si="889"/>
        <v>0</v>
      </c>
      <c r="AE95" s="289">
        <f t="shared" si="708"/>
        <v>0</v>
      </c>
      <c r="AF95" s="279">
        <f t="shared" si="889"/>
        <v>0</v>
      </c>
      <c r="AG95" s="289">
        <f t="shared" si="890"/>
        <v>0</v>
      </c>
      <c r="AH95" s="249">
        <f t="shared" si="456"/>
        <v>0</v>
      </c>
      <c r="AI95" s="299">
        <f t="shared" si="891"/>
        <v>0</v>
      </c>
      <c r="AJ95" s="252">
        <f t="shared" si="709"/>
        <v>0</v>
      </c>
      <c r="AK95" s="312">
        <f t="shared" si="710"/>
        <v>0</v>
      </c>
      <c r="AM95" s="1"/>
      <c r="AN95" s="2">
        <v>8.3333333333333329E-2</v>
      </c>
      <c r="AO95" s="254">
        <f t="shared" si="904"/>
        <v>0</v>
      </c>
      <c r="AP95" s="249">
        <f t="shared" si="917"/>
        <v>0</v>
      </c>
      <c r="AQ95" s="301">
        <f t="shared" si="683"/>
        <v>0</v>
      </c>
      <c r="AR95" s="249">
        <f t="shared" si="884"/>
        <v>0</v>
      </c>
      <c r="AS95" s="301">
        <f t="shared" si="683"/>
        <v>0</v>
      </c>
      <c r="AT95" s="249">
        <f t="shared" si="884"/>
        <v>0</v>
      </c>
      <c r="AU95" s="301">
        <f t="shared" si="684"/>
        <v>0</v>
      </c>
      <c r="AV95" s="249">
        <f t="shared" si="884"/>
        <v>0</v>
      </c>
      <c r="AW95" s="301">
        <f t="shared" si="711"/>
        <v>0</v>
      </c>
      <c r="AX95" s="249">
        <f t="shared" si="884"/>
        <v>0</v>
      </c>
      <c r="AY95" s="301">
        <f t="shared" si="712"/>
        <v>0</v>
      </c>
      <c r="AZ95" s="249">
        <f t="shared" si="884"/>
        <v>0</v>
      </c>
      <c r="BA95" s="301">
        <f t="shared" si="713"/>
        <v>0</v>
      </c>
      <c r="BB95" s="249">
        <f t="shared" si="884"/>
        <v>0</v>
      </c>
      <c r="BC95" s="301">
        <f t="shared" si="714"/>
        <v>0</v>
      </c>
      <c r="BD95" s="249">
        <f t="shared" si="884"/>
        <v>0</v>
      </c>
      <c r="BE95" s="301">
        <f t="shared" si="715"/>
        <v>0</v>
      </c>
      <c r="BF95" s="249">
        <f t="shared" si="882"/>
        <v>0</v>
      </c>
      <c r="BG95" s="301">
        <f t="shared" si="716"/>
        <v>0</v>
      </c>
      <c r="BH95" s="249">
        <f t="shared" si="885"/>
        <v>0</v>
      </c>
      <c r="BI95" s="301">
        <f t="shared" si="892"/>
        <v>0</v>
      </c>
      <c r="BJ95" s="249">
        <f t="shared" si="885"/>
        <v>0</v>
      </c>
      <c r="BK95" s="301">
        <f t="shared" si="892"/>
        <v>0</v>
      </c>
      <c r="BL95" s="249">
        <f t="shared" si="661"/>
        <v>0</v>
      </c>
      <c r="BM95" s="299">
        <f t="shared" si="718"/>
        <v>0</v>
      </c>
      <c r="BN95" s="252">
        <f t="shared" si="719"/>
        <v>0</v>
      </c>
      <c r="BO95" s="312">
        <f t="shared" si="685"/>
        <v>0</v>
      </c>
      <c r="BQ95" s="1"/>
      <c r="BR95" s="2"/>
      <c r="BS95" s="255">
        <f t="shared" ref="BS95:BS110" si="919">+BR95*BQ95*$G95</f>
        <v>0</v>
      </c>
      <c r="BT95" s="249">
        <f t="shared" si="881"/>
        <v>0</v>
      </c>
      <c r="BU95" s="336">
        <f t="shared" si="720"/>
        <v>0</v>
      </c>
      <c r="BV95" s="279">
        <f t="shared" si="721"/>
        <v>0</v>
      </c>
      <c r="BW95" s="339">
        <f t="shared" si="722"/>
        <v>0</v>
      </c>
      <c r="BX95" s="279">
        <f t="shared" si="721"/>
        <v>0</v>
      </c>
      <c r="BY95" s="339">
        <f t="shared" si="723"/>
        <v>0</v>
      </c>
      <c r="BZ95" s="279">
        <f t="shared" si="721"/>
        <v>0</v>
      </c>
      <c r="CA95" s="339">
        <f t="shared" si="724"/>
        <v>0</v>
      </c>
      <c r="CB95" s="279">
        <f t="shared" si="721"/>
        <v>0</v>
      </c>
      <c r="CC95" s="339">
        <f t="shared" si="725"/>
        <v>0</v>
      </c>
      <c r="CD95" s="279">
        <f t="shared" si="721"/>
        <v>0</v>
      </c>
      <c r="CE95" s="339">
        <f t="shared" si="726"/>
        <v>0</v>
      </c>
      <c r="CF95" s="279">
        <f t="shared" si="721"/>
        <v>0</v>
      </c>
      <c r="CG95" s="339">
        <f t="shared" si="727"/>
        <v>0</v>
      </c>
      <c r="CH95" s="279">
        <f t="shared" si="721"/>
        <v>0</v>
      </c>
      <c r="CI95" s="339">
        <f t="shared" si="728"/>
        <v>0</v>
      </c>
      <c r="CJ95" s="279">
        <f t="shared" si="729"/>
        <v>0</v>
      </c>
      <c r="CK95" s="339">
        <f t="shared" si="730"/>
        <v>0</v>
      </c>
      <c r="CL95" s="279">
        <f t="shared" si="463"/>
        <v>0</v>
      </c>
      <c r="CM95" s="339">
        <f t="shared" si="731"/>
        <v>0</v>
      </c>
      <c r="CN95" s="279">
        <f t="shared" si="732"/>
        <v>0</v>
      </c>
      <c r="CO95" s="339">
        <f t="shared" si="733"/>
        <v>0</v>
      </c>
      <c r="CP95" s="279">
        <f t="shared" si="464"/>
        <v>0</v>
      </c>
      <c r="CQ95" s="250">
        <f t="shared" si="905"/>
        <v>0</v>
      </c>
      <c r="CR95" s="252">
        <f t="shared" si="734"/>
        <v>0</v>
      </c>
      <c r="CS95" s="251">
        <f t="shared" si="887"/>
        <v>0</v>
      </c>
      <c r="CU95" s="1"/>
      <c r="CV95" s="2"/>
      <c r="CW95" s="255">
        <f t="shared" ref="CW95:CW110" si="920">+CV95*CU95*$G95</f>
        <v>0</v>
      </c>
      <c r="CX95" s="249">
        <f t="shared" si="735"/>
        <v>0</v>
      </c>
      <c r="CY95" s="250">
        <f t="shared" si="736"/>
        <v>0</v>
      </c>
      <c r="CZ95" s="279">
        <f t="shared" si="870"/>
        <v>0</v>
      </c>
      <c r="DA95" s="299">
        <f t="shared" si="736"/>
        <v>0</v>
      </c>
      <c r="DB95" s="279">
        <f t="shared" si="870"/>
        <v>0</v>
      </c>
      <c r="DC95" s="299">
        <f t="shared" si="737"/>
        <v>0</v>
      </c>
      <c r="DD95" s="279">
        <f t="shared" si="870"/>
        <v>0</v>
      </c>
      <c r="DE95" s="299">
        <f t="shared" si="738"/>
        <v>0</v>
      </c>
      <c r="DF95" s="279">
        <f t="shared" si="870"/>
        <v>0</v>
      </c>
      <c r="DG95" s="299">
        <f t="shared" si="739"/>
        <v>0</v>
      </c>
      <c r="DH95" s="279">
        <f t="shared" si="870"/>
        <v>0</v>
      </c>
      <c r="DI95" s="299">
        <f t="shared" si="740"/>
        <v>0</v>
      </c>
      <c r="DJ95" s="279">
        <f t="shared" si="870"/>
        <v>0</v>
      </c>
      <c r="DK95" s="299">
        <f t="shared" si="741"/>
        <v>0</v>
      </c>
      <c r="DL95" s="279">
        <f t="shared" si="870"/>
        <v>0</v>
      </c>
      <c r="DM95" s="299">
        <f t="shared" si="742"/>
        <v>0</v>
      </c>
      <c r="DN95" s="279">
        <f t="shared" si="743"/>
        <v>0</v>
      </c>
      <c r="DO95" s="299">
        <f t="shared" si="744"/>
        <v>0</v>
      </c>
      <c r="DP95" s="279">
        <f t="shared" si="471"/>
        <v>0</v>
      </c>
      <c r="DQ95" s="299">
        <f t="shared" si="745"/>
        <v>0</v>
      </c>
      <c r="DR95" s="279">
        <f t="shared" si="746"/>
        <v>0</v>
      </c>
      <c r="DS95" s="299">
        <f t="shared" si="747"/>
        <v>0</v>
      </c>
      <c r="DT95" s="279">
        <f t="shared" si="472"/>
        <v>0</v>
      </c>
      <c r="DU95" s="299">
        <f t="shared" si="748"/>
        <v>0</v>
      </c>
      <c r="DV95" s="252">
        <f t="shared" si="749"/>
        <v>0</v>
      </c>
      <c r="DW95" s="251">
        <f t="shared" si="888"/>
        <v>0</v>
      </c>
      <c r="DY95" s="256">
        <v>0</v>
      </c>
      <c r="DZ95" s="2"/>
      <c r="EA95" s="254">
        <f t="shared" si="906"/>
        <v>0</v>
      </c>
      <c r="EB95" s="249">
        <f t="shared" si="871"/>
        <v>0</v>
      </c>
      <c r="EC95" s="250">
        <f t="shared" si="750"/>
        <v>0</v>
      </c>
      <c r="ED95" s="356">
        <f t="shared" si="871"/>
        <v>0</v>
      </c>
      <c r="EE95" s="250">
        <f t="shared" si="750"/>
        <v>0</v>
      </c>
      <c r="EF95" s="249">
        <f t="shared" si="872"/>
        <v>0</v>
      </c>
      <c r="EG95" s="250">
        <f t="shared" si="893"/>
        <v>0</v>
      </c>
      <c r="EH95" s="249">
        <f t="shared" si="872"/>
        <v>0</v>
      </c>
      <c r="EI95" s="250">
        <f t="shared" si="893"/>
        <v>0</v>
      </c>
      <c r="EJ95" s="249">
        <f t="shared" si="872"/>
        <v>0</v>
      </c>
      <c r="EK95" s="250">
        <f t="shared" si="752"/>
        <v>0</v>
      </c>
      <c r="EL95" s="249">
        <f t="shared" si="872"/>
        <v>0</v>
      </c>
      <c r="EM95" s="250">
        <f t="shared" si="753"/>
        <v>0</v>
      </c>
      <c r="EN95" s="249">
        <f t="shared" si="872"/>
        <v>0</v>
      </c>
      <c r="EO95" s="250">
        <f t="shared" si="754"/>
        <v>0</v>
      </c>
      <c r="EP95" s="249">
        <f t="shared" si="872"/>
        <v>0</v>
      </c>
      <c r="EQ95" s="250">
        <f t="shared" si="755"/>
        <v>0</v>
      </c>
      <c r="ER95" s="249">
        <f t="shared" si="872"/>
        <v>0</v>
      </c>
      <c r="ES95" s="250">
        <f t="shared" si="756"/>
        <v>0</v>
      </c>
      <c r="ET95" s="249">
        <f t="shared" ref="ET95:ET110" si="921">+$DY95*$DZ95</f>
        <v>0</v>
      </c>
      <c r="EU95" s="250">
        <f t="shared" si="757"/>
        <v>0</v>
      </c>
      <c r="EV95" s="249">
        <f t="shared" si="758"/>
        <v>0</v>
      </c>
      <c r="EW95" s="250">
        <f t="shared" si="759"/>
        <v>0</v>
      </c>
      <c r="EX95" s="249">
        <f t="shared" ref="EX95:EX110" si="922">+$DY95*$DZ95</f>
        <v>0</v>
      </c>
      <c r="EY95" s="250">
        <f t="shared" si="760"/>
        <v>0</v>
      </c>
      <c r="EZ95" s="252">
        <f t="shared" si="761"/>
        <v>0</v>
      </c>
      <c r="FA95" s="251">
        <f t="shared" si="907"/>
        <v>0</v>
      </c>
      <c r="FC95" s="1"/>
      <c r="FD95" s="2"/>
      <c r="FE95" s="257">
        <f t="shared" si="908"/>
        <v>0</v>
      </c>
      <c r="FF95" s="249">
        <f t="shared" si="762"/>
        <v>0</v>
      </c>
      <c r="FG95" s="250">
        <f t="shared" si="763"/>
        <v>0</v>
      </c>
      <c r="FH95" s="372">
        <f t="shared" si="873"/>
        <v>0</v>
      </c>
      <c r="FI95" s="339">
        <f t="shared" si="764"/>
        <v>0</v>
      </c>
      <c r="FJ95" s="372">
        <f t="shared" si="873"/>
        <v>0</v>
      </c>
      <c r="FK95" s="339">
        <f t="shared" si="764"/>
        <v>0</v>
      </c>
      <c r="FL95" s="372">
        <f t="shared" si="873"/>
        <v>0</v>
      </c>
      <c r="FM95" s="339">
        <f t="shared" si="765"/>
        <v>0</v>
      </c>
      <c r="FN95" s="372">
        <f t="shared" si="873"/>
        <v>0</v>
      </c>
      <c r="FO95" s="339">
        <f t="shared" si="766"/>
        <v>0</v>
      </c>
      <c r="FP95" s="372">
        <f t="shared" si="873"/>
        <v>0</v>
      </c>
      <c r="FQ95" s="339">
        <f t="shared" si="767"/>
        <v>0</v>
      </c>
      <c r="FR95" s="372">
        <f t="shared" si="873"/>
        <v>0</v>
      </c>
      <c r="FS95" s="339">
        <f t="shared" si="768"/>
        <v>0</v>
      </c>
      <c r="FT95" s="372">
        <f t="shared" si="873"/>
        <v>0</v>
      </c>
      <c r="FU95" s="339">
        <f t="shared" si="769"/>
        <v>0</v>
      </c>
      <c r="FV95" s="372">
        <f t="shared" si="770"/>
        <v>0</v>
      </c>
      <c r="FW95" s="339">
        <f t="shared" si="771"/>
        <v>0</v>
      </c>
      <c r="FX95" s="372">
        <f t="shared" si="479"/>
        <v>0</v>
      </c>
      <c r="FY95" s="339">
        <f t="shared" si="772"/>
        <v>0</v>
      </c>
      <c r="FZ95" s="372">
        <f t="shared" si="773"/>
        <v>0</v>
      </c>
      <c r="GA95" s="339">
        <f t="shared" si="774"/>
        <v>0</v>
      </c>
      <c r="GB95" s="372">
        <f t="shared" si="480"/>
        <v>0</v>
      </c>
      <c r="GC95" s="339">
        <f t="shared" si="775"/>
        <v>0</v>
      </c>
      <c r="GD95" s="252">
        <f t="shared" si="776"/>
        <v>0</v>
      </c>
      <c r="GE95" s="251">
        <f t="shared" si="686"/>
        <v>0</v>
      </c>
      <c r="GG95" s="1"/>
      <c r="GH95" s="2">
        <v>0.2</v>
      </c>
      <c r="GI95" s="257">
        <f t="shared" si="909"/>
        <v>0</v>
      </c>
      <c r="GJ95" s="249">
        <f t="shared" si="777"/>
        <v>0</v>
      </c>
      <c r="GK95" s="250">
        <f t="shared" si="778"/>
        <v>0</v>
      </c>
      <c r="GL95" s="249">
        <f t="shared" si="777"/>
        <v>0</v>
      </c>
      <c r="GM95" s="250">
        <f t="shared" si="778"/>
        <v>0</v>
      </c>
      <c r="GN95" s="249">
        <f t="shared" si="777"/>
        <v>0</v>
      </c>
      <c r="GO95" s="250">
        <f t="shared" si="894"/>
        <v>0</v>
      </c>
      <c r="GP95" s="249">
        <f t="shared" si="777"/>
        <v>0</v>
      </c>
      <c r="GQ95" s="250">
        <f t="shared" si="895"/>
        <v>0</v>
      </c>
      <c r="GR95" s="249">
        <f t="shared" si="777"/>
        <v>0</v>
      </c>
      <c r="GS95" s="250">
        <f t="shared" si="896"/>
        <v>0</v>
      </c>
      <c r="GT95" s="249">
        <f t="shared" si="777"/>
        <v>0</v>
      </c>
      <c r="GU95" s="250">
        <f t="shared" si="897"/>
        <v>0</v>
      </c>
      <c r="GV95" s="249">
        <f t="shared" si="777"/>
        <v>0</v>
      </c>
      <c r="GW95" s="250">
        <f t="shared" si="898"/>
        <v>0</v>
      </c>
      <c r="GX95" s="249">
        <f t="shared" si="784"/>
        <v>0</v>
      </c>
      <c r="GY95" s="250">
        <f t="shared" si="899"/>
        <v>0</v>
      </c>
      <c r="GZ95" s="249">
        <f t="shared" si="786"/>
        <v>0</v>
      </c>
      <c r="HA95" s="250">
        <f t="shared" si="900"/>
        <v>0</v>
      </c>
      <c r="HB95" s="249">
        <f t="shared" si="788"/>
        <v>0</v>
      </c>
      <c r="HC95" s="250">
        <f t="shared" si="901"/>
        <v>0</v>
      </c>
      <c r="HD95" s="249">
        <f t="shared" si="790"/>
        <v>0</v>
      </c>
      <c r="HE95" s="250">
        <f t="shared" si="902"/>
        <v>0</v>
      </c>
      <c r="HF95" s="249">
        <f t="shared" si="792"/>
        <v>0</v>
      </c>
      <c r="HG95" s="250">
        <f t="shared" si="903"/>
        <v>0</v>
      </c>
      <c r="HH95" s="252">
        <f t="shared" si="794"/>
        <v>0</v>
      </c>
      <c r="HI95" s="251">
        <f t="shared" si="910"/>
        <v>0</v>
      </c>
      <c r="HK95" s="1"/>
      <c r="HL95" s="2"/>
      <c r="HM95" s="257">
        <f t="shared" si="911"/>
        <v>0</v>
      </c>
      <c r="HN95" s="249">
        <f t="shared" si="795"/>
        <v>0</v>
      </c>
      <c r="HO95" s="250">
        <f t="shared" si="912"/>
        <v>0</v>
      </c>
      <c r="HP95" s="249">
        <f t="shared" si="796"/>
        <v>0</v>
      </c>
      <c r="HQ95" s="250">
        <f t="shared" si="797"/>
        <v>0</v>
      </c>
      <c r="HR95" s="249">
        <f t="shared" si="796"/>
        <v>0</v>
      </c>
      <c r="HS95" s="250">
        <f t="shared" si="797"/>
        <v>0</v>
      </c>
      <c r="HT95" s="249">
        <f t="shared" si="796"/>
        <v>0</v>
      </c>
      <c r="HU95" s="250">
        <f t="shared" si="798"/>
        <v>0</v>
      </c>
      <c r="HV95" s="249">
        <f t="shared" si="796"/>
        <v>0</v>
      </c>
      <c r="HW95" s="250">
        <f t="shared" si="799"/>
        <v>0</v>
      </c>
      <c r="HX95" s="249">
        <f t="shared" si="796"/>
        <v>0</v>
      </c>
      <c r="HY95" s="250">
        <f t="shared" si="800"/>
        <v>0</v>
      </c>
      <c r="HZ95" s="249">
        <f t="shared" si="796"/>
        <v>0</v>
      </c>
      <c r="IA95" s="250">
        <f t="shared" si="801"/>
        <v>0</v>
      </c>
      <c r="IB95" s="249">
        <f t="shared" si="796"/>
        <v>0</v>
      </c>
      <c r="IC95" s="250">
        <f t="shared" si="802"/>
        <v>0</v>
      </c>
      <c r="ID95" s="249">
        <f t="shared" si="803"/>
        <v>0</v>
      </c>
      <c r="IE95" s="250">
        <f t="shared" si="804"/>
        <v>0</v>
      </c>
      <c r="IF95" s="249">
        <f t="shared" si="805"/>
        <v>0</v>
      </c>
      <c r="IG95" s="250">
        <f t="shared" si="806"/>
        <v>0</v>
      </c>
      <c r="IH95" s="249">
        <f t="shared" si="807"/>
        <v>0</v>
      </c>
      <c r="II95" s="250">
        <f t="shared" si="808"/>
        <v>0</v>
      </c>
      <c r="IJ95" s="249">
        <f t="shared" si="809"/>
        <v>0</v>
      </c>
      <c r="IK95" s="250">
        <f t="shared" si="810"/>
        <v>0</v>
      </c>
      <c r="IL95" s="252">
        <f t="shared" si="811"/>
        <v>0</v>
      </c>
      <c r="IM95" s="251">
        <f t="shared" si="812"/>
        <v>0</v>
      </c>
      <c r="IO95" s="1"/>
      <c r="IP95" s="2">
        <v>8.3333333333333329E-2</v>
      </c>
      <c r="IQ95" s="257">
        <f t="shared" si="913"/>
        <v>0</v>
      </c>
      <c r="IR95" s="249">
        <f t="shared" si="813"/>
        <v>0</v>
      </c>
      <c r="IS95" s="250">
        <f t="shared" si="814"/>
        <v>0</v>
      </c>
      <c r="IT95" s="279">
        <f t="shared" si="874"/>
        <v>0</v>
      </c>
      <c r="IU95" s="289">
        <f t="shared" si="815"/>
        <v>0</v>
      </c>
      <c r="IV95" s="279">
        <f t="shared" si="874"/>
        <v>0</v>
      </c>
      <c r="IW95" s="289">
        <f t="shared" si="815"/>
        <v>0</v>
      </c>
      <c r="IX95" s="279">
        <f t="shared" si="874"/>
        <v>0</v>
      </c>
      <c r="IY95" s="289">
        <f t="shared" si="816"/>
        <v>0</v>
      </c>
      <c r="IZ95" s="279">
        <f t="shared" si="874"/>
        <v>0</v>
      </c>
      <c r="JA95" s="289">
        <f t="shared" si="817"/>
        <v>0</v>
      </c>
      <c r="JB95" s="279">
        <f t="shared" si="874"/>
        <v>0</v>
      </c>
      <c r="JC95" s="289">
        <f t="shared" si="818"/>
        <v>0</v>
      </c>
      <c r="JD95" s="279">
        <f t="shared" si="874"/>
        <v>0</v>
      </c>
      <c r="JE95" s="289">
        <f t="shared" si="819"/>
        <v>0</v>
      </c>
      <c r="JF95" s="279">
        <f t="shared" si="874"/>
        <v>0</v>
      </c>
      <c r="JG95" s="289">
        <f t="shared" si="820"/>
        <v>0</v>
      </c>
      <c r="JH95" s="279">
        <f t="shared" si="821"/>
        <v>0</v>
      </c>
      <c r="JI95" s="289">
        <f t="shared" si="822"/>
        <v>0</v>
      </c>
      <c r="JJ95" s="279">
        <f t="shared" ref="JJ95:JJ110" si="923">+$IO95*$IP95</f>
        <v>0</v>
      </c>
      <c r="JK95" s="289">
        <f t="shared" si="823"/>
        <v>0</v>
      </c>
      <c r="JL95" s="279">
        <f t="shared" si="824"/>
        <v>0</v>
      </c>
      <c r="JM95" s="289">
        <f t="shared" si="825"/>
        <v>0</v>
      </c>
      <c r="JN95" s="279">
        <f t="shared" ref="JN95:JN110" si="924">+$IO95*$IP95</f>
        <v>0</v>
      </c>
      <c r="JO95" s="289">
        <f t="shared" si="826"/>
        <v>0</v>
      </c>
      <c r="JP95" s="252">
        <f t="shared" si="827"/>
        <v>0</v>
      </c>
      <c r="JQ95" s="251">
        <f t="shared" si="828"/>
        <v>0</v>
      </c>
      <c r="JS95" s="1"/>
      <c r="JT95" s="2">
        <v>8.3333333333333329E-2</v>
      </c>
      <c r="JU95" s="257">
        <f t="shared" si="914"/>
        <v>0</v>
      </c>
      <c r="JV95" s="249">
        <f t="shared" si="829"/>
        <v>0</v>
      </c>
      <c r="JW95" s="250">
        <f t="shared" si="830"/>
        <v>0</v>
      </c>
      <c r="JX95" s="372">
        <f t="shared" si="875"/>
        <v>0</v>
      </c>
      <c r="JY95" s="339">
        <f t="shared" si="831"/>
        <v>0</v>
      </c>
      <c r="JZ95" s="372">
        <f t="shared" si="875"/>
        <v>0</v>
      </c>
      <c r="KA95" s="339">
        <f t="shared" si="831"/>
        <v>0</v>
      </c>
      <c r="KB95" s="372">
        <f t="shared" si="875"/>
        <v>0</v>
      </c>
      <c r="KC95" s="339">
        <f t="shared" si="832"/>
        <v>0</v>
      </c>
      <c r="KD95" s="372">
        <f t="shared" si="875"/>
        <v>0</v>
      </c>
      <c r="KE95" s="339">
        <f t="shared" si="833"/>
        <v>0</v>
      </c>
      <c r="KF95" s="372">
        <f t="shared" si="875"/>
        <v>0</v>
      </c>
      <c r="KG95" s="339">
        <f t="shared" si="834"/>
        <v>0</v>
      </c>
      <c r="KH95" s="372">
        <f t="shared" si="875"/>
        <v>0</v>
      </c>
      <c r="KI95" s="339">
        <f t="shared" si="835"/>
        <v>0</v>
      </c>
      <c r="KJ95" s="372">
        <f t="shared" si="875"/>
        <v>0</v>
      </c>
      <c r="KK95" s="339">
        <f t="shared" si="836"/>
        <v>0</v>
      </c>
      <c r="KL95" s="372">
        <f t="shared" si="837"/>
        <v>0</v>
      </c>
      <c r="KM95" s="339">
        <f t="shared" si="838"/>
        <v>0</v>
      </c>
      <c r="KN95" s="372">
        <f t="shared" si="918"/>
        <v>0</v>
      </c>
      <c r="KO95" s="339">
        <f t="shared" si="839"/>
        <v>0</v>
      </c>
      <c r="KP95" s="372">
        <f t="shared" si="840"/>
        <v>0</v>
      </c>
      <c r="KQ95" s="339">
        <f t="shared" si="841"/>
        <v>0</v>
      </c>
      <c r="KR95" s="372">
        <f t="shared" ref="KR95:KR110" si="925">+$JS95*$JT95</f>
        <v>0</v>
      </c>
      <c r="KS95" s="377">
        <f t="shared" si="842"/>
        <v>0</v>
      </c>
      <c r="KT95" s="379">
        <f t="shared" si="843"/>
        <v>0</v>
      </c>
      <c r="KU95" s="251">
        <f t="shared" si="915"/>
        <v>0</v>
      </c>
      <c r="KW95" s="1"/>
      <c r="KX95" s="2">
        <v>8.3333333333333329E-2</v>
      </c>
      <c r="KY95" s="254">
        <f t="shared" si="680"/>
        <v>0</v>
      </c>
      <c r="KZ95" s="249">
        <f t="shared" si="876"/>
        <v>0</v>
      </c>
      <c r="LA95" s="251">
        <f t="shared" si="681"/>
        <v>0</v>
      </c>
      <c r="LB95" s="279">
        <f t="shared" si="844"/>
        <v>0</v>
      </c>
      <c r="LC95" s="339">
        <f t="shared" si="845"/>
        <v>0</v>
      </c>
      <c r="LD95" s="279">
        <f t="shared" si="844"/>
        <v>0</v>
      </c>
      <c r="LE95" s="339">
        <f t="shared" si="845"/>
        <v>0</v>
      </c>
      <c r="LF95" s="279">
        <f t="shared" si="844"/>
        <v>0</v>
      </c>
      <c r="LG95" s="339">
        <f t="shared" si="846"/>
        <v>0</v>
      </c>
      <c r="LH95" s="279">
        <f t="shared" si="844"/>
        <v>0</v>
      </c>
      <c r="LI95" s="339">
        <f t="shared" si="847"/>
        <v>0</v>
      </c>
      <c r="LJ95" s="279">
        <f t="shared" si="844"/>
        <v>0</v>
      </c>
      <c r="LK95" s="339">
        <f t="shared" si="848"/>
        <v>0</v>
      </c>
      <c r="LL95" s="279">
        <f t="shared" si="844"/>
        <v>0</v>
      </c>
      <c r="LM95" s="339">
        <f t="shared" si="849"/>
        <v>0</v>
      </c>
      <c r="LN95" s="279">
        <f t="shared" si="844"/>
        <v>0</v>
      </c>
      <c r="LO95" s="339">
        <f t="shared" si="850"/>
        <v>0</v>
      </c>
      <c r="LP95" s="279">
        <f t="shared" si="877"/>
        <v>0</v>
      </c>
      <c r="LQ95" s="339">
        <f t="shared" si="851"/>
        <v>0</v>
      </c>
      <c r="LR95" s="279">
        <f t="shared" si="878"/>
        <v>0</v>
      </c>
      <c r="LS95" s="339">
        <f t="shared" si="852"/>
        <v>0</v>
      </c>
      <c r="LT95" s="279">
        <f t="shared" si="879"/>
        <v>0</v>
      </c>
      <c r="LU95" s="339">
        <f t="shared" si="853"/>
        <v>0</v>
      </c>
      <c r="LV95" s="279">
        <f t="shared" si="880"/>
        <v>0</v>
      </c>
      <c r="LW95" s="339">
        <f t="shared" si="854"/>
        <v>0</v>
      </c>
      <c r="LX95" s="252">
        <f t="shared" si="855"/>
        <v>0</v>
      </c>
      <c r="LY95" s="253">
        <f t="shared" si="856"/>
        <v>0</v>
      </c>
      <c r="MA95" s="249">
        <f t="shared" si="688"/>
        <v>0</v>
      </c>
      <c r="MB95" s="253">
        <f t="shared" si="857"/>
        <v>0</v>
      </c>
      <c r="MC95" s="397">
        <f t="shared" si="689"/>
        <v>0</v>
      </c>
      <c r="MD95" s="253">
        <f t="shared" si="858"/>
        <v>0</v>
      </c>
      <c r="ME95" s="397">
        <f t="shared" si="690"/>
        <v>0</v>
      </c>
      <c r="MF95" s="253">
        <f t="shared" si="858"/>
        <v>0</v>
      </c>
      <c r="MG95" s="397">
        <f t="shared" si="691"/>
        <v>0</v>
      </c>
      <c r="MH95" s="253">
        <f t="shared" si="859"/>
        <v>0</v>
      </c>
      <c r="MI95" s="397">
        <f t="shared" si="692"/>
        <v>0</v>
      </c>
      <c r="MJ95" s="253">
        <f t="shared" si="860"/>
        <v>0</v>
      </c>
      <c r="MK95" s="397">
        <f t="shared" si="693"/>
        <v>0</v>
      </c>
      <c r="ML95" s="253">
        <f t="shared" si="861"/>
        <v>0</v>
      </c>
      <c r="MM95" s="397">
        <f t="shared" si="694"/>
        <v>0</v>
      </c>
      <c r="MN95" s="253">
        <f t="shared" si="862"/>
        <v>0</v>
      </c>
      <c r="MO95" s="397">
        <f t="shared" si="695"/>
        <v>0</v>
      </c>
      <c r="MP95" s="253">
        <f t="shared" si="863"/>
        <v>0</v>
      </c>
      <c r="MQ95" s="397">
        <f t="shared" si="696"/>
        <v>0</v>
      </c>
      <c r="MR95" s="253">
        <f t="shared" si="864"/>
        <v>0</v>
      </c>
      <c r="MS95" s="397">
        <f t="shared" si="697"/>
        <v>0</v>
      </c>
      <c r="MT95" s="253">
        <f t="shared" si="865"/>
        <v>0</v>
      </c>
      <c r="MU95" s="397">
        <f t="shared" si="698"/>
        <v>0</v>
      </c>
      <c r="MV95" s="253">
        <f t="shared" si="866"/>
        <v>0</v>
      </c>
      <c r="MW95" s="397">
        <f t="shared" si="699"/>
        <v>0</v>
      </c>
      <c r="MX95" s="253">
        <f t="shared" si="867"/>
        <v>0</v>
      </c>
      <c r="MY95" s="252">
        <f t="shared" si="868"/>
        <v>0</v>
      </c>
      <c r="MZ95" s="251">
        <f t="shared" si="869"/>
        <v>0</v>
      </c>
    </row>
    <row r="96" spans="1:364" ht="52.8" x14ac:dyDescent="0.25">
      <c r="A96" s="533"/>
      <c r="B96" s="245" t="s">
        <v>200</v>
      </c>
      <c r="C96" s="246" t="s">
        <v>201</v>
      </c>
      <c r="D96" s="247" t="s">
        <v>119</v>
      </c>
      <c r="E96" s="4">
        <v>10</v>
      </c>
      <c r="F96" s="353">
        <v>7135689.3382352935</v>
      </c>
      <c r="G96" s="353">
        <f t="shared" si="700"/>
        <v>7433077.6862745089</v>
      </c>
      <c r="I96" s="30"/>
      <c r="J96" s="2">
        <v>8.3333333333333329E-2</v>
      </c>
      <c r="K96" s="248">
        <f t="shared" si="701"/>
        <v>0</v>
      </c>
      <c r="L96" s="249"/>
      <c r="M96" s="301">
        <f t="shared" si="445"/>
        <v>0</v>
      </c>
      <c r="N96" s="279">
        <f t="shared" si="889"/>
        <v>0</v>
      </c>
      <c r="O96" s="289">
        <f t="shared" si="916"/>
        <v>0</v>
      </c>
      <c r="P96" s="279">
        <f t="shared" si="889"/>
        <v>0</v>
      </c>
      <c r="Q96" s="289">
        <f t="shared" si="916"/>
        <v>0</v>
      </c>
      <c r="R96" s="279">
        <f t="shared" si="889"/>
        <v>0</v>
      </c>
      <c r="S96" s="289">
        <f t="shared" si="702"/>
        <v>0</v>
      </c>
      <c r="T96" s="279">
        <f t="shared" si="889"/>
        <v>0</v>
      </c>
      <c r="U96" s="289">
        <f t="shared" si="703"/>
        <v>0</v>
      </c>
      <c r="V96" s="279">
        <f t="shared" si="889"/>
        <v>0</v>
      </c>
      <c r="W96" s="289">
        <f t="shared" si="704"/>
        <v>0</v>
      </c>
      <c r="X96" s="279">
        <f t="shared" si="889"/>
        <v>0</v>
      </c>
      <c r="Y96" s="289">
        <f t="shared" si="705"/>
        <v>0</v>
      </c>
      <c r="Z96" s="279">
        <f t="shared" si="889"/>
        <v>0</v>
      </c>
      <c r="AA96" s="289">
        <f t="shared" si="706"/>
        <v>0</v>
      </c>
      <c r="AB96" s="279">
        <f t="shared" si="889"/>
        <v>0</v>
      </c>
      <c r="AC96" s="289">
        <f t="shared" si="707"/>
        <v>0</v>
      </c>
      <c r="AD96" s="279">
        <f t="shared" si="889"/>
        <v>0</v>
      </c>
      <c r="AE96" s="289">
        <f t="shared" si="708"/>
        <v>0</v>
      </c>
      <c r="AF96" s="279">
        <f t="shared" si="889"/>
        <v>0</v>
      </c>
      <c r="AG96" s="289">
        <f t="shared" si="890"/>
        <v>0</v>
      </c>
      <c r="AH96" s="249">
        <f t="shared" si="456"/>
        <v>0</v>
      </c>
      <c r="AI96" s="299">
        <f t="shared" si="891"/>
        <v>0</v>
      </c>
      <c r="AJ96" s="252">
        <f t="shared" si="709"/>
        <v>0</v>
      </c>
      <c r="AK96" s="312">
        <f t="shared" si="710"/>
        <v>0</v>
      </c>
      <c r="AM96" s="1"/>
      <c r="AN96" s="2">
        <v>8.3333333333333329E-2</v>
      </c>
      <c r="AO96" s="254">
        <f t="shared" si="904"/>
        <v>0</v>
      </c>
      <c r="AP96" s="249">
        <f t="shared" si="917"/>
        <v>0</v>
      </c>
      <c r="AQ96" s="301">
        <f t="shared" si="683"/>
        <v>0</v>
      </c>
      <c r="AR96" s="249">
        <f t="shared" si="884"/>
        <v>0</v>
      </c>
      <c r="AS96" s="301">
        <f t="shared" si="683"/>
        <v>0</v>
      </c>
      <c r="AT96" s="249">
        <f t="shared" si="884"/>
        <v>0</v>
      </c>
      <c r="AU96" s="301">
        <f t="shared" si="684"/>
        <v>0</v>
      </c>
      <c r="AV96" s="249">
        <f t="shared" si="884"/>
        <v>0</v>
      </c>
      <c r="AW96" s="301">
        <f t="shared" si="711"/>
        <v>0</v>
      </c>
      <c r="AX96" s="249">
        <f t="shared" si="884"/>
        <v>0</v>
      </c>
      <c r="AY96" s="301">
        <f t="shared" si="712"/>
        <v>0</v>
      </c>
      <c r="AZ96" s="249">
        <f t="shared" si="884"/>
        <v>0</v>
      </c>
      <c r="BA96" s="301">
        <f t="shared" si="713"/>
        <v>0</v>
      </c>
      <c r="BB96" s="249">
        <f t="shared" si="884"/>
        <v>0</v>
      </c>
      <c r="BC96" s="301">
        <f t="shared" si="714"/>
        <v>0</v>
      </c>
      <c r="BD96" s="249">
        <f t="shared" si="884"/>
        <v>0</v>
      </c>
      <c r="BE96" s="301">
        <f t="shared" si="715"/>
        <v>0</v>
      </c>
      <c r="BF96" s="249">
        <f t="shared" si="882"/>
        <v>0</v>
      </c>
      <c r="BG96" s="301">
        <f t="shared" si="716"/>
        <v>0</v>
      </c>
      <c r="BH96" s="249">
        <f t="shared" si="885"/>
        <v>0</v>
      </c>
      <c r="BI96" s="301">
        <f t="shared" si="892"/>
        <v>0</v>
      </c>
      <c r="BJ96" s="249">
        <f t="shared" si="885"/>
        <v>0</v>
      </c>
      <c r="BK96" s="301">
        <f t="shared" si="892"/>
        <v>0</v>
      </c>
      <c r="BL96" s="249">
        <f t="shared" si="661"/>
        <v>0</v>
      </c>
      <c r="BM96" s="299">
        <f t="shared" si="718"/>
        <v>0</v>
      </c>
      <c r="BN96" s="252">
        <f t="shared" si="719"/>
        <v>0</v>
      </c>
      <c r="BO96" s="312">
        <f t="shared" si="685"/>
        <v>0</v>
      </c>
      <c r="BQ96" s="1"/>
      <c r="BR96" s="2"/>
      <c r="BS96" s="255">
        <f t="shared" si="919"/>
        <v>0</v>
      </c>
      <c r="BT96" s="249">
        <f t="shared" si="881"/>
        <v>0</v>
      </c>
      <c r="BU96" s="336">
        <f t="shared" si="720"/>
        <v>0</v>
      </c>
      <c r="BV96" s="279">
        <f t="shared" si="721"/>
        <v>0</v>
      </c>
      <c r="BW96" s="339">
        <f t="shared" si="722"/>
        <v>0</v>
      </c>
      <c r="BX96" s="279">
        <f t="shared" si="721"/>
        <v>0</v>
      </c>
      <c r="BY96" s="339">
        <f t="shared" si="723"/>
        <v>0</v>
      </c>
      <c r="BZ96" s="279">
        <f t="shared" si="721"/>
        <v>0</v>
      </c>
      <c r="CA96" s="339">
        <f t="shared" si="724"/>
        <v>0</v>
      </c>
      <c r="CB96" s="279">
        <f t="shared" si="721"/>
        <v>0</v>
      </c>
      <c r="CC96" s="339">
        <f t="shared" si="725"/>
        <v>0</v>
      </c>
      <c r="CD96" s="279">
        <f t="shared" si="721"/>
        <v>0</v>
      </c>
      <c r="CE96" s="339">
        <f t="shared" si="726"/>
        <v>0</v>
      </c>
      <c r="CF96" s="279">
        <f t="shared" si="721"/>
        <v>0</v>
      </c>
      <c r="CG96" s="339">
        <f t="shared" si="727"/>
        <v>0</v>
      </c>
      <c r="CH96" s="279">
        <f t="shared" si="721"/>
        <v>0</v>
      </c>
      <c r="CI96" s="339">
        <f t="shared" si="728"/>
        <v>0</v>
      </c>
      <c r="CJ96" s="279">
        <f t="shared" si="729"/>
        <v>0</v>
      </c>
      <c r="CK96" s="339">
        <f t="shared" si="730"/>
        <v>0</v>
      </c>
      <c r="CL96" s="279">
        <f t="shared" si="463"/>
        <v>0</v>
      </c>
      <c r="CM96" s="339">
        <f t="shared" si="731"/>
        <v>0</v>
      </c>
      <c r="CN96" s="279">
        <f t="shared" si="732"/>
        <v>0</v>
      </c>
      <c r="CO96" s="339">
        <f t="shared" si="733"/>
        <v>0</v>
      </c>
      <c r="CP96" s="279">
        <f t="shared" si="464"/>
        <v>0</v>
      </c>
      <c r="CQ96" s="250">
        <f t="shared" si="905"/>
        <v>0</v>
      </c>
      <c r="CR96" s="252">
        <f t="shared" si="734"/>
        <v>0</v>
      </c>
      <c r="CS96" s="251">
        <f t="shared" si="887"/>
        <v>0</v>
      </c>
      <c r="CU96" s="1"/>
      <c r="CV96" s="2"/>
      <c r="CW96" s="255">
        <f t="shared" si="920"/>
        <v>0</v>
      </c>
      <c r="CX96" s="249">
        <f t="shared" si="735"/>
        <v>0</v>
      </c>
      <c r="CY96" s="250">
        <f t="shared" si="736"/>
        <v>0</v>
      </c>
      <c r="CZ96" s="279">
        <f t="shared" si="870"/>
        <v>0</v>
      </c>
      <c r="DA96" s="299">
        <f t="shared" si="736"/>
        <v>0</v>
      </c>
      <c r="DB96" s="279">
        <f t="shared" si="870"/>
        <v>0</v>
      </c>
      <c r="DC96" s="299">
        <f t="shared" si="737"/>
        <v>0</v>
      </c>
      <c r="DD96" s="279">
        <f t="shared" si="870"/>
        <v>0</v>
      </c>
      <c r="DE96" s="299">
        <f t="shared" si="738"/>
        <v>0</v>
      </c>
      <c r="DF96" s="279">
        <f t="shared" si="870"/>
        <v>0</v>
      </c>
      <c r="DG96" s="299">
        <f t="shared" si="739"/>
        <v>0</v>
      </c>
      <c r="DH96" s="279">
        <f t="shared" si="870"/>
        <v>0</v>
      </c>
      <c r="DI96" s="299">
        <f t="shared" si="740"/>
        <v>0</v>
      </c>
      <c r="DJ96" s="279">
        <f t="shared" si="870"/>
        <v>0</v>
      </c>
      <c r="DK96" s="299">
        <f t="shared" si="741"/>
        <v>0</v>
      </c>
      <c r="DL96" s="279">
        <f t="shared" si="870"/>
        <v>0</v>
      </c>
      <c r="DM96" s="299">
        <f t="shared" si="742"/>
        <v>0</v>
      </c>
      <c r="DN96" s="279">
        <f t="shared" si="743"/>
        <v>0</v>
      </c>
      <c r="DO96" s="299">
        <f t="shared" si="744"/>
        <v>0</v>
      </c>
      <c r="DP96" s="279">
        <f t="shared" si="471"/>
        <v>0</v>
      </c>
      <c r="DQ96" s="299">
        <f t="shared" si="745"/>
        <v>0</v>
      </c>
      <c r="DR96" s="279">
        <f t="shared" si="746"/>
        <v>0</v>
      </c>
      <c r="DS96" s="299">
        <f t="shared" si="747"/>
        <v>0</v>
      </c>
      <c r="DT96" s="279">
        <f t="shared" si="472"/>
        <v>0</v>
      </c>
      <c r="DU96" s="299">
        <f t="shared" si="748"/>
        <v>0</v>
      </c>
      <c r="DV96" s="252">
        <f t="shared" si="749"/>
        <v>0</v>
      </c>
      <c r="DW96" s="251">
        <f t="shared" si="888"/>
        <v>0</v>
      </c>
      <c r="DY96" s="256">
        <v>0</v>
      </c>
      <c r="DZ96" s="2"/>
      <c r="EA96" s="254">
        <f t="shared" si="906"/>
        <v>0</v>
      </c>
      <c r="EB96" s="249">
        <f t="shared" si="871"/>
        <v>0</v>
      </c>
      <c r="EC96" s="250">
        <f t="shared" si="750"/>
        <v>0</v>
      </c>
      <c r="ED96" s="356">
        <f t="shared" si="871"/>
        <v>0</v>
      </c>
      <c r="EE96" s="250">
        <f t="shared" si="750"/>
        <v>0</v>
      </c>
      <c r="EF96" s="249">
        <f t="shared" si="872"/>
        <v>0</v>
      </c>
      <c r="EG96" s="250">
        <f t="shared" si="893"/>
        <v>0</v>
      </c>
      <c r="EH96" s="249">
        <f t="shared" si="872"/>
        <v>0</v>
      </c>
      <c r="EI96" s="250">
        <f t="shared" si="893"/>
        <v>0</v>
      </c>
      <c r="EJ96" s="249">
        <f t="shared" si="872"/>
        <v>0</v>
      </c>
      <c r="EK96" s="250">
        <f t="shared" si="752"/>
        <v>0</v>
      </c>
      <c r="EL96" s="249">
        <f t="shared" si="872"/>
        <v>0</v>
      </c>
      <c r="EM96" s="250">
        <f t="shared" si="753"/>
        <v>0</v>
      </c>
      <c r="EN96" s="249">
        <f t="shared" si="872"/>
        <v>0</v>
      </c>
      <c r="EO96" s="250">
        <f t="shared" si="754"/>
        <v>0</v>
      </c>
      <c r="EP96" s="249">
        <f t="shared" si="872"/>
        <v>0</v>
      </c>
      <c r="EQ96" s="250">
        <f t="shared" si="755"/>
        <v>0</v>
      </c>
      <c r="ER96" s="249">
        <f t="shared" si="872"/>
        <v>0</v>
      </c>
      <c r="ES96" s="250">
        <f t="shared" si="756"/>
        <v>0</v>
      </c>
      <c r="ET96" s="249">
        <f t="shared" si="921"/>
        <v>0</v>
      </c>
      <c r="EU96" s="250">
        <f t="shared" si="757"/>
        <v>0</v>
      </c>
      <c r="EV96" s="249">
        <f t="shared" si="758"/>
        <v>0</v>
      </c>
      <c r="EW96" s="250">
        <f t="shared" si="759"/>
        <v>0</v>
      </c>
      <c r="EX96" s="249">
        <f t="shared" si="922"/>
        <v>0</v>
      </c>
      <c r="EY96" s="250">
        <f t="shared" si="760"/>
        <v>0</v>
      </c>
      <c r="EZ96" s="252">
        <f t="shared" si="761"/>
        <v>0</v>
      </c>
      <c r="FA96" s="251">
        <f t="shared" si="907"/>
        <v>0</v>
      </c>
      <c r="FC96" s="1"/>
      <c r="FD96" s="2"/>
      <c r="FE96" s="257">
        <f t="shared" si="908"/>
        <v>0</v>
      </c>
      <c r="FF96" s="249">
        <f t="shared" si="762"/>
        <v>0</v>
      </c>
      <c r="FG96" s="250">
        <f t="shared" si="763"/>
        <v>0</v>
      </c>
      <c r="FH96" s="372">
        <f t="shared" si="873"/>
        <v>0</v>
      </c>
      <c r="FI96" s="339">
        <f t="shared" si="764"/>
        <v>0</v>
      </c>
      <c r="FJ96" s="372">
        <f t="shared" si="873"/>
        <v>0</v>
      </c>
      <c r="FK96" s="339">
        <f t="shared" si="764"/>
        <v>0</v>
      </c>
      <c r="FL96" s="372">
        <f t="shared" si="873"/>
        <v>0</v>
      </c>
      <c r="FM96" s="339">
        <f t="shared" si="765"/>
        <v>0</v>
      </c>
      <c r="FN96" s="372">
        <f t="shared" si="873"/>
        <v>0</v>
      </c>
      <c r="FO96" s="339">
        <f t="shared" si="766"/>
        <v>0</v>
      </c>
      <c r="FP96" s="372">
        <f t="shared" si="873"/>
        <v>0</v>
      </c>
      <c r="FQ96" s="339">
        <f t="shared" si="767"/>
        <v>0</v>
      </c>
      <c r="FR96" s="372">
        <f t="shared" si="873"/>
        <v>0</v>
      </c>
      <c r="FS96" s="339">
        <f t="shared" si="768"/>
        <v>0</v>
      </c>
      <c r="FT96" s="372">
        <f t="shared" si="873"/>
        <v>0</v>
      </c>
      <c r="FU96" s="339">
        <f t="shared" si="769"/>
        <v>0</v>
      </c>
      <c r="FV96" s="372">
        <f t="shared" si="770"/>
        <v>0</v>
      </c>
      <c r="FW96" s="339">
        <f t="shared" si="771"/>
        <v>0</v>
      </c>
      <c r="FX96" s="372">
        <f t="shared" si="479"/>
        <v>0</v>
      </c>
      <c r="FY96" s="339">
        <f t="shared" si="772"/>
        <v>0</v>
      </c>
      <c r="FZ96" s="372">
        <f t="shared" si="773"/>
        <v>0</v>
      </c>
      <c r="GA96" s="339">
        <f t="shared" si="774"/>
        <v>0</v>
      </c>
      <c r="GB96" s="372">
        <f t="shared" si="480"/>
        <v>0</v>
      </c>
      <c r="GC96" s="339">
        <f t="shared" si="775"/>
        <v>0</v>
      </c>
      <c r="GD96" s="252">
        <f t="shared" si="776"/>
        <v>0</v>
      </c>
      <c r="GE96" s="251">
        <f t="shared" si="686"/>
        <v>0</v>
      </c>
      <c r="GG96" s="1"/>
      <c r="GH96" s="2">
        <v>0.2</v>
      </c>
      <c r="GI96" s="257">
        <f t="shared" si="909"/>
        <v>0</v>
      </c>
      <c r="GJ96" s="249">
        <f t="shared" si="777"/>
        <v>0</v>
      </c>
      <c r="GK96" s="250">
        <f t="shared" si="778"/>
        <v>0</v>
      </c>
      <c r="GL96" s="249">
        <f t="shared" si="777"/>
        <v>0</v>
      </c>
      <c r="GM96" s="250">
        <f t="shared" si="778"/>
        <v>0</v>
      </c>
      <c r="GN96" s="249">
        <f t="shared" si="777"/>
        <v>0</v>
      </c>
      <c r="GO96" s="250">
        <f t="shared" si="894"/>
        <v>0</v>
      </c>
      <c r="GP96" s="249">
        <f t="shared" si="777"/>
        <v>0</v>
      </c>
      <c r="GQ96" s="250">
        <f t="shared" si="895"/>
        <v>0</v>
      </c>
      <c r="GR96" s="249">
        <f t="shared" si="777"/>
        <v>0</v>
      </c>
      <c r="GS96" s="250">
        <f t="shared" si="896"/>
        <v>0</v>
      </c>
      <c r="GT96" s="249">
        <f t="shared" si="777"/>
        <v>0</v>
      </c>
      <c r="GU96" s="250">
        <f t="shared" si="897"/>
        <v>0</v>
      </c>
      <c r="GV96" s="249">
        <f t="shared" si="777"/>
        <v>0</v>
      </c>
      <c r="GW96" s="250">
        <f t="shared" si="898"/>
        <v>0</v>
      </c>
      <c r="GX96" s="249">
        <f t="shared" si="784"/>
        <v>0</v>
      </c>
      <c r="GY96" s="250">
        <f t="shared" si="899"/>
        <v>0</v>
      </c>
      <c r="GZ96" s="249">
        <f t="shared" si="786"/>
        <v>0</v>
      </c>
      <c r="HA96" s="250">
        <f t="shared" si="900"/>
        <v>0</v>
      </c>
      <c r="HB96" s="249">
        <f t="shared" si="788"/>
        <v>0</v>
      </c>
      <c r="HC96" s="250">
        <f t="shared" si="901"/>
        <v>0</v>
      </c>
      <c r="HD96" s="249">
        <f t="shared" si="790"/>
        <v>0</v>
      </c>
      <c r="HE96" s="250">
        <f t="shared" si="902"/>
        <v>0</v>
      </c>
      <c r="HF96" s="249">
        <f t="shared" si="792"/>
        <v>0</v>
      </c>
      <c r="HG96" s="250">
        <f t="shared" si="903"/>
        <v>0</v>
      </c>
      <c r="HH96" s="252">
        <f t="shared" si="794"/>
        <v>0</v>
      </c>
      <c r="HI96" s="251">
        <f t="shared" si="910"/>
        <v>0</v>
      </c>
      <c r="HK96" s="1"/>
      <c r="HL96" s="2"/>
      <c r="HM96" s="257">
        <f t="shared" si="911"/>
        <v>0</v>
      </c>
      <c r="HN96" s="249">
        <f t="shared" si="795"/>
        <v>0</v>
      </c>
      <c r="HO96" s="250">
        <f t="shared" si="912"/>
        <v>0</v>
      </c>
      <c r="HP96" s="249">
        <f t="shared" si="796"/>
        <v>0</v>
      </c>
      <c r="HQ96" s="250">
        <f t="shared" si="797"/>
        <v>0</v>
      </c>
      <c r="HR96" s="249">
        <f t="shared" si="796"/>
        <v>0</v>
      </c>
      <c r="HS96" s="250">
        <f t="shared" si="797"/>
        <v>0</v>
      </c>
      <c r="HT96" s="249">
        <f t="shared" si="796"/>
        <v>0</v>
      </c>
      <c r="HU96" s="250">
        <f t="shared" si="798"/>
        <v>0</v>
      </c>
      <c r="HV96" s="249">
        <f t="shared" si="796"/>
        <v>0</v>
      </c>
      <c r="HW96" s="250">
        <f t="shared" si="799"/>
        <v>0</v>
      </c>
      <c r="HX96" s="249">
        <f t="shared" si="796"/>
        <v>0</v>
      </c>
      <c r="HY96" s="250">
        <f t="shared" si="800"/>
        <v>0</v>
      </c>
      <c r="HZ96" s="249">
        <f t="shared" si="796"/>
        <v>0</v>
      </c>
      <c r="IA96" s="250">
        <f t="shared" si="801"/>
        <v>0</v>
      </c>
      <c r="IB96" s="249">
        <f t="shared" si="796"/>
        <v>0</v>
      </c>
      <c r="IC96" s="250">
        <f t="shared" si="802"/>
        <v>0</v>
      </c>
      <c r="ID96" s="249">
        <f t="shared" si="803"/>
        <v>0</v>
      </c>
      <c r="IE96" s="250">
        <f t="shared" si="804"/>
        <v>0</v>
      </c>
      <c r="IF96" s="249">
        <f t="shared" si="805"/>
        <v>0</v>
      </c>
      <c r="IG96" s="250">
        <f t="shared" si="806"/>
        <v>0</v>
      </c>
      <c r="IH96" s="249">
        <f t="shared" si="807"/>
        <v>0</v>
      </c>
      <c r="II96" s="250">
        <f t="shared" si="808"/>
        <v>0</v>
      </c>
      <c r="IJ96" s="249">
        <f t="shared" si="809"/>
        <v>0</v>
      </c>
      <c r="IK96" s="250">
        <f t="shared" si="810"/>
        <v>0</v>
      </c>
      <c r="IL96" s="252">
        <f t="shared" si="811"/>
        <v>0</v>
      </c>
      <c r="IM96" s="251">
        <f t="shared" si="812"/>
        <v>0</v>
      </c>
      <c r="IO96" s="1"/>
      <c r="IP96" s="2">
        <v>8.3333333333333329E-2</v>
      </c>
      <c r="IQ96" s="257">
        <f t="shared" si="913"/>
        <v>0</v>
      </c>
      <c r="IR96" s="249">
        <f t="shared" si="813"/>
        <v>0</v>
      </c>
      <c r="IS96" s="250">
        <f t="shared" si="814"/>
        <v>0</v>
      </c>
      <c r="IT96" s="279">
        <f t="shared" si="874"/>
        <v>0</v>
      </c>
      <c r="IU96" s="289">
        <f t="shared" si="815"/>
        <v>0</v>
      </c>
      <c r="IV96" s="279">
        <f t="shared" si="874"/>
        <v>0</v>
      </c>
      <c r="IW96" s="289">
        <f t="shared" si="815"/>
        <v>0</v>
      </c>
      <c r="IX96" s="279">
        <f t="shared" si="874"/>
        <v>0</v>
      </c>
      <c r="IY96" s="289">
        <f t="shared" si="816"/>
        <v>0</v>
      </c>
      <c r="IZ96" s="279">
        <f t="shared" si="874"/>
        <v>0</v>
      </c>
      <c r="JA96" s="289">
        <f t="shared" si="817"/>
        <v>0</v>
      </c>
      <c r="JB96" s="279">
        <f t="shared" si="874"/>
        <v>0</v>
      </c>
      <c r="JC96" s="289">
        <f t="shared" si="818"/>
        <v>0</v>
      </c>
      <c r="JD96" s="279">
        <f t="shared" si="874"/>
        <v>0</v>
      </c>
      <c r="JE96" s="289">
        <f t="shared" si="819"/>
        <v>0</v>
      </c>
      <c r="JF96" s="279">
        <f t="shared" si="874"/>
        <v>0</v>
      </c>
      <c r="JG96" s="289">
        <f t="shared" si="820"/>
        <v>0</v>
      </c>
      <c r="JH96" s="279">
        <f t="shared" si="821"/>
        <v>0</v>
      </c>
      <c r="JI96" s="289">
        <f t="shared" si="822"/>
        <v>0</v>
      </c>
      <c r="JJ96" s="279">
        <f t="shared" si="923"/>
        <v>0</v>
      </c>
      <c r="JK96" s="289">
        <f t="shared" si="823"/>
        <v>0</v>
      </c>
      <c r="JL96" s="279">
        <f t="shared" si="824"/>
        <v>0</v>
      </c>
      <c r="JM96" s="289">
        <f t="shared" si="825"/>
        <v>0</v>
      </c>
      <c r="JN96" s="279">
        <f t="shared" si="924"/>
        <v>0</v>
      </c>
      <c r="JO96" s="289">
        <f t="shared" si="826"/>
        <v>0</v>
      </c>
      <c r="JP96" s="252">
        <f t="shared" si="827"/>
        <v>0</v>
      </c>
      <c r="JQ96" s="251">
        <f t="shared" si="828"/>
        <v>0</v>
      </c>
      <c r="JS96" s="1"/>
      <c r="JT96" s="2">
        <v>8.3333333333333329E-2</v>
      </c>
      <c r="JU96" s="257">
        <f t="shared" si="914"/>
        <v>0</v>
      </c>
      <c r="JV96" s="249">
        <f t="shared" si="829"/>
        <v>0</v>
      </c>
      <c r="JW96" s="250">
        <f t="shared" si="830"/>
        <v>0</v>
      </c>
      <c r="JX96" s="372">
        <f t="shared" si="875"/>
        <v>0</v>
      </c>
      <c r="JY96" s="339">
        <f t="shared" si="831"/>
        <v>0</v>
      </c>
      <c r="JZ96" s="372">
        <f t="shared" si="875"/>
        <v>0</v>
      </c>
      <c r="KA96" s="339">
        <f t="shared" si="831"/>
        <v>0</v>
      </c>
      <c r="KB96" s="372">
        <f t="shared" si="875"/>
        <v>0</v>
      </c>
      <c r="KC96" s="339">
        <f t="shared" si="832"/>
        <v>0</v>
      </c>
      <c r="KD96" s="372">
        <f t="shared" si="875"/>
        <v>0</v>
      </c>
      <c r="KE96" s="339">
        <f t="shared" si="833"/>
        <v>0</v>
      </c>
      <c r="KF96" s="372">
        <f t="shared" si="875"/>
        <v>0</v>
      </c>
      <c r="KG96" s="339">
        <f t="shared" si="834"/>
        <v>0</v>
      </c>
      <c r="KH96" s="372">
        <f t="shared" si="875"/>
        <v>0</v>
      </c>
      <c r="KI96" s="339">
        <f t="shared" si="835"/>
        <v>0</v>
      </c>
      <c r="KJ96" s="372">
        <f t="shared" si="875"/>
        <v>0</v>
      </c>
      <c r="KK96" s="339">
        <f t="shared" si="836"/>
        <v>0</v>
      </c>
      <c r="KL96" s="372">
        <f t="shared" si="837"/>
        <v>0</v>
      </c>
      <c r="KM96" s="339">
        <f t="shared" si="838"/>
        <v>0</v>
      </c>
      <c r="KN96" s="372">
        <f t="shared" si="918"/>
        <v>0</v>
      </c>
      <c r="KO96" s="339">
        <f t="shared" si="839"/>
        <v>0</v>
      </c>
      <c r="KP96" s="372">
        <f t="shared" si="840"/>
        <v>0</v>
      </c>
      <c r="KQ96" s="339">
        <f t="shared" si="841"/>
        <v>0</v>
      </c>
      <c r="KR96" s="372">
        <f t="shared" si="925"/>
        <v>0</v>
      </c>
      <c r="KS96" s="377">
        <f t="shared" si="842"/>
        <v>0</v>
      </c>
      <c r="KT96" s="379">
        <f t="shared" si="843"/>
        <v>0</v>
      </c>
      <c r="KU96" s="251">
        <f t="shared" si="915"/>
        <v>0</v>
      </c>
      <c r="KW96" s="1"/>
      <c r="KX96" s="2">
        <v>8.3333333333333329E-2</v>
      </c>
      <c r="KY96" s="254">
        <f t="shared" si="680"/>
        <v>0</v>
      </c>
      <c r="KZ96" s="249">
        <f t="shared" si="876"/>
        <v>0</v>
      </c>
      <c r="LA96" s="251">
        <f t="shared" si="681"/>
        <v>0</v>
      </c>
      <c r="LB96" s="279">
        <f t="shared" si="844"/>
        <v>0</v>
      </c>
      <c r="LC96" s="339">
        <f t="shared" si="845"/>
        <v>0</v>
      </c>
      <c r="LD96" s="279">
        <f t="shared" si="844"/>
        <v>0</v>
      </c>
      <c r="LE96" s="339">
        <f t="shared" si="845"/>
        <v>0</v>
      </c>
      <c r="LF96" s="279">
        <f t="shared" si="844"/>
        <v>0</v>
      </c>
      <c r="LG96" s="339">
        <f t="shared" si="846"/>
        <v>0</v>
      </c>
      <c r="LH96" s="279">
        <f t="shared" si="844"/>
        <v>0</v>
      </c>
      <c r="LI96" s="339">
        <f t="shared" si="847"/>
        <v>0</v>
      </c>
      <c r="LJ96" s="279">
        <f t="shared" si="844"/>
        <v>0</v>
      </c>
      <c r="LK96" s="339">
        <f t="shared" si="848"/>
        <v>0</v>
      </c>
      <c r="LL96" s="279">
        <f t="shared" si="844"/>
        <v>0</v>
      </c>
      <c r="LM96" s="339">
        <f t="shared" si="849"/>
        <v>0</v>
      </c>
      <c r="LN96" s="279">
        <f t="shared" si="844"/>
        <v>0</v>
      </c>
      <c r="LO96" s="339">
        <f t="shared" si="850"/>
        <v>0</v>
      </c>
      <c r="LP96" s="279">
        <f t="shared" si="877"/>
        <v>0</v>
      </c>
      <c r="LQ96" s="339">
        <f t="shared" si="851"/>
        <v>0</v>
      </c>
      <c r="LR96" s="279">
        <f t="shared" si="878"/>
        <v>0</v>
      </c>
      <c r="LS96" s="339">
        <f t="shared" si="852"/>
        <v>0</v>
      </c>
      <c r="LT96" s="279">
        <f t="shared" si="879"/>
        <v>0</v>
      </c>
      <c r="LU96" s="339">
        <f t="shared" si="853"/>
        <v>0</v>
      </c>
      <c r="LV96" s="279">
        <f t="shared" si="880"/>
        <v>0</v>
      </c>
      <c r="LW96" s="339">
        <f t="shared" si="854"/>
        <v>0</v>
      </c>
      <c r="LX96" s="252">
        <f t="shared" si="855"/>
        <v>0</v>
      </c>
      <c r="LY96" s="253">
        <f t="shared" si="856"/>
        <v>0</v>
      </c>
      <c r="MA96" s="249">
        <f t="shared" si="688"/>
        <v>0</v>
      </c>
      <c r="MB96" s="253">
        <f t="shared" si="857"/>
        <v>0</v>
      </c>
      <c r="MC96" s="397">
        <f t="shared" si="689"/>
        <v>0</v>
      </c>
      <c r="MD96" s="253">
        <f t="shared" si="858"/>
        <v>0</v>
      </c>
      <c r="ME96" s="397">
        <f t="shared" si="690"/>
        <v>0</v>
      </c>
      <c r="MF96" s="253">
        <f t="shared" si="858"/>
        <v>0</v>
      </c>
      <c r="MG96" s="397">
        <f t="shared" si="691"/>
        <v>0</v>
      </c>
      <c r="MH96" s="253">
        <f t="shared" si="859"/>
        <v>0</v>
      </c>
      <c r="MI96" s="397">
        <f t="shared" si="692"/>
        <v>0</v>
      </c>
      <c r="MJ96" s="253">
        <f t="shared" si="860"/>
        <v>0</v>
      </c>
      <c r="MK96" s="397">
        <f t="shared" si="693"/>
        <v>0</v>
      </c>
      <c r="ML96" s="253">
        <f t="shared" si="861"/>
        <v>0</v>
      </c>
      <c r="MM96" s="397">
        <f t="shared" si="694"/>
        <v>0</v>
      </c>
      <c r="MN96" s="253">
        <f t="shared" si="862"/>
        <v>0</v>
      </c>
      <c r="MO96" s="397">
        <f t="shared" si="695"/>
        <v>0</v>
      </c>
      <c r="MP96" s="253">
        <f t="shared" si="863"/>
        <v>0</v>
      </c>
      <c r="MQ96" s="397">
        <f t="shared" si="696"/>
        <v>0</v>
      </c>
      <c r="MR96" s="253">
        <f t="shared" si="864"/>
        <v>0</v>
      </c>
      <c r="MS96" s="397">
        <f t="shared" si="697"/>
        <v>0</v>
      </c>
      <c r="MT96" s="253">
        <f t="shared" si="865"/>
        <v>0</v>
      </c>
      <c r="MU96" s="397">
        <f t="shared" si="698"/>
        <v>0</v>
      </c>
      <c r="MV96" s="253">
        <f t="shared" si="866"/>
        <v>0</v>
      </c>
      <c r="MW96" s="397">
        <f t="shared" si="699"/>
        <v>0</v>
      </c>
      <c r="MX96" s="253">
        <f t="shared" si="867"/>
        <v>0</v>
      </c>
      <c r="MY96" s="252">
        <f t="shared" si="868"/>
        <v>0</v>
      </c>
      <c r="MZ96" s="251">
        <f t="shared" si="869"/>
        <v>0</v>
      </c>
    </row>
    <row r="97" spans="1:364" ht="52.8" x14ac:dyDescent="0.25">
      <c r="A97" s="533"/>
      <c r="B97" s="245" t="s">
        <v>202</v>
      </c>
      <c r="C97" s="246" t="s">
        <v>203</v>
      </c>
      <c r="D97" s="247" t="s">
        <v>119</v>
      </c>
      <c r="E97" s="4">
        <v>10</v>
      </c>
      <c r="F97" s="353">
        <v>8034769.4793643253</v>
      </c>
      <c r="G97" s="353">
        <f t="shared" si="700"/>
        <v>8369628.0626185946</v>
      </c>
      <c r="I97" s="30"/>
      <c r="J97" s="2">
        <v>8.3333333333333329E-2</v>
      </c>
      <c r="K97" s="248">
        <f t="shared" si="701"/>
        <v>0</v>
      </c>
      <c r="L97" s="249"/>
      <c r="M97" s="301">
        <f t="shared" si="445"/>
        <v>0</v>
      </c>
      <c r="N97" s="279">
        <f t="shared" si="889"/>
        <v>0</v>
      </c>
      <c r="O97" s="289">
        <f t="shared" si="916"/>
        <v>0</v>
      </c>
      <c r="P97" s="279">
        <f t="shared" si="889"/>
        <v>0</v>
      </c>
      <c r="Q97" s="289">
        <f t="shared" si="916"/>
        <v>0</v>
      </c>
      <c r="R97" s="279">
        <f t="shared" si="889"/>
        <v>0</v>
      </c>
      <c r="S97" s="289">
        <f t="shared" si="702"/>
        <v>0</v>
      </c>
      <c r="T97" s="279">
        <f t="shared" si="889"/>
        <v>0</v>
      </c>
      <c r="U97" s="289">
        <f t="shared" si="703"/>
        <v>0</v>
      </c>
      <c r="V97" s="279">
        <f t="shared" si="889"/>
        <v>0</v>
      </c>
      <c r="W97" s="289">
        <f t="shared" si="704"/>
        <v>0</v>
      </c>
      <c r="X97" s="279">
        <f t="shared" si="889"/>
        <v>0</v>
      </c>
      <c r="Y97" s="289">
        <f t="shared" si="705"/>
        <v>0</v>
      </c>
      <c r="Z97" s="279">
        <f t="shared" si="889"/>
        <v>0</v>
      </c>
      <c r="AA97" s="289">
        <f t="shared" si="706"/>
        <v>0</v>
      </c>
      <c r="AB97" s="279">
        <f t="shared" si="889"/>
        <v>0</v>
      </c>
      <c r="AC97" s="289">
        <f t="shared" si="707"/>
        <v>0</v>
      </c>
      <c r="AD97" s="279">
        <f t="shared" si="889"/>
        <v>0</v>
      </c>
      <c r="AE97" s="289">
        <f t="shared" si="708"/>
        <v>0</v>
      </c>
      <c r="AF97" s="279">
        <f t="shared" si="889"/>
        <v>0</v>
      </c>
      <c r="AG97" s="289">
        <f t="shared" si="890"/>
        <v>0</v>
      </c>
      <c r="AH97" s="249">
        <f t="shared" si="456"/>
        <v>0</v>
      </c>
      <c r="AI97" s="299">
        <f t="shared" si="891"/>
        <v>0</v>
      </c>
      <c r="AJ97" s="252">
        <f t="shared" si="709"/>
        <v>0</v>
      </c>
      <c r="AK97" s="312">
        <f t="shared" si="710"/>
        <v>0</v>
      </c>
      <c r="AM97" s="1"/>
      <c r="AN97" s="2">
        <v>8.3333333333333329E-2</v>
      </c>
      <c r="AO97" s="254">
        <f t="shared" si="904"/>
        <v>0</v>
      </c>
      <c r="AP97" s="249">
        <f t="shared" si="917"/>
        <v>0</v>
      </c>
      <c r="AQ97" s="301">
        <f t="shared" si="683"/>
        <v>0</v>
      </c>
      <c r="AR97" s="249">
        <f t="shared" si="884"/>
        <v>0</v>
      </c>
      <c r="AS97" s="301">
        <f t="shared" si="683"/>
        <v>0</v>
      </c>
      <c r="AT97" s="249">
        <f t="shared" si="884"/>
        <v>0</v>
      </c>
      <c r="AU97" s="301">
        <f t="shared" si="684"/>
        <v>0</v>
      </c>
      <c r="AV97" s="249">
        <f t="shared" si="884"/>
        <v>0</v>
      </c>
      <c r="AW97" s="301">
        <f t="shared" si="711"/>
        <v>0</v>
      </c>
      <c r="AX97" s="249">
        <f t="shared" si="884"/>
        <v>0</v>
      </c>
      <c r="AY97" s="301">
        <f t="shared" si="712"/>
        <v>0</v>
      </c>
      <c r="AZ97" s="249">
        <f t="shared" si="884"/>
        <v>0</v>
      </c>
      <c r="BA97" s="301">
        <f t="shared" si="713"/>
        <v>0</v>
      </c>
      <c r="BB97" s="249">
        <f t="shared" si="884"/>
        <v>0</v>
      </c>
      <c r="BC97" s="301">
        <f t="shared" si="714"/>
        <v>0</v>
      </c>
      <c r="BD97" s="249">
        <f t="shared" si="884"/>
        <v>0</v>
      </c>
      <c r="BE97" s="301">
        <f t="shared" si="715"/>
        <v>0</v>
      </c>
      <c r="BF97" s="249">
        <f t="shared" si="882"/>
        <v>0</v>
      </c>
      <c r="BG97" s="301">
        <f t="shared" si="716"/>
        <v>0</v>
      </c>
      <c r="BH97" s="249">
        <f t="shared" si="885"/>
        <v>0</v>
      </c>
      <c r="BI97" s="301">
        <f t="shared" si="892"/>
        <v>0</v>
      </c>
      <c r="BJ97" s="249">
        <f t="shared" si="885"/>
        <v>0</v>
      </c>
      <c r="BK97" s="301">
        <f t="shared" si="892"/>
        <v>0</v>
      </c>
      <c r="BL97" s="249">
        <f t="shared" si="661"/>
        <v>0</v>
      </c>
      <c r="BM97" s="299">
        <f t="shared" si="718"/>
        <v>0</v>
      </c>
      <c r="BN97" s="252">
        <f t="shared" si="719"/>
        <v>0</v>
      </c>
      <c r="BO97" s="312">
        <f t="shared" si="685"/>
        <v>0</v>
      </c>
      <c r="BQ97" s="1"/>
      <c r="BR97" s="2"/>
      <c r="BS97" s="255">
        <f t="shared" si="919"/>
        <v>0</v>
      </c>
      <c r="BT97" s="249">
        <f t="shared" si="881"/>
        <v>0</v>
      </c>
      <c r="BU97" s="336">
        <f t="shared" si="720"/>
        <v>0</v>
      </c>
      <c r="BV97" s="279">
        <f t="shared" si="721"/>
        <v>0</v>
      </c>
      <c r="BW97" s="339">
        <f t="shared" si="722"/>
        <v>0</v>
      </c>
      <c r="BX97" s="279">
        <f t="shared" si="721"/>
        <v>0</v>
      </c>
      <c r="BY97" s="339">
        <f t="shared" si="723"/>
        <v>0</v>
      </c>
      <c r="BZ97" s="279">
        <f t="shared" si="721"/>
        <v>0</v>
      </c>
      <c r="CA97" s="339">
        <f t="shared" si="724"/>
        <v>0</v>
      </c>
      <c r="CB97" s="279">
        <f t="shared" si="721"/>
        <v>0</v>
      </c>
      <c r="CC97" s="339">
        <f t="shared" si="725"/>
        <v>0</v>
      </c>
      <c r="CD97" s="279">
        <f t="shared" si="721"/>
        <v>0</v>
      </c>
      <c r="CE97" s="339">
        <f t="shared" si="726"/>
        <v>0</v>
      </c>
      <c r="CF97" s="279">
        <f t="shared" si="721"/>
        <v>0</v>
      </c>
      <c r="CG97" s="339">
        <f t="shared" si="727"/>
        <v>0</v>
      </c>
      <c r="CH97" s="279">
        <f t="shared" si="721"/>
        <v>0</v>
      </c>
      <c r="CI97" s="339">
        <f t="shared" si="728"/>
        <v>0</v>
      </c>
      <c r="CJ97" s="279">
        <f t="shared" si="729"/>
        <v>0</v>
      </c>
      <c r="CK97" s="339">
        <f t="shared" si="730"/>
        <v>0</v>
      </c>
      <c r="CL97" s="279">
        <f t="shared" si="463"/>
        <v>0</v>
      </c>
      <c r="CM97" s="339">
        <f t="shared" si="731"/>
        <v>0</v>
      </c>
      <c r="CN97" s="279">
        <f t="shared" si="732"/>
        <v>0</v>
      </c>
      <c r="CO97" s="339">
        <f t="shared" si="733"/>
        <v>0</v>
      </c>
      <c r="CP97" s="279">
        <f t="shared" si="464"/>
        <v>0</v>
      </c>
      <c r="CQ97" s="250">
        <f t="shared" si="905"/>
        <v>0</v>
      </c>
      <c r="CR97" s="252">
        <f t="shared" si="734"/>
        <v>0</v>
      </c>
      <c r="CS97" s="251">
        <f t="shared" si="887"/>
        <v>0</v>
      </c>
      <c r="CU97" s="1"/>
      <c r="CV97" s="2"/>
      <c r="CW97" s="255">
        <f t="shared" si="920"/>
        <v>0</v>
      </c>
      <c r="CX97" s="249">
        <f t="shared" si="735"/>
        <v>0</v>
      </c>
      <c r="CY97" s="250">
        <f t="shared" si="736"/>
        <v>0</v>
      </c>
      <c r="CZ97" s="279">
        <f t="shared" si="870"/>
        <v>0</v>
      </c>
      <c r="DA97" s="299">
        <f t="shared" si="736"/>
        <v>0</v>
      </c>
      <c r="DB97" s="279">
        <f t="shared" si="870"/>
        <v>0</v>
      </c>
      <c r="DC97" s="299">
        <f t="shared" si="737"/>
        <v>0</v>
      </c>
      <c r="DD97" s="279">
        <f t="shared" si="870"/>
        <v>0</v>
      </c>
      <c r="DE97" s="299">
        <f t="shared" si="738"/>
        <v>0</v>
      </c>
      <c r="DF97" s="279">
        <f t="shared" si="870"/>
        <v>0</v>
      </c>
      <c r="DG97" s="299">
        <f t="shared" si="739"/>
        <v>0</v>
      </c>
      <c r="DH97" s="279">
        <f t="shared" si="870"/>
        <v>0</v>
      </c>
      <c r="DI97" s="299">
        <f t="shared" si="740"/>
        <v>0</v>
      </c>
      <c r="DJ97" s="279">
        <f t="shared" si="870"/>
        <v>0</v>
      </c>
      <c r="DK97" s="299">
        <f t="shared" si="741"/>
        <v>0</v>
      </c>
      <c r="DL97" s="279">
        <f t="shared" si="870"/>
        <v>0</v>
      </c>
      <c r="DM97" s="299">
        <f t="shared" si="742"/>
        <v>0</v>
      </c>
      <c r="DN97" s="279">
        <f t="shared" si="743"/>
        <v>0</v>
      </c>
      <c r="DO97" s="299">
        <f t="shared" si="744"/>
        <v>0</v>
      </c>
      <c r="DP97" s="279">
        <f t="shared" si="471"/>
        <v>0</v>
      </c>
      <c r="DQ97" s="299">
        <f t="shared" si="745"/>
        <v>0</v>
      </c>
      <c r="DR97" s="279">
        <f t="shared" si="746"/>
        <v>0</v>
      </c>
      <c r="DS97" s="299">
        <f t="shared" si="747"/>
        <v>0</v>
      </c>
      <c r="DT97" s="279">
        <f t="shared" si="472"/>
        <v>0</v>
      </c>
      <c r="DU97" s="299">
        <f t="shared" si="748"/>
        <v>0</v>
      </c>
      <c r="DV97" s="252">
        <f t="shared" si="749"/>
        <v>0</v>
      </c>
      <c r="DW97" s="251">
        <f t="shared" si="888"/>
        <v>0</v>
      </c>
      <c r="DY97" s="256">
        <v>0</v>
      </c>
      <c r="DZ97" s="2"/>
      <c r="EA97" s="254">
        <f t="shared" si="906"/>
        <v>0</v>
      </c>
      <c r="EB97" s="249">
        <f t="shared" si="871"/>
        <v>0</v>
      </c>
      <c r="EC97" s="250">
        <f t="shared" si="750"/>
        <v>0</v>
      </c>
      <c r="ED97" s="356">
        <f t="shared" si="871"/>
        <v>0</v>
      </c>
      <c r="EE97" s="250">
        <f t="shared" si="750"/>
        <v>0</v>
      </c>
      <c r="EF97" s="249">
        <f t="shared" si="872"/>
        <v>0</v>
      </c>
      <c r="EG97" s="250">
        <f t="shared" si="893"/>
        <v>0</v>
      </c>
      <c r="EH97" s="249">
        <f t="shared" si="872"/>
        <v>0</v>
      </c>
      <c r="EI97" s="250">
        <f t="shared" si="893"/>
        <v>0</v>
      </c>
      <c r="EJ97" s="249">
        <f t="shared" si="872"/>
        <v>0</v>
      </c>
      <c r="EK97" s="250">
        <f t="shared" si="752"/>
        <v>0</v>
      </c>
      <c r="EL97" s="249">
        <f t="shared" si="872"/>
        <v>0</v>
      </c>
      <c r="EM97" s="250">
        <f t="shared" si="753"/>
        <v>0</v>
      </c>
      <c r="EN97" s="249">
        <f t="shared" si="872"/>
        <v>0</v>
      </c>
      <c r="EO97" s="250">
        <f t="shared" si="754"/>
        <v>0</v>
      </c>
      <c r="EP97" s="249">
        <f t="shared" si="872"/>
        <v>0</v>
      </c>
      <c r="EQ97" s="250">
        <f t="shared" si="755"/>
        <v>0</v>
      </c>
      <c r="ER97" s="249">
        <f t="shared" si="872"/>
        <v>0</v>
      </c>
      <c r="ES97" s="250">
        <f t="shared" si="756"/>
        <v>0</v>
      </c>
      <c r="ET97" s="249">
        <f t="shared" si="921"/>
        <v>0</v>
      </c>
      <c r="EU97" s="250">
        <f t="shared" si="757"/>
        <v>0</v>
      </c>
      <c r="EV97" s="249">
        <f t="shared" si="758"/>
        <v>0</v>
      </c>
      <c r="EW97" s="250">
        <f t="shared" si="759"/>
        <v>0</v>
      </c>
      <c r="EX97" s="249">
        <f t="shared" si="922"/>
        <v>0</v>
      </c>
      <c r="EY97" s="250">
        <f t="shared" si="760"/>
        <v>0</v>
      </c>
      <c r="EZ97" s="252">
        <f t="shared" si="761"/>
        <v>0</v>
      </c>
      <c r="FA97" s="251">
        <f t="shared" si="907"/>
        <v>0</v>
      </c>
      <c r="FC97" s="1"/>
      <c r="FD97" s="2"/>
      <c r="FE97" s="257">
        <f t="shared" si="908"/>
        <v>0</v>
      </c>
      <c r="FF97" s="249">
        <f t="shared" si="762"/>
        <v>0</v>
      </c>
      <c r="FG97" s="250">
        <f t="shared" si="763"/>
        <v>0</v>
      </c>
      <c r="FH97" s="372">
        <f t="shared" si="873"/>
        <v>0</v>
      </c>
      <c r="FI97" s="339">
        <f t="shared" si="764"/>
        <v>0</v>
      </c>
      <c r="FJ97" s="372">
        <f t="shared" si="873"/>
        <v>0</v>
      </c>
      <c r="FK97" s="339">
        <f t="shared" si="764"/>
        <v>0</v>
      </c>
      <c r="FL97" s="372">
        <f t="shared" si="873"/>
        <v>0</v>
      </c>
      <c r="FM97" s="339">
        <f t="shared" si="765"/>
        <v>0</v>
      </c>
      <c r="FN97" s="372">
        <f t="shared" si="873"/>
        <v>0</v>
      </c>
      <c r="FO97" s="339">
        <f t="shared" si="766"/>
        <v>0</v>
      </c>
      <c r="FP97" s="372">
        <f t="shared" si="873"/>
        <v>0</v>
      </c>
      <c r="FQ97" s="339">
        <f t="shared" si="767"/>
        <v>0</v>
      </c>
      <c r="FR97" s="372">
        <f t="shared" si="873"/>
        <v>0</v>
      </c>
      <c r="FS97" s="339">
        <f t="shared" si="768"/>
        <v>0</v>
      </c>
      <c r="FT97" s="372">
        <f t="shared" si="873"/>
        <v>0</v>
      </c>
      <c r="FU97" s="339">
        <f t="shared" si="769"/>
        <v>0</v>
      </c>
      <c r="FV97" s="372">
        <f t="shared" si="770"/>
        <v>0</v>
      </c>
      <c r="FW97" s="339">
        <f t="shared" si="771"/>
        <v>0</v>
      </c>
      <c r="FX97" s="372">
        <f t="shared" si="479"/>
        <v>0</v>
      </c>
      <c r="FY97" s="339">
        <f t="shared" si="772"/>
        <v>0</v>
      </c>
      <c r="FZ97" s="372">
        <f t="shared" si="773"/>
        <v>0</v>
      </c>
      <c r="GA97" s="339">
        <f t="shared" si="774"/>
        <v>0</v>
      </c>
      <c r="GB97" s="372">
        <f t="shared" si="480"/>
        <v>0</v>
      </c>
      <c r="GC97" s="339">
        <f t="shared" si="775"/>
        <v>0</v>
      </c>
      <c r="GD97" s="252">
        <f t="shared" si="776"/>
        <v>0</v>
      </c>
      <c r="GE97" s="251">
        <f t="shared" si="686"/>
        <v>0</v>
      </c>
      <c r="GG97" s="1"/>
      <c r="GH97" s="2">
        <v>0.2</v>
      </c>
      <c r="GI97" s="257">
        <f t="shared" si="909"/>
        <v>0</v>
      </c>
      <c r="GJ97" s="249">
        <f t="shared" si="777"/>
        <v>0</v>
      </c>
      <c r="GK97" s="250">
        <f t="shared" si="778"/>
        <v>0</v>
      </c>
      <c r="GL97" s="249">
        <f t="shared" si="777"/>
        <v>0</v>
      </c>
      <c r="GM97" s="250">
        <f t="shared" si="778"/>
        <v>0</v>
      </c>
      <c r="GN97" s="249">
        <f t="shared" si="777"/>
        <v>0</v>
      </c>
      <c r="GO97" s="250">
        <f t="shared" si="894"/>
        <v>0</v>
      </c>
      <c r="GP97" s="249">
        <f t="shared" si="777"/>
        <v>0</v>
      </c>
      <c r="GQ97" s="250">
        <f t="shared" si="895"/>
        <v>0</v>
      </c>
      <c r="GR97" s="249">
        <f t="shared" si="777"/>
        <v>0</v>
      </c>
      <c r="GS97" s="250">
        <f t="shared" si="896"/>
        <v>0</v>
      </c>
      <c r="GT97" s="249">
        <f t="shared" si="777"/>
        <v>0</v>
      </c>
      <c r="GU97" s="250">
        <f t="shared" si="897"/>
        <v>0</v>
      </c>
      <c r="GV97" s="249">
        <f t="shared" si="777"/>
        <v>0</v>
      </c>
      <c r="GW97" s="250">
        <f t="shared" si="898"/>
        <v>0</v>
      </c>
      <c r="GX97" s="249">
        <f t="shared" si="784"/>
        <v>0</v>
      </c>
      <c r="GY97" s="250">
        <f t="shared" si="899"/>
        <v>0</v>
      </c>
      <c r="GZ97" s="249">
        <f t="shared" si="786"/>
        <v>0</v>
      </c>
      <c r="HA97" s="250">
        <f t="shared" si="900"/>
        <v>0</v>
      </c>
      <c r="HB97" s="249">
        <f t="shared" si="788"/>
        <v>0</v>
      </c>
      <c r="HC97" s="250">
        <f t="shared" si="901"/>
        <v>0</v>
      </c>
      <c r="HD97" s="249">
        <f t="shared" si="790"/>
        <v>0</v>
      </c>
      <c r="HE97" s="250">
        <f t="shared" si="902"/>
        <v>0</v>
      </c>
      <c r="HF97" s="249">
        <f t="shared" si="792"/>
        <v>0</v>
      </c>
      <c r="HG97" s="250">
        <f t="shared" si="903"/>
        <v>0</v>
      </c>
      <c r="HH97" s="252">
        <f t="shared" si="794"/>
        <v>0</v>
      </c>
      <c r="HI97" s="251">
        <f t="shared" si="910"/>
        <v>0</v>
      </c>
      <c r="HK97" s="1"/>
      <c r="HL97" s="2"/>
      <c r="HM97" s="257">
        <f t="shared" si="911"/>
        <v>0</v>
      </c>
      <c r="HN97" s="249">
        <f t="shared" si="795"/>
        <v>0</v>
      </c>
      <c r="HO97" s="250">
        <f t="shared" si="912"/>
        <v>0</v>
      </c>
      <c r="HP97" s="249">
        <f t="shared" si="796"/>
        <v>0</v>
      </c>
      <c r="HQ97" s="250">
        <f t="shared" si="797"/>
        <v>0</v>
      </c>
      <c r="HR97" s="249">
        <f t="shared" si="796"/>
        <v>0</v>
      </c>
      <c r="HS97" s="250">
        <f t="shared" si="797"/>
        <v>0</v>
      </c>
      <c r="HT97" s="249">
        <f t="shared" si="796"/>
        <v>0</v>
      </c>
      <c r="HU97" s="250">
        <f t="shared" si="798"/>
        <v>0</v>
      </c>
      <c r="HV97" s="249">
        <f t="shared" si="796"/>
        <v>0</v>
      </c>
      <c r="HW97" s="250">
        <f t="shared" si="799"/>
        <v>0</v>
      </c>
      <c r="HX97" s="249">
        <f t="shared" si="796"/>
        <v>0</v>
      </c>
      <c r="HY97" s="250">
        <f t="shared" si="800"/>
        <v>0</v>
      </c>
      <c r="HZ97" s="249">
        <f t="shared" si="796"/>
        <v>0</v>
      </c>
      <c r="IA97" s="250">
        <f t="shared" si="801"/>
        <v>0</v>
      </c>
      <c r="IB97" s="249">
        <f t="shared" si="796"/>
        <v>0</v>
      </c>
      <c r="IC97" s="250">
        <f t="shared" si="802"/>
        <v>0</v>
      </c>
      <c r="ID97" s="249">
        <f t="shared" si="803"/>
        <v>0</v>
      </c>
      <c r="IE97" s="250">
        <f t="shared" si="804"/>
        <v>0</v>
      </c>
      <c r="IF97" s="249">
        <f t="shared" si="805"/>
        <v>0</v>
      </c>
      <c r="IG97" s="250">
        <f t="shared" si="806"/>
        <v>0</v>
      </c>
      <c r="IH97" s="249">
        <f t="shared" si="807"/>
        <v>0</v>
      </c>
      <c r="II97" s="250">
        <f t="shared" si="808"/>
        <v>0</v>
      </c>
      <c r="IJ97" s="249">
        <f t="shared" si="809"/>
        <v>0</v>
      </c>
      <c r="IK97" s="250">
        <f t="shared" si="810"/>
        <v>0</v>
      </c>
      <c r="IL97" s="252">
        <f t="shared" si="811"/>
        <v>0</v>
      </c>
      <c r="IM97" s="251">
        <f t="shared" si="812"/>
        <v>0</v>
      </c>
      <c r="IO97" s="1"/>
      <c r="IP97" s="2">
        <v>8.3333333333333329E-2</v>
      </c>
      <c r="IQ97" s="257">
        <f t="shared" si="913"/>
        <v>0</v>
      </c>
      <c r="IR97" s="249">
        <f t="shared" si="813"/>
        <v>0</v>
      </c>
      <c r="IS97" s="250">
        <f t="shared" si="814"/>
        <v>0</v>
      </c>
      <c r="IT97" s="279">
        <f t="shared" si="874"/>
        <v>0</v>
      </c>
      <c r="IU97" s="289">
        <f t="shared" si="815"/>
        <v>0</v>
      </c>
      <c r="IV97" s="279">
        <f t="shared" si="874"/>
        <v>0</v>
      </c>
      <c r="IW97" s="289">
        <f t="shared" si="815"/>
        <v>0</v>
      </c>
      <c r="IX97" s="279">
        <f t="shared" si="874"/>
        <v>0</v>
      </c>
      <c r="IY97" s="289">
        <f t="shared" si="816"/>
        <v>0</v>
      </c>
      <c r="IZ97" s="279">
        <f t="shared" si="874"/>
        <v>0</v>
      </c>
      <c r="JA97" s="289">
        <f t="shared" si="817"/>
        <v>0</v>
      </c>
      <c r="JB97" s="279">
        <f t="shared" si="874"/>
        <v>0</v>
      </c>
      <c r="JC97" s="289">
        <f t="shared" si="818"/>
        <v>0</v>
      </c>
      <c r="JD97" s="279">
        <f t="shared" si="874"/>
        <v>0</v>
      </c>
      <c r="JE97" s="289">
        <f t="shared" si="819"/>
        <v>0</v>
      </c>
      <c r="JF97" s="279">
        <f t="shared" si="874"/>
        <v>0</v>
      </c>
      <c r="JG97" s="289">
        <f t="shared" si="820"/>
        <v>0</v>
      </c>
      <c r="JH97" s="279">
        <f t="shared" si="821"/>
        <v>0</v>
      </c>
      <c r="JI97" s="289">
        <f t="shared" si="822"/>
        <v>0</v>
      </c>
      <c r="JJ97" s="279">
        <f t="shared" si="923"/>
        <v>0</v>
      </c>
      <c r="JK97" s="289">
        <f t="shared" si="823"/>
        <v>0</v>
      </c>
      <c r="JL97" s="279">
        <f t="shared" si="824"/>
        <v>0</v>
      </c>
      <c r="JM97" s="289">
        <f t="shared" si="825"/>
        <v>0</v>
      </c>
      <c r="JN97" s="279">
        <f t="shared" si="924"/>
        <v>0</v>
      </c>
      <c r="JO97" s="289">
        <f t="shared" si="826"/>
        <v>0</v>
      </c>
      <c r="JP97" s="252">
        <f t="shared" si="827"/>
        <v>0</v>
      </c>
      <c r="JQ97" s="251">
        <f t="shared" si="828"/>
        <v>0</v>
      </c>
      <c r="JS97" s="1"/>
      <c r="JT97" s="2">
        <v>8.3333333333333329E-2</v>
      </c>
      <c r="JU97" s="257">
        <f t="shared" si="914"/>
        <v>0</v>
      </c>
      <c r="JV97" s="249">
        <f t="shared" si="829"/>
        <v>0</v>
      </c>
      <c r="JW97" s="250">
        <f t="shared" si="830"/>
        <v>0</v>
      </c>
      <c r="JX97" s="372">
        <f t="shared" si="875"/>
        <v>0</v>
      </c>
      <c r="JY97" s="339">
        <f t="shared" si="831"/>
        <v>0</v>
      </c>
      <c r="JZ97" s="372">
        <f t="shared" si="875"/>
        <v>0</v>
      </c>
      <c r="KA97" s="339">
        <f t="shared" si="831"/>
        <v>0</v>
      </c>
      <c r="KB97" s="372">
        <f t="shared" si="875"/>
        <v>0</v>
      </c>
      <c r="KC97" s="339">
        <f t="shared" si="832"/>
        <v>0</v>
      </c>
      <c r="KD97" s="372">
        <f t="shared" si="875"/>
        <v>0</v>
      </c>
      <c r="KE97" s="339">
        <f t="shared" si="833"/>
        <v>0</v>
      </c>
      <c r="KF97" s="372">
        <f t="shared" si="875"/>
        <v>0</v>
      </c>
      <c r="KG97" s="339">
        <f t="shared" si="834"/>
        <v>0</v>
      </c>
      <c r="KH97" s="372">
        <f t="shared" si="875"/>
        <v>0</v>
      </c>
      <c r="KI97" s="339">
        <f t="shared" si="835"/>
        <v>0</v>
      </c>
      <c r="KJ97" s="372">
        <f t="shared" si="875"/>
        <v>0</v>
      </c>
      <c r="KK97" s="339">
        <f t="shared" si="836"/>
        <v>0</v>
      </c>
      <c r="KL97" s="372">
        <f t="shared" si="837"/>
        <v>0</v>
      </c>
      <c r="KM97" s="339">
        <f t="shared" si="838"/>
        <v>0</v>
      </c>
      <c r="KN97" s="372">
        <f t="shared" si="918"/>
        <v>0</v>
      </c>
      <c r="KO97" s="339">
        <f t="shared" si="839"/>
        <v>0</v>
      </c>
      <c r="KP97" s="372">
        <f t="shared" si="840"/>
        <v>0</v>
      </c>
      <c r="KQ97" s="339">
        <f t="shared" si="841"/>
        <v>0</v>
      </c>
      <c r="KR97" s="372">
        <f t="shared" si="925"/>
        <v>0</v>
      </c>
      <c r="KS97" s="377">
        <f t="shared" si="842"/>
        <v>0</v>
      </c>
      <c r="KT97" s="379">
        <f t="shared" si="843"/>
        <v>0</v>
      </c>
      <c r="KU97" s="251">
        <f t="shared" si="915"/>
        <v>0</v>
      </c>
      <c r="KW97" s="1"/>
      <c r="KX97" s="2">
        <v>8.3333333333333329E-2</v>
      </c>
      <c r="KY97" s="254">
        <f t="shared" si="680"/>
        <v>0</v>
      </c>
      <c r="KZ97" s="249">
        <f t="shared" si="876"/>
        <v>0</v>
      </c>
      <c r="LA97" s="251">
        <f t="shared" si="681"/>
        <v>0</v>
      </c>
      <c r="LB97" s="279">
        <f t="shared" si="844"/>
        <v>0</v>
      </c>
      <c r="LC97" s="339">
        <f t="shared" si="845"/>
        <v>0</v>
      </c>
      <c r="LD97" s="279">
        <f t="shared" si="844"/>
        <v>0</v>
      </c>
      <c r="LE97" s="339">
        <f t="shared" si="845"/>
        <v>0</v>
      </c>
      <c r="LF97" s="279">
        <f t="shared" si="844"/>
        <v>0</v>
      </c>
      <c r="LG97" s="339">
        <f t="shared" si="846"/>
        <v>0</v>
      </c>
      <c r="LH97" s="279">
        <f t="shared" si="844"/>
        <v>0</v>
      </c>
      <c r="LI97" s="339">
        <f t="shared" si="847"/>
        <v>0</v>
      </c>
      <c r="LJ97" s="279">
        <f t="shared" si="844"/>
        <v>0</v>
      </c>
      <c r="LK97" s="339">
        <f t="shared" si="848"/>
        <v>0</v>
      </c>
      <c r="LL97" s="279">
        <f t="shared" si="844"/>
        <v>0</v>
      </c>
      <c r="LM97" s="339">
        <f t="shared" si="849"/>
        <v>0</v>
      </c>
      <c r="LN97" s="279">
        <f t="shared" si="844"/>
        <v>0</v>
      </c>
      <c r="LO97" s="339">
        <f t="shared" si="850"/>
        <v>0</v>
      </c>
      <c r="LP97" s="279">
        <f t="shared" si="877"/>
        <v>0</v>
      </c>
      <c r="LQ97" s="339">
        <f t="shared" si="851"/>
        <v>0</v>
      </c>
      <c r="LR97" s="279">
        <f t="shared" si="878"/>
        <v>0</v>
      </c>
      <c r="LS97" s="339">
        <f t="shared" si="852"/>
        <v>0</v>
      </c>
      <c r="LT97" s="279">
        <f t="shared" si="879"/>
        <v>0</v>
      </c>
      <c r="LU97" s="339">
        <f t="shared" si="853"/>
        <v>0</v>
      </c>
      <c r="LV97" s="279">
        <f t="shared" si="880"/>
        <v>0</v>
      </c>
      <c r="LW97" s="339">
        <f t="shared" si="854"/>
        <v>0</v>
      </c>
      <c r="LX97" s="252">
        <f t="shared" si="855"/>
        <v>0</v>
      </c>
      <c r="LY97" s="253">
        <f t="shared" si="856"/>
        <v>0</v>
      </c>
      <c r="MA97" s="249">
        <f t="shared" si="688"/>
        <v>0</v>
      </c>
      <c r="MB97" s="253">
        <f t="shared" si="857"/>
        <v>0</v>
      </c>
      <c r="MC97" s="397">
        <f t="shared" si="689"/>
        <v>0</v>
      </c>
      <c r="MD97" s="253">
        <f t="shared" si="858"/>
        <v>0</v>
      </c>
      <c r="ME97" s="397">
        <f t="shared" si="690"/>
        <v>0</v>
      </c>
      <c r="MF97" s="253">
        <f t="shared" si="858"/>
        <v>0</v>
      </c>
      <c r="MG97" s="397">
        <f t="shared" si="691"/>
        <v>0</v>
      </c>
      <c r="MH97" s="253">
        <f t="shared" si="859"/>
        <v>0</v>
      </c>
      <c r="MI97" s="397">
        <f t="shared" si="692"/>
        <v>0</v>
      </c>
      <c r="MJ97" s="253">
        <f t="shared" si="860"/>
        <v>0</v>
      </c>
      <c r="MK97" s="397">
        <f t="shared" si="693"/>
        <v>0</v>
      </c>
      <c r="ML97" s="253">
        <f t="shared" si="861"/>
        <v>0</v>
      </c>
      <c r="MM97" s="397">
        <f t="shared" si="694"/>
        <v>0</v>
      </c>
      <c r="MN97" s="253">
        <f t="shared" si="862"/>
        <v>0</v>
      </c>
      <c r="MO97" s="397">
        <f t="shared" si="695"/>
        <v>0</v>
      </c>
      <c r="MP97" s="253">
        <f t="shared" si="863"/>
        <v>0</v>
      </c>
      <c r="MQ97" s="397">
        <f t="shared" si="696"/>
        <v>0</v>
      </c>
      <c r="MR97" s="253">
        <f t="shared" si="864"/>
        <v>0</v>
      </c>
      <c r="MS97" s="397">
        <f t="shared" si="697"/>
        <v>0</v>
      </c>
      <c r="MT97" s="253">
        <f t="shared" si="865"/>
        <v>0</v>
      </c>
      <c r="MU97" s="397">
        <f t="shared" si="698"/>
        <v>0</v>
      </c>
      <c r="MV97" s="253">
        <f t="shared" si="866"/>
        <v>0</v>
      </c>
      <c r="MW97" s="397">
        <f t="shared" si="699"/>
        <v>0</v>
      </c>
      <c r="MX97" s="253">
        <f t="shared" si="867"/>
        <v>0</v>
      </c>
      <c r="MY97" s="252">
        <f t="shared" si="868"/>
        <v>0</v>
      </c>
      <c r="MZ97" s="251">
        <f t="shared" si="869"/>
        <v>0</v>
      </c>
    </row>
    <row r="98" spans="1:364" ht="52.8" x14ac:dyDescent="0.25">
      <c r="A98" s="533"/>
      <c r="B98" s="245" t="s">
        <v>204</v>
      </c>
      <c r="C98" s="246" t="s">
        <v>205</v>
      </c>
      <c r="D98" s="247" t="s">
        <v>119</v>
      </c>
      <c r="E98" s="4">
        <v>10</v>
      </c>
      <c r="F98" s="353">
        <v>6917360.6499051228</v>
      </c>
      <c r="G98" s="353">
        <f t="shared" si="700"/>
        <v>7205649.8899430735</v>
      </c>
      <c r="I98" s="30"/>
      <c r="J98" s="2">
        <v>8.3333333333333329E-2</v>
      </c>
      <c r="K98" s="248">
        <f t="shared" si="701"/>
        <v>0</v>
      </c>
      <c r="L98" s="249"/>
      <c r="M98" s="301">
        <f t="shared" si="445"/>
        <v>0</v>
      </c>
      <c r="N98" s="279">
        <f t="shared" si="889"/>
        <v>0</v>
      </c>
      <c r="O98" s="289">
        <f t="shared" si="916"/>
        <v>0</v>
      </c>
      <c r="P98" s="279">
        <f t="shared" si="889"/>
        <v>0</v>
      </c>
      <c r="Q98" s="289">
        <f t="shared" si="916"/>
        <v>0</v>
      </c>
      <c r="R98" s="279">
        <f t="shared" si="889"/>
        <v>0</v>
      </c>
      <c r="S98" s="289">
        <f t="shared" si="702"/>
        <v>0</v>
      </c>
      <c r="T98" s="279">
        <f t="shared" si="889"/>
        <v>0</v>
      </c>
      <c r="U98" s="289">
        <f t="shared" si="703"/>
        <v>0</v>
      </c>
      <c r="V98" s="279">
        <f t="shared" si="889"/>
        <v>0</v>
      </c>
      <c r="W98" s="289">
        <f t="shared" si="704"/>
        <v>0</v>
      </c>
      <c r="X98" s="279">
        <f t="shared" si="889"/>
        <v>0</v>
      </c>
      <c r="Y98" s="289">
        <f t="shared" si="705"/>
        <v>0</v>
      </c>
      <c r="Z98" s="279">
        <f t="shared" si="889"/>
        <v>0</v>
      </c>
      <c r="AA98" s="289">
        <f t="shared" si="706"/>
        <v>0</v>
      </c>
      <c r="AB98" s="279">
        <f t="shared" si="889"/>
        <v>0</v>
      </c>
      <c r="AC98" s="289">
        <f t="shared" si="707"/>
        <v>0</v>
      </c>
      <c r="AD98" s="279">
        <f t="shared" si="889"/>
        <v>0</v>
      </c>
      <c r="AE98" s="289">
        <f t="shared" si="708"/>
        <v>0</v>
      </c>
      <c r="AF98" s="279">
        <f t="shared" si="889"/>
        <v>0</v>
      </c>
      <c r="AG98" s="289">
        <f t="shared" si="890"/>
        <v>0</v>
      </c>
      <c r="AH98" s="249">
        <f t="shared" si="456"/>
        <v>0</v>
      </c>
      <c r="AI98" s="299">
        <f t="shared" si="891"/>
        <v>0</v>
      </c>
      <c r="AJ98" s="252">
        <f t="shared" si="709"/>
        <v>0</v>
      </c>
      <c r="AK98" s="312">
        <f t="shared" si="710"/>
        <v>0</v>
      </c>
      <c r="AM98" s="1"/>
      <c r="AN98" s="2">
        <v>8.3333333333333329E-2</v>
      </c>
      <c r="AO98" s="254">
        <f t="shared" si="904"/>
        <v>0</v>
      </c>
      <c r="AP98" s="249">
        <f t="shared" si="917"/>
        <v>0</v>
      </c>
      <c r="AQ98" s="301">
        <f t="shared" si="683"/>
        <v>0</v>
      </c>
      <c r="AR98" s="249">
        <f t="shared" si="884"/>
        <v>0</v>
      </c>
      <c r="AS98" s="301">
        <f t="shared" si="683"/>
        <v>0</v>
      </c>
      <c r="AT98" s="249">
        <f t="shared" si="884"/>
        <v>0</v>
      </c>
      <c r="AU98" s="301">
        <f t="shared" si="684"/>
        <v>0</v>
      </c>
      <c r="AV98" s="249">
        <f t="shared" si="884"/>
        <v>0</v>
      </c>
      <c r="AW98" s="301">
        <f t="shared" si="711"/>
        <v>0</v>
      </c>
      <c r="AX98" s="249">
        <f t="shared" si="884"/>
        <v>0</v>
      </c>
      <c r="AY98" s="301">
        <f t="shared" si="712"/>
        <v>0</v>
      </c>
      <c r="AZ98" s="249">
        <f t="shared" si="884"/>
        <v>0</v>
      </c>
      <c r="BA98" s="301">
        <f t="shared" si="713"/>
        <v>0</v>
      </c>
      <c r="BB98" s="249">
        <f t="shared" si="884"/>
        <v>0</v>
      </c>
      <c r="BC98" s="301">
        <f t="shared" si="714"/>
        <v>0</v>
      </c>
      <c r="BD98" s="249">
        <f t="shared" si="884"/>
        <v>0</v>
      </c>
      <c r="BE98" s="301">
        <f t="shared" si="715"/>
        <v>0</v>
      </c>
      <c r="BF98" s="249">
        <f t="shared" si="882"/>
        <v>0</v>
      </c>
      <c r="BG98" s="301">
        <f t="shared" si="716"/>
        <v>0</v>
      </c>
      <c r="BH98" s="249">
        <f t="shared" si="885"/>
        <v>0</v>
      </c>
      <c r="BI98" s="301">
        <f t="shared" si="892"/>
        <v>0</v>
      </c>
      <c r="BJ98" s="249">
        <f t="shared" si="885"/>
        <v>0</v>
      </c>
      <c r="BK98" s="301">
        <f t="shared" si="892"/>
        <v>0</v>
      </c>
      <c r="BL98" s="249">
        <f t="shared" si="661"/>
        <v>0</v>
      </c>
      <c r="BM98" s="299">
        <f t="shared" si="718"/>
        <v>0</v>
      </c>
      <c r="BN98" s="252">
        <f t="shared" si="719"/>
        <v>0</v>
      </c>
      <c r="BO98" s="312">
        <f t="shared" si="685"/>
        <v>0</v>
      </c>
      <c r="BQ98" s="1"/>
      <c r="BR98" s="2"/>
      <c r="BS98" s="255">
        <f t="shared" si="919"/>
        <v>0</v>
      </c>
      <c r="BT98" s="249">
        <f t="shared" si="881"/>
        <v>0</v>
      </c>
      <c r="BU98" s="336">
        <f t="shared" si="720"/>
        <v>0</v>
      </c>
      <c r="BV98" s="279">
        <f t="shared" si="721"/>
        <v>0</v>
      </c>
      <c r="BW98" s="339">
        <f t="shared" si="722"/>
        <v>0</v>
      </c>
      <c r="BX98" s="279">
        <f t="shared" si="721"/>
        <v>0</v>
      </c>
      <c r="BY98" s="339">
        <f t="shared" si="723"/>
        <v>0</v>
      </c>
      <c r="BZ98" s="279">
        <f t="shared" si="721"/>
        <v>0</v>
      </c>
      <c r="CA98" s="339">
        <f t="shared" si="724"/>
        <v>0</v>
      </c>
      <c r="CB98" s="279">
        <f t="shared" si="721"/>
        <v>0</v>
      </c>
      <c r="CC98" s="339">
        <f t="shared" si="725"/>
        <v>0</v>
      </c>
      <c r="CD98" s="279">
        <f t="shared" si="721"/>
        <v>0</v>
      </c>
      <c r="CE98" s="339">
        <f t="shared" si="726"/>
        <v>0</v>
      </c>
      <c r="CF98" s="279">
        <f t="shared" si="721"/>
        <v>0</v>
      </c>
      <c r="CG98" s="339">
        <f t="shared" si="727"/>
        <v>0</v>
      </c>
      <c r="CH98" s="279">
        <f t="shared" si="721"/>
        <v>0</v>
      </c>
      <c r="CI98" s="339">
        <f t="shared" si="728"/>
        <v>0</v>
      </c>
      <c r="CJ98" s="279">
        <f t="shared" si="729"/>
        <v>0</v>
      </c>
      <c r="CK98" s="339">
        <f t="shared" si="730"/>
        <v>0</v>
      </c>
      <c r="CL98" s="279">
        <f t="shared" si="463"/>
        <v>0</v>
      </c>
      <c r="CM98" s="339">
        <f t="shared" si="731"/>
        <v>0</v>
      </c>
      <c r="CN98" s="279">
        <f t="shared" si="732"/>
        <v>0</v>
      </c>
      <c r="CO98" s="339">
        <f t="shared" si="733"/>
        <v>0</v>
      </c>
      <c r="CP98" s="279">
        <f t="shared" si="464"/>
        <v>0</v>
      </c>
      <c r="CQ98" s="250">
        <f t="shared" si="905"/>
        <v>0</v>
      </c>
      <c r="CR98" s="252">
        <f t="shared" si="734"/>
        <v>0</v>
      </c>
      <c r="CS98" s="251">
        <f t="shared" si="887"/>
        <v>0</v>
      </c>
      <c r="CU98" s="1"/>
      <c r="CV98" s="2"/>
      <c r="CW98" s="255">
        <f t="shared" si="920"/>
        <v>0</v>
      </c>
      <c r="CX98" s="249">
        <f t="shared" si="735"/>
        <v>0</v>
      </c>
      <c r="CY98" s="250">
        <f t="shared" si="736"/>
        <v>0</v>
      </c>
      <c r="CZ98" s="279">
        <f t="shared" si="870"/>
        <v>0</v>
      </c>
      <c r="DA98" s="299">
        <f t="shared" si="736"/>
        <v>0</v>
      </c>
      <c r="DB98" s="279">
        <f t="shared" si="870"/>
        <v>0</v>
      </c>
      <c r="DC98" s="299">
        <f t="shared" si="737"/>
        <v>0</v>
      </c>
      <c r="DD98" s="279">
        <f t="shared" si="870"/>
        <v>0</v>
      </c>
      <c r="DE98" s="299">
        <f t="shared" si="738"/>
        <v>0</v>
      </c>
      <c r="DF98" s="279">
        <f t="shared" si="870"/>
        <v>0</v>
      </c>
      <c r="DG98" s="299">
        <f t="shared" si="739"/>
        <v>0</v>
      </c>
      <c r="DH98" s="279">
        <f t="shared" si="870"/>
        <v>0</v>
      </c>
      <c r="DI98" s="299">
        <f t="shared" si="740"/>
        <v>0</v>
      </c>
      <c r="DJ98" s="279">
        <f t="shared" si="870"/>
        <v>0</v>
      </c>
      <c r="DK98" s="299">
        <f t="shared" si="741"/>
        <v>0</v>
      </c>
      <c r="DL98" s="279">
        <f t="shared" si="870"/>
        <v>0</v>
      </c>
      <c r="DM98" s="299">
        <f t="shared" si="742"/>
        <v>0</v>
      </c>
      <c r="DN98" s="279">
        <f t="shared" si="743"/>
        <v>0</v>
      </c>
      <c r="DO98" s="299">
        <f t="shared" si="744"/>
        <v>0</v>
      </c>
      <c r="DP98" s="279">
        <f t="shared" si="471"/>
        <v>0</v>
      </c>
      <c r="DQ98" s="299">
        <f t="shared" si="745"/>
        <v>0</v>
      </c>
      <c r="DR98" s="279">
        <f t="shared" si="746"/>
        <v>0</v>
      </c>
      <c r="DS98" s="299">
        <f t="shared" si="747"/>
        <v>0</v>
      </c>
      <c r="DT98" s="279">
        <f t="shared" si="472"/>
        <v>0</v>
      </c>
      <c r="DU98" s="299">
        <f t="shared" si="748"/>
        <v>0</v>
      </c>
      <c r="DV98" s="252">
        <f t="shared" si="749"/>
        <v>0</v>
      </c>
      <c r="DW98" s="251">
        <f t="shared" si="888"/>
        <v>0</v>
      </c>
      <c r="DY98" s="256">
        <v>0</v>
      </c>
      <c r="DZ98" s="2"/>
      <c r="EA98" s="254">
        <f t="shared" si="906"/>
        <v>0</v>
      </c>
      <c r="EB98" s="249">
        <f t="shared" si="871"/>
        <v>0</v>
      </c>
      <c r="EC98" s="250">
        <f t="shared" si="750"/>
        <v>0</v>
      </c>
      <c r="ED98" s="356">
        <f t="shared" si="871"/>
        <v>0</v>
      </c>
      <c r="EE98" s="250">
        <f t="shared" si="750"/>
        <v>0</v>
      </c>
      <c r="EF98" s="249">
        <f t="shared" si="872"/>
        <v>0</v>
      </c>
      <c r="EG98" s="250">
        <f t="shared" si="893"/>
        <v>0</v>
      </c>
      <c r="EH98" s="249">
        <f t="shared" si="872"/>
        <v>0</v>
      </c>
      <c r="EI98" s="250">
        <f t="shared" si="893"/>
        <v>0</v>
      </c>
      <c r="EJ98" s="249">
        <f t="shared" si="872"/>
        <v>0</v>
      </c>
      <c r="EK98" s="250">
        <f t="shared" si="752"/>
        <v>0</v>
      </c>
      <c r="EL98" s="249">
        <f t="shared" si="872"/>
        <v>0</v>
      </c>
      <c r="EM98" s="250">
        <f t="shared" si="753"/>
        <v>0</v>
      </c>
      <c r="EN98" s="249">
        <f t="shared" si="872"/>
        <v>0</v>
      </c>
      <c r="EO98" s="250">
        <f t="shared" si="754"/>
        <v>0</v>
      </c>
      <c r="EP98" s="249">
        <f t="shared" si="872"/>
        <v>0</v>
      </c>
      <c r="EQ98" s="250">
        <f t="shared" si="755"/>
        <v>0</v>
      </c>
      <c r="ER98" s="249">
        <f t="shared" si="872"/>
        <v>0</v>
      </c>
      <c r="ES98" s="250">
        <f t="shared" si="756"/>
        <v>0</v>
      </c>
      <c r="ET98" s="249">
        <f t="shared" si="921"/>
        <v>0</v>
      </c>
      <c r="EU98" s="250">
        <f t="shared" si="757"/>
        <v>0</v>
      </c>
      <c r="EV98" s="249">
        <f t="shared" si="758"/>
        <v>0</v>
      </c>
      <c r="EW98" s="250">
        <f t="shared" si="759"/>
        <v>0</v>
      </c>
      <c r="EX98" s="249">
        <f t="shared" si="922"/>
        <v>0</v>
      </c>
      <c r="EY98" s="250">
        <f t="shared" si="760"/>
        <v>0</v>
      </c>
      <c r="EZ98" s="252">
        <f t="shared" si="761"/>
        <v>0</v>
      </c>
      <c r="FA98" s="251">
        <f t="shared" si="907"/>
        <v>0</v>
      </c>
      <c r="FC98" s="1"/>
      <c r="FD98" s="2"/>
      <c r="FE98" s="257">
        <f t="shared" si="908"/>
        <v>0</v>
      </c>
      <c r="FF98" s="249">
        <f t="shared" si="762"/>
        <v>0</v>
      </c>
      <c r="FG98" s="250">
        <f t="shared" si="763"/>
        <v>0</v>
      </c>
      <c r="FH98" s="372">
        <f t="shared" si="873"/>
        <v>0</v>
      </c>
      <c r="FI98" s="339">
        <f t="shared" si="764"/>
        <v>0</v>
      </c>
      <c r="FJ98" s="372">
        <f t="shared" si="873"/>
        <v>0</v>
      </c>
      <c r="FK98" s="339">
        <f t="shared" si="764"/>
        <v>0</v>
      </c>
      <c r="FL98" s="372">
        <f t="shared" si="873"/>
        <v>0</v>
      </c>
      <c r="FM98" s="339">
        <f t="shared" si="765"/>
        <v>0</v>
      </c>
      <c r="FN98" s="372">
        <f t="shared" si="873"/>
        <v>0</v>
      </c>
      <c r="FO98" s="339">
        <f t="shared" si="766"/>
        <v>0</v>
      </c>
      <c r="FP98" s="372">
        <f t="shared" si="873"/>
        <v>0</v>
      </c>
      <c r="FQ98" s="339">
        <f t="shared" si="767"/>
        <v>0</v>
      </c>
      <c r="FR98" s="372">
        <f t="shared" si="873"/>
        <v>0</v>
      </c>
      <c r="FS98" s="339">
        <f t="shared" si="768"/>
        <v>0</v>
      </c>
      <c r="FT98" s="372">
        <f t="shared" si="873"/>
        <v>0</v>
      </c>
      <c r="FU98" s="339">
        <f t="shared" si="769"/>
        <v>0</v>
      </c>
      <c r="FV98" s="372">
        <f t="shared" si="770"/>
        <v>0</v>
      </c>
      <c r="FW98" s="339">
        <f t="shared" si="771"/>
        <v>0</v>
      </c>
      <c r="FX98" s="372">
        <f t="shared" si="479"/>
        <v>0</v>
      </c>
      <c r="FY98" s="339">
        <f t="shared" si="772"/>
        <v>0</v>
      </c>
      <c r="FZ98" s="372">
        <f t="shared" si="773"/>
        <v>0</v>
      </c>
      <c r="GA98" s="339">
        <f t="shared" si="774"/>
        <v>0</v>
      </c>
      <c r="GB98" s="372">
        <f t="shared" si="480"/>
        <v>0</v>
      </c>
      <c r="GC98" s="339">
        <f t="shared" si="775"/>
        <v>0</v>
      </c>
      <c r="GD98" s="252">
        <f t="shared" si="776"/>
        <v>0</v>
      </c>
      <c r="GE98" s="251">
        <f t="shared" si="686"/>
        <v>0</v>
      </c>
      <c r="GG98" s="1"/>
      <c r="GH98" s="2">
        <v>0.2</v>
      </c>
      <c r="GI98" s="257">
        <f t="shared" si="909"/>
        <v>0</v>
      </c>
      <c r="GJ98" s="249">
        <f t="shared" si="777"/>
        <v>0</v>
      </c>
      <c r="GK98" s="250">
        <f t="shared" si="778"/>
        <v>0</v>
      </c>
      <c r="GL98" s="249">
        <f t="shared" si="777"/>
        <v>0</v>
      </c>
      <c r="GM98" s="250">
        <f t="shared" si="778"/>
        <v>0</v>
      </c>
      <c r="GN98" s="249">
        <f t="shared" si="777"/>
        <v>0</v>
      </c>
      <c r="GO98" s="250">
        <f t="shared" si="894"/>
        <v>0</v>
      </c>
      <c r="GP98" s="249">
        <f t="shared" si="777"/>
        <v>0</v>
      </c>
      <c r="GQ98" s="250">
        <f t="shared" si="895"/>
        <v>0</v>
      </c>
      <c r="GR98" s="249">
        <f t="shared" si="777"/>
        <v>0</v>
      </c>
      <c r="GS98" s="250">
        <f t="shared" si="896"/>
        <v>0</v>
      </c>
      <c r="GT98" s="249">
        <f t="shared" si="777"/>
        <v>0</v>
      </c>
      <c r="GU98" s="250">
        <f t="shared" si="897"/>
        <v>0</v>
      </c>
      <c r="GV98" s="249">
        <f t="shared" si="777"/>
        <v>0</v>
      </c>
      <c r="GW98" s="250">
        <f t="shared" si="898"/>
        <v>0</v>
      </c>
      <c r="GX98" s="249">
        <f t="shared" si="784"/>
        <v>0</v>
      </c>
      <c r="GY98" s="250">
        <f t="shared" si="899"/>
        <v>0</v>
      </c>
      <c r="GZ98" s="249">
        <f t="shared" si="786"/>
        <v>0</v>
      </c>
      <c r="HA98" s="250">
        <f t="shared" si="900"/>
        <v>0</v>
      </c>
      <c r="HB98" s="249">
        <f t="shared" si="788"/>
        <v>0</v>
      </c>
      <c r="HC98" s="250">
        <f t="shared" si="901"/>
        <v>0</v>
      </c>
      <c r="HD98" s="249">
        <f t="shared" si="790"/>
        <v>0</v>
      </c>
      <c r="HE98" s="250">
        <f t="shared" si="902"/>
        <v>0</v>
      </c>
      <c r="HF98" s="249">
        <f t="shared" si="792"/>
        <v>0</v>
      </c>
      <c r="HG98" s="250">
        <f t="shared" si="903"/>
        <v>0</v>
      </c>
      <c r="HH98" s="252">
        <f t="shared" si="794"/>
        <v>0</v>
      </c>
      <c r="HI98" s="251">
        <f t="shared" si="910"/>
        <v>0</v>
      </c>
      <c r="HK98" s="1"/>
      <c r="HL98" s="2"/>
      <c r="HM98" s="257">
        <f t="shared" si="911"/>
        <v>0</v>
      </c>
      <c r="HN98" s="249">
        <f t="shared" si="795"/>
        <v>0</v>
      </c>
      <c r="HO98" s="250">
        <f t="shared" si="912"/>
        <v>0</v>
      </c>
      <c r="HP98" s="249">
        <f t="shared" si="796"/>
        <v>0</v>
      </c>
      <c r="HQ98" s="250">
        <f t="shared" si="797"/>
        <v>0</v>
      </c>
      <c r="HR98" s="249">
        <f t="shared" si="796"/>
        <v>0</v>
      </c>
      <c r="HS98" s="250">
        <f t="shared" si="797"/>
        <v>0</v>
      </c>
      <c r="HT98" s="249">
        <f t="shared" si="796"/>
        <v>0</v>
      </c>
      <c r="HU98" s="250">
        <f t="shared" si="798"/>
        <v>0</v>
      </c>
      <c r="HV98" s="249">
        <f t="shared" si="796"/>
        <v>0</v>
      </c>
      <c r="HW98" s="250">
        <f t="shared" si="799"/>
        <v>0</v>
      </c>
      <c r="HX98" s="249">
        <f t="shared" si="796"/>
        <v>0</v>
      </c>
      <c r="HY98" s="250">
        <f t="shared" si="800"/>
        <v>0</v>
      </c>
      <c r="HZ98" s="249">
        <f t="shared" si="796"/>
        <v>0</v>
      </c>
      <c r="IA98" s="250">
        <f t="shared" si="801"/>
        <v>0</v>
      </c>
      <c r="IB98" s="249">
        <f t="shared" si="796"/>
        <v>0</v>
      </c>
      <c r="IC98" s="250">
        <f t="shared" si="802"/>
        <v>0</v>
      </c>
      <c r="ID98" s="249">
        <f t="shared" si="803"/>
        <v>0</v>
      </c>
      <c r="IE98" s="250">
        <f t="shared" si="804"/>
        <v>0</v>
      </c>
      <c r="IF98" s="249">
        <f t="shared" si="805"/>
        <v>0</v>
      </c>
      <c r="IG98" s="250">
        <f t="shared" si="806"/>
        <v>0</v>
      </c>
      <c r="IH98" s="249">
        <f t="shared" si="807"/>
        <v>0</v>
      </c>
      <c r="II98" s="250">
        <f t="shared" si="808"/>
        <v>0</v>
      </c>
      <c r="IJ98" s="249">
        <f t="shared" si="809"/>
        <v>0</v>
      </c>
      <c r="IK98" s="250">
        <f t="shared" si="810"/>
        <v>0</v>
      </c>
      <c r="IL98" s="252">
        <f t="shared" si="811"/>
        <v>0</v>
      </c>
      <c r="IM98" s="251">
        <f t="shared" si="812"/>
        <v>0</v>
      </c>
      <c r="IO98" s="1"/>
      <c r="IP98" s="2">
        <v>8.3333333333333329E-2</v>
      </c>
      <c r="IQ98" s="257">
        <f t="shared" si="913"/>
        <v>0</v>
      </c>
      <c r="IR98" s="249">
        <f t="shared" si="813"/>
        <v>0</v>
      </c>
      <c r="IS98" s="250">
        <f t="shared" si="814"/>
        <v>0</v>
      </c>
      <c r="IT98" s="279">
        <f t="shared" si="874"/>
        <v>0</v>
      </c>
      <c r="IU98" s="289">
        <f t="shared" si="815"/>
        <v>0</v>
      </c>
      <c r="IV98" s="279">
        <f t="shared" si="874"/>
        <v>0</v>
      </c>
      <c r="IW98" s="289">
        <f t="shared" si="815"/>
        <v>0</v>
      </c>
      <c r="IX98" s="279">
        <f t="shared" si="874"/>
        <v>0</v>
      </c>
      <c r="IY98" s="289">
        <f t="shared" si="816"/>
        <v>0</v>
      </c>
      <c r="IZ98" s="279">
        <f t="shared" si="874"/>
        <v>0</v>
      </c>
      <c r="JA98" s="289">
        <f t="shared" si="817"/>
        <v>0</v>
      </c>
      <c r="JB98" s="279">
        <f t="shared" si="874"/>
        <v>0</v>
      </c>
      <c r="JC98" s="289">
        <f t="shared" si="818"/>
        <v>0</v>
      </c>
      <c r="JD98" s="279">
        <f t="shared" si="874"/>
        <v>0</v>
      </c>
      <c r="JE98" s="289">
        <f t="shared" si="819"/>
        <v>0</v>
      </c>
      <c r="JF98" s="279">
        <f t="shared" si="874"/>
        <v>0</v>
      </c>
      <c r="JG98" s="289">
        <f t="shared" si="820"/>
        <v>0</v>
      </c>
      <c r="JH98" s="279">
        <f t="shared" si="821"/>
        <v>0</v>
      </c>
      <c r="JI98" s="289">
        <f t="shared" si="822"/>
        <v>0</v>
      </c>
      <c r="JJ98" s="279">
        <f t="shared" si="923"/>
        <v>0</v>
      </c>
      <c r="JK98" s="289">
        <f t="shared" si="823"/>
        <v>0</v>
      </c>
      <c r="JL98" s="279">
        <f t="shared" si="824"/>
        <v>0</v>
      </c>
      <c r="JM98" s="289">
        <f t="shared" si="825"/>
        <v>0</v>
      </c>
      <c r="JN98" s="279">
        <f t="shared" si="924"/>
        <v>0</v>
      </c>
      <c r="JO98" s="289">
        <f t="shared" si="826"/>
        <v>0</v>
      </c>
      <c r="JP98" s="252">
        <f t="shared" si="827"/>
        <v>0</v>
      </c>
      <c r="JQ98" s="251">
        <f t="shared" si="828"/>
        <v>0</v>
      </c>
      <c r="JS98" s="1"/>
      <c r="JT98" s="2">
        <v>8.3333333333333329E-2</v>
      </c>
      <c r="JU98" s="257">
        <f t="shared" si="914"/>
        <v>0</v>
      </c>
      <c r="JV98" s="249">
        <f t="shared" si="829"/>
        <v>0</v>
      </c>
      <c r="JW98" s="250">
        <f t="shared" si="830"/>
        <v>0</v>
      </c>
      <c r="JX98" s="372">
        <f t="shared" si="875"/>
        <v>0</v>
      </c>
      <c r="JY98" s="339">
        <f t="shared" si="831"/>
        <v>0</v>
      </c>
      <c r="JZ98" s="372">
        <f t="shared" si="875"/>
        <v>0</v>
      </c>
      <c r="KA98" s="339">
        <f t="shared" si="831"/>
        <v>0</v>
      </c>
      <c r="KB98" s="372">
        <f t="shared" si="875"/>
        <v>0</v>
      </c>
      <c r="KC98" s="339">
        <f t="shared" si="832"/>
        <v>0</v>
      </c>
      <c r="KD98" s="372">
        <f t="shared" si="875"/>
        <v>0</v>
      </c>
      <c r="KE98" s="339">
        <f t="shared" si="833"/>
        <v>0</v>
      </c>
      <c r="KF98" s="372">
        <f t="shared" si="875"/>
        <v>0</v>
      </c>
      <c r="KG98" s="339">
        <f t="shared" si="834"/>
        <v>0</v>
      </c>
      <c r="KH98" s="372">
        <f t="shared" si="875"/>
        <v>0</v>
      </c>
      <c r="KI98" s="339">
        <f t="shared" si="835"/>
        <v>0</v>
      </c>
      <c r="KJ98" s="372">
        <f t="shared" si="875"/>
        <v>0</v>
      </c>
      <c r="KK98" s="339">
        <f t="shared" si="836"/>
        <v>0</v>
      </c>
      <c r="KL98" s="372">
        <f t="shared" si="837"/>
        <v>0</v>
      </c>
      <c r="KM98" s="339">
        <f t="shared" si="838"/>
        <v>0</v>
      </c>
      <c r="KN98" s="372">
        <f t="shared" si="918"/>
        <v>0</v>
      </c>
      <c r="KO98" s="339">
        <f t="shared" si="839"/>
        <v>0</v>
      </c>
      <c r="KP98" s="372">
        <f t="shared" si="840"/>
        <v>0</v>
      </c>
      <c r="KQ98" s="339">
        <f t="shared" si="841"/>
        <v>0</v>
      </c>
      <c r="KR98" s="372">
        <f t="shared" si="925"/>
        <v>0</v>
      </c>
      <c r="KS98" s="377">
        <f t="shared" si="842"/>
        <v>0</v>
      </c>
      <c r="KT98" s="379">
        <f t="shared" si="843"/>
        <v>0</v>
      </c>
      <c r="KU98" s="251">
        <f t="shared" si="915"/>
        <v>0</v>
      </c>
      <c r="KW98" s="1"/>
      <c r="KX98" s="2">
        <v>8.3333333333333329E-2</v>
      </c>
      <c r="KY98" s="254">
        <f t="shared" si="680"/>
        <v>0</v>
      </c>
      <c r="KZ98" s="249">
        <f t="shared" si="876"/>
        <v>0</v>
      </c>
      <c r="LA98" s="251">
        <f t="shared" si="681"/>
        <v>0</v>
      </c>
      <c r="LB98" s="279">
        <f t="shared" si="844"/>
        <v>0</v>
      </c>
      <c r="LC98" s="339">
        <f t="shared" si="845"/>
        <v>0</v>
      </c>
      <c r="LD98" s="279">
        <f t="shared" si="844"/>
        <v>0</v>
      </c>
      <c r="LE98" s="339">
        <f t="shared" si="845"/>
        <v>0</v>
      </c>
      <c r="LF98" s="279">
        <f t="shared" si="844"/>
        <v>0</v>
      </c>
      <c r="LG98" s="339">
        <f t="shared" si="846"/>
        <v>0</v>
      </c>
      <c r="LH98" s="279">
        <f t="shared" si="844"/>
        <v>0</v>
      </c>
      <c r="LI98" s="339">
        <f t="shared" si="847"/>
        <v>0</v>
      </c>
      <c r="LJ98" s="279">
        <f t="shared" si="844"/>
        <v>0</v>
      </c>
      <c r="LK98" s="339">
        <f t="shared" si="848"/>
        <v>0</v>
      </c>
      <c r="LL98" s="279">
        <f t="shared" si="844"/>
        <v>0</v>
      </c>
      <c r="LM98" s="339">
        <f t="shared" si="849"/>
        <v>0</v>
      </c>
      <c r="LN98" s="279">
        <f t="shared" si="844"/>
        <v>0</v>
      </c>
      <c r="LO98" s="339">
        <f t="shared" si="850"/>
        <v>0</v>
      </c>
      <c r="LP98" s="279">
        <f t="shared" si="877"/>
        <v>0</v>
      </c>
      <c r="LQ98" s="339">
        <f t="shared" si="851"/>
        <v>0</v>
      </c>
      <c r="LR98" s="279">
        <f t="shared" si="878"/>
        <v>0</v>
      </c>
      <c r="LS98" s="339">
        <f t="shared" si="852"/>
        <v>0</v>
      </c>
      <c r="LT98" s="279">
        <f t="shared" si="879"/>
        <v>0</v>
      </c>
      <c r="LU98" s="339">
        <f t="shared" si="853"/>
        <v>0</v>
      </c>
      <c r="LV98" s="279">
        <f t="shared" si="880"/>
        <v>0</v>
      </c>
      <c r="LW98" s="339">
        <f t="shared" si="854"/>
        <v>0</v>
      </c>
      <c r="LX98" s="252">
        <f t="shared" si="855"/>
        <v>0</v>
      </c>
      <c r="LY98" s="253">
        <f t="shared" si="856"/>
        <v>0</v>
      </c>
      <c r="MA98" s="249">
        <f t="shared" si="688"/>
        <v>0</v>
      </c>
      <c r="MB98" s="253">
        <f t="shared" si="857"/>
        <v>0</v>
      </c>
      <c r="MC98" s="397">
        <f t="shared" si="689"/>
        <v>0</v>
      </c>
      <c r="MD98" s="253">
        <f t="shared" si="858"/>
        <v>0</v>
      </c>
      <c r="ME98" s="397">
        <f t="shared" si="690"/>
        <v>0</v>
      </c>
      <c r="MF98" s="253">
        <f t="shared" si="858"/>
        <v>0</v>
      </c>
      <c r="MG98" s="397">
        <f t="shared" si="691"/>
        <v>0</v>
      </c>
      <c r="MH98" s="253">
        <f t="shared" si="859"/>
        <v>0</v>
      </c>
      <c r="MI98" s="397">
        <f t="shared" si="692"/>
        <v>0</v>
      </c>
      <c r="MJ98" s="253">
        <f t="shared" si="860"/>
        <v>0</v>
      </c>
      <c r="MK98" s="397">
        <f t="shared" si="693"/>
        <v>0</v>
      </c>
      <c r="ML98" s="253">
        <f t="shared" si="861"/>
        <v>0</v>
      </c>
      <c r="MM98" s="397">
        <f t="shared" si="694"/>
        <v>0</v>
      </c>
      <c r="MN98" s="253">
        <f t="shared" si="862"/>
        <v>0</v>
      </c>
      <c r="MO98" s="397">
        <f t="shared" si="695"/>
        <v>0</v>
      </c>
      <c r="MP98" s="253">
        <f t="shared" si="863"/>
        <v>0</v>
      </c>
      <c r="MQ98" s="397">
        <f t="shared" si="696"/>
        <v>0</v>
      </c>
      <c r="MR98" s="253">
        <f t="shared" si="864"/>
        <v>0</v>
      </c>
      <c r="MS98" s="397">
        <f t="shared" si="697"/>
        <v>0</v>
      </c>
      <c r="MT98" s="253">
        <f t="shared" si="865"/>
        <v>0</v>
      </c>
      <c r="MU98" s="397">
        <f t="shared" si="698"/>
        <v>0</v>
      </c>
      <c r="MV98" s="253">
        <f t="shared" si="866"/>
        <v>0</v>
      </c>
      <c r="MW98" s="397">
        <f t="shared" si="699"/>
        <v>0</v>
      </c>
      <c r="MX98" s="253">
        <f t="shared" si="867"/>
        <v>0</v>
      </c>
      <c r="MY98" s="252">
        <f t="shared" si="868"/>
        <v>0</v>
      </c>
      <c r="MZ98" s="251">
        <f t="shared" si="869"/>
        <v>0</v>
      </c>
    </row>
    <row r="99" spans="1:364" ht="52.8" x14ac:dyDescent="0.25">
      <c r="A99" s="533"/>
      <c r="B99" s="245" t="s">
        <v>206</v>
      </c>
      <c r="C99" s="246" t="s">
        <v>207</v>
      </c>
      <c r="D99" s="247" t="s">
        <v>119</v>
      </c>
      <c r="E99" s="4">
        <v>10</v>
      </c>
      <c r="F99" s="353">
        <v>7381666.8643263746</v>
      </c>
      <c r="G99" s="353">
        <f t="shared" si="700"/>
        <v>7689306.6185958236</v>
      </c>
      <c r="I99" s="30"/>
      <c r="J99" s="2">
        <v>8.3333333333333329E-2</v>
      </c>
      <c r="K99" s="248">
        <f t="shared" si="701"/>
        <v>0</v>
      </c>
      <c r="L99" s="249"/>
      <c r="M99" s="301">
        <f t="shared" si="445"/>
        <v>0</v>
      </c>
      <c r="N99" s="279">
        <f t="shared" si="889"/>
        <v>0</v>
      </c>
      <c r="O99" s="289">
        <f t="shared" si="916"/>
        <v>0</v>
      </c>
      <c r="P99" s="279">
        <f t="shared" si="889"/>
        <v>0</v>
      </c>
      <c r="Q99" s="289">
        <f t="shared" si="916"/>
        <v>0</v>
      </c>
      <c r="R99" s="279">
        <f t="shared" si="889"/>
        <v>0</v>
      </c>
      <c r="S99" s="289">
        <f t="shared" si="702"/>
        <v>0</v>
      </c>
      <c r="T99" s="279">
        <f t="shared" si="889"/>
        <v>0</v>
      </c>
      <c r="U99" s="289">
        <f t="shared" si="703"/>
        <v>0</v>
      </c>
      <c r="V99" s="279">
        <f t="shared" si="889"/>
        <v>0</v>
      </c>
      <c r="W99" s="289">
        <f t="shared" si="704"/>
        <v>0</v>
      </c>
      <c r="X99" s="279">
        <f t="shared" si="889"/>
        <v>0</v>
      </c>
      <c r="Y99" s="289">
        <f t="shared" si="705"/>
        <v>0</v>
      </c>
      <c r="Z99" s="279">
        <f t="shared" si="889"/>
        <v>0</v>
      </c>
      <c r="AA99" s="289">
        <f t="shared" si="706"/>
        <v>0</v>
      </c>
      <c r="AB99" s="279">
        <f t="shared" si="889"/>
        <v>0</v>
      </c>
      <c r="AC99" s="289">
        <f t="shared" si="707"/>
        <v>0</v>
      </c>
      <c r="AD99" s="279">
        <f t="shared" si="889"/>
        <v>0</v>
      </c>
      <c r="AE99" s="289">
        <f t="shared" si="708"/>
        <v>0</v>
      </c>
      <c r="AF99" s="279">
        <f t="shared" si="889"/>
        <v>0</v>
      </c>
      <c r="AG99" s="289">
        <f t="shared" si="890"/>
        <v>0</v>
      </c>
      <c r="AH99" s="249">
        <f t="shared" si="456"/>
        <v>0</v>
      </c>
      <c r="AI99" s="299">
        <f t="shared" si="891"/>
        <v>0</v>
      </c>
      <c r="AJ99" s="252">
        <f t="shared" si="709"/>
        <v>0</v>
      </c>
      <c r="AK99" s="312">
        <f t="shared" si="710"/>
        <v>0</v>
      </c>
      <c r="AM99" s="1"/>
      <c r="AN99" s="2">
        <v>8.3333333333333329E-2</v>
      </c>
      <c r="AO99" s="254">
        <f t="shared" si="904"/>
        <v>0</v>
      </c>
      <c r="AP99" s="249">
        <f t="shared" si="917"/>
        <v>0</v>
      </c>
      <c r="AQ99" s="301">
        <f t="shared" si="683"/>
        <v>0</v>
      </c>
      <c r="AR99" s="249">
        <f t="shared" si="884"/>
        <v>0</v>
      </c>
      <c r="AS99" s="301">
        <f t="shared" si="683"/>
        <v>0</v>
      </c>
      <c r="AT99" s="249">
        <f t="shared" si="884"/>
        <v>0</v>
      </c>
      <c r="AU99" s="301">
        <f t="shared" si="684"/>
        <v>0</v>
      </c>
      <c r="AV99" s="249">
        <f t="shared" si="884"/>
        <v>0</v>
      </c>
      <c r="AW99" s="301">
        <f t="shared" si="711"/>
        <v>0</v>
      </c>
      <c r="AX99" s="249">
        <f t="shared" si="884"/>
        <v>0</v>
      </c>
      <c r="AY99" s="301">
        <f t="shared" si="712"/>
        <v>0</v>
      </c>
      <c r="AZ99" s="249">
        <f t="shared" si="884"/>
        <v>0</v>
      </c>
      <c r="BA99" s="301">
        <f t="shared" si="713"/>
        <v>0</v>
      </c>
      <c r="BB99" s="249">
        <f t="shared" si="884"/>
        <v>0</v>
      </c>
      <c r="BC99" s="301">
        <f t="shared" si="714"/>
        <v>0</v>
      </c>
      <c r="BD99" s="249">
        <f t="shared" si="884"/>
        <v>0</v>
      </c>
      <c r="BE99" s="301">
        <f t="shared" si="715"/>
        <v>0</v>
      </c>
      <c r="BF99" s="249">
        <f t="shared" si="882"/>
        <v>0</v>
      </c>
      <c r="BG99" s="301">
        <f t="shared" si="716"/>
        <v>0</v>
      </c>
      <c r="BH99" s="249">
        <f t="shared" si="885"/>
        <v>0</v>
      </c>
      <c r="BI99" s="301">
        <f t="shared" si="892"/>
        <v>0</v>
      </c>
      <c r="BJ99" s="249">
        <f t="shared" si="885"/>
        <v>0</v>
      </c>
      <c r="BK99" s="301">
        <f t="shared" si="892"/>
        <v>0</v>
      </c>
      <c r="BL99" s="249">
        <f t="shared" si="661"/>
        <v>0</v>
      </c>
      <c r="BM99" s="299">
        <f t="shared" si="718"/>
        <v>0</v>
      </c>
      <c r="BN99" s="252">
        <f t="shared" si="719"/>
        <v>0</v>
      </c>
      <c r="BO99" s="312">
        <f t="shared" si="685"/>
        <v>0</v>
      </c>
      <c r="BQ99" s="1"/>
      <c r="BR99" s="2"/>
      <c r="BS99" s="255">
        <f t="shared" si="919"/>
        <v>0</v>
      </c>
      <c r="BT99" s="249">
        <f t="shared" si="881"/>
        <v>0</v>
      </c>
      <c r="BU99" s="336">
        <f t="shared" si="720"/>
        <v>0</v>
      </c>
      <c r="BV99" s="279">
        <f t="shared" si="721"/>
        <v>0</v>
      </c>
      <c r="BW99" s="339">
        <f t="shared" si="722"/>
        <v>0</v>
      </c>
      <c r="BX99" s="279">
        <f t="shared" si="721"/>
        <v>0</v>
      </c>
      <c r="BY99" s="339">
        <f t="shared" si="723"/>
        <v>0</v>
      </c>
      <c r="BZ99" s="279">
        <f t="shared" si="721"/>
        <v>0</v>
      </c>
      <c r="CA99" s="339">
        <f t="shared" si="724"/>
        <v>0</v>
      </c>
      <c r="CB99" s="279">
        <f t="shared" si="721"/>
        <v>0</v>
      </c>
      <c r="CC99" s="339">
        <f t="shared" si="725"/>
        <v>0</v>
      </c>
      <c r="CD99" s="279">
        <f t="shared" si="721"/>
        <v>0</v>
      </c>
      <c r="CE99" s="339">
        <f t="shared" si="726"/>
        <v>0</v>
      </c>
      <c r="CF99" s="279">
        <f t="shared" si="721"/>
        <v>0</v>
      </c>
      <c r="CG99" s="339">
        <f t="shared" si="727"/>
        <v>0</v>
      </c>
      <c r="CH99" s="279">
        <f t="shared" si="721"/>
        <v>0</v>
      </c>
      <c r="CI99" s="339">
        <f t="shared" si="728"/>
        <v>0</v>
      </c>
      <c r="CJ99" s="279">
        <f t="shared" si="729"/>
        <v>0</v>
      </c>
      <c r="CK99" s="339">
        <f t="shared" si="730"/>
        <v>0</v>
      </c>
      <c r="CL99" s="279">
        <f t="shared" si="463"/>
        <v>0</v>
      </c>
      <c r="CM99" s="339">
        <f t="shared" si="731"/>
        <v>0</v>
      </c>
      <c r="CN99" s="279">
        <f t="shared" si="732"/>
        <v>0</v>
      </c>
      <c r="CO99" s="339">
        <f t="shared" si="733"/>
        <v>0</v>
      </c>
      <c r="CP99" s="279">
        <f t="shared" si="464"/>
        <v>0</v>
      </c>
      <c r="CQ99" s="250">
        <f t="shared" si="905"/>
        <v>0</v>
      </c>
      <c r="CR99" s="252">
        <f t="shared" si="734"/>
        <v>0</v>
      </c>
      <c r="CS99" s="251">
        <f t="shared" si="887"/>
        <v>0</v>
      </c>
      <c r="CU99" s="1"/>
      <c r="CV99" s="2"/>
      <c r="CW99" s="255">
        <f t="shared" si="920"/>
        <v>0</v>
      </c>
      <c r="CX99" s="249">
        <f t="shared" si="735"/>
        <v>0</v>
      </c>
      <c r="CY99" s="250">
        <f t="shared" si="736"/>
        <v>0</v>
      </c>
      <c r="CZ99" s="279">
        <f t="shared" si="870"/>
        <v>0</v>
      </c>
      <c r="DA99" s="299">
        <f t="shared" si="736"/>
        <v>0</v>
      </c>
      <c r="DB99" s="279">
        <f t="shared" si="870"/>
        <v>0</v>
      </c>
      <c r="DC99" s="299">
        <f t="shared" si="737"/>
        <v>0</v>
      </c>
      <c r="DD99" s="279">
        <f t="shared" si="870"/>
        <v>0</v>
      </c>
      <c r="DE99" s="299">
        <f t="shared" si="738"/>
        <v>0</v>
      </c>
      <c r="DF99" s="279">
        <f t="shared" si="870"/>
        <v>0</v>
      </c>
      <c r="DG99" s="299">
        <f t="shared" si="739"/>
        <v>0</v>
      </c>
      <c r="DH99" s="279">
        <f t="shared" si="870"/>
        <v>0</v>
      </c>
      <c r="DI99" s="299">
        <f t="shared" si="740"/>
        <v>0</v>
      </c>
      <c r="DJ99" s="279">
        <f t="shared" si="870"/>
        <v>0</v>
      </c>
      <c r="DK99" s="299">
        <f t="shared" si="741"/>
        <v>0</v>
      </c>
      <c r="DL99" s="279">
        <f t="shared" si="870"/>
        <v>0</v>
      </c>
      <c r="DM99" s="299">
        <f t="shared" si="742"/>
        <v>0</v>
      </c>
      <c r="DN99" s="279">
        <f t="shared" si="743"/>
        <v>0</v>
      </c>
      <c r="DO99" s="299">
        <f t="shared" si="744"/>
        <v>0</v>
      </c>
      <c r="DP99" s="279">
        <f t="shared" si="471"/>
        <v>0</v>
      </c>
      <c r="DQ99" s="299">
        <f t="shared" si="745"/>
        <v>0</v>
      </c>
      <c r="DR99" s="279">
        <f t="shared" si="746"/>
        <v>0</v>
      </c>
      <c r="DS99" s="299">
        <f t="shared" si="747"/>
        <v>0</v>
      </c>
      <c r="DT99" s="279">
        <f t="shared" si="472"/>
        <v>0</v>
      </c>
      <c r="DU99" s="299">
        <f t="shared" si="748"/>
        <v>0</v>
      </c>
      <c r="DV99" s="252">
        <f t="shared" si="749"/>
        <v>0</v>
      </c>
      <c r="DW99" s="251">
        <f t="shared" si="888"/>
        <v>0</v>
      </c>
      <c r="DY99" s="256">
        <v>0</v>
      </c>
      <c r="DZ99" s="2"/>
      <c r="EA99" s="254">
        <f t="shared" si="906"/>
        <v>0</v>
      </c>
      <c r="EB99" s="249">
        <f t="shared" si="871"/>
        <v>0</v>
      </c>
      <c r="EC99" s="250">
        <f t="shared" si="750"/>
        <v>0</v>
      </c>
      <c r="ED99" s="356">
        <f t="shared" si="871"/>
        <v>0</v>
      </c>
      <c r="EE99" s="250">
        <f t="shared" si="750"/>
        <v>0</v>
      </c>
      <c r="EF99" s="249">
        <f t="shared" si="872"/>
        <v>0</v>
      </c>
      <c r="EG99" s="250">
        <f t="shared" si="893"/>
        <v>0</v>
      </c>
      <c r="EH99" s="249">
        <f t="shared" si="872"/>
        <v>0</v>
      </c>
      <c r="EI99" s="250">
        <f t="shared" si="893"/>
        <v>0</v>
      </c>
      <c r="EJ99" s="249">
        <f t="shared" si="872"/>
        <v>0</v>
      </c>
      <c r="EK99" s="250">
        <f t="shared" si="752"/>
        <v>0</v>
      </c>
      <c r="EL99" s="249">
        <f t="shared" si="872"/>
        <v>0</v>
      </c>
      <c r="EM99" s="250">
        <f t="shared" si="753"/>
        <v>0</v>
      </c>
      <c r="EN99" s="249">
        <f t="shared" si="872"/>
        <v>0</v>
      </c>
      <c r="EO99" s="250">
        <f t="shared" si="754"/>
        <v>0</v>
      </c>
      <c r="EP99" s="249">
        <f t="shared" si="872"/>
        <v>0</v>
      </c>
      <c r="EQ99" s="250">
        <f t="shared" si="755"/>
        <v>0</v>
      </c>
      <c r="ER99" s="249">
        <f t="shared" si="872"/>
        <v>0</v>
      </c>
      <c r="ES99" s="250">
        <f t="shared" si="756"/>
        <v>0</v>
      </c>
      <c r="ET99" s="249">
        <f t="shared" si="921"/>
        <v>0</v>
      </c>
      <c r="EU99" s="250">
        <f t="shared" si="757"/>
        <v>0</v>
      </c>
      <c r="EV99" s="249">
        <f t="shared" si="758"/>
        <v>0</v>
      </c>
      <c r="EW99" s="250">
        <f t="shared" si="759"/>
        <v>0</v>
      </c>
      <c r="EX99" s="249">
        <f t="shared" si="922"/>
        <v>0</v>
      </c>
      <c r="EY99" s="250">
        <f t="shared" si="760"/>
        <v>0</v>
      </c>
      <c r="EZ99" s="252">
        <f t="shared" si="761"/>
        <v>0</v>
      </c>
      <c r="FA99" s="251">
        <f t="shared" si="907"/>
        <v>0</v>
      </c>
      <c r="FC99" s="1"/>
      <c r="FD99" s="2"/>
      <c r="FE99" s="257">
        <f t="shared" si="908"/>
        <v>0</v>
      </c>
      <c r="FF99" s="249">
        <f t="shared" si="762"/>
        <v>0</v>
      </c>
      <c r="FG99" s="250">
        <f t="shared" si="763"/>
        <v>0</v>
      </c>
      <c r="FH99" s="372">
        <f t="shared" si="873"/>
        <v>0</v>
      </c>
      <c r="FI99" s="339">
        <f t="shared" si="764"/>
        <v>0</v>
      </c>
      <c r="FJ99" s="372">
        <f t="shared" si="873"/>
        <v>0</v>
      </c>
      <c r="FK99" s="339">
        <f t="shared" si="764"/>
        <v>0</v>
      </c>
      <c r="FL99" s="372">
        <f t="shared" si="873"/>
        <v>0</v>
      </c>
      <c r="FM99" s="339">
        <f t="shared" si="765"/>
        <v>0</v>
      </c>
      <c r="FN99" s="372">
        <f t="shared" si="873"/>
        <v>0</v>
      </c>
      <c r="FO99" s="339">
        <f t="shared" si="766"/>
        <v>0</v>
      </c>
      <c r="FP99" s="372">
        <f t="shared" si="873"/>
        <v>0</v>
      </c>
      <c r="FQ99" s="339">
        <f t="shared" si="767"/>
        <v>0</v>
      </c>
      <c r="FR99" s="372">
        <f t="shared" si="873"/>
        <v>0</v>
      </c>
      <c r="FS99" s="339">
        <f t="shared" si="768"/>
        <v>0</v>
      </c>
      <c r="FT99" s="372">
        <f t="shared" si="873"/>
        <v>0</v>
      </c>
      <c r="FU99" s="339">
        <f t="shared" si="769"/>
        <v>0</v>
      </c>
      <c r="FV99" s="372">
        <f t="shared" si="770"/>
        <v>0</v>
      </c>
      <c r="FW99" s="339">
        <f t="shared" si="771"/>
        <v>0</v>
      </c>
      <c r="FX99" s="372">
        <f t="shared" si="479"/>
        <v>0</v>
      </c>
      <c r="FY99" s="339">
        <f t="shared" si="772"/>
        <v>0</v>
      </c>
      <c r="FZ99" s="372">
        <f t="shared" si="773"/>
        <v>0</v>
      </c>
      <c r="GA99" s="339">
        <f t="shared" si="774"/>
        <v>0</v>
      </c>
      <c r="GB99" s="372">
        <f t="shared" si="480"/>
        <v>0</v>
      </c>
      <c r="GC99" s="339">
        <f t="shared" si="775"/>
        <v>0</v>
      </c>
      <c r="GD99" s="252">
        <f t="shared" si="776"/>
        <v>0</v>
      </c>
      <c r="GE99" s="251">
        <f t="shared" si="686"/>
        <v>0</v>
      </c>
      <c r="GG99" s="1"/>
      <c r="GH99" s="2">
        <v>0.2</v>
      </c>
      <c r="GI99" s="257">
        <f t="shared" si="909"/>
        <v>0</v>
      </c>
      <c r="GJ99" s="249">
        <f t="shared" si="777"/>
        <v>0</v>
      </c>
      <c r="GK99" s="250">
        <f t="shared" si="778"/>
        <v>0</v>
      </c>
      <c r="GL99" s="249">
        <f t="shared" si="777"/>
        <v>0</v>
      </c>
      <c r="GM99" s="250">
        <f t="shared" si="778"/>
        <v>0</v>
      </c>
      <c r="GN99" s="249">
        <f t="shared" si="777"/>
        <v>0</v>
      </c>
      <c r="GO99" s="250">
        <f t="shared" si="894"/>
        <v>0</v>
      </c>
      <c r="GP99" s="249">
        <f t="shared" si="777"/>
        <v>0</v>
      </c>
      <c r="GQ99" s="250">
        <f t="shared" si="895"/>
        <v>0</v>
      </c>
      <c r="GR99" s="249">
        <f t="shared" si="777"/>
        <v>0</v>
      </c>
      <c r="GS99" s="250">
        <f t="shared" si="896"/>
        <v>0</v>
      </c>
      <c r="GT99" s="249">
        <f t="shared" si="777"/>
        <v>0</v>
      </c>
      <c r="GU99" s="250">
        <f t="shared" si="897"/>
        <v>0</v>
      </c>
      <c r="GV99" s="249">
        <f t="shared" si="777"/>
        <v>0</v>
      </c>
      <c r="GW99" s="250">
        <f t="shared" si="898"/>
        <v>0</v>
      </c>
      <c r="GX99" s="249">
        <f t="shared" si="784"/>
        <v>0</v>
      </c>
      <c r="GY99" s="250">
        <f t="shared" si="899"/>
        <v>0</v>
      </c>
      <c r="GZ99" s="249">
        <f t="shared" si="786"/>
        <v>0</v>
      </c>
      <c r="HA99" s="250">
        <f t="shared" si="900"/>
        <v>0</v>
      </c>
      <c r="HB99" s="249">
        <f t="shared" si="788"/>
        <v>0</v>
      </c>
      <c r="HC99" s="250">
        <f t="shared" si="901"/>
        <v>0</v>
      </c>
      <c r="HD99" s="249">
        <f t="shared" si="790"/>
        <v>0</v>
      </c>
      <c r="HE99" s="250">
        <f t="shared" si="902"/>
        <v>0</v>
      </c>
      <c r="HF99" s="249">
        <f t="shared" si="792"/>
        <v>0</v>
      </c>
      <c r="HG99" s="250">
        <f t="shared" si="903"/>
        <v>0</v>
      </c>
      <c r="HH99" s="252">
        <f t="shared" si="794"/>
        <v>0</v>
      </c>
      <c r="HI99" s="251">
        <f t="shared" si="910"/>
        <v>0</v>
      </c>
      <c r="HK99" s="1"/>
      <c r="HL99" s="2"/>
      <c r="HM99" s="257">
        <f t="shared" si="911"/>
        <v>0</v>
      </c>
      <c r="HN99" s="249">
        <f t="shared" si="795"/>
        <v>0</v>
      </c>
      <c r="HO99" s="250">
        <f t="shared" si="912"/>
        <v>0</v>
      </c>
      <c r="HP99" s="249">
        <f t="shared" si="796"/>
        <v>0</v>
      </c>
      <c r="HQ99" s="250">
        <f t="shared" si="797"/>
        <v>0</v>
      </c>
      <c r="HR99" s="249">
        <f t="shared" si="796"/>
        <v>0</v>
      </c>
      <c r="HS99" s="250">
        <f t="shared" si="797"/>
        <v>0</v>
      </c>
      <c r="HT99" s="249">
        <f t="shared" si="796"/>
        <v>0</v>
      </c>
      <c r="HU99" s="250">
        <f t="shared" si="798"/>
        <v>0</v>
      </c>
      <c r="HV99" s="249">
        <f t="shared" si="796"/>
        <v>0</v>
      </c>
      <c r="HW99" s="250">
        <f t="shared" si="799"/>
        <v>0</v>
      </c>
      <c r="HX99" s="249">
        <f t="shared" si="796"/>
        <v>0</v>
      </c>
      <c r="HY99" s="250">
        <f t="shared" si="800"/>
        <v>0</v>
      </c>
      <c r="HZ99" s="249">
        <f t="shared" si="796"/>
        <v>0</v>
      </c>
      <c r="IA99" s="250">
        <f t="shared" si="801"/>
        <v>0</v>
      </c>
      <c r="IB99" s="249">
        <f t="shared" si="796"/>
        <v>0</v>
      </c>
      <c r="IC99" s="250">
        <f t="shared" si="802"/>
        <v>0</v>
      </c>
      <c r="ID99" s="249">
        <f t="shared" si="803"/>
        <v>0</v>
      </c>
      <c r="IE99" s="250">
        <f t="shared" si="804"/>
        <v>0</v>
      </c>
      <c r="IF99" s="249">
        <f t="shared" si="805"/>
        <v>0</v>
      </c>
      <c r="IG99" s="250">
        <f t="shared" si="806"/>
        <v>0</v>
      </c>
      <c r="IH99" s="249">
        <f t="shared" si="807"/>
        <v>0</v>
      </c>
      <c r="II99" s="250">
        <f t="shared" si="808"/>
        <v>0</v>
      </c>
      <c r="IJ99" s="249">
        <f t="shared" si="809"/>
        <v>0</v>
      </c>
      <c r="IK99" s="250">
        <f t="shared" si="810"/>
        <v>0</v>
      </c>
      <c r="IL99" s="252">
        <f t="shared" si="811"/>
        <v>0</v>
      </c>
      <c r="IM99" s="251">
        <f t="shared" si="812"/>
        <v>0</v>
      </c>
      <c r="IO99" s="1"/>
      <c r="IP99" s="2">
        <v>8.3333333333333329E-2</v>
      </c>
      <c r="IQ99" s="257">
        <f t="shared" si="913"/>
        <v>0</v>
      </c>
      <c r="IR99" s="249">
        <f t="shared" si="813"/>
        <v>0</v>
      </c>
      <c r="IS99" s="250">
        <f t="shared" si="814"/>
        <v>0</v>
      </c>
      <c r="IT99" s="279">
        <f t="shared" si="874"/>
        <v>0</v>
      </c>
      <c r="IU99" s="289">
        <f t="shared" si="815"/>
        <v>0</v>
      </c>
      <c r="IV99" s="279">
        <f t="shared" si="874"/>
        <v>0</v>
      </c>
      <c r="IW99" s="289">
        <f t="shared" si="815"/>
        <v>0</v>
      </c>
      <c r="IX99" s="279">
        <f t="shared" si="874"/>
        <v>0</v>
      </c>
      <c r="IY99" s="289">
        <f t="shared" si="816"/>
        <v>0</v>
      </c>
      <c r="IZ99" s="279">
        <f t="shared" si="874"/>
        <v>0</v>
      </c>
      <c r="JA99" s="289">
        <f t="shared" si="817"/>
        <v>0</v>
      </c>
      <c r="JB99" s="279">
        <f t="shared" si="874"/>
        <v>0</v>
      </c>
      <c r="JC99" s="289">
        <f t="shared" si="818"/>
        <v>0</v>
      </c>
      <c r="JD99" s="279">
        <f t="shared" si="874"/>
        <v>0</v>
      </c>
      <c r="JE99" s="289">
        <f t="shared" si="819"/>
        <v>0</v>
      </c>
      <c r="JF99" s="279">
        <f t="shared" si="874"/>
        <v>0</v>
      </c>
      <c r="JG99" s="289">
        <f t="shared" si="820"/>
        <v>0</v>
      </c>
      <c r="JH99" s="279">
        <f t="shared" si="821"/>
        <v>0</v>
      </c>
      <c r="JI99" s="289">
        <f t="shared" si="822"/>
        <v>0</v>
      </c>
      <c r="JJ99" s="279">
        <f t="shared" si="923"/>
        <v>0</v>
      </c>
      <c r="JK99" s="289">
        <f t="shared" si="823"/>
        <v>0</v>
      </c>
      <c r="JL99" s="279">
        <f t="shared" si="824"/>
        <v>0</v>
      </c>
      <c r="JM99" s="289">
        <f t="shared" si="825"/>
        <v>0</v>
      </c>
      <c r="JN99" s="279">
        <f t="shared" si="924"/>
        <v>0</v>
      </c>
      <c r="JO99" s="289">
        <f t="shared" si="826"/>
        <v>0</v>
      </c>
      <c r="JP99" s="252">
        <f t="shared" si="827"/>
        <v>0</v>
      </c>
      <c r="JQ99" s="251">
        <f t="shared" si="828"/>
        <v>0</v>
      </c>
      <c r="JS99" s="1"/>
      <c r="JT99" s="2">
        <v>8.3333333333333329E-2</v>
      </c>
      <c r="JU99" s="257">
        <f t="shared" si="914"/>
        <v>0</v>
      </c>
      <c r="JV99" s="249">
        <f t="shared" si="829"/>
        <v>0</v>
      </c>
      <c r="JW99" s="250">
        <f t="shared" si="830"/>
        <v>0</v>
      </c>
      <c r="JX99" s="372">
        <f t="shared" si="875"/>
        <v>0</v>
      </c>
      <c r="JY99" s="339">
        <f t="shared" si="831"/>
        <v>0</v>
      </c>
      <c r="JZ99" s="372">
        <f t="shared" si="875"/>
        <v>0</v>
      </c>
      <c r="KA99" s="339">
        <f t="shared" si="831"/>
        <v>0</v>
      </c>
      <c r="KB99" s="372">
        <f t="shared" si="875"/>
        <v>0</v>
      </c>
      <c r="KC99" s="339">
        <f t="shared" si="832"/>
        <v>0</v>
      </c>
      <c r="KD99" s="372">
        <f t="shared" si="875"/>
        <v>0</v>
      </c>
      <c r="KE99" s="339">
        <f t="shared" si="833"/>
        <v>0</v>
      </c>
      <c r="KF99" s="372">
        <f t="shared" si="875"/>
        <v>0</v>
      </c>
      <c r="KG99" s="339">
        <f t="shared" si="834"/>
        <v>0</v>
      </c>
      <c r="KH99" s="372">
        <f t="shared" si="875"/>
        <v>0</v>
      </c>
      <c r="KI99" s="339">
        <f t="shared" si="835"/>
        <v>0</v>
      </c>
      <c r="KJ99" s="372">
        <f t="shared" si="875"/>
        <v>0</v>
      </c>
      <c r="KK99" s="339">
        <f t="shared" si="836"/>
        <v>0</v>
      </c>
      <c r="KL99" s="372">
        <f t="shared" si="837"/>
        <v>0</v>
      </c>
      <c r="KM99" s="339">
        <f t="shared" si="838"/>
        <v>0</v>
      </c>
      <c r="KN99" s="372">
        <f t="shared" si="918"/>
        <v>0</v>
      </c>
      <c r="KO99" s="339">
        <f t="shared" si="839"/>
        <v>0</v>
      </c>
      <c r="KP99" s="372">
        <f t="shared" si="840"/>
        <v>0</v>
      </c>
      <c r="KQ99" s="339">
        <f t="shared" si="841"/>
        <v>0</v>
      </c>
      <c r="KR99" s="372">
        <f t="shared" si="925"/>
        <v>0</v>
      </c>
      <c r="KS99" s="377">
        <f t="shared" si="842"/>
        <v>0</v>
      </c>
      <c r="KT99" s="379">
        <f t="shared" si="843"/>
        <v>0</v>
      </c>
      <c r="KU99" s="251">
        <f t="shared" si="915"/>
        <v>0</v>
      </c>
      <c r="KW99" s="1"/>
      <c r="KX99" s="2">
        <v>8.3333333333333329E-2</v>
      </c>
      <c r="KY99" s="254">
        <f t="shared" si="680"/>
        <v>0</v>
      </c>
      <c r="KZ99" s="249">
        <f t="shared" si="876"/>
        <v>0</v>
      </c>
      <c r="LA99" s="251">
        <f t="shared" si="681"/>
        <v>0</v>
      </c>
      <c r="LB99" s="279">
        <f t="shared" si="844"/>
        <v>0</v>
      </c>
      <c r="LC99" s="339">
        <f t="shared" si="845"/>
        <v>0</v>
      </c>
      <c r="LD99" s="279">
        <f t="shared" si="844"/>
        <v>0</v>
      </c>
      <c r="LE99" s="339">
        <f t="shared" si="845"/>
        <v>0</v>
      </c>
      <c r="LF99" s="279">
        <f t="shared" si="844"/>
        <v>0</v>
      </c>
      <c r="LG99" s="339">
        <f t="shared" si="846"/>
        <v>0</v>
      </c>
      <c r="LH99" s="279">
        <f t="shared" si="844"/>
        <v>0</v>
      </c>
      <c r="LI99" s="339">
        <f t="shared" si="847"/>
        <v>0</v>
      </c>
      <c r="LJ99" s="279">
        <f t="shared" si="844"/>
        <v>0</v>
      </c>
      <c r="LK99" s="339">
        <f t="shared" si="848"/>
        <v>0</v>
      </c>
      <c r="LL99" s="279">
        <f t="shared" si="844"/>
        <v>0</v>
      </c>
      <c r="LM99" s="339">
        <f t="shared" si="849"/>
        <v>0</v>
      </c>
      <c r="LN99" s="279">
        <f t="shared" si="844"/>
        <v>0</v>
      </c>
      <c r="LO99" s="339">
        <f t="shared" si="850"/>
        <v>0</v>
      </c>
      <c r="LP99" s="279">
        <f t="shared" si="877"/>
        <v>0</v>
      </c>
      <c r="LQ99" s="339">
        <f t="shared" si="851"/>
        <v>0</v>
      </c>
      <c r="LR99" s="279">
        <f t="shared" si="878"/>
        <v>0</v>
      </c>
      <c r="LS99" s="339">
        <f t="shared" si="852"/>
        <v>0</v>
      </c>
      <c r="LT99" s="279">
        <f t="shared" si="879"/>
        <v>0</v>
      </c>
      <c r="LU99" s="339">
        <f t="shared" si="853"/>
        <v>0</v>
      </c>
      <c r="LV99" s="279">
        <f t="shared" si="880"/>
        <v>0</v>
      </c>
      <c r="LW99" s="339">
        <f t="shared" si="854"/>
        <v>0</v>
      </c>
      <c r="LX99" s="252">
        <f t="shared" si="855"/>
        <v>0</v>
      </c>
      <c r="LY99" s="253">
        <f t="shared" si="856"/>
        <v>0</v>
      </c>
      <c r="MA99" s="249">
        <f t="shared" si="688"/>
        <v>0</v>
      </c>
      <c r="MB99" s="253">
        <f t="shared" si="857"/>
        <v>0</v>
      </c>
      <c r="MC99" s="397">
        <f t="shared" si="689"/>
        <v>0</v>
      </c>
      <c r="MD99" s="253">
        <f t="shared" si="858"/>
        <v>0</v>
      </c>
      <c r="ME99" s="397">
        <f t="shared" si="690"/>
        <v>0</v>
      </c>
      <c r="MF99" s="253">
        <f t="shared" si="858"/>
        <v>0</v>
      </c>
      <c r="MG99" s="397">
        <f t="shared" si="691"/>
        <v>0</v>
      </c>
      <c r="MH99" s="253">
        <f t="shared" si="859"/>
        <v>0</v>
      </c>
      <c r="MI99" s="397">
        <f t="shared" si="692"/>
        <v>0</v>
      </c>
      <c r="MJ99" s="253">
        <f t="shared" si="860"/>
        <v>0</v>
      </c>
      <c r="MK99" s="397">
        <f t="shared" si="693"/>
        <v>0</v>
      </c>
      <c r="ML99" s="253">
        <f t="shared" si="861"/>
        <v>0</v>
      </c>
      <c r="MM99" s="397">
        <f t="shared" si="694"/>
        <v>0</v>
      </c>
      <c r="MN99" s="253">
        <f t="shared" si="862"/>
        <v>0</v>
      </c>
      <c r="MO99" s="397">
        <f t="shared" si="695"/>
        <v>0</v>
      </c>
      <c r="MP99" s="253">
        <f t="shared" si="863"/>
        <v>0</v>
      </c>
      <c r="MQ99" s="397">
        <f t="shared" si="696"/>
        <v>0</v>
      </c>
      <c r="MR99" s="253">
        <f t="shared" si="864"/>
        <v>0</v>
      </c>
      <c r="MS99" s="397">
        <f t="shared" si="697"/>
        <v>0</v>
      </c>
      <c r="MT99" s="253">
        <f t="shared" si="865"/>
        <v>0</v>
      </c>
      <c r="MU99" s="397">
        <f t="shared" si="698"/>
        <v>0</v>
      </c>
      <c r="MV99" s="253">
        <f t="shared" si="866"/>
        <v>0</v>
      </c>
      <c r="MW99" s="397">
        <f t="shared" si="699"/>
        <v>0</v>
      </c>
      <c r="MX99" s="253">
        <f t="shared" si="867"/>
        <v>0</v>
      </c>
      <c r="MY99" s="252">
        <f t="shared" si="868"/>
        <v>0</v>
      </c>
      <c r="MZ99" s="251">
        <f t="shared" si="869"/>
        <v>0</v>
      </c>
    </row>
    <row r="100" spans="1:364" ht="52.8" x14ac:dyDescent="0.25">
      <c r="A100" s="533"/>
      <c r="B100" s="245" t="s">
        <v>208</v>
      </c>
      <c r="C100" s="246" t="s">
        <v>209</v>
      </c>
      <c r="D100" s="247" t="s">
        <v>119</v>
      </c>
      <c r="E100" s="4">
        <v>10</v>
      </c>
      <c r="F100" s="353">
        <v>7909992.7360056918</v>
      </c>
      <c r="G100" s="353">
        <f t="shared" si="700"/>
        <v>8239651.0999367479</v>
      </c>
      <c r="I100" s="30"/>
      <c r="J100" s="2">
        <v>8.3333333333333329E-2</v>
      </c>
      <c r="K100" s="248">
        <f t="shared" si="701"/>
        <v>0</v>
      </c>
      <c r="L100" s="249"/>
      <c r="M100" s="301">
        <f t="shared" si="445"/>
        <v>0</v>
      </c>
      <c r="N100" s="279">
        <f t="shared" si="889"/>
        <v>0</v>
      </c>
      <c r="O100" s="289">
        <f t="shared" si="916"/>
        <v>0</v>
      </c>
      <c r="P100" s="279">
        <f t="shared" si="889"/>
        <v>0</v>
      </c>
      <c r="Q100" s="289">
        <f t="shared" si="916"/>
        <v>0</v>
      </c>
      <c r="R100" s="279">
        <f t="shared" si="889"/>
        <v>0</v>
      </c>
      <c r="S100" s="289">
        <f t="shared" si="702"/>
        <v>0</v>
      </c>
      <c r="T100" s="279">
        <f t="shared" si="889"/>
        <v>0</v>
      </c>
      <c r="U100" s="289">
        <f t="shared" si="703"/>
        <v>0</v>
      </c>
      <c r="V100" s="279">
        <f t="shared" si="889"/>
        <v>0</v>
      </c>
      <c r="W100" s="289">
        <f t="shared" si="704"/>
        <v>0</v>
      </c>
      <c r="X100" s="279">
        <f t="shared" si="889"/>
        <v>0</v>
      </c>
      <c r="Y100" s="289">
        <f t="shared" si="705"/>
        <v>0</v>
      </c>
      <c r="Z100" s="279">
        <f t="shared" si="889"/>
        <v>0</v>
      </c>
      <c r="AA100" s="289">
        <f t="shared" si="706"/>
        <v>0</v>
      </c>
      <c r="AB100" s="279">
        <f t="shared" si="889"/>
        <v>0</v>
      </c>
      <c r="AC100" s="289">
        <f t="shared" si="707"/>
        <v>0</v>
      </c>
      <c r="AD100" s="279">
        <f t="shared" si="889"/>
        <v>0</v>
      </c>
      <c r="AE100" s="289">
        <f t="shared" si="708"/>
        <v>0</v>
      </c>
      <c r="AF100" s="279">
        <f t="shared" si="889"/>
        <v>0</v>
      </c>
      <c r="AG100" s="289">
        <f t="shared" si="890"/>
        <v>0</v>
      </c>
      <c r="AH100" s="249">
        <f t="shared" si="456"/>
        <v>0</v>
      </c>
      <c r="AI100" s="299">
        <f t="shared" si="891"/>
        <v>0</v>
      </c>
      <c r="AJ100" s="252">
        <f t="shared" si="709"/>
        <v>0</v>
      </c>
      <c r="AK100" s="312">
        <f t="shared" si="710"/>
        <v>0</v>
      </c>
      <c r="AM100" s="1"/>
      <c r="AN100" s="2">
        <v>8.3333333333333329E-2</v>
      </c>
      <c r="AO100" s="254">
        <f t="shared" si="904"/>
        <v>0</v>
      </c>
      <c r="AP100" s="249">
        <f t="shared" si="917"/>
        <v>0</v>
      </c>
      <c r="AQ100" s="301">
        <f t="shared" si="683"/>
        <v>0</v>
      </c>
      <c r="AR100" s="249">
        <f t="shared" si="884"/>
        <v>0</v>
      </c>
      <c r="AS100" s="301">
        <f t="shared" si="683"/>
        <v>0</v>
      </c>
      <c r="AT100" s="249">
        <f t="shared" si="884"/>
        <v>0</v>
      </c>
      <c r="AU100" s="301">
        <f t="shared" si="684"/>
        <v>0</v>
      </c>
      <c r="AV100" s="249">
        <f t="shared" si="884"/>
        <v>0</v>
      </c>
      <c r="AW100" s="301">
        <f t="shared" si="711"/>
        <v>0</v>
      </c>
      <c r="AX100" s="249">
        <f t="shared" si="884"/>
        <v>0</v>
      </c>
      <c r="AY100" s="301">
        <f t="shared" si="712"/>
        <v>0</v>
      </c>
      <c r="AZ100" s="249">
        <f t="shared" si="884"/>
        <v>0</v>
      </c>
      <c r="BA100" s="301">
        <f t="shared" si="713"/>
        <v>0</v>
      </c>
      <c r="BB100" s="249">
        <f t="shared" si="884"/>
        <v>0</v>
      </c>
      <c r="BC100" s="301">
        <f t="shared" si="714"/>
        <v>0</v>
      </c>
      <c r="BD100" s="249">
        <f t="shared" si="884"/>
        <v>0</v>
      </c>
      <c r="BE100" s="301">
        <f t="shared" si="715"/>
        <v>0</v>
      </c>
      <c r="BF100" s="249">
        <f t="shared" si="882"/>
        <v>0</v>
      </c>
      <c r="BG100" s="301">
        <f t="shared" si="716"/>
        <v>0</v>
      </c>
      <c r="BH100" s="249">
        <f t="shared" si="885"/>
        <v>0</v>
      </c>
      <c r="BI100" s="301">
        <f t="shared" si="892"/>
        <v>0</v>
      </c>
      <c r="BJ100" s="249">
        <f t="shared" si="885"/>
        <v>0</v>
      </c>
      <c r="BK100" s="301">
        <f t="shared" si="892"/>
        <v>0</v>
      </c>
      <c r="BL100" s="249">
        <f t="shared" si="661"/>
        <v>0</v>
      </c>
      <c r="BM100" s="299">
        <f t="shared" si="718"/>
        <v>0</v>
      </c>
      <c r="BN100" s="252">
        <f t="shared" si="719"/>
        <v>0</v>
      </c>
      <c r="BO100" s="312">
        <f t="shared" si="685"/>
        <v>0</v>
      </c>
      <c r="BQ100" s="1"/>
      <c r="BR100" s="2"/>
      <c r="BS100" s="255">
        <f t="shared" si="919"/>
        <v>0</v>
      </c>
      <c r="BT100" s="249">
        <f t="shared" si="881"/>
        <v>0</v>
      </c>
      <c r="BU100" s="336">
        <f t="shared" si="720"/>
        <v>0</v>
      </c>
      <c r="BV100" s="279">
        <f t="shared" si="721"/>
        <v>0</v>
      </c>
      <c r="BW100" s="339">
        <f t="shared" si="722"/>
        <v>0</v>
      </c>
      <c r="BX100" s="279">
        <f t="shared" si="721"/>
        <v>0</v>
      </c>
      <c r="BY100" s="339">
        <f t="shared" si="723"/>
        <v>0</v>
      </c>
      <c r="BZ100" s="279">
        <f t="shared" si="721"/>
        <v>0</v>
      </c>
      <c r="CA100" s="339">
        <f t="shared" si="724"/>
        <v>0</v>
      </c>
      <c r="CB100" s="279">
        <f t="shared" si="721"/>
        <v>0</v>
      </c>
      <c r="CC100" s="339">
        <f t="shared" si="725"/>
        <v>0</v>
      </c>
      <c r="CD100" s="279">
        <f t="shared" si="721"/>
        <v>0</v>
      </c>
      <c r="CE100" s="339">
        <f t="shared" si="726"/>
        <v>0</v>
      </c>
      <c r="CF100" s="279">
        <f t="shared" si="721"/>
        <v>0</v>
      </c>
      <c r="CG100" s="339">
        <f t="shared" si="727"/>
        <v>0</v>
      </c>
      <c r="CH100" s="279">
        <f t="shared" si="721"/>
        <v>0</v>
      </c>
      <c r="CI100" s="339">
        <f t="shared" si="728"/>
        <v>0</v>
      </c>
      <c r="CJ100" s="279">
        <f t="shared" si="729"/>
        <v>0</v>
      </c>
      <c r="CK100" s="339">
        <f t="shared" si="730"/>
        <v>0</v>
      </c>
      <c r="CL100" s="279">
        <f t="shared" si="463"/>
        <v>0</v>
      </c>
      <c r="CM100" s="339">
        <f t="shared" si="731"/>
        <v>0</v>
      </c>
      <c r="CN100" s="279">
        <f t="shared" si="732"/>
        <v>0</v>
      </c>
      <c r="CO100" s="339">
        <f t="shared" si="733"/>
        <v>0</v>
      </c>
      <c r="CP100" s="279">
        <f t="shared" si="464"/>
        <v>0</v>
      </c>
      <c r="CQ100" s="250">
        <f t="shared" si="905"/>
        <v>0</v>
      </c>
      <c r="CR100" s="252">
        <f t="shared" si="734"/>
        <v>0</v>
      </c>
      <c r="CS100" s="251">
        <f t="shared" si="887"/>
        <v>0</v>
      </c>
      <c r="CU100" s="1"/>
      <c r="CV100" s="2"/>
      <c r="CW100" s="255">
        <f t="shared" si="920"/>
        <v>0</v>
      </c>
      <c r="CX100" s="249">
        <f t="shared" si="735"/>
        <v>0</v>
      </c>
      <c r="CY100" s="250">
        <f t="shared" si="736"/>
        <v>0</v>
      </c>
      <c r="CZ100" s="279">
        <f t="shared" si="870"/>
        <v>0</v>
      </c>
      <c r="DA100" s="299">
        <f t="shared" si="736"/>
        <v>0</v>
      </c>
      <c r="DB100" s="279">
        <f t="shared" si="870"/>
        <v>0</v>
      </c>
      <c r="DC100" s="299">
        <f t="shared" si="737"/>
        <v>0</v>
      </c>
      <c r="DD100" s="279">
        <f t="shared" si="870"/>
        <v>0</v>
      </c>
      <c r="DE100" s="299">
        <f t="shared" si="738"/>
        <v>0</v>
      </c>
      <c r="DF100" s="279">
        <f t="shared" si="870"/>
        <v>0</v>
      </c>
      <c r="DG100" s="299">
        <f t="shared" si="739"/>
        <v>0</v>
      </c>
      <c r="DH100" s="279">
        <f t="shared" si="870"/>
        <v>0</v>
      </c>
      <c r="DI100" s="299">
        <f t="shared" si="740"/>
        <v>0</v>
      </c>
      <c r="DJ100" s="279">
        <f t="shared" si="870"/>
        <v>0</v>
      </c>
      <c r="DK100" s="299">
        <f t="shared" si="741"/>
        <v>0</v>
      </c>
      <c r="DL100" s="279">
        <f t="shared" si="870"/>
        <v>0</v>
      </c>
      <c r="DM100" s="299">
        <f t="shared" si="742"/>
        <v>0</v>
      </c>
      <c r="DN100" s="279">
        <f t="shared" si="743"/>
        <v>0</v>
      </c>
      <c r="DO100" s="299">
        <f t="shared" si="744"/>
        <v>0</v>
      </c>
      <c r="DP100" s="279">
        <f t="shared" si="471"/>
        <v>0</v>
      </c>
      <c r="DQ100" s="299">
        <f t="shared" si="745"/>
        <v>0</v>
      </c>
      <c r="DR100" s="279">
        <f t="shared" si="746"/>
        <v>0</v>
      </c>
      <c r="DS100" s="299">
        <f t="shared" si="747"/>
        <v>0</v>
      </c>
      <c r="DT100" s="279">
        <f t="shared" si="472"/>
        <v>0</v>
      </c>
      <c r="DU100" s="299">
        <f t="shared" si="748"/>
        <v>0</v>
      </c>
      <c r="DV100" s="252">
        <f t="shared" si="749"/>
        <v>0</v>
      </c>
      <c r="DW100" s="251">
        <f t="shared" si="888"/>
        <v>0</v>
      </c>
      <c r="DY100" s="256">
        <v>0</v>
      </c>
      <c r="DZ100" s="2"/>
      <c r="EA100" s="254">
        <f t="shared" si="906"/>
        <v>0</v>
      </c>
      <c r="EB100" s="249">
        <f t="shared" si="871"/>
        <v>0</v>
      </c>
      <c r="EC100" s="250">
        <f t="shared" si="750"/>
        <v>0</v>
      </c>
      <c r="ED100" s="356">
        <f t="shared" si="871"/>
        <v>0</v>
      </c>
      <c r="EE100" s="250">
        <f t="shared" si="750"/>
        <v>0</v>
      </c>
      <c r="EF100" s="249">
        <f t="shared" si="872"/>
        <v>0</v>
      </c>
      <c r="EG100" s="250">
        <f t="shared" si="893"/>
        <v>0</v>
      </c>
      <c r="EH100" s="249">
        <f t="shared" si="872"/>
        <v>0</v>
      </c>
      <c r="EI100" s="250">
        <f t="shared" si="893"/>
        <v>0</v>
      </c>
      <c r="EJ100" s="249">
        <f t="shared" si="872"/>
        <v>0</v>
      </c>
      <c r="EK100" s="250">
        <f t="shared" si="752"/>
        <v>0</v>
      </c>
      <c r="EL100" s="249">
        <f t="shared" si="872"/>
        <v>0</v>
      </c>
      <c r="EM100" s="250">
        <f t="shared" si="753"/>
        <v>0</v>
      </c>
      <c r="EN100" s="249">
        <f t="shared" si="872"/>
        <v>0</v>
      </c>
      <c r="EO100" s="250">
        <f t="shared" si="754"/>
        <v>0</v>
      </c>
      <c r="EP100" s="249">
        <f t="shared" si="872"/>
        <v>0</v>
      </c>
      <c r="EQ100" s="250">
        <f t="shared" si="755"/>
        <v>0</v>
      </c>
      <c r="ER100" s="249">
        <f t="shared" si="872"/>
        <v>0</v>
      </c>
      <c r="ES100" s="250">
        <f t="shared" si="756"/>
        <v>0</v>
      </c>
      <c r="ET100" s="249">
        <f t="shared" si="921"/>
        <v>0</v>
      </c>
      <c r="EU100" s="250">
        <f t="shared" si="757"/>
        <v>0</v>
      </c>
      <c r="EV100" s="249">
        <f t="shared" si="758"/>
        <v>0</v>
      </c>
      <c r="EW100" s="250">
        <f t="shared" si="759"/>
        <v>0</v>
      </c>
      <c r="EX100" s="249">
        <f t="shared" si="922"/>
        <v>0</v>
      </c>
      <c r="EY100" s="250">
        <f t="shared" si="760"/>
        <v>0</v>
      </c>
      <c r="EZ100" s="252">
        <f t="shared" si="761"/>
        <v>0</v>
      </c>
      <c r="FA100" s="251">
        <f t="shared" si="907"/>
        <v>0</v>
      </c>
      <c r="FC100" s="1"/>
      <c r="FD100" s="2"/>
      <c r="FE100" s="257">
        <f t="shared" si="908"/>
        <v>0</v>
      </c>
      <c r="FF100" s="249">
        <f t="shared" si="762"/>
        <v>0</v>
      </c>
      <c r="FG100" s="250">
        <f t="shared" si="763"/>
        <v>0</v>
      </c>
      <c r="FH100" s="372">
        <f t="shared" si="873"/>
        <v>0</v>
      </c>
      <c r="FI100" s="339">
        <f t="shared" si="764"/>
        <v>0</v>
      </c>
      <c r="FJ100" s="372">
        <f t="shared" si="873"/>
        <v>0</v>
      </c>
      <c r="FK100" s="339">
        <f t="shared" si="764"/>
        <v>0</v>
      </c>
      <c r="FL100" s="372">
        <f t="shared" si="873"/>
        <v>0</v>
      </c>
      <c r="FM100" s="339">
        <f t="shared" si="765"/>
        <v>0</v>
      </c>
      <c r="FN100" s="372">
        <f t="shared" si="873"/>
        <v>0</v>
      </c>
      <c r="FO100" s="339">
        <f t="shared" si="766"/>
        <v>0</v>
      </c>
      <c r="FP100" s="372">
        <f t="shared" si="873"/>
        <v>0</v>
      </c>
      <c r="FQ100" s="339">
        <f t="shared" si="767"/>
        <v>0</v>
      </c>
      <c r="FR100" s="372">
        <f t="shared" si="873"/>
        <v>0</v>
      </c>
      <c r="FS100" s="339">
        <f t="shared" si="768"/>
        <v>0</v>
      </c>
      <c r="FT100" s="372">
        <f t="shared" si="873"/>
        <v>0</v>
      </c>
      <c r="FU100" s="339">
        <f t="shared" si="769"/>
        <v>0</v>
      </c>
      <c r="FV100" s="372">
        <f t="shared" si="770"/>
        <v>0</v>
      </c>
      <c r="FW100" s="339">
        <f t="shared" si="771"/>
        <v>0</v>
      </c>
      <c r="FX100" s="372">
        <f t="shared" si="479"/>
        <v>0</v>
      </c>
      <c r="FY100" s="339">
        <f t="shared" si="772"/>
        <v>0</v>
      </c>
      <c r="FZ100" s="372">
        <f t="shared" si="773"/>
        <v>0</v>
      </c>
      <c r="GA100" s="339">
        <f t="shared" si="774"/>
        <v>0</v>
      </c>
      <c r="GB100" s="372">
        <f t="shared" si="480"/>
        <v>0</v>
      </c>
      <c r="GC100" s="339">
        <f t="shared" si="775"/>
        <v>0</v>
      </c>
      <c r="GD100" s="252">
        <f t="shared" si="776"/>
        <v>0</v>
      </c>
      <c r="GE100" s="251">
        <f t="shared" si="686"/>
        <v>0</v>
      </c>
      <c r="GG100" s="1"/>
      <c r="GH100" s="2">
        <v>0.2</v>
      </c>
      <c r="GI100" s="257">
        <f t="shared" si="909"/>
        <v>0</v>
      </c>
      <c r="GJ100" s="249">
        <f t="shared" si="777"/>
        <v>0</v>
      </c>
      <c r="GK100" s="250">
        <f t="shared" si="778"/>
        <v>0</v>
      </c>
      <c r="GL100" s="249">
        <f t="shared" si="777"/>
        <v>0</v>
      </c>
      <c r="GM100" s="250">
        <f t="shared" si="778"/>
        <v>0</v>
      </c>
      <c r="GN100" s="249">
        <f t="shared" si="777"/>
        <v>0</v>
      </c>
      <c r="GO100" s="250">
        <f t="shared" si="894"/>
        <v>0</v>
      </c>
      <c r="GP100" s="249">
        <f t="shared" si="777"/>
        <v>0</v>
      </c>
      <c r="GQ100" s="250">
        <f t="shared" si="895"/>
        <v>0</v>
      </c>
      <c r="GR100" s="249">
        <f t="shared" si="777"/>
        <v>0</v>
      </c>
      <c r="GS100" s="250">
        <f t="shared" si="896"/>
        <v>0</v>
      </c>
      <c r="GT100" s="249">
        <f t="shared" si="777"/>
        <v>0</v>
      </c>
      <c r="GU100" s="250">
        <f t="shared" si="897"/>
        <v>0</v>
      </c>
      <c r="GV100" s="249">
        <f t="shared" si="777"/>
        <v>0</v>
      </c>
      <c r="GW100" s="250">
        <f t="shared" si="898"/>
        <v>0</v>
      </c>
      <c r="GX100" s="249">
        <f t="shared" si="784"/>
        <v>0</v>
      </c>
      <c r="GY100" s="250">
        <f t="shared" si="899"/>
        <v>0</v>
      </c>
      <c r="GZ100" s="249">
        <f t="shared" si="786"/>
        <v>0</v>
      </c>
      <c r="HA100" s="250">
        <f t="shared" si="900"/>
        <v>0</v>
      </c>
      <c r="HB100" s="249">
        <f t="shared" si="788"/>
        <v>0</v>
      </c>
      <c r="HC100" s="250">
        <f t="shared" si="901"/>
        <v>0</v>
      </c>
      <c r="HD100" s="249">
        <f t="shared" si="790"/>
        <v>0</v>
      </c>
      <c r="HE100" s="250">
        <f t="shared" si="902"/>
        <v>0</v>
      </c>
      <c r="HF100" s="249">
        <f t="shared" si="792"/>
        <v>0</v>
      </c>
      <c r="HG100" s="250">
        <f t="shared" si="903"/>
        <v>0</v>
      </c>
      <c r="HH100" s="252">
        <f t="shared" si="794"/>
        <v>0</v>
      </c>
      <c r="HI100" s="251">
        <f t="shared" si="910"/>
        <v>0</v>
      </c>
      <c r="HK100" s="1"/>
      <c r="HL100" s="2"/>
      <c r="HM100" s="257">
        <f t="shared" si="911"/>
        <v>0</v>
      </c>
      <c r="HN100" s="249">
        <f t="shared" si="795"/>
        <v>0</v>
      </c>
      <c r="HO100" s="250">
        <f t="shared" si="912"/>
        <v>0</v>
      </c>
      <c r="HP100" s="249">
        <f t="shared" si="796"/>
        <v>0</v>
      </c>
      <c r="HQ100" s="250">
        <f t="shared" si="797"/>
        <v>0</v>
      </c>
      <c r="HR100" s="249">
        <f t="shared" si="796"/>
        <v>0</v>
      </c>
      <c r="HS100" s="250">
        <f t="shared" si="797"/>
        <v>0</v>
      </c>
      <c r="HT100" s="249">
        <f t="shared" si="796"/>
        <v>0</v>
      </c>
      <c r="HU100" s="250">
        <f t="shared" si="798"/>
        <v>0</v>
      </c>
      <c r="HV100" s="249">
        <f t="shared" si="796"/>
        <v>0</v>
      </c>
      <c r="HW100" s="250">
        <f t="shared" si="799"/>
        <v>0</v>
      </c>
      <c r="HX100" s="249">
        <f t="shared" si="796"/>
        <v>0</v>
      </c>
      <c r="HY100" s="250">
        <f t="shared" si="800"/>
        <v>0</v>
      </c>
      <c r="HZ100" s="249">
        <f t="shared" si="796"/>
        <v>0</v>
      </c>
      <c r="IA100" s="250">
        <f t="shared" si="801"/>
        <v>0</v>
      </c>
      <c r="IB100" s="249">
        <f t="shared" si="796"/>
        <v>0</v>
      </c>
      <c r="IC100" s="250">
        <f t="shared" si="802"/>
        <v>0</v>
      </c>
      <c r="ID100" s="249">
        <f t="shared" si="803"/>
        <v>0</v>
      </c>
      <c r="IE100" s="250">
        <f t="shared" si="804"/>
        <v>0</v>
      </c>
      <c r="IF100" s="249">
        <f t="shared" si="805"/>
        <v>0</v>
      </c>
      <c r="IG100" s="250">
        <f t="shared" si="806"/>
        <v>0</v>
      </c>
      <c r="IH100" s="249">
        <f t="shared" si="807"/>
        <v>0</v>
      </c>
      <c r="II100" s="250">
        <f t="shared" si="808"/>
        <v>0</v>
      </c>
      <c r="IJ100" s="249">
        <f t="shared" si="809"/>
        <v>0</v>
      </c>
      <c r="IK100" s="250">
        <f t="shared" si="810"/>
        <v>0</v>
      </c>
      <c r="IL100" s="252">
        <f t="shared" si="811"/>
        <v>0</v>
      </c>
      <c r="IM100" s="251">
        <f t="shared" si="812"/>
        <v>0</v>
      </c>
      <c r="IO100" s="1"/>
      <c r="IP100" s="2">
        <v>8.3333333333333329E-2</v>
      </c>
      <c r="IQ100" s="257">
        <f t="shared" si="913"/>
        <v>0</v>
      </c>
      <c r="IR100" s="249">
        <f t="shared" si="813"/>
        <v>0</v>
      </c>
      <c r="IS100" s="250">
        <f t="shared" si="814"/>
        <v>0</v>
      </c>
      <c r="IT100" s="279">
        <f t="shared" si="874"/>
        <v>0</v>
      </c>
      <c r="IU100" s="289">
        <f t="shared" si="815"/>
        <v>0</v>
      </c>
      <c r="IV100" s="279">
        <f t="shared" si="874"/>
        <v>0</v>
      </c>
      <c r="IW100" s="289">
        <f t="shared" si="815"/>
        <v>0</v>
      </c>
      <c r="IX100" s="279">
        <f t="shared" si="874"/>
        <v>0</v>
      </c>
      <c r="IY100" s="289">
        <f t="shared" si="816"/>
        <v>0</v>
      </c>
      <c r="IZ100" s="279">
        <f t="shared" si="874"/>
        <v>0</v>
      </c>
      <c r="JA100" s="289">
        <f t="shared" si="817"/>
        <v>0</v>
      </c>
      <c r="JB100" s="279">
        <f t="shared" si="874"/>
        <v>0</v>
      </c>
      <c r="JC100" s="289">
        <f t="shared" si="818"/>
        <v>0</v>
      </c>
      <c r="JD100" s="279">
        <f t="shared" si="874"/>
        <v>0</v>
      </c>
      <c r="JE100" s="289">
        <f t="shared" si="819"/>
        <v>0</v>
      </c>
      <c r="JF100" s="279">
        <f t="shared" si="874"/>
        <v>0</v>
      </c>
      <c r="JG100" s="289">
        <f t="shared" si="820"/>
        <v>0</v>
      </c>
      <c r="JH100" s="279">
        <f t="shared" si="821"/>
        <v>0</v>
      </c>
      <c r="JI100" s="289">
        <f t="shared" si="822"/>
        <v>0</v>
      </c>
      <c r="JJ100" s="279">
        <f t="shared" si="923"/>
        <v>0</v>
      </c>
      <c r="JK100" s="289">
        <f t="shared" si="823"/>
        <v>0</v>
      </c>
      <c r="JL100" s="279">
        <f t="shared" si="824"/>
        <v>0</v>
      </c>
      <c r="JM100" s="289">
        <f t="shared" si="825"/>
        <v>0</v>
      </c>
      <c r="JN100" s="279">
        <f t="shared" si="924"/>
        <v>0</v>
      </c>
      <c r="JO100" s="289">
        <f t="shared" si="826"/>
        <v>0</v>
      </c>
      <c r="JP100" s="252">
        <f t="shared" si="827"/>
        <v>0</v>
      </c>
      <c r="JQ100" s="251">
        <f t="shared" si="828"/>
        <v>0</v>
      </c>
      <c r="JS100" s="1"/>
      <c r="JT100" s="2">
        <v>8.3333333333333329E-2</v>
      </c>
      <c r="JU100" s="257">
        <f t="shared" si="914"/>
        <v>0</v>
      </c>
      <c r="JV100" s="249">
        <f t="shared" si="829"/>
        <v>0</v>
      </c>
      <c r="JW100" s="250">
        <f t="shared" si="830"/>
        <v>0</v>
      </c>
      <c r="JX100" s="372">
        <f t="shared" si="875"/>
        <v>0</v>
      </c>
      <c r="JY100" s="339">
        <f t="shared" si="831"/>
        <v>0</v>
      </c>
      <c r="JZ100" s="372">
        <f t="shared" si="875"/>
        <v>0</v>
      </c>
      <c r="KA100" s="339">
        <f t="shared" si="831"/>
        <v>0</v>
      </c>
      <c r="KB100" s="372">
        <f t="shared" si="875"/>
        <v>0</v>
      </c>
      <c r="KC100" s="339">
        <f t="shared" si="832"/>
        <v>0</v>
      </c>
      <c r="KD100" s="372">
        <f t="shared" si="875"/>
        <v>0</v>
      </c>
      <c r="KE100" s="339">
        <f t="shared" si="833"/>
        <v>0</v>
      </c>
      <c r="KF100" s="372">
        <f t="shared" si="875"/>
        <v>0</v>
      </c>
      <c r="KG100" s="339">
        <f t="shared" si="834"/>
        <v>0</v>
      </c>
      <c r="KH100" s="372">
        <f t="shared" si="875"/>
        <v>0</v>
      </c>
      <c r="KI100" s="339">
        <f t="shared" si="835"/>
        <v>0</v>
      </c>
      <c r="KJ100" s="372">
        <f t="shared" si="875"/>
        <v>0</v>
      </c>
      <c r="KK100" s="339">
        <f t="shared" si="836"/>
        <v>0</v>
      </c>
      <c r="KL100" s="372">
        <f t="shared" si="837"/>
        <v>0</v>
      </c>
      <c r="KM100" s="339">
        <f t="shared" si="838"/>
        <v>0</v>
      </c>
      <c r="KN100" s="372">
        <f t="shared" si="918"/>
        <v>0</v>
      </c>
      <c r="KO100" s="339">
        <f t="shared" si="839"/>
        <v>0</v>
      </c>
      <c r="KP100" s="372">
        <f t="shared" si="840"/>
        <v>0</v>
      </c>
      <c r="KQ100" s="339">
        <f t="shared" si="841"/>
        <v>0</v>
      </c>
      <c r="KR100" s="372">
        <f t="shared" si="925"/>
        <v>0</v>
      </c>
      <c r="KS100" s="377">
        <f t="shared" si="842"/>
        <v>0</v>
      </c>
      <c r="KT100" s="379">
        <f t="shared" si="843"/>
        <v>0</v>
      </c>
      <c r="KU100" s="251">
        <f t="shared" si="915"/>
        <v>0</v>
      </c>
      <c r="KW100" s="1"/>
      <c r="KX100" s="2">
        <v>8.3333333333333329E-2</v>
      </c>
      <c r="KY100" s="254">
        <f t="shared" si="680"/>
        <v>0</v>
      </c>
      <c r="KZ100" s="249">
        <f t="shared" si="876"/>
        <v>0</v>
      </c>
      <c r="LA100" s="251">
        <f t="shared" si="681"/>
        <v>0</v>
      </c>
      <c r="LB100" s="279">
        <f t="shared" si="844"/>
        <v>0</v>
      </c>
      <c r="LC100" s="339">
        <f t="shared" si="845"/>
        <v>0</v>
      </c>
      <c r="LD100" s="279">
        <f t="shared" si="844"/>
        <v>0</v>
      </c>
      <c r="LE100" s="339">
        <f t="shared" si="845"/>
        <v>0</v>
      </c>
      <c r="LF100" s="279">
        <f t="shared" si="844"/>
        <v>0</v>
      </c>
      <c r="LG100" s="339">
        <f t="shared" si="846"/>
        <v>0</v>
      </c>
      <c r="LH100" s="279">
        <f t="shared" si="844"/>
        <v>0</v>
      </c>
      <c r="LI100" s="339">
        <f t="shared" si="847"/>
        <v>0</v>
      </c>
      <c r="LJ100" s="279">
        <f t="shared" si="844"/>
        <v>0</v>
      </c>
      <c r="LK100" s="339">
        <f t="shared" si="848"/>
        <v>0</v>
      </c>
      <c r="LL100" s="279">
        <f t="shared" si="844"/>
        <v>0</v>
      </c>
      <c r="LM100" s="339">
        <f t="shared" si="849"/>
        <v>0</v>
      </c>
      <c r="LN100" s="279">
        <f t="shared" si="844"/>
        <v>0</v>
      </c>
      <c r="LO100" s="339">
        <f t="shared" si="850"/>
        <v>0</v>
      </c>
      <c r="LP100" s="279">
        <f t="shared" si="877"/>
        <v>0</v>
      </c>
      <c r="LQ100" s="339">
        <f t="shared" si="851"/>
        <v>0</v>
      </c>
      <c r="LR100" s="279">
        <f t="shared" si="878"/>
        <v>0</v>
      </c>
      <c r="LS100" s="339">
        <f t="shared" si="852"/>
        <v>0</v>
      </c>
      <c r="LT100" s="279">
        <f t="shared" si="879"/>
        <v>0</v>
      </c>
      <c r="LU100" s="339">
        <f t="shared" si="853"/>
        <v>0</v>
      </c>
      <c r="LV100" s="279">
        <f t="shared" si="880"/>
        <v>0</v>
      </c>
      <c r="LW100" s="339">
        <f t="shared" si="854"/>
        <v>0</v>
      </c>
      <c r="LX100" s="252">
        <f t="shared" si="855"/>
        <v>0</v>
      </c>
      <c r="LY100" s="253">
        <f t="shared" si="856"/>
        <v>0</v>
      </c>
      <c r="MA100" s="249">
        <f t="shared" si="688"/>
        <v>0</v>
      </c>
      <c r="MB100" s="253">
        <f t="shared" si="857"/>
        <v>0</v>
      </c>
      <c r="MC100" s="397">
        <f t="shared" si="689"/>
        <v>0</v>
      </c>
      <c r="MD100" s="253">
        <f t="shared" si="858"/>
        <v>0</v>
      </c>
      <c r="ME100" s="397">
        <f t="shared" si="690"/>
        <v>0</v>
      </c>
      <c r="MF100" s="253">
        <f t="shared" si="858"/>
        <v>0</v>
      </c>
      <c r="MG100" s="397">
        <f t="shared" si="691"/>
        <v>0</v>
      </c>
      <c r="MH100" s="253">
        <f t="shared" si="859"/>
        <v>0</v>
      </c>
      <c r="MI100" s="397">
        <f t="shared" si="692"/>
        <v>0</v>
      </c>
      <c r="MJ100" s="253">
        <f t="shared" si="860"/>
        <v>0</v>
      </c>
      <c r="MK100" s="397">
        <f t="shared" si="693"/>
        <v>0</v>
      </c>
      <c r="ML100" s="253">
        <f t="shared" si="861"/>
        <v>0</v>
      </c>
      <c r="MM100" s="397">
        <f t="shared" si="694"/>
        <v>0</v>
      </c>
      <c r="MN100" s="253">
        <f t="shared" si="862"/>
        <v>0</v>
      </c>
      <c r="MO100" s="397">
        <f t="shared" si="695"/>
        <v>0</v>
      </c>
      <c r="MP100" s="253">
        <f t="shared" si="863"/>
        <v>0</v>
      </c>
      <c r="MQ100" s="397">
        <f t="shared" si="696"/>
        <v>0</v>
      </c>
      <c r="MR100" s="253">
        <f t="shared" si="864"/>
        <v>0</v>
      </c>
      <c r="MS100" s="397">
        <f t="shared" si="697"/>
        <v>0</v>
      </c>
      <c r="MT100" s="253">
        <f t="shared" si="865"/>
        <v>0</v>
      </c>
      <c r="MU100" s="397">
        <f t="shared" si="698"/>
        <v>0</v>
      </c>
      <c r="MV100" s="253">
        <f t="shared" si="866"/>
        <v>0</v>
      </c>
      <c r="MW100" s="397">
        <f t="shared" si="699"/>
        <v>0</v>
      </c>
      <c r="MX100" s="253">
        <f t="shared" si="867"/>
        <v>0</v>
      </c>
      <c r="MY100" s="252">
        <f t="shared" si="868"/>
        <v>0</v>
      </c>
      <c r="MZ100" s="251">
        <f t="shared" si="869"/>
        <v>0</v>
      </c>
    </row>
    <row r="101" spans="1:364" ht="52.8" x14ac:dyDescent="0.25">
      <c r="A101" s="533"/>
      <c r="B101" s="245" t="s">
        <v>210</v>
      </c>
      <c r="C101" s="246" t="s">
        <v>211</v>
      </c>
      <c r="D101" s="247" t="s">
        <v>119</v>
      </c>
      <c r="E101" s="4">
        <v>10</v>
      </c>
      <c r="F101" s="353">
        <v>9298522.8889943063</v>
      </c>
      <c r="G101" s="353">
        <f t="shared" si="700"/>
        <v>9686049.9000632502</v>
      </c>
      <c r="I101" s="30"/>
      <c r="J101" s="2">
        <v>8.3333333333333329E-2</v>
      </c>
      <c r="K101" s="248">
        <f t="shared" si="701"/>
        <v>0</v>
      </c>
      <c r="L101" s="249"/>
      <c r="M101" s="301">
        <f t="shared" si="445"/>
        <v>0</v>
      </c>
      <c r="N101" s="279">
        <f t="shared" si="889"/>
        <v>0</v>
      </c>
      <c r="O101" s="289">
        <f t="shared" si="916"/>
        <v>0</v>
      </c>
      <c r="P101" s="279">
        <f t="shared" si="889"/>
        <v>0</v>
      </c>
      <c r="Q101" s="289">
        <f t="shared" si="916"/>
        <v>0</v>
      </c>
      <c r="R101" s="279">
        <f t="shared" si="889"/>
        <v>0</v>
      </c>
      <c r="S101" s="289">
        <f t="shared" si="702"/>
        <v>0</v>
      </c>
      <c r="T101" s="279">
        <f t="shared" si="889"/>
        <v>0</v>
      </c>
      <c r="U101" s="289">
        <f t="shared" si="703"/>
        <v>0</v>
      </c>
      <c r="V101" s="279">
        <f t="shared" si="889"/>
        <v>0</v>
      </c>
      <c r="W101" s="289">
        <f t="shared" si="704"/>
        <v>0</v>
      </c>
      <c r="X101" s="279">
        <f t="shared" si="889"/>
        <v>0</v>
      </c>
      <c r="Y101" s="289">
        <f t="shared" si="705"/>
        <v>0</v>
      </c>
      <c r="Z101" s="279">
        <f t="shared" si="889"/>
        <v>0</v>
      </c>
      <c r="AA101" s="289">
        <f t="shared" si="706"/>
        <v>0</v>
      </c>
      <c r="AB101" s="279">
        <f t="shared" si="889"/>
        <v>0</v>
      </c>
      <c r="AC101" s="289">
        <f t="shared" si="707"/>
        <v>0</v>
      </c>
      <c r="AD101" s="279">
        <f t="shared" si="889"/>
        <v>0</v>
      </c>
      <c r="AE101" s="289">
        <f t="shared" si="708"/>
        <v>0</v>
      </c>
      <c r="AF101" s="279">
        <f t="shared" si="889"/>
        <v>0</v>
      </c>
      <c r="AG101" s="289">
        <f t="shared" si="890"/>
        <v>0</v>
      </c>
      <c r="AH101" s="249">
        <f t="shared" si="456"/>
        <v>0</v>
      </c>
      <c r="AI101" s="299">
        <f t="shared" si="891"/>
        <v>0</v>
      </c>
      <c r="AJ101" s="252">
        <f t="shared" si="709"/>
        <v>0</v>
      </c>
      <c r="AK101" s="312">
        <f t="shared" si="710"/>
        <v>0</v>
      </c>
      <c r="AM101" s="1"/>
      <c r="AN101" s="2">
        <v>8.3333333333333329E-2</v>
      </c>
      <c r="AO101" s="254">
        <f t="shared" si="904"/>
        <v>0</v>
      </c>
      <c r="AP101" s="249">
        <f t="shared" si="917"/>
        <v>0</v>
      </c>
      <c r="AQ101" s="301">
        <f t="shared" si="683"/>
        <v>0</v>
      </c>
      <c r="AR101" s="249">
        <f t="shared" si="884"/>
        <v>0</v>
      </c>
      <c r="AS101" s="301">
        <f t="shared" si="683"/>
        <v>0</v>
      </c>
      <c r="AT101" s="249">
        <f t="shared" si="884"/>
        <v>0</v>
      </c>
      <c r="AU101" s="301">
        <f t="shared" si="684"/>
        <v>0</v>
      </c>
      <c r="AV101" s="249">
        <f t="shared" si="884"/>
        <v>0</v>
      </c>
      <c r="AW101" s="301">
        <f t="shared" si="711"/>
        <v>0</v>
      </c>
      <c r="AX101" s="249">
        <f t="shared" si="884"/>
        <v>0</v>
      </c>
      <c r="AY101" s="301">
        <f t="shared" si="712"/>
        <v>0</v>
      </c>
      <c r="AZ101" s="249">
        <f t="shared" si="884"/>
        <v>0</v>
      </c>
      <c r="BA101" s="301">
        <f t="shared" si="713"/>
        <v>0</v>
      </c>
      <c r="BB101" s="249">
        <f t="shared" si="884"/>
        <v>0</v>
      </c>
      <c r="BC101" s="301">
        <f t="shared" si="714"/>
        <v>0</v>
      </c>
      <c r="BD101" s="249">
        <f t="shared" si="884"/>
        <v>0</v>
      </c>
      <c r="BE101" s="301">
        <f t="shared" si="715"/>
        <v>0</v>
      </c>
      <c r="BF101" s="249">
        <f t="shared" si="882"/>
        <v>0</v>
      </c>
      <c r="BG101" s="301">
        <f t="shared" si="716"/>
        <v>0</v>
      </c>
      <c r="BH101" s="249">
        <f t="shared" si="885"/>
        <v>0</v>
      </c>
      <c r="BI101" s="301">
        <f t="shared" si="892"/>
        <v>0</v>
      </c>
      <c r="BJ101" s="249">
        <f t="shared" si="885"/>
        <v>0</v>
      </c>
      <c r="BK101" s="301">
        <f t="shared" si="892"/>
        <v>0</v>
      </c>
      <c r="BL101" s="249">
        <f t="shared" si="661"/>
        <v>0</v>
      </c>
      <c r="BM101" s="299">
        <f t="shared" si="718"/>
        <v>0</v>
      </c>
      <c r="BN101" s="252">
        <f t="shared" si="719"/>
        <v>0</v>
      </c>
      <c r="BO101" s="312">
        <f t="shared" ref="BO101:BO110" si="926">+BN101*G101</f>
        <v>0</v>
      </c>
      <c r="BQ101" s="1"/>
      <c r="BR101" s="2"/>
      <c r="BS101" s="255">
        <f t="shared" si="919"/>
        <v>0</v>
      </c>
      <c r="BT101" s="249">
        <f t="shared" si="881"/>
        <v>0</v>
      </c>
      <c r="BU101" s="336">
        <f t="shared" si="720"/>
        <v>0</v>
      </c>
      <c r="BV101" s="279">
        <f t="shared" si="721"/>
        <v>0</v>
      </c>
      <c r="BW101" s="339">
        <f t="shared" si="722"/>
        <v>0</v>
      </c>
      <c r="BX101" s="279">
        <f t="shared" si="721"/>
        <v>0</v>
      </c>
      <c r="BY101" s="339">
        <f t="shared" si="723"/>
        <v>0</v>
      </c>
      <c r="BZ101" s="279">
        <f t="shared" si="721"/>
        <v>0</v>
      </c>
      <c r="CA101" s="339">
        <f t="shared" si="724"/>
        <v>0</v>
      </c>
      <c r="CB101" s="279">
        <f t="shared" si="721"/>
        <v>0</v>
      </c>
      <c r="CC101" s="339">
        <f t="shared" si="725"/>
        <v>0</v>
      </c>
      <c r="CD101" s="279">
        <f t="shared" si="721"/>
        <v>0</v>
      </c>
      <c r="CE101" s="339">
        <f t="shared" si="726"/>
        <v>0</v>
      </c>
      <c r="CF101" s="279">
        <f t="shared" si="721"/>
        <v>0</v>
      </c>
      <c r="CG101" s="339">
        <f t="shared" si="727"/>
        <v>0</v>
      </c>
      <c r="CH101" s="279">
        <f t="shared" si="721"/>
        <v>0</v>
      </c>
      <c r="CI101" s="339">
        <f t="shared" si="728"/>
        <v>0</v>
      </c>
      <c r="CJ101" s="279">
        <f t="shared" si="729"/>
        <v>0</v>
      </c>
      <c r="CK101" s="339">
        <f t="shared" si="730"/>
        <v>0</v>
      </c>
      <c r="CL101" s="279">
        <f t="shared" si="463"/>
        <v>0</v>
      </c>
      <c r="CM101" s="339">
        <f t="shared" si="731"/>
        <v>0</v>
      </c>
      <c r="CN101" s="279">
        <f t="shared" si="732"/>
        <v>0</v>
      </c>
      <c r="CO101" s="339">
        <f t="shared" si="733"/>
        <v>0</v>
      </c>
      <c r="CP101" s="279">
        <f t="shared" si="464"/>
        <v>0</v>
      </c>
      <c r="CQ101" s="250">
        <f t="shared" si="905"/>
        <v>0</v>
      </c>
      <c r="CR101" s="252">
        <f t="shared" si="734"/>
        <v>0</v>
      </c>
      <c r="CS101" s="251">
        <f t="shared" si="887"/>
        <v>0</v>
      </c>
      <c r="CU101" s="1"/>
      <c r="CV101" s="2"/>
      <c r="CW101" s="255">
        <f t="shared" si="920"/>
        <v>0</v>
      </c>
      <c r="CX101" s="249">
        <f t="shared" si="735"/>
        <v>0</v>
      </c>
      <c r="CY101" s="250">
        <f t="shared" si="736"/>
        <v>0</v>
      </c>
      <c r="CZ101" s="279">
        <f t="shared" si="870"/>
        <v>0</v>
      </c>
      <c r="DA101" s="299">
        <f t="shared" si="736"/>
        <v>0</v>
      </c>
      <c r="DB101" s="279">
        <f t="shared" si="870"/>
        <v>0</v>
      </c>
      <c r="DC101" s="299">
        <f t="shared" si="737"/>
        <v>0</v>
      </c>
      <c r="DD101" s="279">
        <f t="shared" si="870"/>
        <v>0</v>
      </c>
      <c r="DE101" s="299">
        <f t="shared" si="738"/>
        <v>0</v>
      </c>
      <c r="DF101" s="279">
        <f t="shared" si="870"/>
        <v>0</v>
      </c>
      <c r="DG101" s="299">
        <f t="shared" si="739"/>
        <v>0</v>
      </c>
      <c r="DH101" s="279">
        <f t="shared" si="870"/>
        <v>0</v>
      </c>
      <c r="DI101" s="299">
        <f t="shared" si="740"/>
        <v>0</v>
      </c>
      <c r="DJ101" s="279">
        <f t="shared" si="870"/>
        <v>0</v>
      </c>
      <c r="DK101" s="299">
        <f t="shared" si="741"/>
        <v>0</v>
      </c>
      <c r="DL101" s="279">
        <f t="shared" si="870"/>
        <v>0</v>
      </c>
      <c r="DM101" s="299">
        <f t="shared" si="742"/>
        <v>0</v>
      </c>
      <c r="DN101" s="279">
        <f t="shared" si="743"/>
        <v>0</v>
      </c>
      <c r="DO101" s="299">
        <f t="shared" si="744"/>
        <v>0</v>
      </c>
      <c r="DP101" s="279">
        <f t="shared" si="471"/>
        <v>0</v>
      </c>
      <c r="DQ101" s="299">
        <f t="shared" si="745"/>
        <v>0</v>
      </c>
      <c r="DR101" s="279">
        <f t="shared" si="746"/>
        <v>0</v>
      </c>
      <c r="DS101" s="299">
        <f t="shared" si="747"/>
        <v>0</v>
      </c>
      <c r="DT101" s="279">
        <f t="shared" si="472"/>
        <v>0</v>
      </c>
      <c r="DU101" s="299">
        <f t="shared" si="748"/>
        <v>0</v>
      </c>
      <c r="DV101" s="252">
        <f t="shared" si="749"/>
        <v>0</v>
      </c>
      <c r="DW101" s="251">
        <f t="shared" si="888"/>
        <v>0</v>
      </c>
      <c r="DY101" s="256">
        <v>0</v>
      </c>
      <c r="DZ101" s="2"/>
      <c r="EA101" s="254">
        <f t="shared" si="906"/>
        <v>0</v>
      </c>
      <c r="EB101" s="249">
        <f t="shared" si="871"/>
        <v>0</v>
      </c>
      <c r="EC101" s="250">
        <f t="shared" si="750"/>
        <v>0</v>
      </c>
      <c r="ED101" s="356">
        <f t="shared" si="871"/>
        <v>0</v>
      </c>
      <c r="EE101" s="250">
        <f t="shared" si="750"/>
        <v>0</v>
      </c>
      <c r="EF101" s="249">
        <f t="shared" si="872"/>
        <v>0</v>
      </c>
      <c r="EG101" s="250">
        <f t="shared" si="893"/>
        <v>0</v>
      </c>
      <c r="EH101" s="249">
        <f t="shared" si="872"/>
        <v>0</v>
      </c>
      <c r="EI101" s="250">
        <f t="shared" si="893"/>
        <v>0</v>
      </c>
      <c r="EJ101" s="249">
        <f t="shared" si="872"/>
        <v>0</v>
      </c>
      <c r="EK101" s="250">
        <f t="shared" si="752"/>
        <v>0</v>
      </c>
      <c r="EL101" s="249">
        <f t="shared" si="872"/>
        <v>0</v>
      </c>
      <c r="EM101" s="250">
        <f t="shared" si="753"/>
        <v>0</v>
      </c>
      <c r="EN101" s="249">
        <f t="shared" si="872"/>
        <v>0</v>
      </c>
      <c r="EO101" s="250">
        <f t="shared" si="754"/>
        <v>0</v>
      </c>
      <c r="EP101" s="249">
        <f t="shared" si="872"/>
        <v>0</v>
      </c>
      <c r="EQ101" s="250">
        <f t="shared" si="755"/>
        <v>0</v>
      </c>
      <c r="ER101" s="249">
        <f t="shared" si="872"/>
        <v>0</v>
      </c>
      <c r="ES101" s="250">
        <f t="shared" si="756"/>
        <v>0</v>
      </c>
      <c r="ET101" s="249">
        <f t="shared" si="921"/>
        <v>0</v>
      </c>
      <c r="EU101" s="250">
        <f t="shared" si="757"/>
        <v>0</v>
      </c>
      <c r="EV101" s="249">
        <f t="shared" si="758"/>
        <v>0</v>
      </c>
      <c r="EW101" s="250">
        <f t="shared" si="759"/>
        <v>0</v>
      </c>
      <c r="EX101" s="249">
        <f t="shared" si="922"/>
        <v>0</v>
      </c>
      <c r="EY101" s="250">
        <f t="shared" si="760"/>
        <v>0</v>
      </c>
      <c r="EZ101" s="252">
        <f t="shared" si="761"/>
        <v>0</v>
      </c>
      <c r="FA101" s="251">
        <f t="shared" si="907"/>
        <v>0</v>
      </c>
      <c r="FC101" s="1"/>
      <c r="FD101" s="2"/>
      <c r="FE101" s="257">
        <f t="shared" si="908"/>
        <v>0</v>
      </c>
      <c r="FF101" s="249">
        <f t="shared" si="762"/>
        <v>0</v>
      </c>
      <c r="FG101" s="250">
        <f t="shared" si="763"/>
        <v>0</v>
      </c>
      <c r="FH101" s="372">
        <f t="shared" si="873"/>
        <v>0</v>
      </c>
      <c r="FI101" s="339">
        <f t="shared" si="764"/>
        <v>0</v>
      </c>
      <c r="FJ101" s="372">
        <f t="shared" si="873"/>
        <v>0</v>
      </c>
      <c r="FK101" s="339">
        <f t="shared" si="764"/>
        <v>0</v>
      </c>
      <c r="FL101" s="372">
        <f t="shared" si="873"/>
        <v>0</v>
      </c>
      <c r="FM101" s="339">
        <f t="shared" si="765"/>
        <v>0</v>
      </c>
      <c r="FN101" s="372">
        <f t="shared" si="873"/>
        <v>0</v>
      </c>
      <c r="FO101" s="339">
        <f t="shared" si="766"/>
        <v>0</v>
      </c>
      <c r="FP101" s="372">
        <f t="shared" si="873"/>
        <v>0</v>
      </c>
      <c r="FQ101" s="339">
        <f t="shared" si="767"/>
        <v>0</v>
      </c>
      <c r="FR101" s="372">
        <f t="shared" si="873"/>
        <v>0</v>
      </c>
      <c r="FS101" s="339">
        <f t="shared" si="768"/>
        <v>0</v>
      </c>
      <c r="FT101" s="372">
        <f t="shared" si="873"/>
        <v>0</v>
      </c>
      <c r="FU101" s="339">
        <f t="shared" si="769"/>
        <v>0</v>
      </c>
      <c r="FV101" s="372">
        <f t="shared" si="770"/>
        <v>0</v>
      </c>
      <c r="FW101" s="339">
        <f t="shared" si="771"/>
        <v>0</v>
      </c>
      <c r="FX101" s="372">
        <f t="shared" si="479"/>
        <v>0</v>
      </c>
      <c r="FY101" s="339">
        <f t="shared" si="772"/>
        <v>0</v>
      </c>
      <c r="FZ101" s="372">
        <f t="shared" si="773"/>
        <v>0</v>
      </c>
      <c r="GA101" s="339">
        <f t="shared" si="774"/>
        <v>0</v>
      </c>
      <c r="GB101" s="372">
        <f t="shared" si="480"/>
        <v>0</v>
      </c>
      <c r="GC101" s="339">
        <f t="shared" si="775"/>
        <v>0</v>
      </c>
      <c r="GD101" s="252">
        <f t="shared" si="776"/>
        <v>0</v>
      </c>
      <c r="GE101" s="251">
        <f t="shared" ref="GE101:GE110" si="927">+GD101*G101</f>
        <v>0</v>
      </c>
      <c r="GG101" s="1"/>
      <c r="GH101" s="2">
        <v>0.2</v>
      </c>
      <c r="GI101" s="257">
        <f t="shared" si="909"/>
        <v>0</v>
      </c>
      <c r="GJ101" s="249">
        <f t="shared" si="777"/>
        <v>0</v>
      </c>
      <c r="GK101" s="250">
        <f t="shared" si="778"/>
        <v>0</v>
      </c>
      <c r="GL101" s="249">
        <f t="shared" si="777"/>
        <v>0</v>
      </c>
      <c r="GM101" s="250">
        <f t="shared" si="778"/>
        <v>0</v>
      </c>
      <c r="GN101" s="249">
        <f t="shared" si="777"/>
        <v>0</v>
      </c>
      <c r="GO101" s="250">
        <f t="shared" si="894"/>
        <v>0</v>
      </c>
      <c r="GP101" s="249">
        <f t="shared" si="777"/>
        <v>0</v>
      </c>
      <c r="GQ101" s="250">
        <f t="shared" si="895"/>
        <v>0</v>
      </c>
      <c r="GR101" s="249">
        <f t="shared" si="777"/>
        <v>0</v>
      </c>
      <c r="GS101" s="250">
        <f t="shared" si="896"/>
        <v>0</v>
      </c>
      <c r="GT101" s="249">
        <f t="shared" si="777"/>
        <v>0</v>
      </c>
      <c r="GU101" s="250">
        <f t="shared" si="897"/>
        <v>0</v>
      </c>
      <c r="GV101" s="249">
        <f t="shared" si="777"/>
        <v>0</v>
      </c>
      <c r="GW101" s="250">
        <f t="shared" si="898"/>
        <v>0</v>
      </c>
      <c r="GX101" s="249">
        <f t="shared" si="784"/>
        <v>0</v>
      </c>
      <c r="GY101" s="250">
        <f t="shared" si="899"/>
        <v>0</v>
      </c>
      <c r="GZ101" s="249">
        <f t="shared" si="786"/>
        <v>0</v>
      </c>
      <c r="HA101" s="250">
        <f t="shared" si="900"/>
        <v>0</v>
      </c>
      <c r="HB101" s="249">
        <f t="shared" si="788"/>
        <v>0</v>
      </c>
      <c r="HC101" s="250">
        <f t="shared" si="901"/>
        <v>0</v>
      </c>
      <c r="HD101" s="249">
        <f t="shared" si="790"/>
        <v>0</v>
      </c>
      <c r="HE101" s="250">
        <f t="shared" si="902"/>
        <v>0</v>
      </c>
      <c r="HF101" s="249">
        <f t="shared" si="792"/>
        <v>0</v>
      </c>
      <c r="HG101" s="250">
        <f t="shared" si="903"/>
        <v>0</v>
      </c>
      <c r="HH101" s="252">
        <f t="shared" si="794"/>
        <v>0</v>
      </c>
      <c r="HI101" s="251">
        <f t="shared" si="910"/>
        <v>0</v>
      </c>
      <c r="HK101" s="1"/>
      <c r="HL101" s="2"/>
      <c r="HM101" s="257">
        <f t="shared" si="911"/>
        <v>0</v>
      </c>
      <c r="HN101" s="249">
        <f t="shared" si="795"/>
        <v>0</v>
      </c>
      <c r="HO101" s="250">
        <f t="shared" si="912"/>
        <v>0</v>
      </c>
      <c r="HP101" s="249">
        <f t="shared" si="796"/>
        <v>0</v>
      </c>
      <c r="HQ101" s="250">
        <f t="shared" si="797"/>
        <v>0</v>
      </c>
      <c r="HR101" s="249">
        <f t="shared" si="796"/>
        <v>0</v>
      </c>
      <c r="HS101" s="250">
        <f t="shared" si="797"/>
        <v>0</v>
      </c>
      <c r="HT101" s="249">
        <f t="shared" si="796"/>
        <v>0</v>
      </c>
      <c r="HU101" s="250">
        <f t="shared" si="798"/>
        <v>0</v>
      </c>
      <c r="HV101" s="249">
        <f t="shared" si="796"/>
        <v>0</v>
      </c>
      <c r="HW101" s="250">
        <f t="shared" si="799"/>
        <v>0</v>
      </c>
      <c r="HX101" s="249">
        <f t="shared" si="796"/>
        <v>0</v>
      </c>
      <c r="HY101" s="250">
        <f t="shared" si="800"/>
        <v>0</v>
      </c>
      <c r="HZ101" s="249">
        <f t="shared" si="796"/>
        <v>0</v>
      </c>
      <c r="IA101" s="250">
        <f t="shared" si="801"/>
        <v>0</v>
      </c>
      <c r="IB101" s="249">
        <f t="shared" si="796"/>
        <v>0</v>
      </c>
      <c r="IC101" s="250">
        <f t="shared" si="802"/>
        <v>0</v>
      </c>
      <c r="ID101" s="249">
        <f t="shared" si="803"/>
        <v>0</v>
      </c>
      <c r="IE101" s="250">
        <f t="shared" si="804"/>
        <v>0</v>
      </c>
      <c r="IF101" s="249">
        <f t="shared" si="805"/>
        <v>0</v>
      </c>
      <c r="IG101" s="250">
        <f t="shared" si="806"/>
        <v>0</v>
      </c>
      <c r="IH101" s="249">
        <f t="shared" si="807"/>
        <v>0</v>
      </c>
      <c r="II101" s="250">
        <f t="shared" si="808"/>
        <v>0</v>
      </c>
      <c r="IJ101" s="249">
        <f t="shared" si="809"/>
        <v>0</v>
      </c>
      <c r="IK101" s="250">
        <f t="shared" si="810"/>
        <v>0</v>
      </c>
      <c r="IL101" s="252">
        <f t="shared" si="811"/>
        <v>0</v>
      </c>
      <c r="IM101" s="251">
        <f t="shared" si="812"/>
        <v>0</v>
      </c>
      <c r="IO101" s="1"/>
      <c r="IP101" s="2">
        <v>8.3333333333333329E-2</v>
      </c>
      <c r="IQ101" s="257">
        <f t="shared" si="913"/>
        <v>0</v>
      </c>
      <c r="IR101" s="249">
        <f t="shared" si="813"/>
        <v>0</v>
      </c>
      <c r="IS101" s="250">
        <f t="shared" si="814"/>
        <v>0</v>
      </c>
      <c r="IT101" s="279">
        <f t="shared" si="874"/>
        <v>0</v>
      </c>
      <c r="IU101" s="289">
        <f t="shared" si="815"/>
        <v>0</v>
      </c>
      <c r="IV101" s="279">
        <f t="shared" si="874"/>
        <v>0</v>
      </c>
      <c r="IW101" s="289">
        <f t="shared" si="815"/>
        <v>0</v>
      </c>
      <c r="IX101" s="279">
        <f t="shared" si="874"/>
        <v>0</v>
      </c>
      <c r="IY101" s="289">
        <f t="shared" si="816"/>
        <v>0</v>
      </c>
      <c r="IZ101" s="279">
        <f t="shared" si="874"/>
        <v>0</v>
      </c>
      <c r="JA101" s="289">
        <f t="shared" si="817"/>
        <v>0</v>
      </c>
      <c r="JB101" s="279">
        <f t="shared" si="874"/>
        <v>0</v>
      </c>
      <c r="JC101" s="289">
        <f t="shared" si="818"/>
        <v>0</v>
      </c>
      <c r="JD101" s="279">
        <f t="shared" si="874"/>
        <v>0</v>
      </c>
      <c r="JE101" s="289">
        <f t="shared" si="819"/>
        <v>0</v>
      </c>
      <c r="JF101" s="279">
        <f t="shared" si="874"/>
        <v>0</v>
      </c>
      <c r="JG101" s="289">
        <f t="shared" si="820"/>
        <v>0</v>
      </c>
      <c r="JH101" s="279">
        <f t="shared" si="821"/>
        <v>0</v>
      </c>
      <c r="JI101" s="289">
        <f t="shared" si="822"/>
        <v>0</v>
      </c>
      <c r="JJ101" s="279">
        <f t="shared" si="923"/>
        <v>0</v>
      </c>
      <c r="JK101" s="289">
        <f t="shared" si="823"/>
        <v>0</v>
      </c>
      <c r="JL101" s="279">
        <f t="shared" si="824"/>
        <v>0</v>
      </c>
      <c r="JM101" s="289">
        <f t="shared" si="825"/>
        <v>0</v>
      </c>
      <c r="JN101" s="279">
        <f t="shared" si="924"/>
        <v>0</v>
      </c>
      <c r="JO101" s="289">
        <f t="shared" si="826"/>
        <v>0</v>
      </c>
      <c r="JP101" s="252">
        <f t="shared" si="827"/>
        <v>0</v>
      </c>
      <c r="JQ101" s="251">
        <f t="shared" si="828"/>
        <v>0</v>
      </c>
      <c r="JS101" s="1"/>
      <c r="JT101" s="2">
        <v>8.3333333333333329E-2</v>
      </c>
      <c r="JU101" s="257">
        <f t="shared" si="914"/>
        <v>0</v>
      </c>
      <c r="JV101" s="249">
        <f t="shared" si="829"/>
        <v>0</v>
      </c>
      <c r="JW101" s="250">
        <f t="shared" si="830"/>
        <v>0</v>
      </c>
      <c r="JX101" s="372">
        <f t="shared" si="875"/>
        <v>0</v>
      </c>
      <c r="JY101" s="339">
        <f t="shared" si="831"/>
        <v>0</v>
      </c>
      <c r="JZ101" s="372">
        <f t="shared" si="875"/>
        <v>0</v>
      </c>
      <c r="KA101" s="339">
        <f t="shared" si="831"/>
        <v>0</v>
      </c>
      <c r="KB101" s="372">
        <f t="shared" si="875"/>
        <v>0</v>
      </c>
      <c r="KC101" s="339">
        <f t="shared" si="832"/>
        <v>0</v>
      </c>
      <c r="KD101" s="372">
        <f t="shared" si="875"/>
        <v>0</v>
      </c>
      <c r="KE101" s="339">
        <f t="shared" si="833"/>
        <v>0</v>
      </c>
      <c r="KF101" s="372">
        <f t="shared" si="875"/>
        <v>0</v>
      </c>
      <c r="KG101" s="339">
        <f t="shared" si="834"/>
        <v>0</v>
      </c>
      <c r="KH101" s="372">
        <f t="shared" si="875"/>
        <v>0</v>
      </c>
      <c r="KI101" s="339">
        <f t="shared" si="835"/>
        <v>0</v>
      </c>
      <c r="KJ101" s="372">
        <f t="shared" si="875"/>
        <v>0</v>
      </c>
      <c r="KK101" s="339">
        <f t="shared" si="836"/>
        <v>0</v>
      </c>
      <c r="KL101" s="372">
        <f t="shared" si="837"/>
        <v>0</v>
      </c>
      <c r="KM101" s="339">
        <f t="shared" si="838"/>
        <v>0</v>
      </c>
      <c r="KN101" s="372">
        <f t="shared" si="918"/>
        <v>0</v>
      </c>
      <c r="KO101" s="339">
        <f t="shared" si="839"/>
        <v>0</v>
      </c>
      <c r="KP101" s="372">
        <f t="shared" si="840"/>
        <v>0</v>
      </c>
      <c r="KQ101" s="339">
        <f t="shared" si="841"/>
        <v>0</v>
      </c>
      <c r="KR101" s="372">
        <f t="shared" si="925"/>
        <v>0</v>
      </c>
      <c r="KS101" s="377">
        <f t="shared" si="842"/>
        <v>0</v>
      </c>
      <c r="KT101" s="379">
        <f t="shared" si="843"/>
        <v>0</v>
      </c>
      <c r="KU101" s="251">
        <f t="shared" si="915"/>
        <v>0</v>
      </c>
      <c r="KW101" s="1"/>
      <c r="KX101" s="2">
        <v>8.3333333333333329E-2</v>
      </c>
      <c r="KY101" s="254">
        <f t="shared" si="680"/>
        <v>0</v>
      </c>
      <c r="KZ101" s="249">
        <f t="shared" si="876"/>
        <v>0</v>
      </c>
      <c r="LA101" s="251">
        <f t="shared" si="681"/>
        <v>0</v>
      </c>
      <c r="LB101" s="279">
        <f t="shared" si="844"/>
        <v>0</v>
      </c>
      <c r="LC101" s="339">
        <f t="shared" si="845"/>
        <v>0</v>
      </c>
      <c r="LD101" s="279">
        <f t="shared" si="844"/>
        <v>0</v>
      </c>
      <c r="LE101" s="339">
        <f t="shared" si="845"/>
        <v>0</v>
      </c>
      <c r="LF101" s="279">
        <f t="shared" si="844"/>
        <v>0</v>
      </c>
      <c r="LG101" s="339">
        <f t="shared" si="846"/>
        <v>0</v>
      </c>
      <c r="LH101" s="279">
        <f t="shared" si="844"/>
        <v>0</v>
      </c>
      <c r="LI101" s="339">
        <f t="shared" si="847"/>
        <v>0</v>
      </c>
      <c r="LJ101" s="279">
        <f t="shared" si="844"/>
        <v>0</v>
      </c>
      <c r="LK101" s="339">
        <f t="shared" si="848"/>
        <v>0</v>
      </c>
      <c r="LL101" s="279">
        <f t="shared" si="844"/>
        <v>0</v>
      </c>
      <c r="LM101" s="339">
        <f t="shared" si="849"/>
        <v>0</v>
      </c>
      <c r="LN101" s="279">
        <f t="shared" si="844"/>
        <v>0</v>
      </c>
      <c r="LO101" s="339">
        <f t="shared" si="850"/>
        <v>0</v>
      </c>
      <c r="LP101" s="279">
        <f t="shared" si="877"/>
        <v>0</v>
      </c>
      <c r="LQ101" s="339">
        <f t="shared" si="851"/>
        <v>0</v>
      </c>
      <c r="LR101" s="279">
        <f t="shared" si="878"/>
        <v>0</v>
      </c>
      <c r="LS101" s="339">
        <f t="shared" si="852"/>
        <v>0</v>
      </c>
      <c r="LT101" s="279">
        <f t="shared" si="879"/>
        <v>0</v>
      </c>
      <c r="LU101" s="339">
        <f t="shared" si="853"/>
        <v>0</v>
      </c>
      <c r="LV101" s="279">
        <f t="shared" si="880"/>
        <v>0</v>
      </c>
      <c r="LW101" s="339">
        <f t="shared" si="854"/>
        <v>0</v>
      </c>
      <c r="LX101" s="252">
        <f t="shared" si="855"/>
        <v>0</v>
      </c>
      <c r="LY101" s="253">
        <f t="shared" si="856"/>
        <v>0</v>
      </c>
      <c r="MA101" s="249">
        <f t="shared" ref="MA101:MA110" si="928">+L101+AP101+BT101+CX101+EB101+FF101+GJ101+HN101+IR101+JV101+KZ101</f>
        <v>0</v>
      </c>
      <c r="MB101" s="253">
        <f t="shared" si="857"/>
        <v>0</v>
      </c>
      <c r="MC101" s="397">
        <f t="shared" ref="MC101:MC110" si="929">+N101+AR101+BV101+CZ101+ED101+FH101+GL101+HP101+IT101+JX101+LB101</f>
        <v>0</v>
      </c>
      <c r="MD101" s="253">
        <f t="shared" si="858"/>
        <v>0</v>
      </c>
      <c r="ME101" s="397">
        <f t="shared" ref="ME101:ME110" si="930">+P101+AT101+BX101+DB101+EF101+FJ101+GN101+HR101+IV101+JZ101+LD101</f>
        <v>0</v>
      </c>
      <c r="MF101" s="253">
        <f t="shared" si="858"/>
        <v>0</v>
      </c>
      <c r="MG101" s="397">
        <f t="shared" ref="MG101:MG110" si="931">+R101+AV101+BZ101+DD101+EH101+FL101+GP101+HT101+IX101+KB101+LF101</f>
        <v>0</v>
      </c>
      <c r="MH101" s="253">
        <f t="shared" si="859"/>
        <v>0</v>
      </c>
      <c r="MI101" s="397">
        <f t="shared" ref="MI101:MI110" si="932">+T101+AX101+CB101+DF101+EJ101+FN101+GR101+HV101+IZ101+KD101+LH101</f>
        <v>0</v>
      </c>
      <c r="MJ101" s="253">
        <f t="shared" si="860"/>
        <v>0</v>
      </c>
      <c r="MK101" s="397">
        <f t="shared" ref="MK101:MK110" si="933">+V101+AZ101+CD101+DH101+EL101+FP101+GT101+HX101+JB101+KF101+LJ101</f>
        <v>0</v>
      </c>
      <c r="ML101" s="253">
        <f t="shared" si="861"/>
        <v>0</v>
      </c>
      <c r="MM101" s="397">
        <f t="shared" ref="MM101:MM110" si="934">+X101+BB101+CF101+DJ101+EN101+FR101+GV101+HZ101+JD101+KH101+LL101</f>
        <v>0</v>
      </c>
      <c r="MN101" s="253">
        <f t="shared" si="862"/>
        <v>0</v>
      </c>
      <c r="MO101" s="397">
        <f t="shared" ref="MO101:MO110" si="935">+Z101+BD101+CH101+DL101+EP101+FT101+GX101+IB101+JF101+KJ101+LN101</f>
        <v>0</v>
      </c>
      <c r="MP101" s="253">
        <f t="shared" si="863"/>
        <v>0</v>
      </c>
      <c r="MQ101" s="397">
        <f t="shared" ref="MQ101:MQ110" si="936">+AB101+BF101+CJ101+DN101+ER101+FV101+GZ101+ID101+JH101+KL101+LP101</f>
        <v>0</v>
      </c>
      <c r="MR101" s="253">
        <f t="shared" si="864"/>
        <v>0</v>
      </c>
      <c r="MS101" s="397">
        <f t="shared" ref="MS101:MS110" si="937">+AD101+BH101+CL101+DP101+ET101+FX101+HB101+IF101+JJ101+KN101+LR101</f>
        <v>0</v>
      </c>
      <c r="MT101" s="253">
        <f t="shared" si="865"/>
        <v>0</v>
      </c>
      <c r="MU101" s="397">
        <f t="shared" ref="MU101:MU110" si="938">+AF101+BJ101+CN101+DR101+EV101+FZ101+HD101+IH101+JL101+KP101+LT101</f>
        <v>0</v>
      </c>
      <c r="MV101" s="253">
        <f t="shared" si="866"/>
        <v>0</v>
      </c>
      <c r="MW101" s="397">
        <f t="shared" ref="MW101:MW110" si="939">+AH101+BL101+CP101+DT101+EX101+GB101+HF101+IJ101+JN101+KR101+LV101</f>
        <v>0</v>
      </c>
      <c r="MX101" s="253">
        <f t="shared" si="867"/>
        <v>0</v>
      </c>
      <c r="MY101" s="252">
        <f t="shared" si="868"/>
        <v>0</v>
      </c>
      <c r="MZ101" s="251">
        <f t="shared" si="869"/>
        <v>0</v>
      </c>
    </row>
    <row r="102" spans="1:364" ht="52.8" x14ac:dyDescent="0.25">
      <c r="A102" s="533"/>
      <c r="B102" s="245" t="s">
        <v>212</v>
      </c>
      <c r="C102" s="246" t="s">
        <v>213</v>
      </c>
      <c r="D102" s="247" t="s">
        <v>119</v>
      </c>
      <c r="E102" s="4">
        <v>10</v>
      </c>
      <c r="F102" s="353">
        <v>10134311.847722959</v>
      </c>
      <c r="G102" s="353">
        <f t="shared" si="700"/>
        <v>10556671.358633773</v>
      </c>
      <c r="I102" s="30"/>
      <c r="J102" s="2">
        <v>8.3333333333333329E-2</v>
      </c>
      <c r="K102" s="248">
        <f t="shared" si="701"/>
        <v>0</v>
      </c>
      <c r="L102" s="249"/>
      <c r="M102" s="299">
        <f t="shared" si="445"/>
        <v>0</v>
      </c>
      <c r="N102" s="279">
        <f t="shared" si="889"/>
        <v>0</v>
      </c>
      <c r="O102" s="289">
        <f t="shared" si="916"/>
        <v>0</v>
      </c>
      <c r="P102" s="279">
        <f t="shared" si="889"/>
        <v>0</v>
      </c>
      <c r="Q102" s="289">
        <f t="shared" si="916"/>
        <v>0</v>
      </c>
      <c r="R102" s="279">
        <f t="shared" si="889"/>
        <v>0</v>
      </c>
      <c r="S102" s="289">
        <f t="shared" si="702"/>
        <v>0</v>
      </c>
      <c r="T102" s="279">
        <f t="shared" si="889"/>
        <v>0</v>
      </c>
      <c r="U102" s="289">
        <f t="shared" si="703"/>
        <v>0</v>
      </c>
      <c r="V102" s="279">
        <f t="shared" si="889"/>
        <v>0</v>
      </c>
      <c r="W102" s="289">
        <f t="shared" si="704"/>
        <v>0</v>
      </c>
      <c r="X102" s="279">
        <f t="shared" si="889"/>
        <v>0</v>
      </c>
      <c r="Y102" s="289">
        <f t="shared" si="705"/>
        <v>0</v>
      </c>
      <c r="Z102" s="279">
        <f t="shared" si="889"/>
        <v>0</v>
      </c>
      <c r="AA102" s="289">
        <f t="shared" si="706"/>
        <v>0</v>
      </c>
      <c r="AB102" s="279">
        <f t="shared" si="889"/>
        <v>0</v>
      </c>
      <c r="AC102" s="289">
        <f t="shared" si="707"/>
        <v>0</v>
      </c>
      <c r="AD102" s="279">
        <f t="shared" si="889"/>
        <v>0</v>
      </c>
      <c r="AE102" s="289">
        <f t="shared" si="708"/>
        <v>0</v>
      </c>
      <c r="AF102" s="279">
        <f t="shared" si="889"/>
        <v>0</v>
      </c>
      <c r="AG102" s="289">
        <f t="shared" si="890"/>
        <v>0</v>
      </c>
      <c r="AH102" s="249">
        <f t="shared" si="456"/>
        <v>0</v>
      </c>
      <c r="AI102" s="299">
        <f t="shared" si="891"/>
        <v>0</v>
      </c>
      <c r="AJ102" s="252">
        <f t="shared" si="709"/>
        <v>0</v>
      </c>
      <c r="AK102" s="312">
        <f t="shared" si="710"/>
        <v>0</v>
      </c>
      <c r="AM102" s="1"/>
      <c r="AN102" s="2">
        <v>8.3333333333333329E-2</v>
      </c>
      <c r="AO102" s="254">
        <f t="shared" si="904"/>
        <v>0</v>
      </c>
      <c r="AP102" s="249">
        <f t="shared" si="917"/>
        <v>0</v>
      </c>
      <c r="AQ102" s="301">
        <f t="shared" si="683"/>
        <v>0</v>
      </c>
      <c r="AR102" s="249">
        <f t="shared" si="884"/>
        <v>0</v>
      </c>
      <c r="AS102" s="301">
        <f t="shared" si="683"/>
        <v>0</v>
      </c>
      <c r="AT102" s="249">
        <f t="shared" si="884"/>
        <v>0</v>
      </c>
      <c r="AU102" s="301">
        <f t="shared" si="684"/>
        <v>0</v>
      </c>
      <c r="AV102" s="249">
        <f t="shared" si="884"/>
        <v>0</v>
      </c>
      <c r="AW102" s="301">
        <f t="shared" si="711"/>
        <v>0</v>
      </c>
      <c r="AX102" s="249">
        <f t="shared" si="884"/>
        <v>0</v>
      </c>
      <c r="AY102" s="301">
        <f t="shared" si="712"/>
        <v>0</v>
      </c>
      <c r="AZ102" s="249">
        <f t="shared" si="884"/>
        <v>0</v>
      </c>
      <c r="BA102" s="301">
        <f t="shared" si="713"/>
        <v>0</v>
      </c>
      <c r="BB102" s="249">
        <f t="shared" si="884"/>
        <v>0</v>
      </c>
      <c r="BC102" s="301">
        <f t="shared" si="714"/>
        <v>0</v>
      </c>
      <c r="BD102" s="249">
        <f t="shared" si="884"/>
        <v>0</v>
      </c>
      <c r="BE102" s="301">
        <f t="shared" si="715"/>
        <v>0</v>
      </c>
      <c r="BF102" s="249">
        <f t="shared" si="882"/>
        <v>0</v>
      </c>
      <c r="BG102" s="301">
        <f t="shared" si="716"/>
        <v>0</v>
      </c>
      <c r="BH102" s="249">
        <f t="shared" si="885"/>
        <v>0</v>
      </c>
      <c r="BI102" s="301">
        <f t="shared" ref="BI102:BK110" si="940">+BH102*$G102</f>
        <v>0</v>
      </c>
      <c r="BJ102" s="249">
        <f t="shared" si="885"/>
        <v>0</v>
      </c>
      <c r="BK102" s="301">
        <f t="shared" si="940"/>
        <v>0</v>
      </c>
      <c r="BL102" s="249">
        <f t="shared" si="661"/>
        <v>0</v>
      </c>
      <c r="BM102" s="299">
        <f t="shared" si="718"/>
        <v>0</v>
      </c>
      <c r="BN102" s="252">
        <f t="shared" si="719"/>
        <v>0</v>
      </c>
      <c r="BO102" s="312">
        <f t="shared" si="926"/>
        <v>0</v>
      </c>
      <c r="BQ102" s="1"/>
      <c r="BR102" s="2"/>
      <c r="BS102" s="255">
        <f t="shared" si="919"/>
        <v>0</v>
      </c>
      <c r="BT102" s="249">
        <f t="shared" si="881"/>
        <v>0</v>
      </c>
      <c r="BU102" s="336">
        <f t="shared" si="720"/>
        <v>0</v>
      </c>
      <c r="BV102" s="279">
        <f t="shared" si="721"/>
        <v>0</v>
      </c>
      <c r="BW102" s="339">
        <f t="shared" si="722"/>
        <v>0</v>
      </c>
      <c r="BX102" s="279">
        <f t="shared" si="721"/>
        <v>0</v>
      </c>
      <c r="BY102" s="339">
        <f t="shared" si="723"/>
        <v>0</v>
      </c>
      <c r="BZ102" s="279">
        <f t="shared" si="721"/>
        <v>0</v>
      </c>
      <c r="CA102" s="339">
        <f t="shared" si="724"/>
        <v>0</v>
      </c>
      <c r="CB102" s="279">
        <f t="shared" si="721"/>
        <v>0</v>
      </c>
      <c r="CC102" s="339">
        <f t="shared" si="725"/>
        <v>0</v>
      </c>
      <c r="CD102" s="279">
        <f t="shared" si="721"/>
        <v>0</v>
      </c>
      <c r="CE102" s="339">
        <f t="shared" si="726"/>
        <v>0</v>
      </c>
      <c r="CF102" s="279">
        <f t="shared" si="721"/>
        <v>0</v>
      </c>
      <c r="CG102" s="339">
        <f t="shared" si="727"/>
        <v>0</v>
      </c>
      <c r="CH102" s="279">
        <f t="shared" si="721"/>
        <v>0</v>
      </c>
      <c r="CI102" s="339">
        <f t="shared" si="728"/>
        <v>0</v>
      </c>
      <c r="CJ102" s="279">
        <f t="shared" si="729"/>
        <v>0</v>
      </c>
      <c r="CK102" s="339">
        <f t="shared" si="730"/>
        <v>0</v>
      </c>
      <c r="CL102" s="279">
        <f t="shared" si="463"/>
        <v>0</v>
      </c>
      <c r="CM102" s="339">
        <f t="shared" si="731"/>
        <v>0</v>
      </c>
      <c r="CN102" s="279">
        <f t="shared" si="732"/>
        <v>0</v>
      </c>
      <c r="CO102" s="339">
        <f t="shared" si="733"/>
        <v>0</v>
      </c>
      <c r="CP102" s="279">
        <f t="shared" si="464"/>
        <v>0</v>
      </c>
      <c r="CQ102" s="250">
        <f t="shared" si="905"/>
        <v>0</v>
      </c>
      <c r="CR102" s="252">
        <f t="shared" si="734"/>
        <v>0</v>
      </c>
      <c r="CS102" s="251">
        <f t="shared" si="887"/>
        <v>0</v>
      </c>
      <c r="CU102" s="1"/>
      <c r="CV102" s="2"/>
      <c r="CW102" s="255">
        <f t="shared" si="920"/>
        <v>0</v>
      </c>
      <c r="CX102" s="249">
        <f t="shared" si="735"/>
        <v>0</v>
      </c>
      <c r="CY102" s="250">
        <f t="shared" si="736"/>
        <v>0</v>
      </c>
      <c r="CZ102" s="279">
        <f t="shared" si="870"/>
        <v>0</v>
      </c>
      <c r="DA102" s="299">
        <f t="shared" si="736"/>
        <v>0</v>
      </c>
      <c r="DB102" s="279">
        <f t="shared" si="870"/>
        <v>0</v>
      </c>
      <c r="DC102" s="299">
        <f t="shared" si="737"/>
        <v>0</v>
      </c>
      <c r="DD102" s="279">
        <f t="shared" si="870"/>
        <v>0</v>
      </c>
      <c r="DE102" s="299">
        <f t="shared" si="738"/>
        <v>0</v>
      </c>
      <c r="DF102" s="279">
        <f t="shared" si="870"/>
        <v>0</v>
      </c>
      <c r="DG102" s="299">
        <f t="shared" si="739"/>
        <v>0</v>
      </c>
      <c r="DH102" s="279">
        <f t="shared" si="870"/>
        <v>0</v>
      </c>
      <c r="DI102" s="299">
        <f t="shared" si="740"/>
        <v>0</v>
      </c>
      <c r="DJ102" s="279">
        <f t="shared" si="870"/>
        <v>0</v>
      </c>
      <c r="DK102" s="299">
        <f t="shared" si="741"/>
        <v>0</v>
      </c>
      <c r="DL102" s="279">
        <f t="shared" si="870"/>
        <v>0</v>
      </c>
      <c r="DM102" s="299">
        <f t="shared" si="742"/>
        <v>0</v>
      </c>
      <c r="DN102" s="279">
        <f t="shared" si="743"/>
        <v>0</v>
      </c>
      <c r="DO102" s="299">
        <f t="shared" si="744"/>
        <v>0</v>
      </c>
      <c r="DP102" s="279">
        <f t="shared" si="471"/>
        <v>0</v>
      </c>
      <c r="DQ102" s="299">
        <f t="shared" si="745"/>
        <v>0</v>
      </c>
      <c r="DR102" s="279">
        <f t="shared" si="746"/>
        <v>0</v>
      </c>
      <c r="DS102" s="299">
        <f t="shared" si="747"/>
        <v>0</v>
      </c>
      <c r="DT102" s="279">
        <f t="shared" si="472"/>
        <v>0</v>
      </c>
      <c r="DU102" s="299">
        <f t="shared" si="748"/>
        <v>0</v>
      </c>
      <c r="DV102" s="252">
        <f t="shared" si="749"/>
        <v>0</v>
      </c>
      <c r="DW102" s="251">
        <f t="shared" si="888"/>
        <v>0</v>
      </c>
      <c r="DY102" s="256">
        <v>0</v>
      </c>
      <c r="DZ102" s="2"/>
      <c r="EA102" s="254">
        <f t="shared" si="906"/>
        <v>0</v>
      </c>
      <c r="EB102" s="249">
        <f t="shared" si="871"/>
        <v>0</v>
      </c>
      <c r="EC102" s="250">
        <f t="shared" si="750"/>
        <v>0</v>
      </c>
      <c r="ED102" s="356">
        <f t="shared" si="871"/>
        <v>0</v>
      </c>
      <c r="EE102" s="250">
        <f t="shared" si="750"/>
        <v>0</v>
      </c>
      <c r="EF102" s="249">
        <f t="shared" si="872"/>
        <v>0</v>
      </c>
      <c r="EG102" s="250">
        <f t="shared" ref="EG102:EI110" si="941">+EF102*$G102</f>
        <v>0</v>
      </c>
      <c r="EH102" s="249">
        <f t="shared" si="872"/>
        <v>0</v>
      </c>
      <c r="EI102" s="250">
        <f t="shared" si="941"/>
        <v>0</v>
      </c>
      <c r="EJ102" s="249">
        <f t="shared" si="872"/>
        <v>0</v>
      </c>
      <c r="EK102" s="250">
        <f t="shared" si="752"/>
        <v>0</v>
      </c>
      <c r="EL102" s="249">
        <f t="shared" si="872"/>
        <v>0</v>
      </c>
      <c r="EM102" s="250">
        <f t="shared" si="753"/>
        <v>0</v>
      </c>
      <c r="EN102" s="249">
        <f t="shared" si="872"/>
        <v>0</v>
      </c>
      <c r="EO102" s="250">
        <f t="shared" si="754"/>
        <v>0</v>
      </c>
      <c r="EP102" s="249">
        <f t="shared" si="872"/>
        <v>0</v>
      </c>
      <c r="EQ102" s="250">
        <f t="shared" si="755"/>
        <v>0</v>
      </c>
      <c r="ER102" s="249">
        <f t="shared" si="872"/>
        <v>0</v>
      </c>
      <c r="ES102" s="250">
        <f t="shared" si="756"/>
        <v>0</v>
      </c>
      <c r="ET102" s="249">
        <f t="shared" si="921"/>
        <v>0</v>
      </c>
      <c r="EU102" s="250">
        <f t="shared" si="757"/>
        <v>0</v>
      </c>
      <c r="EV102" s="249">
        <f t="shared" si="758"/>
        <v>0</v>
      </c>
      <c r="EW102" s="250">
        <f t="shared" si="759"/>
        <v>0</v>
      </c>
      <c r="EX102" s="249">
        <f t="shared" si="922"/>
        <v>0</v>
      </c>
      <c r="EY102" s="250">
        <f t="shared" si="760"/>
        <v>0</v>
      </c>
      <c r="EZ102" s="252">
        <f t="shared" si="761"/>
        <v>0</v>
      </c>
      <c r="FA102" s="251">
        <f t="shared" si="907"/>
        <v>0</v>
      </c>
      <c r="FC102" s="1"/>
      <c r="FD102" s="2"/>
      <c r="FE102" s="257">
        <f t="shared" si="908"/>
        <v>0</v>
      </c>
      <c r="FF102" s="249">
        <f t="shared" si="762"/>
        <v>0</v>
      </c>
      <c r="FG102" s="250">
        <f t="shared" si="763"/>
        <v>0</v>
      </c>
      <c r="FH102" s="372">
        <f t="shared" si="873"/>
        <v>0</v>
      </c>
      <c r="FI102" s="339">
        <f t="shared" si="764"/>
        <v>0</v>
      </c>
      <c r="FJ102" s="372">
        <f t="shared" si="873"/>
        <v>0</v>
      </c>
      <c r="FK102" s="339">
        <f t="shared" si="764"/>
        <v>0</v>
      </c>
      <c r="FL102" s="372">
        <f t="shared" si="873"/>
        <v>0</v>
      </c>
      <c r="FM102" s="339">
        <f t="shared" si="765"/>
        <v>0</v>
      </c>
      <c r="FN102" s="372">
        <f t="shared" si="873"/>
        <v>0</v>
      </c>
      <c r="FO102" s="339">
        <f t="shared" si="766"/>
        <v>0</v>
      </c>
      <c r="FP102" s="372">
        <f t="shared" si="873"/>
        <v>0</v>
      </c>
      <c r="FQ102" s="339">
        <f t="shared" si="767"/>
        <v>0</v>
      </c>
      <c r="FR102" s="372">
        <f t="shared" si="873"/>
        <v>0</v>
      </c>
      <c r="FS102" s="339">
        <f t="shared" si="768"/>
        <v>0</v>
      </c>
      <c r="FT102" s="372">
        <f t="shared" si="873"/>
        <v>0</v>
      </c>
      <c r="FU102" s="339">
        <f t="shared" si="769"/>
        <v>0</v>
      </c>
      <c r="FV102" s="372">
        <f t="shared" si="770"/>
        <v>0</v>
      </c>
      <c r="FW102" s="339">
        <f t="shared" si="771"/>
        <v>0</v>
      </c>
      <c r="FX102" s="372">
        <f t="shared" si="479"/>
        <v>0</v>
      </c>
      <c r="FY102" s="339">
        <f t="shared" si="772"/>
        <v>0</v>
      </c>
      <c r="FZ102" s="372">
        <f t="shared" si="773"/>
        <v>0</v>
      </c>
      <c r="GA102" s="339">
        <f t="shared" si="774"/>
        <v>0</v>
      </c>
      <c r="GB102" s="372">
        <f t="shared" si="480"/>
        <v>0</v>
      </c>
      <c r="GC102" s="339">
        <f t="shared" si="775"/>
        <v>0</v>
      </c>
      <c r="GD102" s="252">
        <f t="shared" si="776"/>
        <v>0</v>
      </c>
      <c r="GE102" s="251">
        <f t="shared" si="927"/>
        <v>0</v>
      </c>
      <c r="GG102" s="1"/>
      <c r="GH102" s="2">
        <v>0.2</v>
      </c>
      <c r="GI102" s="257">
        <f t="shared" si="909"/>
        <v>0</v>
      </c>
      <c r="GJ102" s="249">
        <f t="shared" si="777"/>
        <v>0</v>
      </c>
      <c r="GK102" s="250">
        <f t="shared" si="778"/>
        <v>0</v>
      </c>
      <c r="GL102" s="249">
        <f t="shared" si="777"/>
        <v>0</v>
      </c>
      <c r="GM102" s="250">
        <f t="shared" si="778"/>
        <v>0</v>
      </c>
      <c r="GN102" s="249">
        <f t="shared" si="777"/>
        <v>0</v>
      </c>
      <c r="GO102" s="250">
        <f t="shared" si="894"/>
        <v>0</v>
      </c>
      <c r="GP102" s="249">
        <f t="shared" si="777"/>
        <v>0</v>
      </c>
      <c r="GQ102" s="250">
        <f t="shared" si="895"/>
        <v>0</v>
      </c>
      <c r="GR102" s="249">
        <f t="shared" si="777"/>
        <v>0</v>
      </c>
      <c r="GS102" s="250">
        <f t="shared" si="896"/>
        <v>0</v>
      </c>
      <c r="GT102" s="249">
        <f t="shared" si="777"/>
        <v>0</v>
      </c>
      <c r="GU102" s="250">
        <f t="shared" si="897"/>
        <v>0</v>
      </c>
      <c r="GV102" s="249">
        <f t="shared" si="777"/>
        <v>0</v>
      </c>
      <c r="GW102" s="250">
        <f t="shared" si="898"/>
        <v>0</v>
      </c>
      <c r="GX102" s="249">
        <f t="shared" si="784"/>
        <v>0</v>
      </c>
      <c r="GY102" s="250">
        <f t="shared" si="899"/>
        <v>0</v>
      </c>
      <c r="GZ102" s="249">
        <f t="shared" si="786"/>
        <v>0</v>
      </c>
      <c r="HA102" s="250">
        <f t="shared" si="900"/>
        <v>0</v>
      </c>
      <c r="HB102" s="249">
        <f t="shared" si="788"/>
        <v>0</v>
      </c>
      <c r="HC102" s="250">
        <f t="shared" si="901"/>
        <v>0</v>
      </c>
      <c r="HD102" s="249">
        <f t="shared" si="790"/>
        <v>0</v>
      </c>
      <c r="HE102" s="250">
        <f t="shared" si="902"/>
        <v>0</v>
      </c>
      <c r="HF102" s="249">
        <f t="shared" si="792"/>
        <v>0</v>
      </c>
      <c r="HG102" s="250">
        <f t="shared" si="903"/>
        <v>0</v>
      </c>
      <c r="HH102" s="252">
        <f t="shared" si="794"/>
        <v>0</v>
      </c>
      <c r="HI102" s="251">
        <f t="shared" si="910"/>
        <v>0</v>
      </c>
      <c r="HK102" s="1"/>
      <c r="HL102" s="2"/>
      <c r="HM102" s="257">
        <f t="shared" si="911"/>
        <v>0</v>
      </c>
      <c r="HN102" s="249">
        <f t="shared" si="795"/>
        <v>0</v>
      </c>
      <c r="HO102" s="250">
        <f t="shared" si="912"/>
        <v>0</v>
      </c>
      <c r="HP102" s="249">
        <f t="shared" si="796"/>
        <v>0</v>
      </c>
      <c r="HQ102" s="250">
        <f t="shared" si="797"/>
        <v>0</v>
      </c>
      <c r="HR102" s="249">
        <f t="shared" si="796"/>
        <v>0</v>
      </c>
      <c r="HS102" s="250">
        <f t="shared" si="797"/>
        <v>0</v>
      </c>
      <c r="HT102" s="249">
        <f t="shared" si="796"/>
        <v>0</v>
      </c>
      <c r="HU102" s="250">
        <f t="shared" si="798"/>
        <v>0</v>
      </c>
      <c r="HV102" s="249">
        <f t="shared" si="796"/>
        <v>0</v>
      </c>
      <c r="HW102" s="250">
        <f t="shared" si="799"/>
        <v>0</v>
      </c>
      <c r="HX102" s="249">
        <f t="shared" si="796"/>
        <v>0</v>
      </c>
      <c r="HY102" s="250">
        <f t="shared" si="800"/>
        <v>0</v>
      </c>
      <c r="HZ102" s="249">
        <f t="shared" si="796"/>
        <v>0</v>
      </c>
      <c r="IA102" s="250">
        <f t="shared" si="801"/>
        <v>0</v>
      </c>
      <c r="IB102" s="249">
        <f t="shared" si="796"/>
        <v>0</v>
      </c>
      <c r="IC102" s="250">
        <f t="shared" si="802"/>
        <v>0</v>
      </c>
      <c r="ID102" s="249">
        <f t="shared" si="803"/>
        <v>0</v>
      </c>
      <c r="IE102" s="250">
        <f t="shared" si="804"/>
        <v>0</v>
      </c>
      <c r="IF102" s="249">
        <f t="shared" si="805"/>
        <v>0</v>
      </c>
      <c r="IG102" s="250">
        <f t="shared" si="806"/>
        <v>0</v>
      </c>
      <c r="IH102" s="249">
        <f t="shared" si="807"/>
        <v>0</v>
      </c>
      <c r="II102" s="250">
        <f t="shared" si="808"/>
        <v>0</v>
      </c>
      <c r="IJ102" s="249">
        <f t="shared" si="809"/>
        <v>0</v>
      </c>
      <c r="IK102" s="250">
        <f t="shared" si="810"/>
        <v>0</v>
      </c>
      <c r="IL102" s="252">
        <f t="shared" si="811"/>
        <v>0</v>
      </c>
      <c r="IM102" s="251">
        <f t="shared" si="812"/>
        <v>0</v>
      </c>
      <c r="IO102" s="1"/>
      <c r="IP102" s="2">
        <v>8.3333333333333329E-2</v>
      </c>
      <c r="IQ102" s="257">
        <f t="shared" si="913"/>
        <v>0</v>
      </c>
      <c r="IR102" s="249">
        <f t="shared" si="813"/>
        <v>0</v>
      </c>
      <c r="IS102" s="250">
        <f t="shared" si="814"/>
        <v>0</v>
      </c>
      <c r="IT102" s="279">
        <f t="shared" si="874"/>
        <v>0</v>
      </c>
      <c r="IU102" s="289">
        <f t="shared" si="815"/>
        <v>0</v>
      </c>
      <c r="IV102" s="279">
        <f t="shared" si="874"/>
        <v>0</v>
      </c>
      <c r="IW102" s="289">
        <f t="shared" si="815"/>
        <v>0</v>
      </c>
      <c r="IX102" s="279">
        <f t="shared" si="874"/>
        <v>0</v>
      </c>
      <c r="IY102" s="289">
        <f t="shared" si="816"/>
        <v>0</v>
      </c>
      <c r="IZ102" s="279">
        <f t="shared" si="874"/>
        <v>0</v>
      </c>
      <c r="JA102" s="289">
        <f t="shared" si="817"/>
        <v>0</v>
      </c>
      <c r="JB102" s="279">
        <f t="shared" si="874"/>
        <v>0</v>
      </c>
      <c r="JC102" s="289">
        <f t="shared" si="818"/>
        <v>0</v>
      </c>
      <c r="JD102" s="279">
        <f t="shared" si="874"/>
        <v>0</v>
      </c>
      <c r="JE102" s="289">
        <f t="shared" si="819"/>
        <v>0</v>
      </c>
      <c r="JF102" s="279">
        <f t="shared" si="874"/>
        <v>0</v>
      </c>
      <c r="JG102" s="289">
        <f t="shared" si="820"/>
        <v>0</v>
      </c>
      <c r="JH102" s="279">
        <f t="shared" si="821"/>
        <v>0</v>
      </c>
      <c r="JI102" s="289">
        <f t="shared" si="822"/>
        <v>0</v>
      </c>
      <c r="JJ102" s="279">
        <f t="shared" si="923"/>
        <v>0</v>
      </c>
      <c r="JK102" s="289">
        <f t="shared" si="823"/>
        <v>0</v>
      </c>
      <c r="JL102" s="279">
        <f t="shared" si="824"/>
        <v>0</v>
      </c>
      <c r="JM102" s="289">
        <f t="shared" si="825"/>
        <v>0</v>
      </c>
      <c r="JN102" s="279">
        <f t="shared" si="924"/>
        <v>0</v>
      </c>
      <c r="JO102" s="289">
        <f t="shared" si="826"/>
        <v>0</v>
      </c>
      <c r="JP102" s="252">
        <f t="shared" si="827"/>
        <v>0</v>
      </c>
      <c r="JQ102" s="251">
        <f t="shared" si="828"/>
        <v>0</v>
      </c>
      <c r="JS102" s="1"/>
      <c r="JT102" s="2">
        <v>8.3333333333333329E-2</v>
      </c>
      <c r="JU102" s="257">
        <f t="shared" si="914"/>
        <v>0</v>
      </c>
      <c r="JV102" s="249">
        <f t="shared" si="829"/>
        <v>0</v>
      </c>
      <c r="JW102" s="250">
        <f t="shared" si="830"/>
        <v>0</v>
      </c>
      <c r="JX102" s="372">
        <f t="shared" si="875"/>
        <v>0</v>
      </c>
      <c r="JY102" s="339">
        <f t="shared" si="831"/>
        <v>0</v>
      </c>
      <c r="JZ102" s="372">
        <f t="shared" si="875"/>
        <v>0</v>
      </c>
      <c r="KA102" s="339">
        <f t="shared" si="831"/>
        <v>0</v>
      </c>
      <c r="KB102" s="372">
        <f t="shared" si="875"/>
        <v>0</v>
      </c>
      <c r="KC102" s="339">
        <f t="shared" si="832"/>
        <v>0</v>
      </c>
      <c r="KD102" s="372">
        <f t="shared" si="875"/>
        <v>0</v>
      </c>
      <c r="KE102" s="339">
        <f t="shared" si="833"/>
        <v>0</v>
      </c>
      <c r="KF102" s="372">
        <f t="shared" si="875"/>
        <v>0</v>
      </c>
      <c r="KG102" s="339">
        <f t="shared" si="834"/>
        <v>0</v>
      </c>
      <c r="KH102" s="372">
        <f t="shared" si="875"/>
        <v>0</v>
      </c>
      <c r="KI102" s="339">
        <f t="shared" si="835"/>
        <v>0</v>
      </c>
      <c r="KJ102" s="372">
        <f t="shared" si="875"/>
        <v>0</v>
      </c>
      <c r="KK102" s="339">
        <f t="shared" si="836"/>
        <v>0</v>
      </c>
      <c r="KL102" s="372">
        <f t="shared" si="837"/>
        <v>0</v>
      </c>
      <c r="KM102" s="339">
        <f t="shared" si="838"/>
        <v>0</v>
      </c>
      <c r="KN102" s="372">
        <f t="shared" si="918"/>
        <v>0</v>
      </c>
      <c r="KO102" s="339">
        <f t="shared" si="839"/>
        <v>0</v>
      </c>
      <c r="KP102" s="372">
        <f t="shared" si="840"/>
        <v>0</v>
      </c>
      <c r="KQ102" s="339">
        <f t="shared" si="841"/>
        <v>0</v>
      </c>
      <c r="KR102" s="372">
        <f t="shared" si="925"/>
        <v>0</v>
      </c>
      <c r="KS102" s="377">
        <f t="shared" si="842"/>
        <v>0</v>
      </c>
      <c r="KT102" s="379">
        <f t="shared" si="843"/>
        <v>0</v>
      </c>
      <c r="KU102" s="251">
        <f t="shared" si="915"/>
        <v>0</v>
      </c>
      <c r="KW102" s="1"/>
      <c r="KX102" s="2">
        <v>8.3333333333333329E-2</v>
      </c>
      <c r="KY102" s="254">
        <f t="shared" si="680"/>
        <v>0</v>
      </c>
      <c r="KZ102" s="249">
        <f t="shared" si="876"/>
        <v>0</v>
      </c>
      <c r="LA102" s="251">
        <f t="shared" si="681"/>
        <v>0</v>
      </c>
      <c r="LB102" s="279">
        <f t="shared" si="844"/>
        <v>0</v>
      </c>
      <c r="LC102" s="339">
        <f t="shared" si="845"/>
        <v>0</v>
      </c>
      <c r="LD102" s="279">
        <f t="shared" si="844"/>
        <v>0</v>
      </c>
      <c r="LE102" s="339">
        <f t="shared" si="845"/>
        <v>0</v>
      </c>
      <c r="LF102" s="279">
        <f t="shared" si="844"/>
        <v>0</v>
      </c>
      <c r="LG102" s="339">
        <f t="shared" si="846"/>
        <v>0</v>
      </c>
      <c r="LH102" s="279">
        <f t="shared" si="844"/>
        <v>0</v>
      </c>
      <c r="LI102" s="339">
        <f t="shared" si="847"/>
        <v>0</v>
      </c>
      <c r="LJ102" s="279">
        <f t="shared" si="844"/>
        <v>0</v>
      </c>
      <c r="LK102" s="339">
        <f t="shared" si="848"/>
        <v>0</v>
      </c>
      <c r="LL102" s="279">
        <f t="shared" si="844"/>
        <v>0</v>
      </c>
      <c r="LM102" s="339">
        <f t="shared" si="849"/>
        <v>0</v>
      </c>
      <c r="LN102" s="279">
        <f t="shared" si="844"/>
        <v>0</v>
      </c>
      <c r="LO102" s="339">
        <f t="shared" si="850"/>
        <v>0</v>
      </c>
      <c r="LP102" s="279">
        <f t="shared" si="877"/>
        <v>0</v>
      </c>
      <c r="LQ102" s="339">
        <f t="shared" si="851"/>
        <v>0</v>
      </c>
      <c r="LR102" s="279">
        <f t="shared" si="878"/>
        <v>0</v>
      </c>
      <c r="LS102" s="339">
        <f t="shared" si="852"/>
        <v>0</v>
      </c>
      <c r="LT102" s="279">
        <f t="shared" si="879"/>
        <v>0</v>
      </c>
      <c r="LU102" s="339">
        <f t="shared" si="853"/>
        <v>0</v>
      </c>
      <c r="LV102" s="279">
        <f t="shared" si="880"/>
        <v>0</v>
      </c>
      <c r="LW102" s="339">
        <f t="shared" si="854"/>
        <v>0</v>
      </c>
      <c r="LX102" s="252">
        <f t="shared" si="855"/>
        <v>0</v>
      </c>
      <c r="LY102" s="253">
        <f t="shared" si="856"/>
        <v>0</v>
      </c>
      <c r="MA102" s="249">
        <f t="shared" si="928"/>
        <v>0</v>
      </c>
      <c r="MB102" s="253">
        <f t="shared" si="857"/>
        <v>0</v>
      </c>
      <c r="MC102" s="397">
        <f t="shared" si="929"/>
        <v>0</v>
      </c>
      <c r="MD102" s="253">
        <f t="shared" si="858"/>
        <v>0</v>
      </c>
      <c r="ME102" s="397">
        <f t="shared" si="930"/>
        <v>0</v>
      </c>
      <c r="MF102" s="253">
        <f t="shared" si="858"/>
        <v>0</v>
      </c>
      <c r="MG102" s="397">
        <f t="shared" si="931"/>
        <v>0</v>
      </c>
      <c r="MH102" s="253">
        <f t="shared" si="859"/>
        <v>0</v>
      </c>
      <c r="MI102" s="397">
        <f t="shared" si="932"/>
        <v>0</v>
      </c>
      <c r="MJ102" s="253">
        <f t="shared" si="860"/>
        <v>0</v>
      </c>
      <c r="MK102" s="397">
        <f t="shared" si="933"/>
        <v>0</v>
      </c>
      <c r="ML102" s="253">
        <f t="shared" si="861"/>
        <v>0</v>
      </c>
      <c r="MM102" s="397">
        <f t="shared" si="934"/>
        <v>0</v>
      </c>
      <c r="MN102" s="253">
        <f t="shared" si="862"/>
        <v>0</v>
      </c>
      <c r="MO102" s="397">
        <f t="shared" si="935"/>
        <v>0</v>
      </c>
      <c r="MP102" s="253">
        <f t="shared" si="863"/>
        <v>0</v>
      </c>
      <c r="MQ102" s="397">
        <f t="shared" si="936"/>
        <v>0</v>
      </c>
      <c r="MR102" s="253">
        <f t="shared" si="864"/>
        <v>0</v>
      </c>
      <c r="MS102" s="397">
        <f t="shared" si="937"/>
        <v>0</v>
      </c>
      <c r="MT102" s="253">
        <f t="shared" si="865"/>
        <v>0</v>
      </c>
      <c r="MU102" s="397">
        <f t="shared" si="938"/>
        <v>0</v>
      </c>
      <c r="MV102" s="253">
        <f t="shared" si="866"/>
        <v>0</v>
      </c>
      <c r="MW102" s="397">
        <f t="shared" si="939"/>
        <v>0</v>
      </c>
      <c r="MX102" s="253">
        <f t="shared" si="867"/>
        <v>0</v>
      </c>
      <c r="MY102" s="252">
        <f t="shared" si="868"/>
        <v>0</v>
      </c>
      <c r="MZ102" s="251">
        <f t="shared" si="869"/>
        <v>0</v>
      </c>
    </row>
    <row r="103" spans="1:364" ht="52.8" x14ac:dyDescent="0.25">
      <c r="A103" s="533"/>
      <c r="B103" s="245" t="s">
        <v>214</v>
      </c>
      <c r="C103" s="246" t="s">
        <v>215</v>
      </c>
      <c r="D103" s="247" t="s">
        <v>119</v>
      </c>
      <c r="E103" s="4">
        <v>10</v>
      </c>
      <c r="F103" s="353">
        <v>6814432.9637096766</v>
      </c>
      <c r="G103" s="353">
        <f t="shared" si="700"/>
        <v>7098432.5698924717</v>
      </c>
      <c r="I103" s="30"/>
      <c r="J103" s="2">
        <v>8.3333333333333329E-2</v>
      </c>
      <c r="K103" s="248">
        <f t="shared" si="701"/>
        <v>0</v>
      </c>
      <c r="L103" s="249"/>
      <c r="M103" s="299">
        <f t="shared" si="445"/>
        <v>0</v>
      </c>
      <c r="N103" s="279">
        <f t="shared" si="889"/>
        <v>0</v>
      </c>
      <c r="O103" s="289">
        <f t="shared" si="916"/>
        <v>0</v>
      </c>
      <c r="P103" s="279">
        <f t="shared" si="889"/>
        <v>0</v>
      </c>
      <c r="Q103" s="289">
        <f t="shared" si="916"/>
        <v>0</v>
      </c>
      <c r="R103" s="279">
        <f t="shared" si="889"/>
        <v>0</v>
      </c>
      <c r="S103" s="289">
        <f t="shared" si="702"/>
        <v>0</v>
      </c>
      <c r="T103" s="279">
        <f t="shared" si="889"/>
        <v>0</v>
      </c>
      <c r="U103" s="289">
        <f t="shared" si="703"/>
        <v>0</v>
      </c>
      <c r="V103" s="279">
        <f t="shared" si="889"/>
        <v>0</v>
      </c>
      <c r="W103" s="289">
        <f t="shared" si="704"/>
        <v>0</v>
      </c>
      <c r="X103" s="279">
        <f t="shared" si="889"/>
        <v>0</v>
      </c>
      <c r="Y103" s="289">
        <f t="shared" si="705"/>
        <v>0</v>
      </c>
      <c r="Z103" s="279">
        <f t="shared" si="889"/>
        <v>0</v>
      </c>
      <c r="AA103" s="289">
        <f t="shared" si="706"/>
        <v>0</v>
      </c>
      <c r="AB103" s="279">
        <f t="shared" si="889"/>
        <v>0</v>
      </c>
      <c r="AC103" s="289">
        <f t="shared" si="707"/>
        <v>0</v>
      </c>
      <c r="AD103" s="279">
        <f t="shared" si="889"/>
        <v>0</v>
      </c>
      <c r="AE103" s="289">
        <f t="shared" si="708"/>
        <v>0</v>
      </c>
      <c r="AF103" s="279">
        <f t="shared" si="889"/>
        <v>0</v>
      </c>
      <c r="AG103" s="289">
        <f t="shared" si="890"/>
        <v>0</v>
      </c>
      <c r="AH103" s="249">
        <f t="shared" si="456"/>
        <v>0</v>
      </c>
      <c r="AI103" s="299">
        <f t="shared" si="891"/>
        <v>0</v>
      </c>
      <c r="AJ103" s="252">
        <f t="shared" si="709"/>
        <v>0</v>
      </c>
      <c r="AK103" s="312">
        <f t="shared" si="710"/>
        <v>0</v>
      </c>
      <c r="AM103" s="1"/>
      <c r="AN103" s="2">
        <v>8.3333333333333329E-2</v>
      </c>
      <c r="AO103" s="254">
        <f t="shared" si="904"/>
        <v>0</v>
      </c>
      <c r="AP103" s="249">
        <f t="shared" si="917"/>
        <v>0</v>
      </c>
      <c r="AQ103" s="301">
        <f t="shared" si="683"/>
        <v>0</v>
      </c>
      <c r="AR103" s="249">
        <f t="shared" si="884"/>
        <v>0</v>
      </c>
      <c r="AS103" s="301">
        <f t="shared" si="683"/>
        <v>0</v>
      </c>
      <c r="AT103" s="249">
        <f t="shared" si="884"/>
        <v>0</v>
      </c>
      <c r="AU103" s="301">
        <f t="shared" si="684"/>
        <v>0</v>
      </c>
      <c r="AV103" s="249">
        <f t="shared" si="884"/>
        <v>0</v>
      </c>
      <c r="AW103" s="301">
        <f t="shared" si="711"/>
        <v>0</v>
      </c>
      <c r="AX103" s="249">
        <f t="shared" si="884"/>
        <v>0</v>
      </c>
      <c r="AY103" s="301">
        <f t="shared" si="712"/>
        <v>0</v>
      </c>
      <c r="AZ103" s="249">
        <f t="shared" si="884"/>
        <v>0</v>
      </c>
      <c r="BA103" s="301">
        <f t="shared" si="713"/>
        <v>0</v>
      </c>
      <c r="BB103" s="249">
        <f t="shared" si="884"/>
        <v>0</v>
      </c>
      <c r="BC103" s="301">
        <f t="shared" si="714"/>
        <v>0</v>
      </c>
      <c r="BD103" s="249">
        <f t="shared" si="884"/>
        <v>0</v>
      </c>
      <c r="BE103" s="301">
        <f t="shared" si="715"/>
        <v>0</v>
      </c>
      <c r="BF103" s="249">
        <f t="shared" si="882"/>
        <v>0</v>
      </c>
      <c r="BG103" s="301">
        <f t="shared" si="716"/>
        <v>0</v>
      </c>
      <c r="BH103" s="249">
        <f t="shared" si="885"/>
        <v>0</v>
      </c>
      <c r="BI103" s="301">
        <f t="shared" si="940"/>
        <v>0</v>
      </c>
      <c r="BJ103" s="249">
        <f t="shared" si="885"/>
        <v>0</v>
      </c>
      <c r="BK103" s="301">
        <f t="shared" si="940"/>
        <v>0</v>
      </c>
      <c r="BL103" s="249">
        <f t="shared" si="661"/>
        <v>0</v>
      </c>
      <c r="BM103" s="299">
        <f t="shared" si="718"/>
        <v>0</v>
      </c>
      <c r="BN103" s="252">
        <f t="shared" si="719"/>
        <v>0</v>
      </c>
      <c r="BO103" s="312">
        <f t="shared" si="926"/>
        <v>0</v>
      </c>
      <c r="BQ103" s="1"/>
      <c r="BR103" s="2"/>
      <c r="BS103" s="255">
        <f t="shared" si="919"/>
        <v>0</v>
      </c>
      <c r="BT103" s="249">
        <f t="shared" si="881"/>
        <v>0</v>
      </c>
      <c r="BU103" s="336">
        <f t="shared" si="720"/>
        <v>0</v>
      </c>
      <c r="BV103" s="279">
        <f t="shared" si="721"/>
        <v>0</v>
      </c>
      <c r="BW103" s="339">
        <f t="shared" si="722"/>
        <v>0</v>
      </c>
      <c r="BX103" s="279">
        <f t="shared" si="721"/>
        <v>0</v>
      </c>
      <c r="BY103" s="339">
        <f t="shared" si="723"/>
        <v>0</v>
      </c>
      <c r="BZ103" s="279">
        <f t="shared" si="721"/>
        <v>0</v>
      </c>
      <c r="CA103" s="339">
        <f t="shared" si="724"/>
        <v>0</v>
      </c>
      <c r="CB103" s="279">
        <f t="shared" si="721"/>
        <v>0</v>
      </c>
      <c r="CC103" s="339">
        <f t="shared" si="725"/>
        <v>0</v>
      </c>
      <c r="CD103" s="279">
        <f t="shared" si="721"/>
        <v>0</v>
      </c>
      <c r="CE103" s="339">
        <f t="shared" si="726"/>
        <v>0</v>
      </c>
      <c r="CF103" s="279">
        <f t="shared" si="721"/>
        <v>0</v>
      </c>
      <c r="CG103" s="339">
        <f t="shared" si="727"/>
        <v>0</v>
      </c>
      <c r="CH103" s="279">
        <f t="shared" si="721"/>
        <v>0</v>
      </c>
      <c r="CI103" s="339">
        <f t="shared" si="728"/>
        <v>0</v>
      </c>
      <c r="CJ103" s="279">
        <f t="shared" si="729"/>
        <v>0</v>
      </c>
      <c r="CK103" s="339">
        <f t="shared" si="730"/>
        <v>0</v>
      </c>
      <c r="CL103" s="279">
        <f t="shared" si="463"/>
        <v>0</v>
      </c>
      <c r="CM103" s="339">
        <f t="shared" si="731"/>
        <v>0</v>
      </c>
      <c r="CN103" s="279">
        <f t="shared" si="732"/>
        <v>0</v>
      </c>
      <c r="CO103" s="339">
        <f t="shared" si="733"/>
        <v>0</v>
      </c>
      <c r="CP103" s="279">
        <f t="shared" si="464"/>
        <v>0</v>
      </c>
      <c r="CQ103" s="250">
        <f t="shared" si="905"/>
        <v>0</v>
      </c>
      <c r="CR103" s="252">
        <f t="shared" si="734"/>
        <v>0</v>
      </c>
      <c r="CS103" s="251">
        <f t="shared" si="887"/>
        <v>0</v>
      </c>
      <c r="CU103" s="1"/>
      <c r="CV103" s="2"/>
      <c r="CW103" s="255">
        <f t="shared" si="920"/>
        <v>0</v>
      </c>
      <c r="CX103" s="249">
        <f t="shared" si="735"/>
        <v>0</v>
      </c>
      <c r="CY103" s="250">
        <f t="shared" si="736"/>
        <v>0</v>
      </c>
      <c r="CZ103" s="279">
        <f t="shared" si="870"/>
        <v>0</v>
      </c>
      <c r="DA103" s="299">
        <f t="shared" si="736"/>
        <v>0</v>
      </c>
      <c r="DB103" s="279">
        <f t="shared" si="870"/>
        <v>0</v>
      </c>
      <c r="DC103" s="299">
        <f t="shared" si="737"/>
        <v>0</v>
      </c>
      <c r="DD103" s="279">
        <f t="shared" si="870"/>
        <v>0</v>
      </c>
      <c r="DE103" s="299">
        <f t="shared" si="738"/>
        <v>0</v>
      </c>
      <c r="DF103" s="279">
        <f t="shared" si="870"/>
        <v>0</v>
      </c>
      <c r="DG103" s="299">
        <f t="shared" si="739"/>
        <v>0</v>
      </c>
      <c r="DH103" s="279">
        <f t="shared" si="870"/>
        <v>0</v>
      </c>
      <c r="DI103" s="299">
        <f t="shared" si="740"/>
        <v>0</v>
      </c>
      <c r="DJ103" s="279">
        <f t="shared" si="870"/>
        <v>0</v>
      </c>
      <c r="DK103" s="299">
        <f t="shared" si="741"/>
        <v>0</v>
      </c>
      <c r="DL103" s="279">
        <f t="shared" si="870"/>
        <v>0</v>
      </c>
      <c r="DM103" s="299">
        <f t="shared" si="742"/>
        <v>0</v>
      </c>
      <c r="DN103" s="279">
        <f t="shared" si="743"/>
        <v>0</v>
      </c>
      <c r="DO103" s="299">
        <f t="shared" si="744"/>
        <v>0</v>
      </c>
      <c r="DP103" s="279">
        <f t="shared" si="471"/>
        <v>0</v>
      </c>
      <c r="DQ103" s="299">
        <f t="shared" si="745"/>
        <v>0</v>
      </c>
      <c r="DR103" s="279">
        <f t="shared" si="746"/>
        <v>0</v>
      </c>
      <c r="DS103" s="299">
        <f t="shared" si="747"/>
        <v>0</v>
      </c>
      <c r="DT103" s="279">
        <f t="shared" si="472"/>
        <v>0</v>
      </c>
      <c r="DU103" s="299">
        <f t="shared" si="748"/>
        <v>0</v>
      </c>
      <c r="DV103" s="252">
        <f t="shared" si="749"/>
        <v>0</v>
      </c>
      <c r="DW103" s="251">
        <f t="shared" si="888"/>
        <v>0</v>
      </c>
      <c r="DY103" s="256">
        <v>0</v>
      </c>
      <c r="DZ103" s="2"/>
      <c r="EA103" s="254">
        <f t="shared" si="906"/>
        <v>0</v>
      </c>
      <c r="EB103" s="249">
        <f t="shared" si="871"/>
        <v>0</v>
      </c>
      <c r="EC103" s="250">
        <f t="shared" si="750"/>
        <v>0</v>
      </c>
      <c r="ED103" s="356">
        <f t="shared" si="871"/>
        <v>0</v>
      </c>
      <c r="EE103" s="250">
        <f t="shared" si="750"/>
        <v>0</v>
      </c>
      <c r="EF103" s="249">
        <f t="shared" si="872"/>
        <v>0</v>
      </c>
      <c r="EG103" s="250">
        <f t="shared" si="941"/>
        <v>0</v>
      </c>
      <c r="EH103" s="249">
        <f t="shared" si="872"/>
        <v>0</v>
      </c>
      <c r="EI103" s="250">
        <f t="shared" si="941"/>
        <v>0</v>
      </c>
      <c r="EJ103" s="249">
        <f t="shared" si="872"/>
        <v>0</v>
      </c>
      <c r="EK103" s="250">
        <f t="shared" si="752"/>
        <v>0</v>
      </c>
      <c r="EL103" s="249">
        <f t="shared" si="872"/>
        <v>0</v>
      </c>
      <c r="EM103" s="250">
        <f t="shared" si="753"/>
        <v>0</v>
      </c>
      <c r="EN103" s="249">
        <f t="shared" si="872"/>
        <v>0</v>
      </c>
      <c r="EO103" s="250">
        <f t="shared" si="754"/>
        <v>0</v>
      </c>
      <c r="EP103" s="249">
        <f t="shared" si="872"/>
        <v>0</v>
      </c>
      <c r="EQ103" s="250">
        <f t="shared" si="755"/>
        <v>0</v>
      </c>
      <c r="ER103" s="249">
        <f t="shared" si="872"/>
        <v>0</v>
      </c>
      <c r="ES103" s="250">
        <f t="shared" si="756"/>
        <v>0</v>
      </c>
      <c r="ET103" s="249">
        <f t="shared" si="921"/>
        <v>0</v>
      </c>
      <c r="EU103" s="250">
        <f t="shared" si="757"/>
        <v>0</v>
      </c>
      <c r="EV103" s="249">
        <f t="shared" si="758"/>
        <v>0</v>
      </c>
      <c r="EW103" s="250">
        <f t="shared" si="759"/>
        <v>0</v>
      </c>
      <c r="EX103" s="249">
        <f t="shared" si="922"/>
        <v>0</v>
      </c>
      <c r="EY103" s="250">
        <f t="shared" si="760"/>
        <v>0</v>
      </c>
      <c r="EZ103" s="252">
        <f t="shared" si="761"/>
        <v>0</v>
      </c>
      <c r="FA103" s="251">
        <f t="shared" si="907"/>
        <v>0</v>
      </c>
      <c r="FC103" s="1"/>
      <c r="FD103" s="2"/>
      <c r="FE103" s="257">
        <f t="shared" si="908"/>
        <v>0</v>
      </c>
      <c r="FF103" s="249">
        <f t="shared" si="762"/>
        <v>0</v>
      </c>
      <c r="FG103" s="250">
        <f t="shared" si="763"/>
        <v>0</v>
      </c>
      <c r="FH103" s="372">
        <f t="shared" si="873"/>
        <v>0</v>
      </c>
      <c r="FI103" s="339">
        <f t="shared" si="764"/>
        <v>0</v>
      </c>
      <c r="FJ103" s="372">
        <f t="shared" si="873"/>
        <v>0</v>
      </c>
      <c r="FK103" s="339">
        <f t="shared" si="764"/>
        <v>0</v>
      </c>
      <c r="FL103" s="372">
        <f t="shared" si="873"/>
        <v>0</v>
      </c>
      <c r="FM103" s="339">
        <f t="shared" si="765"/>
        <v>0</v>
      </c>
      <c r="FN103" s="372">
        <f t="shared" si="873"/>
        <v>0</v>
      </c>
      <c r="FO103" s="339">
        <f t="shared" si="766"/>
        <v>0</v>
      </c>
      <c r="FP103" s="372">
        <f t="shared" si="873"/>
        <v>0</v>
      </c>
      <c r="FQ103" s="339">
        <f t="shared" si="767"/>
        <v>0</v>
      </c>
      <c r="FR103" s="372">
        <f t="shared" si="873"/>
        <v>0</v>
      </c>
      <c r="FS103" s="339">
        <f t="shared" si="768"/>
        <v>0</v>
      </c>
      <c r="FT103" s="372">
        <f t="shared" si="873"/>
        <v>0</v>
      </c>
      <c r="FU103" s="339">
        <f t="shared" si="769"/>
        <v>0</v>
      </c>
      <c r="FV103" s="372">
        <f t="shared" si="770"/>
        <v>0</v>
      </c>
      <c r="FW103" s="339">
        <f t="shared" si="771"/>
        <v>0</v>
      </c>
      <c r="FX103" s="372">
        <f t="shared" si="479"/>
        <v>0</v>
      </c>
      <c r="FY103" s="339">
        <f t="shared" si="772"/>
        <v>0</v>
      </c>
      <c r="FZ103" s="372">
        <f t="shared" si="773"/>
        <v>0</v>
      </c>
      <c r="GA103" s="339">
        <f t="shared" si="774"/>
        <v>0</v>
      </c>
      <c r="GB103" s="372">
        <f t="shared" si="480"/>
        <v>0</v>
      </c>
      <c r="GC103" s="339">
        <f t="shared" si="775"/>
        <v>0</v>
      </c>
      <c r="GD103" s="252">
        <f t="shared" si="776"/>
        <v>0</v>
      </c>
      <c r="GE103" s="251">
        <f t="shared" si="927"/>
        <v>0</v>
      </c>
      <c r="GG103" s="1"/>
      <c r="GH103" s="2">
        <v>0.2</v>
      </c>
      <c r="GI103" s="257">
        <f t="shared" si="909"/>
        <v>0</v>
      </c>
      <c r="GJ103" s="249">
        <f t="shared" si="777"/>
        <v>0</v>
      </c>
      <c r="GK103" s="250">
        <f t="shared" si="778"/>
        <v>0</v>
      </c>
      <c r="GL103" s="249">
        <f t="shared" si="777"/>
        <v>0</v>
      </c>
      <c r="GM103" s="250">
        <f t="shared" si="778"/>
        <v>0</v>
      </c>
      <c r="GN103" s="249">
        <f t="shared" si="777"/>
        <v>0</v>
      </c>
      <c r="GO103" s="250">
        <f t="shared" si="894"/>
        <v>0</v>
      </c>
      <c r="GP103" s="249">
        <f t="shared" si="777"/>
        <v>0</v>
      </c>
      <c r="GQ103" s="250">
        <f t="shared" si="895"/>
        <v>0</v>
      </c>
      <c r="GR103" s="249">
        <f t="shared" si="777"/>
        <v>0</v>
      </c>
      <c r="GS103" s="250">
        <f t="shared" si="896"/>
        <v>0</v>
      </c>
      <c r="GT103" s="249">
        <f t="shared" si="777"/>
        <v>0</v>
      </c>
      <c r="GU103" s="250">
        <f t="shared" si="897"/>
        <v>0</v>
      </c>
      <c r="GV103" s="249">
        <f t="shared" si="777"/>
        <v>0</v>
      </c>
      <c r="GW103" s="250">
        <f t="shared" si="898"/>
        <v>0</v>
      </c>
      <c r="GX103" s="249">
        <f t="shared" si="784"/>
        <v>0</v>
      </c>
      <c r="GY103" s="250">
        <f t="shared" si="899"/>
        <v>0</v>
      </c>
      <c r="GZ103" s="249">
        <f t="shared" si="786"/>
        <v>0</v>
      </c>
      <c r="HA103" s="250">
        <f t="shared" si="900"/>
        <v>0</v>
      </c>
      <c r="HB103" s="249">
        <f t="shared" si="788"/>
        <v>0</v>
      </c>
      <c r="HC103" s="250">
        <f t="shared" si="901"/>
        <v>0</v>
      </c>
      <c r="HD103" s="249">
        <f t="shared" si="790"/>
        <v>0</v>
      </c>
      <c r="HE103" s="250">
        <f t="shared" si="902"/>
        <v>0</v>
      </c>
      <c r="HF103" s="249">
        <f t="shared" si="792"/>
        <v>0</v>
      </c>
      <c r="HG103" s="250">
        <f t="shared" si="903"/>
        <v>0</v>
      </c>
      <c r="HH103" s="252">
        <f t="shared" si="794"/>
        <v>0</v>
      </c>
      <c r="HI103" s="251">
        <f t="shared" si="910"/>
        <v>0</v>
      </c>
      <c r="HK103" s="1"/>
      <c r="HL103" s="2"/>
      <c r="HM103" s="257">
        <f t="shared" si="911"/>
        <v>0</v>
      </c>
      <c r="HN103" s="249">
        <f t="shared" si="795"/>
        <v>0</v>
      </c>
      <c r="HO103" s="250">
        <f t="shared" si="912"/>
        <v>0</v>
      </c>
      <c r="HP103" s="249">
        <f t="shared" si="796"/>
        <v>0</v>
      </c>
      <c r="HQ103" s="250">
        <f t="shared" si="797"/>
        <v>0</v>
      </c>
      <c r="HR103" s="249">
        <f t="shared" si="796"/>
        <v>0</v>
      </c>
      <c r="HS103" s="250">
        <f t="shared" si="797"/>
        <v>0</v>
      </c>
      <c r="HT103" s="249">
        <f t="shared" si="796"/>
        <v>0</v>
      </c>
      <c r="HU103" s="250">
        <f t="shared" si="798"/>
        <v>0</v>
      </c>
      <c r="HV103" s="249">
        <f t="shared" si="796"/>
        <v>0</v>
      </c>
      <c r="HW103" s="250">
        <f t="shared" si="799"/>
        <v>0</v>
      </c>
      <c r="HX103" s="249">
        <f t="shared" si="796"/>
        <v>0</v>
      </c>
      <c r="HY103" s="250">
        <f t="shared" si="800"/>
        <v>0</v>
      </c>
      <c r="HZ103" s="249">
        <f t="shared" si="796"/>
        <v>0</v>
      </c>
      <c r="IA103" s="250">
        <f t="shared" si="801"/>
        <v>0</v>
      </c>
      <c r="IB103" s="249">
        <f t="shared" si="796"/>
        <v>0</v>
      </c>
      <c r="IC103" s="250">
        <f t="shared" si="802"/>
        <v>0</v>
      </c>
      <c r="ID103" s="249">
        <f t="shared" si="803"/>
        <v>0</v>
      </c>
      <c r="IE103" s="250">
        <f t="shared" si="804"/>
        <v>0</v>
      </c>
      <c r="IF103" s="249">
        <f t="shared" si="805"/>
        <v>0</v>
      </c>
      <c r="IG103" s="250">
        <f t="shared" si="806"/>
        <v>0</v>
      </c>
      <c r="IH103" s="249">
        <f t="shared" si="807"/>
        <v>0</v>
      </c>
      <c r="II103" s="250">
        <f t="shared" si="808"/>
        <v>0</v>
      </c>
      <c r="IJ103" s="249">
        <f t="shared" si="809"/>
        <v>0</v>
      </c>
      <c r="IK103" s="250">
        <f t="shared" si="810"/>
        <v>0</v>
      </c>
      <c r="IL103" s="252">
        <f t="shared" si="811"/>
        <v>0</v>
      </c>
      <c r="IM103" s="251">
        <f t="shared" si="812"/>
        <v>0</v>
      </c>
      <c r="IO103" s="1"/>
      <c r="IP103" s="2">
        <v>8.3333333333333329E-2</v>
      </c>
      <c r="IQ103" s="257">
        <f t="shared" si="913"/>
        <v>0</v>
      </c>
      <c r="IR103" s="249">
        <f t="shared" si="813"/>
        <v>0</v>
      </c>
      <c r="IS103" s="250">
        <f t="shared" si="814"/>
        <v>0</v>
      </c>
      <c r="IT103" s="279">
        <f t="shared" si="874"/>
        <v>0</v>
      </c>
      <c r="IU103" s="289">
        <f t="shared" si="815"/>
        <v>0</v>
      </c>
      <c r="IV103" s="279">
        <f t="shared" si="874"/>
        <v>0</v>
      </c>
      <c r="IW103" s="289">
        <f t="shared" si="815"/>
        <v>0</v>
      </c>
      <c r="IX103" s="279">
        <f t="shared" si="874"/>
        <v>0</v>
      </c>
      <c r="IY103" s="289">
        <f t="shared" si="816"/>
        <v>0</v>
      </c>
      <c r="IZ103" s="279">
        <f t="shared" si="874"/>
        <v>0</v>
      </c>
      <c r="JA103" s="289">
        <f t="shared" si="817"/>
        <v>0</v>
      </c>
      <c r="JB103" s="279">
        <f t="shared" si="874"/>
        <v>0</v>
      </c>
      <c r="JC103" s="289">
        <f t="shared" si="818"/>
        <v>0</v>
      </c>
      <c r="JD103" s="279">
        <f t="shared" si="874"/>
        <v>0</v>
      </c>
      <c r="JE103" s="289">
        <f t="shared" si="819"/>
        <v>0</v>
      </c>
      <c r="JF103" s="279">
        <f t="shared" si="874"/>
        <v>0</v>
      </c>
      <c r="JG103" s="289">
        <f t="shared" si="820"/>
        <v>0</v>
      </c>
      <c r="JH103" s="279">
        <f t="shared" si="821"/>
        <v>0</v>
      </c>
      <c r="JI103" s="289">
        <f t="shared" si="822"/>
        <v>0</v>
      </c>
      <c r="JJ103" s="279">
        <f t="shared" si="923"/>
        <v>0</v>
      </c>
      <c r="JK103" s="289">
        <f t="shared" si="823"/>
        <v>0</v>
      </c>
      <c r="JL103" s="279">
        <f t="shared" si="824"/>
        <v>0</v>
      </c>
      <c r="JM103" s="289">
        <f t="shared" si="825"/>
        <v>0</v>
      </c>
      <c r="JN103" s="279">
        <f t="shared" si="924"/>
        <v>0</v>
      </c>
      <c r="JO103" s="289">
        <f t="shared" si="826"/>
        <v>0</v>
      </c>
      <c r="JP103" s="252">
        <f t="shared" si="827"/>
        <v>0</v>
      </c>
      <c r="JQ103" s="251">
        <f t="shared" si="828"/>
        <v>0</v>
      </c>
      <c r="JS103" s="1"/>
      <c r="JT103" s="2">
        <v>8.3333333333333329E-2</v>
      </c>
      <c r="JU103" s="257">
        <f t="shared" si="914"/>
        <v>0</v>
      </c>
      <c r="JV103" s="249">
        <f t="shared" si="829"/>
        <v>0</v>
      </c>
      <c r="JW103" s="250">
        <f t="shared" si="830"/>
        <v>0</v>
      </c>
      <c r="JX103" s="372">
        <f t="shared" si="875"/>
        <v>0</v>
      </c>
      <c r="JY103" s="339">
        <f t="shared" si="831"/>
        <v>0</v>
      </c>
      <c r="JZ103" s="372">
        <f t="shared" si="875"/>
        <v>0</v>
      </c>
      <c r="KA103" s="339">
        <f t="shared" si="831"/>
        <v>0</v>
      </c>
      <c r="KB103" s="372">
        <f t="shared" si="875"/>
        <v>0</v>
      </c>
      <c r="KC103" s="339">
        <f t="shared" si="832"/>
        <v>0</v>
      </c>
      <c r="KD103" s="372">
        <f t="shared" si="875"/>
        <v>0</v>
      </c>
      <c r="KE103" s="339">
        <f t="shared" si="833"/>
        <v>0</v>
      </c>
      <c r="KF103" s="372">
        <f t="shared" si="875"/>
        <v>0</v>
      </c>
      <c r="KG103" s="339">
        <f t="shared" si="834"/>
        <v>0</v>
      </c>
      <c r="KH103" s="372">
        <f t="shared" si="875"/>
        <v>0</v>
      </c>
      <c r="KI103" s="339">
        <f t="shared" si="835"/>
        <v>0</v>
      </c>
      <c r="KJ103" s="372">
        <f t="shared" si="875"/>
        <v>0</v>
      </c>
      <c r="KK103" s="339">
        <f t="shared" si="836"/>
        <v>0</v>
      </c>
      <c r="KL103" s="372">
        <f t="shared" si="837"/>
        <v>0</v>
      </c>
      <c r="KM103" s="339">
        <f t="shared" si="838"/>
        <v>0</v>
      </c>
      <c r="KN103" s="372">
        <f t="shared" si="918"/>
        <v>0</v>
      </c>
      <c r="KO103" s="339">
        <f t="shared" si="839"/>
        <v>0</v>
      </c>
      <c r="KP103" s="372">
        <f t="shared" si="840"/>
        <v>0</v>
      </c>
      <c r="KQ103" s="339">
        <f t="shared" si="841"/>
        <v>0</v>
      </c>
      <c r="KR103" s="372">
        <f t="shared" si="925"/>
        <v>0</v>
      </c>
      <c r="KS103" s="377">
        <f t="shared" si="842"/>
        <v>0</v>
      </c>
      <c r="KT103" s="379">
        <f t="shared" si="843"/>
        <v>0</v>
      </c>
      <c r="KU103" s="251">
        <f t="shared" si="915"/>
        <v>0</v>
      </c>
      <c r="KW103" s="1"/>
      <c r="KX103" s="2">
        <v>8.3333333333333329E-2</v>
      </c>
      <c r="KY103" s="254">
        <f t="shared" si="680"/>
        <v>0</v>
      </c>
      <c r="KZ103" s="249">
        <f t="shared" si="876"/>
        <v>0</v>
      </c>
      <c r="LA103" s="251">
        <f t="shared" si="681"/>
        <v>0</v>
      </c>
      <c r="LB103" s="279">
        <f t="shared" si="844"/>
        <v>0</v>
      </c>
      <c r="LC103" s="339">
        <f t="shared" si="845"/>
        <v>0</v>
      </c>
      <c r="LD103" s="279">
        <f t="shared" si="844"/>
        <v>0</v>
      </c>
      <c r="LE103" s="339">
        <f t="shared" si="845"/>
        <v>0</v>
      </c>
      <c r="LF103" s="279">
        <f t="shared" si="844"/>
        <v>0</v>
      </c>
      <c r="LG103" s="339">
        <f t="shared" si="846"/>
        <v>0</v>
      </c>
      <c r="LH103" s="279">
        <f t="shared" si="844"/>
        <v>0</v>
      </c>
      <c r="LI103" s="339">
        <f t="shared" si="847"/>
        <v>0</v>
      </c>
      <c r="LJ103" s="279">
        <f t="shared" si="844"/>
        <v>0</v>
      </c>
      <c r="LK103" s="339">
        <f t="shared" si="848"/>
        <v>0</v>
      </c>
      <c r="LL103" s="279">
        <f t="shared" si="844"/>
        <v>0</v>
      </c>
      <c r="LM103" s="339">
        <f t="shared" si="849"/>
        <v>0</v>
      </c>
      <c r="LN103" s="279">
        <f t="shared" si="844"/>
        <v>0</v>
      </c>
      <c r="LO103" s="339">
        <f t="shared" si="850"/>
        <v>0</v>
      </c>
      <c r="LP103" s="279">
        <f t="shared" si="877"/>
        <v>0</v>
      </c>
      <c r="LQ103" s="339">
        <f t="shared" si="851"/>
        <v>0</v>
      </c>
      <c r="LR103" s="279">
        <f t="shared" si="878"/>
        <v>0</v>
      </c>
      <c r="LS103" s="339">
        <f t="shared" si="852"/>
        <v>0</v>
      </c>
      <c r="LT103" s="279">
        <f t="shared" si="879"/>
        <v>0</v>
      </c>
      <c r="LU103" s="339">
        <f t="shared" si="853"/>
        <v>0</v>
      </c>
      <c r="LV103" s="279">
        <f t="shared" si="880"/>
        <v>0</v>
      </c>
      <c r="LW103" s="339">
        <f t="shared" si="854"/>
        <v>0</v>
      </c>
      <c r="LX103" s="252">
        <f t="shared" si="855"/>
        <v>0</v>
      </c>
      <c r="LY103" s="253">
        <f t="shared" si="856"/>
        <v>0</v>
      </c>
      <c r="MA103" s="249">
        <f t="shared" si="928"/>
        <v>0</v>
      </c>
      <c r="MB103" s="253">
        <f t="shared" si="857"/>
        <v>0</v>
      </c>
      <c r="MC103" s="397">
        <f t="shared" si="929"/>
        <v>0</v>
      </c>
      <c r="MD103" s="253">
        <f t="shared" si="858"/>
        <v>0</v>
      </c>
      <c r="ME103" s="397">
        <f t="shared" si="930"/>
        <v>0</v>
      </c>
      <c r="MF103" s="253">
        <f t="shared" si="858"/>
        <v>0</v>
      </c>
      <c r="MG103" s="397">
        <f t="shared" si="931"/>
        <v>0</v>
      </c>
      <c r="MH103" s="253">
        <f t="shared" si="859"/>
        <v>0</v>
      </c>
      <c r="MI103" s="397">
        <f t="shared" si="932"/>
        <v>0</v>
      </c>
      <c r="MJ103" s="253">
        <f t="shared" si="860"/>
        <v>0</v>
      </c>
      <c r="MK103" s="397">
        <f t="shared" si="933"/>
        <v>0</v>
      </c>
      <c r="ML103" s="253">
        <f t="shared" si="861"/>
        <v>0</v>
      </c>
      <c r="MM103" s="397">
        <f t="shared" si="934"/>
        <v>0</v>
      </c>
      <c r="MN103" s="253">
        <f t="shared" si="862"/>
        <v>0</v>
      </c>
      <c r="MO103" s="397">
        <f t="shared" si="935"/>
        <v>0</v>
      </c>
      <c r="MP103" s="253">
        <f t="shared" si="863"/>
        <v>0</v>
      </c>
      <c r="MQ103" s="397">
        <f t="shared" si="936"/>
        <v>0</v>
      </c>
      <c r="MR103" s="253">
        <f t="shared" si="864"/>
        <v>0</v>
      </c>
      <c r="MS103" s="397">
        <f t="shared" si="937"/>
        <v>0</v>
      </c>
      <c r="MT103" s="253">
        <f t="shared" si="865"/>
        <v>0</v>
      </c>
      <c r="MU103" s="397">
        <f t="shared" si="938"/>
        <v>0</v>
      </c>
      <c r="MV103" s="253">
        <f t="shared" si="866"/>
        <v>0</v>
      </c>
      <c r="MW103" s="397">
        <f t="shared" si="939"/>
        <v>0</v>
      </c>
      <c r="MX103" s="253">
        <f t="shared" si="867"/>
        <v>0</v>
      </c>
      <c r="MY103" s="252">
        <f t="shared" si="868"/>
        <v>0</v>
      </c>
      <c r="MZ103" s="251">
        <f t="shared" si="869"/>
        <v>0</v>
      </c>
    </row>
    <row r="104" spans="1:364" ht="52.8" x14ac:dyDescent="0.25">
      <c r="A104" s="533"/>
      <c r="B104" s="245" t="s">
        <v>216</v>
      </c>
      <c r="C104" s="246" t="s">
        <v>217</v>
      </c>
      <c r="D104" s="247" t="s">
        <v>119</v>
      </c>
      <c r="E104" s="4">
        <v>10</v>
      </c>
      <c r="F104" s="353">
        <v>7514114.3856736235</v>
      </c>
      <c r="G104" s="353">
        <f t="shared" si="700"/>
        <v>7827274.0480708396</v>
      </c>
      <c r="I104" s="30"/>
      <c r="J104" s="2">
        <v>8.3333333333333329E-2</v>
      </c>
      <c r="K104" s="248">
        <f t="shared" si="701"/>
        <v>0</v>
      </c>
      <c r="L104" s="249"/>
      <c r="M104" s="299">
        <f t="shared" si="445"/>
        <v>0</v>
      </c>
      <c r="N104" s="279">
        <f t="shared" si="889"/>
        <v>0</v>
      </c>
      <c r="O104" s="289">
        <f t="shared" si="916"/>
        <v>0</v>
      </c>
      <c r="P104" s="279">
        <f t="shared" si="889"/>
        <v>0</v>
      </c>
      <c r="Q104" s="289">
        <f t="shared" si="916"/>
        <v>0</v>
      </c>
      <c r="R104" s="279">
        <f t="shared" si="889"/>
        <v>0</v>
      </c>
      <c r="S104" s="289">
        <f t="shared" si="702"/>
        <v>0</v>
      </c>
      <c r="T104" s="279">
        <f t="shared" si="889"/>
        <v>0</v>
      </c>
      <c r="U104" s="289">
        <f t="shared" si="703"/>
        <v>0</v>
      </c>
      <c r="V104" s="279">
        <f t="shared" si="889"/>
        <v>0</v>
      </c>
      <c r="W104" s="289">
        <f t="shared" si="704"/>
        <v>0</v>
      </c>
      <c r="X104" s="279">
        <f t="shared" si="889"/>
        <v>0</v>
      </c>
      <c r="Y104" s="289">
        <f t="shared" si="705"/>
        <v>0</v>
      </c>
      <c r="Z104" s="279">
        <f t="shared" si="889"/>
        <v>0</v>
      </c>
      <c r="AA104" s="289">
        <f t="shared" si="706"/>
        <v>0</v>
      </c>
      <c r="AB104" s="279">
        <f t="shared" si="889"/>
        <v>0</v>
      </c>
      <c r="AC104" s="289">
        <f t="shared" si="707"/>
        <v>0</v>
      </c>
      <c r="AD104" s="279">
        <f t="shared" si="889"/>
        <v>0</v>
      </c>
      <c r="AE104" s="289">
        <f t="shared" si="708"/>
        <v>0</v>
      </c>
      <c r="AF104" s="279">
        <f t="shared" si="889"/>
        <v>0</v>
      </c>
      <c r="AG104" s="289">
        <f t="shared" si="890"/>
        <v>0</v>
      </c>
      <c r="AH104" s="249">
        <f t="shared" si="456"/>
        <v>0</v>
      </c>
      <c r="AI104" s="299">
        <f t="shared" si="891"/>
        <v>0</v>
      </c>
      <c r="AJ104" s="252">
        <f t="shared" si="709"/>
        <v>0</v>
      </c>
      <c r="AK104" s="312">
        <f t="shared" si="710"/>
        <v>0</v>
      </c>
      <c r="AM104" s="1"/>
      <c r="AN104" s="2">
        <v>8.3333333333333329E-2</v>
      </c>
      <c r="AO104" s="254">
        <f t="shared" si="904"/>
        <v>0</v>
      </c>
      <c r="AP104" s="249">
        <f t="shared" si="917"/>
        <v>0</v>
      </c>
      <c r="AQ104" s="301">
        <f t="shared" si="683"/>
        <v>0</v>
      </c>
      <c r="AR104" s="249">
        <f t="shared" si="884"/>
        <v>0</v>
      </c>
      <c r="AS104" s="301">
        <f t="shared" si="683"/>
        <v>0</v>
      </c>
      <c r="AT104" s="249">
        <f t="shared" si="884"/>
        <v>0</v>
      </c>
      <c r="AU104" s="301">
        <f t="shared" si="684"/>
        <v>0</v>
      </c>
      <c r="AV104" s="249">
        <f t="shared" si="884"/>
        <v>0</v>
      </c>
      <c r="AW104" s="301">
        <f t="shared" si="711"/>
        <v>0</v>
      </c>
      <c r="AX104" s="249">
        <f t="shared" si="884"/>
        <v>0</v>
      </c>
      <c r="AY104" s="301">
        <f t="shared" si="712"/>
        <v>0</v>
      </c>
      <c r="AZ104" s="249">
        <f t="shared" si="884"/>
        <v>0</v>
      </c>
      <c r="BA104" s="301">
        <f t="shared" si="713"/>
        <v>0</v>
      </c>
      <c r="BB104" s="249">
        <f t="shared" si="884"/>
        <v>0</v>
      </c>
      <c r="BC104" s="301">
        <f t="shared" si="714"/>
        <v>0</v>
      </c>
      <c r="BD104" s="249">
        <f t="shared" si="884"/>
        <v>0</v>
      </c>
      <c r="BE104" s="301">
        <f t="shared" si="715"/>
        <v>0</v>
      </c>
      <c r="BF104" s="249">
        <f t="shared" si="882"/>
        <v>0</v>
      </c>
      <c r="BG104" s="301">
        <f t="shared" si="716"/>
        <v>0</v>
      </c>
      <c r="BH104" s="249">
        <f t="shared" si="885"/>
        <v>0</v>
      </c>
      <c r="BI104" s="301">
        <f t="shared" si="940"/>
        <v>0</v>
      </c>
      <c r="BJ104" s="249">
        <f t="shared" si="885"/>
        <v>0</v>
      </c>
      <c r="BK104" s="301">
        <f t="shared" si="940"/>
        <v>0</v>
      </c>
      <c r="BL104" s="249">
        <f t="shared" si="661"/>
        <v>0</v>
      </c>
      <c r="BM104" s="299">
        <f t="shared" si="718"/>
        <v>0</v>
      </c>
      <c r="BN104" s="252">
        <f t="shared" si="719"/>
        <v>0</v>
      </c>
      <c r="BO104" s="312">
        <f t="shared" si="926"/>
        <v>0</v>
      </c>
      <c r="BQ104" s="1"/>
      <c r="BR104" s="2"/>
      <c r="BS104" s="255">
        <f t="shared" si="919"/>
        <v>0</v>
      </c>
      <c r="BT104" s="249">
        <f t="shared" si="881"/>
        <v>0</v>
      </c>
      <c r="BU104" s="336">
        <f t="shared" si="720"/>
        <v>0</v>
      </c>
      <c r="BV104" s="279">
        <f t="shared" si="721"/>
        <v>0</v>
      </c>
      <c r="BW104" s="339">
        <f t="shared" si="722"/>
        <v>0</v>
      </c>
      <c r="BX104" s="279">
        <f t="shared" si="721"/>
        <v>0</v>
      </c>
      <c r="BY104" s="339">
        <f t="shared" si="723"/>
        <v>0</v>
      </c>
      <c r="BZ104" s="279">
        <f t="shared" si="721"/>
        <v>0</v>
      </c>
      <c r="CA104" s="339">
        <f t="shared" si="724"/>
        <v>0</v>
      </c>
      <c r="CB104" s="279">
        <f t="shared" si="721"/>
        <v>0</v>
      </c>
      <c r="CC104" s="339">
        <f t="shared" si="725"/>
        <v>0</v>
      </c>
      <c r="CD104" s="279">
        <f t="shared" si="721"/>
        <v>0</v>
      </c>
      <c r="CE104" s="339">
        <f t="shared" si="726"/>
        <v>0</v>
      </c>
      <c r="CF104" s="279">
        <f t="shared" si="721"/>
        <v>0</v>
      </c>
      <c r="CG104" s="339">
        <f t="shared" si="727"/>
        <v>0</v>
      </c>
      <c r="CH104" s="279">
        <f t="shared" si="721"/>
        <v>0</v>
      </c>
      <c r="CI104" s="339">
        <f t="shared" si="728"/>
        <v>0</v>
      </c>
      <c r="CJ104" s="279">
        <f t="shared" si="729"/>
        <v>0</v>
      </c>
      <c r="CK104" s="339">
        <f t="shared" si="730"/>
        <v>0</v>
      </c>
      <c r="CL104" s="279">
        <f t="shared" si="463"/>
        <v>0</v>
      </c>
      <c r="CM104" s="339">
        <f t="shared" si="731"/>
        <v>0</v>
      </c>
      <c r="CN104" s="279">
        <f t="shared" si="732"/>
        <v>0</v>
      </c>
      <c r="CO104" s="339">
        <f t="shared" si="733"/>
        <v>0</v>
      </c>
      <c r="CP104" s="279">
        <f t="shared" si="464"/>
        <v>0</v>
      </c>
      <c r="CQ104" s="250">
        <f t="shared" si="905"/>
        <v>0</v>
      </c>
      <c r="CR104" s="252">
        <f t="shared" si="734"/>
        <v>0</v>
      </c>
      <c r="CS104" s="251">
        <f t="shared" si="887"/>
        <v>0</v>
      </c>
      <c r="CU104" s="1"/>
      <c r="CV104" s="2"/>
      <c r="CW104" s="255">
        <f t="shared" si="920"/>
        <v>0</v>
      </c>
      <c r="CX104" s="249">
        <f t="shared" si="735"/>
        <v>0</v>
      </c>
      <c r="CY104" s="250">
        <f t="shared" si="736"/>
        <v>0</v>
      </c>
      <c r="CZ104" s="279">
        <f t="shared" si="870"/>
        <v>0</v>
      </c>
      <c r="DA104" s="299">
        <f t="shared" si="736"/>
        <v>0</v>
      </c>
      <c r="DB104" s="279">
        <f t="shared" si="870"/>
        <v>0</v>
      </c>
      <c r="DC104" s="299">
        <f t="shared" si="737"/>
        <v>0</v>
      </c>
      <c r="DD104" s="279">
        <f t="shared" si="870"/>
        <v>0</v>
      </c>
      <c r="DE104" s="299">
        <f t="shared" si="738"/>
        <v>0</v>
      </c>
      <c r="DF104" s="279">
        <f t="shared" si="870"/>
        <v>0</v>
      </c>
      <c r="DG104" s="299">
        <f t="shared" si="739"/>
        <v>0</v>
      </c>
      <c r="DH104" s="279">
        <f t="shared" si="870"/>
        <v>0</v>
      </c>
      <c r="DI104" s="299">
        <f t="shared" si="740"/>
        <v>0</v>
      </c>
      <c r="DJ104" s="279">
        <f t="shared" si="870"/>
        <v>0</v>
      </c>
      <c r="DK104" s="299">
        <f t="shared" si="741"/>
        <v>0</v>
      </c>
      <c r="DL104" s="279">
        <f t="shared" si="870"/>
        <v>0</v>
      </c>
      <c r="DM104" s="299">
        <f t="shared" si="742"/>
        <v>0</v>
      </c>
      <c r="DN104" s="279">
        <f t="shared" si="743"/>
        <v>0</v>
      </c>
      <c r="DO104" s="299">
        <f t="shared" si="744"/>
        <v>0</v>
      </c>
      <c r="DP104" s="279">
        <f t="shared" si="471"/>
        <v>0</v>
      </c>
      <c r="DQ104" s="299">
        <f t="shared" si="745"/>
        <v>0</v>
      </c>
      <c r="DR104" s="279">
        <f t="shared" si="746"/>
        <v>0</v>
      </c>
      <c r="DS104" s="299">
        <f t="shared" si="747"/>
        <v>0</v>
      </c>
      <c r="DT104" s="279">
        <f t="shared" si="472"/>
        <v>0</v>
      </c>
      <c r="DU104" s="299">
        <f t="shared" si="748"/>
        <v>0</v>
      </c>
      <c r="DV104" s="252">
        <f t="shared" si="749"/>
        <v>0</v>
      </c>
      <c r="DW104" s="251">
        <f t="shared" si="888"/>
        <v>0</v>
      </c>
      <c r="DY104" s="256">
        <v>0</v>
      </c>
      <c r="DZ104" s="2"/>
      <c r="EA104" s="254">
        <f t="shared" si="906"/>
        <v>0</v>
      </c>
      <c r="EB104" s="249">
        <f t="shared" si="871"/>
        <v>0</v>
      </c>
      <c r="EC104" s="250">
        <f t="shared" si="750"/>
        <v>0</v>
      </c>
      <c r="ED104" s="356">
        <f t="shared" si="871"/>
        <v>0</v>
      </c>
      <c r="EE104" s="250">
        <f t="shared" si="750"/>
        <v>0</v>
      </c>
      <c r="EF104" s="249">
        <f t="shared" si="872"/>
        <v>0</v>
      </c>
      <c r="EG104" s="250">
        <f t="shared" si="941"/>
        <v>0</v>
      </c>
      <c r="EH104" s="249">
        <f t="shared" si="872"/>
        <v>0</v>
      </c>
      <c r="EI104" s="250">
        <f t="shared" si="941"/>
        <v>0</v>
      </c>
      <c r="EJ104" s="249">
        <f t="shared" si="872"/>
        <v>0</v>
      </c>
      <c r="EK104" s="250">
        <f t="shared" si="752"/>
        <v>0</v>
      </c>
      <c r="EL104" s="249">
        <f t="shared" si="872"/>
        <v>0</v>
      </c>
      <c r="EM104" s="250">
        <f t="shared" si="753"/>
        <v>0</v>
      </c>
      <c r="EN104" s="249">
        <f t="shared" si="872"/>
        <v>0</v>
      </c>
      <c r="EO104" s="250">
        <f t="shared" si="754"/>
        <v>0</v>
      </c>
      <c r="EP104" s="249">
        <f t="shared" si="872"/>
        <v>0</v>
      </c>
      <c r="EQ104" s="250">
        <f t="shared" si="755"/>
        <v>0</v>
      </c>
      <c r="ER104" s="249">
        <f t="shared" si="872"/>
        <v>0</v>
      </c>
      <c r="ES104" s="250">
        <f t="shared" si="756"/>
        <v>0</v>
      </c>
      <c r="ET104" s="249">
        <f t="shared" si="921"/>
        <v>0</v>
      </c>
      <c r="EU104" s="250">
        <f t="shared" si="757"/>
        <v>0</v>
      </c>
      <c r="EV104" s="249">
        <f t="shared" si="758"/>
        <v>0</v>
      </c>
      <c r="EW104" s="250">
        <f t="shared" si="759"/>
        <v>0</v>
      </c>
      <c r="EX104" s="249">
        <f t="shared" si="922"/>
        <v>0</v>
      </c>
      <c r="EY104" s="250">
        <f t="shared" si="760"/>
        <v>0</v>
      </c>
      <c r="EZ104" s="252">
        <f t="shared" si="761"/>
        <v>0</v>
      </c>
      <c r="FA104" s="251">
        <f t="shared" si="907"/>
        <v>0</v>
      </c>
      <c r="FC104" s="1"/>
      <c r="FD104" s="2"/>
      <c r="FE104" s="257">
        <f t="shared" si="908"/>
        <v>0</v>
      </c>
      <c r="FF104" s="249">
        <f t="shared" si="762"/>
        <v>0</v>
      </c>
      <c r="FG104" s="250">
        <f t="shared" si="763"/>
        <v>0</v>
      </c>
      <c r="FH104" s="372">
        <f t="shared" si="873"/>
        <v>0</v>
      </c>
      <c r="FI104" s="339">
        <f t="shared" si="764"/>
        <v>0</v>
      </c>
      <c r="FJ104" s="372">
        <f t="shared" si="873"/>
        <v>0</v>
      </c>
      <c r="FK104" s="339">
        <f t="shared" si="764"/>
        <v>0</v>
      </c>
      <c r="FL104" s="372">
        <f t="shared" si="873"/>
        <v>0</v>
      </c>
      <c r="FM104" s="339">
        <f t="shared" si="765"/>
        <v>0</v>
      </c>
      <c r="FN104" s="372">
        <f t="shared" si="873"/>
        <v>0</v>
      </c>
      <c r="FO104" s="339">
        <f t="shared" si="766"/>
        <v>0</v>
      </c>
      <c r="FP104" s="372">
        <f t="shared" si="873"/>
        <v>0</v>
      </c>
      <c r="FQ104" s="339">
        <f t="shared" si="767"/>
        <v>0</v>
      </c>
      <c r="FR104" s="372">
        <f t="shared" si="873"/>
        <v>0</v>
      </c>
      <c r="FS104" s="339">
        <f t="shared" si="768"/>
        <v>0</v>
      </c>
      <c r="FT104" s="372">
        <f t="shared" si="873"/>
        <v>0</v>
      </c>
      <c r="FU104" s="339">
        <f t="shared" si="769"/>
        <v>0</v>
      </c>
      <c r="FV104" s="372">
        <f t="shared" si="770"/>
        <v>0</v>
      </c>
      <c r="FW104" s="339">
        <f t="shared" si="771"/>
        <v>0</v>
      </c>
      <c r="FX104" s="372">
        <f t="shared" si="479"/>
        <v>0</v>
      </c>
      <c r="FY104" s="339">
        <f t="shared" si="772"/>
        <v>0</v>
      </c>
      <c r="FZ104" s="372">
        <f t="shared" si="773"/>
        <v>0</v>
      </c>
      <c r="GA104" s="339">
        <f t="shared" si="774"/>
        <v>0</v>
      </c>
      <c r="GB104" s="372">
        <f t="shared" si="480"/>
        <v>0</v>
      </c>
      <c r="GC104" s="339">
        <f t="shared" si="775"/>
        <v>0</v>
      </c>
      <c r="GD104" s="252">
        <f t="shared" si="776"/>
        <v>0</v>
      </c>
      <c r="GE104" s="251">
        <f t="shared" si="927"/>
        <v>0</v>
      </c>
      <c r="GG104" s="1"/>
      <c r="GH104" s="2">
        <v>0.2</v>
      </c>
      <c r="GI104" s="257">
        <f t="shared" si="909"/>
        <v>0</v>
      </c>
      <c r="GJ104" s="249">
        <f t="shared" si="777"/>
        <v>0</v>
      </c>
      <c r="GK104" s="250">
        <f t="shared" si="778"/>
        <v>0</v>
      </c>
      <c r="GL104" s="249">
        <f t="shared" si="777"/>
        <v>0</v>
      </c>
      <c r="GM104" s="250">
        <f t="shared" si="778"/>
        <v>0</v>
      </c>
      <c r="GN104" s="249">
        <f t="shared" si="777"/>
        <v>0</v>
      </c>
      <c r="GO104" s="250">
        <f t="shared" si="894"/>
        <v>0</v>
      </c>
      <c r="GP104" s="249">
        <f t="shared" si="777"/>
        <v>0</v>
      </c>
      <c r="GQ104" s="250">
        <f t="shared" si="895"/>
        <v>0</v>
      </c>
      <c r="GR104" s="249">
        <f t="shared" si="777"/>
        <v>0</v>
      </c>
      <c r="GS104" s="250">
        <f t="shared" si="896"/>
        <v>0</v>
      </c>
      <c r="GT104" s="249">
        <f t="shared" si="777"/>
        <v>0</v>
      </c>
      <c r="GU104" s="250">
        <f t="shared" si="897"/>
        <v>0</v>
      </c>
      <c r="GV104" s="249">
        <f t="shared" si="777"/>
        <v>0</v>
      </c>
      <c r="GW104" s="250">
        <f t="shared" si="898"/>
        <v>0</v>
      </c>
      <c r="GX104" s="249">
        <f t="shared" si="784"/>
        <v>0</v>
      </c>
      <c r="GY104" s="250">
        <f t="shared" si="899"/>
        <v>0</v>
      </c>
      <c r="GZ104" s="249">
        <f t="shared" si="786"/>
        <v>0</v>
      </c>
      <c r="HA104" s="250">
        <f t="shared" si="900"/>
        <v>0</v>
      </c>
      <c r="HB104" s="249">
        <f t="shared" si="788"/>
        <v>0</v>
      </c>
      <c r="HC104" s="250">
        <f t="shared" si="901"/>
        <v>0</v>
      </c>
      <c r="HD104" s="249">
        <f t="shared" si="790"/>
        <v>0</v>
      </c>
      <c r="HE104" s="250">
        <f t="shared" si="902"/>
        <v>0</v>
      </c>
      <c r="HF104" s="249">
        <f t="shared" si="792"/>
        <v>0</v>
      </c>
      <c r="HG104" s="250">
        <f t="shared" si="903"/>
        <v>0</v>
      </c>
      <c r="HH104" s="252">
        <f t="shared" si="794"/>
        <v>0</v>
      </c>
      <c r="HI104" s="251">
        <f t="shared" si="910"/>
        <v>0</v>
      </c>
      <c r="HK104" s="1"/>
      <c r="HL104" s="2"/>
      <c r="HM104" s="257">
        <f t="shared" si="911"/>
        <v>0</v>
      </c>
      <c r="HN104" s="249">
        <f t="shared" si="795"/>
        <v>0</v>
      </c>
      <c r="HO104" s="250">
        <f t="shared" si="912"/>
        <v>0</v>
      </c>
      <c r="HP104" s="249">
        <f t="shared" si="796"/>
        <v>0</v>
      </c>
      <c r="HQ104" s="250">
        <f t="shared" si="797"/>
        <v>0</v>
      </c>
      <c r="HR104" s="249">
        <f t="shared" si="796"/>
        <v>0</v>
      </c>
      <c r="HS104" s="250">
        <f t="shared" si="797"/>
        <v>0</v>
      </c>
      <c r="HT104" s="249">
        <f t="shared" si="796"/>
        <v>0</v>
      </c>
      <c r="HU104" s="250">
        <f t="shared" si="798"/>
        <v>0</v>
      </c>
      <c r="HV104" s="249">
        <f t="shared" si="796"/>
        <v>0</v>
      </c>
      <c r="HW104" s="250">
        <f t="shared" si="799"/>
        <v>0</v>
      </c>
      <c r="HX104" s="249">
        <f t="shared" si="796"/>
        <v>0</v>
      </c>
      <c r="HY104" s="250">
        <f t="shared" si="800"/>
        <v>0</v>
      </c>
      <c r="HZ104" s="249">
        <f t="shared" si="796"/>
        <v>0</v>
      </c>
      <c r="IA104" s="250">
        <f t="shared" si="801"/>
        <v>0</v>
      </c>
      <c r="IB104" s="249">
        <f t="shared" si="796"/>
        <v>0</v>
      </c>
      <c r="IC104" s="250">
        <f t="shared" si="802"/>
        <v>0</v>
      </c>
      <c r="ID104" s="249">
        <f t="shared" si="803"/>
        <v>0</v>
      </c>
      <c r="IE104" s="250">
        <f t="shared" si="804"/>
        <v>0</v>
      </c>
      <c r="IF104" s="249">
        <f t="shared" si="805"/>
        <v>0</v>
      </c>
      <c r="IG104" s="250">
        <f t="shared" si="806"/>
        <v>0</v>
      </c>
      <c r="IH104" s="249">
        <f t="shared" si="807"/>
        <v>0</v>
      </c>
      <c r="II104" s="250">
        <f t="shared" si="808"/>
        <v>0</v>
      </c>
      <c r="IJ104" s="249">
        <f t="shared" si="809"/>
        <v>0</v>
      </c>
      <c r="IK104" s="250">
        <f t="shared" si="810"/>
        <v>0</v>
      </c>
      <c r="IL104" s="252">
        <f t="shared" si="811"/>
        <v>0</v>
      </c>
      <c r="IM104" s="251">
        <f t="shared" si="812"/>
        <v>0</v>
      </c>
      <c r="IO104" s="1"/>
      <c r="IP104" s="2">
        <v>8.3333333333333329E-2</v>
      </c>
      <c r="IQ104" s="257">
        <f t="shared" si="913"/>
        <v>0</v>
      </c>
      <c r="IR104" s="249">
        <f t="shared" si="813"/>
        <v>0</v>
      </c>
      <c r="IS104" s="250">
        <f t="shared" si="814"/>
        <v>0</v>
      </c>
      <c r="IT104" s="279">
        <f t="shared" si="874"/>
        <v>0</v>
      </c>
      <c r="IU104" s="289">
        <f t="shared" si="815"/>
        <v>0</v>
      </c>
      <c r="IV104" s="279">
        <f t="shared" si="874"/>
        <v>0</v>
      </c>
      <c r="IW104" s="289">
        <f t="shared" si="815"/>
        <v>0</v>
      </c>
      <c r="IX104" s="279">
        <f t="shared" si="874"/>
        <v>0</v>
      </c>
      <c r="IY104" s="289">
        <f t="shared" si="816"/>
        <v>0</v>
      </c>
      <c r="IZ104" s="279">
        <f t="shared" si="874"/>
        <v>0</v>
      </c>
      <c r="JA104" s="289">
        <f t="shared" si="817"/>
        <v>0</v>
      </c>
      <c r="JB104" s="279">
        <f t="shared" si="874"/>
        <v>0</v>
      </c>
      <c r="JC104" s="289">
        <f t="shared" si="818"/>
        <v>0</v>
      </c>
      <c r="JD104" s="279">
        <f t="shared" si="874"/>
        <v>0</v>
      </c>
      <c r="JE104" s="289">
        <f t="shared" si="819"/>
        <v>0</v>
      </c>
      <c r="JF104" s="279">
        <f t="shared" si="874"/>
        <v>0</v>
      </c>
      <c r="JG104" s="289">
        <f t="shared" si="820"/>
        <v>0</v>
      </c>
      <c r="JH104" s="279">
        <f t="shared" si="821"/>
        <v>0</v>
      </c>
      <c r="JI104" s="289">
        <f t="shared" si="822"/>
        <v>0</v>
      </c>
      <c r="JJ104" s="279">
        <f t="shared" si="923"/>
        <v>0</v>
      </c>
      <c r="JK104" s="289">
        <f t="shared" si="823"/>
        <v>0</v>
      </c>
      <c r="JL104" s="279">
        <f t="shared" si="824"/>
        <v>0</v>
      </c>
      <c r="JM104" s="289">
        <f t="shared" si="825"/>
        <v>0</v>
      </c>
      <c r="JN104" s="279">
        <f t="shared" si="924"/>
        <v>0</v>
      </c>
      <c r="JO104" s="289">
        <f t="shared" si="826"/>
        <v>0</v>
      </c>
      <c r="JP104" s="252">
        <f t="shared" si="827"/>
        <v>0</v>
      </c>
      <c r="JQ104" s="251">
        <f t="shared" si="828"/>
        <v>0</v>
      </c>
      <c r="JS104" s="1"/>
      <c r="JT104" s="2">
        <v>8.3333333333333329E-2</v>
      </c>
      <c r="JU104" s="257">
        <f t="shared" si="914"/>
        <v>0</v>
      </c>
      <c r="JV104" s="249">
        <f t="shared" si="829"/>
        <v>0</v>
      </c>
      <c r="JW104" s="250">
        <f t="shared" si="830"/>
        <v>0</v>
      </c>
      <c r="JX104" s="372">
        <f t="shared" si="875"/>
        <v>0</v>
      </c>
      <c r="JY104" s="339">
        <f t="shared" si="831"/>
        <v>0</v>
      </c>
      <c r="JZ104" s="372">
        <f t="shared" si="875"/>
        <v>0</v>
      </c>
      <c r="KA104" s="339">
        <f t="shared" si="831"/>
        <v>0</v>
      </c>
      <c r="KB104" s="372">
        <f t="shared" si="875"/>
        <v>0</v>
      </c>
      <c r="KC104" s="339">
        <f t="shared" si="832"/>
        <v>0</v>
      </c>
      <c r="KD104" s="372">
        <f t="shared" si="875"/>
        <v>0</v>
      </c>
      <c r="KE104" s="339">
        <f t="shared" si="833"/>
        <v>0</v>
      </c>
      <c r="KF104" s="372">
        <f t="shared" si="875"/>
        <v>0</v>
      </c>
      <c r="KG104" s="339">
        <f t="shared" si="834"/>
        <v>0</v>
      </c>
      <c r="KH104" s="372">
        <f t="shared" si="875"/>
        <v>0</v>
      </c>
      <c r="KI104" s="339">
        <f t="shared" si="835"/>
        <v>0</v>
      </c>
      <c r="KJ104" s="372">
        <f t="shared" si="875"/>
        <v>0</v>
      </c>
      <c r="KK104" s="339">
        <f t="shared" si="836"/>
        <v>0</v>
      </c>
      <c r="KL104" s="372">
        <f t="shared" si="837"/>
        <v>0</v>
      </c>
      <c r="KM104" s="339">
        <f t="shared" si="838"/>
        <v>0</v>
      </c>
      <c r="KN104" s="372">
        <f t="shared" si="918"/>
        <v>0</v>
      </c>
      <c r="KO104" s="339">
        <f t="shared" si="839"/>
        <v>0</v>
      </c>
      <c r="KP104" s="372">
        <f t="shared" si="840"/>
        <v>0</v>
      </c>
      <c r="KQ104" s="339">
        <f t="shared" si="841"/>
        <v>0</v>
      </c>
      <c r="KR104" s="372">
        <f t="shared" si="925"/>
        <v>0</v>
      </c>
      <c r="KS104" s="377">
        <f t="shared" si="842"/>
        <v>0</v>
      </c>
      <c r="KT104" s="379">
        <f t="shared" si="843"/>
        <v>0</v>
      </c>
      <c r="KU104" s="251">
        <f t="shared" si="915"/>
        <v>0</v>
      </c>
      <c r="KW104" s="1"/>
      <c r="KX104" s="2">
        <v>8.3333333333333329E-2</v>
      </c>
      <c r="KY104" s="254">
        <f t="shared" si="680"/>
        <v>0</v>
      </c>
      <c r="KZ104" s="249">
        <f t="shared" si="876"/>
        <v>0</v>
      </c>
      <c r="LA104" s="251">
        <f t="shared" si="681"/>
        <v>0</v>
      </c>
      <c r="LB104" s="279">
        <f t="shared" si="844"/>
        <v>0</v>
      </c>
      <c r="LC104" s="339">
        <f t="shared" si="845"/>
        <v>0</v>
      </c>
      <c r="LD104" s="279">
        <f t="shared" si="844"/>
        <v>0</v>
      </c>
      <c r="LE104" s="339">
        <f t="shared" si="845"/>
        <v>0</v>
      </c>
      <c r="LF104" s="279">
        <f t="shared" si="844"/>
        <v>0</v>
      </c>
      <c r="LG104" s="339">
        <f t="shared" si="846"/>
        <v>0</v>
      </c>
      <c r="LH104" s="279">
        <f t="shared" si="844"/>
        <v>0</v>
      </c>
      <c r="LI104" s="339">
        <f t="shared" si="847"/>
        <v>0</v>
      </c>
      <c r="LJ104" s="279">
        <f t="shared" si="844"/>
        <v>0</v>
      </c>
      <c r="LK104" s="339">
        <f t="shared" si="848"/>
        <v>0</v>
      </c>
      <c r="LL104" s="279">
        <f t="shared" si="844"/>
        <v>0</v>
      </c>
      <c r="LM104" s="339">
        <f t="shared" si="849"/>
        <v>0</v>
      </c>
      <c r="LN104" s="279">
        <f t="shared" si="844"/>
        <v>0</v>
      </c>
      <c r="LO104" s="339">
        <f t="shared" si="850"/>
        <v>0</v>
      </c>
      <c r="LP104" s="279">
        <f t="shared" si="877"/>
        <v>0</v>
      </c>
      <c r="LQ104" s="339">
        <f t="shared" si="851"/>
        <v>0</v>
      </c>
      <c r="LR104" s="279">
        <f t="shared" si="878"/>
        <v>0</v>
      </c>
      <c r="LS104" s="339">
        <f t="shared" si="852"/>
        <v>0</v>
      </c>
      <c r="LT104" s="279">
        <f t="shared" si="879"/>
        <v>0</v>
      </c>
      <c r="LU104" s="339">
        <f t="shared" si="853"/>
        <v>0</v>
      </c>
      <c r="LV104" s="279">
        <f t="shared" si="880"/>
        <v>0</v>
      </c>
      <c r="LW104" s="339">
        <f t="shared" si="854"/>
        <v>0</v>
      </c>
      <c r="LX104" s="252">
        <f t="shared" si="855"/>
        <v>0</v>
      </c>
      <c r="LY104" s="253">
        <f t="shared" si="856"/>
        <v>0</v>
      </c>
      <c r="MA104" s="249">
        <f t="shared" si="928"/>
        <v>0</v>
      </c>
      <c r="MB104" s="253">
        <f t="shared" si="857"/>
        <v>0</v>
      </c>
      <c r="MC104" s="397">
        <f t="shared" si="929"/>
        <v>0</v>
      </c>
      <c r="MD104" s="253">
        <f t="shared" si="858"/>
        <v>0</v>
      </c>
      <c r="ME104" s="397">
        <f t="shared" si="930"/>
        <v>0</v>
      </c>
      <c r="MF104" s="253">
        <f t="shared" si="858"/>
        <v>0</v>
      </c>
      <c r="MG104" s="397">
        <f t="shared" si="931"/>
        <v>0</v>
      </c>
      <c r="MH104" s="253">
        <f t="shared" si="859"/>
        <v>0</v>
      </c>
      <c r="MI104" s="397">
        <f t="shared" si="932"/>
        <v>0</v>
      </c>
      <c r="MJ104" s="253">
        <f t="shared" si="860"/>
        <v>0</v>
      </c>
      <c r="MK104" s="397">
        <f t="shared" si="933"/>
        <v>0</v>
      </c>
      <c r="ML104" s="253">
        <f t="shared" si="861"/>
        <v>0</v>
      </c>
      <c r="MM104" s="397">
        <f t="shared" si="934"/>
        <v>0</v>
      </c>
      <c r="MN104" s="253">
        <f t="shared" si="862"/>
        <v>0</v>
      </c>
      <c r="MO104" s="397">
        <f t="shared" si="935"/>
        <v>0</v>
      </c>
      <c r="MP104" s="253">
        <f t="shared" si="863"/>
        <v>0</v>
      </c>
      <c r="MQ104" s="397">
        <f t="shared" si="936"/>
        <v>0</v>
      </c>
      <c r="MR104" s="253">
        <f t="shared" si="864"/>
        <v>0</v>
      </c>
      <c r="MS104" s="397">
        <f t="shared" si="937"/>
        <v>0</v>
      </c>
      <c r="MT104" s="253">
        <f t="shared" si="865"/>
        <v>0</v>
      </c>
      <c r="MU104" s="397">
        <f t="shared" si="938"/>
        <v>0</v>
      </c>
      <c r="MV104" s="253">
        <f t="shared" si="866"/>
        <v>0</v>
      </c>
      <c r="MW104" s="397">
        <f t="shared" si="939"/>
        <v>0</v>
      </c>
      <c r="MX104" s="253">
        <f t="shared" si="867"/>
        <v>0</v>
      </c>
      <c r="MY104" s="252">
        <f t="shared" si="868"/>
        <v>0</v>
      </c>
      <c r="MZ104" s="251">
        <f t="shared" si="869"/>
        <v>0</v>
      </c>
    </row>
    <row r="105" spans="1:364" ht="52.8" x14ac:dyDescent="0.25">
      <c r="A105" s="533"/>
      <c r="B105" s="245" t="s">
        <v>218</v>
      </c>
      <c r="C105" s="246" t="s">
        <v>219</v>
      </c>
      <c r="D105" s="247" t="s">
        <v>119</v>
      </c>
      <c r="E105" s="4">
        <v>10</v>
      </c>
      <c r="F105" s="353">
        <v>5661766.7813092973</v>
      </c>
      <c r="G105" s="353">
        <f t="shared" si="700"/>
        <v>5897727.652118911</v>
      </c>
      <c r="I105" s="30"/>
      <c r="J105" s="2">
        <v>8.3333333333333329E-2</v>
      </c>
      <c r="K105" s="248">
        <f t="shared" si="701"/>
        <v>0</v>
      </c>
      <c r="L105" s="249"/>
      <c r="M105" s="299">
        <f t="shared" si="445"/>
        <v>0</v>
      </c>
      <c r="N105" s="279">
        <f t="shared" si="889"/>
        <v>0</v>
      </c>
      <c r="O105" s="289">
        <f t="shared" si="916"/>
        <v>0</v>
      </c>
      <c r="P105" s="279">
        <f t="shared" si="889"/>
        <v>0</v>
      </c>
      <c r="Q105" s="289">
        <f t="shared" si="916"/>
        <v>0</v>
      </c>
      <c r="R105" s="279">
        <f t="shared" si="889"/>
        <v>0</v>
      </c>
      <c r="S105" s="289">
        <f t="shared" si="702"/>
        <v>0</v>
      </c>
      <c r="T105" s="279">
        <f t="shared" si="889"/>
        <v>0</v>
      </c>
      <c r="U105" s="289">
        <f t="shared" si="703"/>
        <v>0</v>
      </c>
      <c r="V105" s="279">
        <f t="shared" si="889"/>
        <v>0</v>
      </c>
      <c r="W105" s="289">
        <f t="shared" si="704"/>
        <v>0</v>
      </c>
      <c r="X105" s="279">
        <f t="shared" si="889"/>
        <v>0</v>
      </c>
      <c r="Y105" s="289">
        <f t="shared" si="705"/>
        <v>0</v>
      </c>
      <c r="Z105" s="279">
        <f t="shared" si="889"/>
        <v>0</v>
      </c>
      <c r="AA105" s="289">
        <f t="shared" si="706"/>
        <v>0</v>
      </c>
      <c r="AB105" s="279">
        <f t="shared" si="889"/>
        <v>0</v>
      </c>
      <c r="AC105" s="289">
        <f t="shared" si="707"/>
        <v>0</v>
      </c>
      <c r="AD105" s="279">
        <f t="shared" si="889"/>
        <v>0</v>
      </c>
      <c r="AE105" s="289">
        <f t="shared" si="708"/>
        <v>0</v>
      </c>
      <c r="AF105" s="279">
        <f t="shared" si="889"/>
        <v>0</v>
      </c>
      <c r="AG105" s="289">
        <f t="shared" si="890"/>
        <v>0</v>
      </c>
      <c r="AH105" s="249">
        <f t="shared" si="456"/>
        <v>0</v>
      </c>
      <c r="AI105" s="299">
        <f t="shared" si="891"/>
        <v>0</v>
      </c>
      <c r="AJ105" s="252">
        <f t="shared" si="709"/>
        <v>0</v>
      </c>
      <c r="AK105" s="312">
        <f t="shared" si="710"/>
        <v>0</v>
      </c>
      <c r="AM105" s="1"/>
      <c r="AN105" s="2">
        <v>8.3333333333333329E-2</v>
      </c>
      <c r="AO105" s="254">
        <f t="shared" si="904"/>
        <v>0</v>
      </c>
      <c r="AP105" s="249">
        <f t="shared" si="917"/>
        <v>0</v>
      </c>
      <c r="AQ105" s="301">
        <f t="shared" si="683"/>
        <v>0</v>
      </c>
      <c r="AR105" s="249">
        <f t="shared" si="884"/>
        <v>0</v>
      </c>
      <c r="AS105" s="301">
        <f t="shared" si="683"/>
        <v>0</v>
      </c>
      <c r="AT105" s="249">
        <f t="shared" si="884"/>
        <v>0</v>
      </c>
      <c r="AU105" s="301">
        <f t="shared" si="684"/>
        <v>0</v>
      </c>
      <c r="AV105" s="249">
        <f t="shared" si="884"/>
        <v>0</v>
      </c>
      <c r="AW105" s="301">
        <f t="shared" si="711"/>
        <v>0</v>
      </c>
      <c r="AX105" s="249">
        <f t="shared" si="884"/>
        <v>0</v>
      </c>
      <c r="AY105" s="301">
        <f t="shared" si="712"/>
        <v>0</v>
      </c>
      <c r="AZ105" s="249">
        <f t="shared" si="884"/>
        <v>0</v>
      </c>
      <c r="BA105" s="301">
        <f t="shared" si="713"/>
        <v>0</v>
      </c>
      <c r="BB105" s="249">
        <f t="shared" si="884"/>
        <v>0</v>
      </c>
      <c r="BC105" s="301">
        <f t="shared" si="714"/>
        <v>0</v>
      </c>
      <c r="BD105" s="249">
        <f t="shared" si="884"/>
        <v>0</v>
      </c>
      <c r="BE105" s="301">
        <f t="shared" si="715"/>
        <v>0</v>
      </c>
      <c r="BF105" s="249">
        <f t="shared" si="882"/>
        <v>0</v>
      </c>
      <c r="BG105" s="301">
        <f t="shared" si="716"/>
        <v>0</v>
      </c>
      <c r="BH105" s="249">
        <f t="shared" si="885"/>
        <v>0</v>
      </c>
      <c r="BI105" s="301">
        <f t="shared" si="940"/>
        <v>0</v>
      </c>
      <c r="BJ105" s="249">
        <f t="shared" si="885"/>
        <v>0</v>
      </c>
      <c r="BK105" s="301">
        <f t="shared" si="940"/>
        <v>0</v>
      </c>
      <c r="BL105" s="249">
        <f t="shared" si="661"/>
        <v>0</v>
      </c>
      <c r="BM105" s="299">
        <f t="shared" si="718"/>
        <v>0</v>
      </c>
      <c r="BN105" s="252">
        <f t="shared" si="719"/>
        <v>0</v>
      </c>
      <c r="BO105" s="312">
        <f t="shared" si="926"/>
        <v>0</v>
      </c>
      <c r="BQ105" s="1"/>
      <c r="BR105" s="2"/>
      <c r="BS105" s="255">
        <f t="shared" si="919"/>
        <v>0</v>
      </c>
      <c r="BT105" s="249">
        <f t="shared" si="881"/>
        <v>0</v>
      </c>
      <c r="BU105" s="336">
        <f t="shared" si="720"/>
        <v>0</v>
      </c>
      <c r="BV105" s="279">
        <f t="shared" si="721"/>
        <v>0</v>
      </c>
      <c r="BW105" s="339">
        <f t="shared" si="722"/>
        <v>0</v>
      </c>
      <c r="BX105" s="279">
        <f t="shared" si="721"/>
        <v>0</v>
      </c>
      <c r="BY105" s="339">
        <f t="shared" si="723"/>
        <v>0</v>
      </c>
      <c r="BZ105" s="279">
        <f t="shared" si="721"/>
        <v>0</v>
      </c>
      <c r="CA105" s="339">
        <f t="shared" si="724"/>
        <v>0</v>
      </c>
      <c r="CB105" s="279">
        <f t="shared" si="721"/>
        <v>0</v>
      </c>
      <c r="CC105" s="339">
        <f t="shared" si="725"/>
        <v>0</v>
      </c>
      <c r="CD105" s="279">
        <f t="shared" si="721"/>
        <v>0</v>
      </c>
      <c r="CE105" s="339">
        <f t="shared" si="726"/>
        <v>0</v>
      </c>
      <c r="CF105" s="279">
        <f t="shared" si="721"/>
        <v>0</v>
      </c>
      <c r="CG105" s="339">
        <f t="shared" si="727"/>
        <v>0</v>
      </c>
      <c r="CH105" s="279">
        <f t="shared" si="721"/>
        <v>0</v>
      </c>
      <c r="CI105" s="339">
        <f t="shared" si="728"/>
        <v>0</v>
      </c>
      <c r="CJ105" s="279">
        <f t="shared" si="729"/>
        <v>0</v>
      </c>
      <c r="CK105" s="339">
        <f t="shared" si="730"/>
        <v>0</v>
      </c>
      <c r="CL105" s="279">
        <f t="shared" si="463"/>
        <v>0</v>
      </c>
      <c r="CM105" s="339">
        <f t="shared" si="731"/>
        <v>0</v>
      </c>
      <c r="CN105" s="279">
        <f t="shared" si="732"/>
        <v>0</v>
      </c>
      <c r="CO105" s="339">
        <f t="shared" si="733"/>
        <v>0</v>
      </c>
      <c r="CP105" s="279">
        <f t="shared" si="464"/>
        <v>0</v>
      </c>
      <c r="CQ105" s="250">
        <f t="shared" si="905"/>
        <v>0</v>
      </c>
      <c r="CR105" s="252">
        <f t="shared" si="734"/>
        <v>0</v>
      </c>
      <c r="CS105" s="251">
        <f t="shared" si="887"/>
        <v>0</v>
      </c>
      <c r="CU105" s="1"/>
      <c r="CV105" s="2"/>
      <c r="CW105" s="255">
        <f t="shared" si="920"/>
        <v>0</v>
      </c>
      <c r="CX105" s="249">
        <f t="shared" si="735"/>
        <v>0</v>
      </c>
      <c r="CY105" s="250">
        <f t="shared" si="736"/>
        <v>0</v>
      </c>
      <c r="CZ105" s="279">
        <f t="shared" si="870"/>
        <v>0</v>
      </c>
      <c r="DA105" s="299">
        <f t="shared" si="736"/>
        <v>0</v>
      </c>
      <c r="DB105" s="279">
        <f t="shared" si="870"/>
        <v>0</v>
      </c>
      <c r="DC105" s="299">
        <f t="shared" si="737"/>
        <v>0</v>
      </c>
      <c r="DD105" s="279">
        <f t="shared" si="870"/>
        <v>0</v>
      </c>
      <c r="DE105" s="299">
        <f t="shared" si="738"/>
        <v>0</v>
      </c>
      <c r="DF105" s="279">
        <f t="shared" si="870"/>
        <v>0</v>
      </c>
      <c r="DG105" s="299">
        <f t="shared" si="739"/>
        <v>0</v>
      </c>
      <c r="DH105" s="279">
        <f t="shared" si="870"/>
        <v>0</v>
      </c>
      <c r="DI105" s="299">
        <f t="shared" si="740"/>
        <v>0</v>
      </c>
      <c r="DJ105" s="279">
        <f t="shared" si="870"/>
        <v>0</v>
      </c>
      <c r="DK105" s="299">
        <f t="shared" si="741"/>
        <v>0</v>
      </c>
      <c r="DL105" s="279">
        <f t="shared" si="870"/>
        <v>0</v>
      </c>
      <c r="DM105" s="299">
        <f t="shared" si="742"/>
        <v>0</v>
      </c>
      <c r="DN105" s="279">
        <f t="shared" si="743"/>
        <v>0</v>
      </c>
      <c r="DO105" s="299">
        <f t="shared" si="744"/>
        <v>0</v>
      </c>
      <c r="DP105" s="279">
        <f t="shared" si="471"/>
        <v>0</v>
      </c>
      <c r="DQ105" s="299">
        <f t="shared" si="745"/>
        <v>0</v>
      </c>
      <c r="DR105" s="279">
        <f t="shared" si="746"/>
        <v>0</v>
      </c>
      <c r="DS105" s="299">
        <f t="shared" si="747"/>
        <v>0</v>
      </c>
      <c r="DT105" s="279">
        <f t="shared" si="472"/>
        <v>0</v>
      </c>
      <c r="DU105" s="299">
        <f t="shared" si="748"/>
        <v>0</v>
      </c>
      <c r="DV105" s="252">
        <f t="shared" si="749"/>
        <v>0</v>
      </c>
      <c r="DW105" s="251">
        <f t="shared" si="888"/>
        <v>0</v>
      </c>
      <c r="DY105" s="256">
        <v>0</v>
      </c>
      <c r="DZ105" s="2"/>
      <c r="EA105" s="254">
        <f t="shared" si="906"/>
        <v>0</v>
      </c>
      <c r="EB105" s="249">
        <f t="shared" si="871"/>
        <v>0</v>
      </c>
      <c r="EC105" s="250">
        <f t="shared" si="750"/>
        <v>0</v>
      </c>
      <c r="ED105" s="356">
        <f t="shared" si="871"/>
        <v>0</v>
      </c>
      <c r="EE105" s="250">
        <f t="shared" si="750"/>
        <v>0</v>
      </c>
      <c r="EF105" s="249">
        <f t="shared" si="872"/>
        <v>0</v>
      </c>
      <c r="EG105" s="250">
        <f t="shared" si="941"/>
        <v>0</v>
      </c>
      <c r="EH105" s="249">
        <f t="shared" si="872"/>
        <v>0</v>
      </c>
      <c r="EI105" s="250">
        <f t="shared" si="941"/>
        <v>0</v>
      </c>
      <c r="EJ105" s="249">
        <f t="shared" si="872"/>
        <v>0</v>
      </c>
      <c r="EK105" s="250">
        <f t="shared" si="752"/>
        <v>0</v>
      </c>
      <c r="EL105" s="249">
        <f t="shared" si="872"/>
        <v>0</v>
      </c>
      <c r="EM105" s="250">
        <f t="shared" si="753"/>
        <v>0</v>
      </c>
      <c r="EN105" s="249">
        <f t="shared" si="872"/>
        <v>0</v>
      </c>
      <c r="EO105" s="250">
        <f t="shared" si="754"/>
        <v>0</v>
      </c>
      <c r="EP105" s="249">
        <f t="shared" si="872"/>
        <v>0</v>
      </c>
      <c r="EQ105" s="250">
        <f t="shared" si="755"/>
        <v>0</v>
      </c>
      <c r="ER105" s="249">
        <f t="shared" si="872"/>
        <v>0</v>
      </c>
      <c r="ES105" s="250">
        <f t="shared" si="756"/>
        <v>0</v>
      </c>
      <c r="ET105" s="249">
        <f t="shared" si="921"/>
        <v>0</v>
      </c>
      <c r="EU105" s="250">
        <f t="shared" si="757"/>
        <v>0</v>
      </c>
      <c r="EV105" s="249">
        <f t="shared" si="758"/>
        <v>0</v>
      </c>
      <c r="EW105" s="250">
        <f t="shared" si="759"/>
        <v>0</v>
      </c>
      <c r="EX105" s="249">
        <f t="shared" si="922"/>
        <v>0</v>
      </c>
      <c r="EY105" s="250">
        <f t="shared" si="760"/>
        <v>0</v>
      </c>
      <c r="EZ105" s="252">
        <f t="shared" si="761"/>
        <v>0</v>
      </c>
      <c r="FA105" s="251">
        <f t="shared" si="907"/>
        <v>0</v>
      </c>
      <c r="FC105" s="1"/>
      <c r="FD105" s="2"/>
      <c r="FE105" s="257">
        <f t="shared" si="908"/>
        <v>0</v>
      </c>
      <c r="FF105" s="249">
        <f t="shared" si="762"/>
        <v>0</v>
      </c>
      <c r="FG105" s="250">
        <f t="shared" si="763"/>
        <v>0</v>
      </c>
      <c r="FH105" s="372">
        <f t="shared" si="873"/>
        <v>0</v>
      </c>
      <c r="FI105" s="339">
        <f t="shared" si="764"/>
        <v>0</v>
      </c>
      <c r="FJ105" s="372">
        <f t="shared" si="873"/>
        <v>0</v>
      </c>
      <c r="FK105" s="339">
        <f t="shared" si="764"/>
        <v>0</v>
      </c>
      <c r="FL105" s="372">
        <f t="shared" si="873"/>
        <v>0</v>
      </c>
      <c r="FM105" s="339">
        <f t="shared" si="765"/>
        <v>0</v>
      </c>
      <c r="FN105" s="372">
        <f t="shared" si="873"/>
        <v>0</v>
      </c>
      <c r="FO105" s="339">
        <f t="shared" si="766"/>
        <v>0</v>
      </c>
      <c r="FP105" s="372">
        <f t="shared" si="873"/>
        <v>0</v>
      </c>
      <c r="FQ105" s="339">
        <f t="shared" si="767"/>
        <v>0</v>
      </c>
      <c r="FR105" s="372">
        <f t="shared" si="873"/>
        <v>0</v>
      </c>
      <c r="FS105" s="339">
        <f t="shared" si="768"/>
        <v>0</v>
      </c>
      <c r="FT105" s="372">
        <f t="shared" si="873"/>
        <v>0</v>
      </c>
      <c r="FU105" s="339">
        <f t="shared" si="769"/>
        <v>0</v>
      </c>
      <c r="FV105" s="372">
        <f t="shared" si="770"/>
        <v>0</v>
      </c>
      <c r="FW105" s="339">
        <f t="shared" si="771"/>
        <v>0</v>
      </c>
      <c r="FX105" s="372">
        <f t="shared" si="479"/>
        <v>0</v>
      </c>
      <c r="FY105" s="339">
        <f t="shared" si="772"/>
        <v>0</v>
      </c>
      <c r="FZ105" s="372">
        <f t="shared" si="773"/>
        <v>0</v>
      </c>
      <c r="GA105" s="339">
        <f t="shared" si="774"/>
        <v>0</v>
      </c>
      <c r="GB105" s="372">
        <f t="shared" si="480"/>
        <v>0</v>
      </c>
      <c r="GC105" s="339">
        <f t="shared" si="775"/>
        <v>0</v>
      </c>
      <c r="GD105" s="252">
        <f t="shared" si="776"/>
        <v>0</v>
      </c>
      <c r="GE105" s="251">
        <f t="shared" si="927"/>
        <v>0</v>
      </c>
      <c r="GG105" s="1"/>
      <c r="GH105" s="2">
        <v>0.2</v>
      </c>
      <c r="GI105" s="257">
        <f t="shared" si="909"/>
        <v>0</v>
      </c>
      <c r="GJ105" s="249">
        <f t="shared" si="777"/>
        <v>0</v>
      </c>
      <c r="GK105" s="250">
        <f t="shared" si="778"/>
        <v>0</v>
      </c>
      <c r="GL105" s="249">
        <f t="shared" si="777"/>
        <v>0</v>
      </c>
      <c r="GM105" s="250">
        <f t="shared" si="778"/>
        <v>0</v>
      </c>
      <c r="GN105" s="249">
        <f t="shared" si="777"/>
        <v>0</v>
      </c>
      <c r="GO105" s="250">
        <f t="shared" si="894"/>
        <v>0</v>
      </c>
      <c r="GP105" s="249">
        <f t="shared" si="777"/>
        <v>0</v>
      </c>
      <c r="GQ105" s="250">
        <f t="shared" si="895"/>
        <v>0</v>
      </c>
      <c r="GR105" s="249">
        <f t="shared" si="777"/>
        <v>0</v>
      </c>
      <c r="GS105" s="250">
        <f t="shared" si="896"/>
        <v>0</v>
      </c>
      <c r="GT105" s="249">
        <f t="shared" si="777"/>
        <v>0</v>
      </c>
      <c r="GU105" s="250">
        <f t="shared" si="897"/>
        <v>0</v>
      </c>
      <c r="GV105" s="249">
        <f t="shared" si="777"/>
        <v>0</v>
      </c>
      <c r="GW105" s="250">
        <f t="shared" si="898"/>
        <v>0</v>
      </c>
      <c r="GX105" s="249">
        <f t="shared" si="784"/>
        <v>0</v>
      </c>
      <c r="GY105" s="250">
        <f t="shared" si="899"/>
        <v>0</v>
      </c>
      <c r="GZ105" s="249">
        <f t="shared" si="786"/>
        <v>0</v>
      </c>
      <c r="HA105" s="250">
        <f t="shared" si="900"/>
        <v>0</v>
      </c>
      <c r="HB105" s="249">
        <f t="shared" si="788"/>
        <v>0</v>
      </c>
      <c r="HC105" s="250">
        <f t="shared" si="901"/>
        <v>0</v>
      </c>
      <c r="HD105" s="249">
        <f t="shared" si="790"/>
        <v>0</v>
      </c>
      <c r="HE105" s="250">
        <f t="shared" si="902"/>
        <v>0</v>
      </c>
      <c r="HF105" s="249">
        <f t="shared" si="792"/>
        <v>0</v>
      </c>
      <c r="HG105" s="250">
        <f t="shared" si="903"/>
        <v>0</v>
      </c>
      <c r="HH105" s="252">
        <f t="shared" si="794"/>
        <v>0</v>
      </c>
      <c r="HI105" s="251">
        <f t="shared" si="910"/>
        <v>0</v>
      </c>
      <c r="HK105" s="1"/>
      <c r="HL105" s="2"/>
      <c r="HM105" s="257">
        <f t="shared" si="911"/>
        <v>0</v>
      </c>
      <c r="HN105" s="249">
        <f t="shared" si="795"/>
        <v>0</v>
      </c>
      <c r="HO105" s="250">
        <f t="shared" si="912"/>
        <v>0</v>
      </c>
      <c r="HP105" s="249">
        <f t="shared" si="796"/>
        <v>0</v>
      </c>
      <c r="HQ105" s="250">
        <f t="shared" si="797"/>
        <v>0</v>
      </c>
      <c r="HR105" s="249">
        <f t="shared" si="796"/>
        <v>0</v>
      </c>
      <c r="HS105" s="250">
        <f t="shared" si="797"/>
        <v>0</v>
      </c>
      <c r="HT105" s="249">
        <f t="shared" si="796"/>
        <v>0</v>
      </c>
      <c r="HU105" s="250">
        <f t="shared" si="798"/>
        <v>0</v>
      </c>
      <c r="HV105" s="249">
        <f t="shared" si="796"/>
        <v>0</v>
      </c>
      <c r="HW105" s="250">
        <f t="shared" si="799"/>
        <v>0</v>
      </c>
      <c r="HX105" s="249">
        <f t="shared" si="796"/>
        <v>0</v>
      </c>
      <c r="HY105" s="250">
        <f t="shared" si="800"/>
        <v>0</v>
      </c>
      <c r="HZ105" s="249">
        <f t="shared" si="796"/>
        <v>0</v>
      </c>
      <c r="IA105" s="250">
        <f t="shared" si="801"/>
        <v>0</v>
      </c>
      <c r="IB105" s="249">
        <f t="shared" si="796"/>
        <v>0</v>
      </c>
      <c r="IC105" s="250">
        <f t="shared" si="802"/>
        <v>0</v>
      </c>
      <c r="ID105" s="249">
        <f t="shared" si="803"/>
        <v>0</v>
      </c>
      <c r="IE105" s="250">
        <f t="shared" si="804"/>
        <v>0</v>
      </c>
      <c r="IF105" s="249">
        <f t="shared" si="805"/>
        <v>0</v>
      </c>
      <c r="IG105" s="250">
        <f t="shared" si="806"/>
        <v>0</v>
      </c>
      <c r="IH105" s="249">
        <f t="shared" si="807"/>
        <v>0</v>
      </c>
      <c r="II105" s="250">
        <f t="shared" si="808"/>
        <v>0</v>
      </c>
      <c r="IJ105" s="249">
        <f t="shared" si="809"/>
        <v>0</v>
      </c>
      <c r="IK105" s="250">
        <f t="shared" si="810"/>
        <v>0</v>
      </c>
      <c r="IL105" s="252">
        <f t="shared" si="811"/>
        <v>0</v>
      </c>
      <c r="IM105" s="251">
        <f t="shared" si="812"/>
        <v>0</v>
      </c>
      <c r="IO105" s="1"/>
      <c r="IP105" s="2">
        <v>8.3333333333333329E-2</v>
      </c>
      <c r="IQ105" s="257">
        <f t="shared" si="913"/>
        <v>0</v>
      </c>
      <c r="IR105" s="249">
        <f t="shared" si="813"/>
        <v>0</v>
      </c>
      <c r="IS105" s="250">
        <f t="shared" si="814"/>
        <v>0</v>
      </c>
      <c r="IT105" s="279">
        <f t="shared" si="874"/>
        <v>0</v>
      </c>
      <c r="IU105" s="289">
        <f t="shared" si="815"/>
        <v>0</v>
      </c>
      <c r="IV105" s="279">
        <f t="shared" si="874"/>
        <v>0</v>
      </c>
      <c r="IW105" s="289">
        <f t="shared" si="815"/>
        <v>0</v>
      </c>
      <c r="IX105" s="279">
        <f t="shared" si="874"/>
        <v>0</v>
      </c>
      <c r="IY105" s="289">
        <f t="shared" si="816"/>
        <v>0</v>
      </c>
      <c r="IZ105" s="279">
        <f t="shared" si="874"/>
        <v>0</v>
      </c>
      <c r="JA105" s="289">
        <f t="shared" si="817"/>
        <v>0</v>
      </c>
      <c r="JB105" s="279">
        <f t="shared" si="874"/>
        <v>0</v>
      </c>
      <c r="JC105" s="289">
        <f t="shared" si="818"/>
        <v>0</v>
      </c>
      <c r="JD105" s="279">
        <f t="shared" si="874"/>
        <v>0</v>
      </c>
      <c r="JE105" s="289">
        <f t="shared" si="819"/>
        <v>0</v>
      </c>
      <c r="JF105" s="279">
        <f t="shared" si="874"/>
        <v>0</v>
      </c>
      <c r="JG105" s="289">
        <f t="shared" si="820"/>
        <v>0</v>
      </c>
      <c r="JH105" s="279">
        <f t="shared" si="821"/>
        <v>0</v>
      </c>
      <c r="JI105" s="289">
        <f t="shared" si="822"/>
        <v>0</v>
      </c>
      <c r="JJ105" s="279">
        <f t="shared" si="923"/>
        <v>0</v>
      </c>
      <c r="JK105" s="289">
        <f t="shared" si="823"/>
        <v>0</v>
      </c>
      <c r="JL105" s="279">
        <f t="shared" si="824"/>
        <v>0</v>
      </c>
      <c r="JM105" s="289">
        <f t="shared" si="825"/>
        <v>0</v>
      </c>
      <c r="JN105" s="279">
        <f t="shared" si="924"/>
        <v>0</v>
      </c>
      <c r="JO105" s="289">
        <f t="shared" si="826"/>
        <v>0</v>
      </c>
      <c r="JP105" s="252">
        <f t="shared" si="827"/>
        <v>0</v>
      </c>
      <c r="JQ105" s="251">
        <f t="shared" si="828"/>
        <v>0</v>
      </c>
      <c r="JS105" s="1"/>
      <c r="JT105" s="2">
        <v>8.3333333333333329E-2</v>
      </c>
      <c r="JU105" s="257">
        <f t="shared" si="914"/>
        <v>0</v>
      </c>
      <c r="JV105" s="249">
        <f t="shared" si="829"/>
        <v>0</v>
      </c>
      <c r="JW105" s="250">
        <f t="shared" si="830"/>
        <v>0</v>
      </c>
      <c r="JX105" s="372">
        <f t="shared" si="875"/>
        <v>0</v>
      </c>
      <c r="JY105" s="339">
        <f t="shared" si="831"/>
        <v>0</v>
      </c>
      <c r="JZ105" s="372">
        <f t="shared" si="875"/>
        <v>0</v>
      </c>
      <c r="KA105" s="339">
        <f t="shared" si="831"/>
        <v>0</v>
      </c>
      <c r="KB105" s="372">
        <f t="shared" si="875"/>
        <v>0</v>
      </c>
      <c r="KC105" s="339">
        <f t="shared" si="832"/>
        <v>0</v>
      </c>
      <c r="KD105" s="372">
        <f t="shared" si="875"/>
        <v>0</v>
      </c>
      <c r="KE105" s="339">
        <f t="shared" si="833"/>
        <v>0</v>
      </c>
      <c r="KF105" s="372">
        <f t="shared" si="875"/>
        <v>0</v>
      </c>
      <c r="KG105" s="339">
        <f t="shared" si="834"/>
        <v>0</v>
      </c>
      <c r="KH105" s="372">
        <f t="shared" si="875"/>
        <v>0</v>
      </c>
      <c r="KI105" s="339">
        <f t="shared" si="835"/>
        <v>0</v>
      </c>
      <c r="KJ105" s="372">
        <f t="shared" si="875"/>
        <v>0</v>
      </c>
      <c r="KK105" s="339">
        <f t="shared" si="836"/>
        <v>0</v>
      </c>
      <c r="KL105" s="372">
        <f t="shared" si="837"/>
        <v>0</v>
      </c>
      <c r="KM105" s="339">
        <f t="shared" si="838"/>
        <v>0</v>
      </c>
      <c r="KN105" s="372">
        <f t="shared" si="918"/>
        <v>0</v>
      </c>
      <c r="KO105" s="339">
        <f t="shared" si="839"/>
        <v>0</v>
      </c>
      <c r="KP105" s="372">
        <f t="shared" si="840"/>
        <v>0</v>
      </c>
      <c r="KQ105" s="339">
        <f t="shared" si="841"/>
        <v>0</v>
      </c>
      <c r="KR105" s="372">
        <f t="shared" si="925"/>
        <v>0</v>
      </c>
      <c r="KS105" s="377">
        <f t="shared" si="842"/>
        <v>0</v>
      </c>
      <c r="KT105" s="379">
        <f t="shared" si="843"/>
        <v>0</v>
      </c>
      <c r="KU105" s="251">
        <f t="shared" si="915"/>
        <v>0</v>
      </c>
      <c r="KW105" s="1"/>
      <c r="KX105" s="2">
        <v>8.3333333333333329E-2</v>
      </c>
      <c r="KY105" s="254">
        <f t="shared" si="680"/>
        <v>0</v>
      </c>
      <c r="KZ105" s="249">
        <f t="shared" si="876"/>
        <v>0</v>
      </c>
      <c r="LA105" s="251">
        <f t="shared" si="681"/>
        <v>0</v>
      </c>
      <c r="LB105" s="279">
        <f t="shared" si="844"/>
        <v>0</v>
      </c>
      <c r="LC105" s="339">
        <f t="shared" si="845"/>
        <v>0</v>
      </c>
      <c r="LD105" s="279">
        <f t="shared" si="844"/>
        <v>0</v>
      </c>
      <c r="LE105" s="339">
        <f t="shared" si="845"/>
        <v>0</v>
      </c>
      <c r="LF105" s="279">
        <f t="shared" si="844"/>
        <v>0</v>
      </c>
      <c r="LG105" s="339">
        <f t="shared" si="846"/>
        <v>0</v>
      </c>
      <c r="LH105" s="279">
        <f t="shared" si="844"/>
        <v>0</v>
      </c>
      <c r="LI105" s="339">
        <f t="shared" si="847"/>
        <v>0</v>
      </c>
      <c r="LJ105" s="279">
        <f t="shared" si="844"/>
        <v>0</v>
      </c>
      <c r="LK105" s="339">
        <f t="shared" si="848"/>
        <v>0</v>
      </c>
      <c r="LL105" s="279">
        <f t="shared" si="844"/>
        <v>0</v>
      </c>
      <c r="LM105" s="339">
        <f t="shared" si="849"/>
        <v>0</v>
      </c>
      <c r="LN105" s="279">
        <f t="shared" si="844"/>
        <v>0</v>
      </c>
      <c r="LO105" s="339">
        <f t="shared" si="850"/>
        <v>0</v>
      </c>
      <c r="LP105" s="279">
        <f t="shared" si="877"/>
        <v>0</v>
      </c>
      <c r="LQ105" s="339">
        <f t="shared" si="851"/>
        <v>0</v>
      </c>
      <c r="LR105" s="279">
        <f t="shared" si="878"/>
        <v>0</v>
      </c>
      <c r="LS105" s="339">
        <f t="shared" si="852"/>
        <v>0</v>
      </c>
      <c r="LT105" s="279">
        <f t="shared" si="879"/>
        <v>0</v>
      </c>
      <c r="LU105" s="339">
        <f t="shared" si="853"/>
        <v>0</v>
      </c>
      <c r="LV105" s="279">
        <f t="shared" si="880"/>
        <v>0</v>
      </c>
      <c r="LW105" s="339">
        <f t="shared" si="854"/>
        <v>0</v>
      </c>
      <c r="LX105" s="252">
        <f t="shared" si="855"/>
        <v>0</v>
      </c>
      <c r="LY105" s="253">
        <f t="shared" si="856"/>
        <v>0</v>
      </c>
      <c r="MA105" s="249">
        <f t="shared" si="928"/>
        <v>0</v>
      </c>
      <c r="MB105" s="253">
        <f t="shared" si="857"/>
        <v>0</v>
      </c>
      <c r="MC105" s="397">
        <f t="shared" si="929"/>
        <v>0</v>
      </c>
      <c r="MD105" s="253">
        <f t="shared" si="858"/>
        <v>0</v>
      </c>
      <c r="ME105" s="397">
        <f t="shared" si="930"/>
        <v>0</v>
      </c>
      <c r="MF105" s="253">
        <f t="shared" si="858"/>
        <v>0</v>
      </c>
      <c r="MG105" s="397">
        <f t="shared" si="931"/>
        <v>0</v>
      </c>
      <c r="MH105" s="253">
        <f t="shared" si="859"/>
        <v>0</v>
      </c>
      <c r="MI105" s="397">
        <f t="shared" si="932"/>
        <v>0</v>
      </c>
      <c r="MJ105" s="253">
        <f t="shared" si="860"/>
        <v>0</v>
      </c>
      <c r="MK105" s="397">
        <f t="shared" si="933"/>
        <v>0</v>
      </c>
      <c r="ML105" s="253">
        <f t="shared" si="861"/>
        <v>0</v>
      </c>
      <c r="MM105" s="397">
        <f t="shared" si="934"/>
        <v>0</v>
      </c>
      <c r="MN105" s="253">
        <f t="shared" si="862"/>
        <v>0</v>
      </c>
      <c r="MO105" s="397">
        <f t="shared" si="935"/>
        <v>0</v>
      </c>
      <c r="MP105" s="253">
        <f t="shared" si="863"/>
        <v>0</v>
      </c>
      <c r="MQ105" s="397">
        <f t="shared" si="936"/>
        <v>0</v>
      </c>
      <c r="MR105" s="253">
        <f t="shared" si="864"/>
        <v>0</v>
      </c>
      <c r="MS105" s="397">
        <f t="shared" si="937"/>
        <v>0</v>
      </c>
      <c r="MT105" s="253">
        <f t="shared" si="865"/>
        <v>0</v>
      </c>
      <c r="MU105" s="397">
        <f t="shared" si="938"/>
        <v>0</v>
      </c>
      <c r="MV105" s="253">
        <f t="shared" si="866"/>
        <v>0</v>
      </c>
      <c r="MW105" s="397">
        <f t="shared" si="939"/>
        <v>0</v>
      </c>
      <c r="MX105" s="253">
        <f t="shared" si="867"/>
        <v>0</v>
      </c>
      <c r="MY105" s="252">
        <f t="shared" si="868"/>
        <v>0</v>
      </c>
      <c r="MZ105" s="251">
        <f t="shared" si="869"/>
        <v>0</v>
      </c>
    </row>
    <row r="106" spans="1:364" ht="52.8" x14ac:dyDescent="0.25">
      <c r="A106" s="533"/>
      <c r="B106" s="245" t="s">
        <v>220</v>
      </c>
      <c r="C106" s="246" t="s">
        <v>221</v>
      </c>
      <c r="D106" s="247" t="s">
        <v>119</v>
      </c>
      <c r="E106" s="4">
        <v>10</v>
      </c>
      <c r="F106" s="353">
        <v>5474287.2390891835</v>
      </c>
      <c r="G106" s="353">
        <f t="shared" si="700"/>
        <v>5702434.6767868428</v>
      </c>
      <c r="I106" s="30"/>
      <c r="J106" s="2">
        <v>8.3333333333333329E-2</v>
      </c>
      <c r="K106" s="248">
        <f t="shared" si="701"/>
        <v>0</v>
      </c>
      <c r="L106" s="249"/>
      <c r="M106" s="299">
        <f t="shared" si="445"/>
        <v>0</v>
      </c>
      <c r="N106" s="279">
        <f t="shared" si="889"/>
        <v>0</v>
      </c>
      <c r="O106" s="289">
        <f t="shared" si="916"/>
        <v>0</v>
      </c>
      <c r="P106" s="279">
        <f t="shared" si="889"/>
        <v>0</v>
      </c>
      <c r="Q106" s="289">
        <f t="shared" si="916"/>
        <v>0</v>
      </c>
      <c r="R106" s="279">
        <f t="shared" si="889"/>
        <v>0</v>
      </c>
      <c r="S106" s="289">
        <f t="shared" si="702"/>
        <v>0</v>
      </c>
      <c r="T106" s="279">
        <f t="shared" si="889"/>
        <v>0</v>
      </c>
      <c r="U106" s="289">
        <f t="shared" si="703"/>
        <v>0</v>
      </c>
      <c r="V106" s="279">
        <f t="shared" si="889"/>
        <v>0</v>
      </c>
      <c r="W106" s="289">
        <f t="shared" si="704"/>
        <v>0</v>
      </c>
      <c r="X106" s="279">
        <f t="shared" si="889"/>
        <v>0</v>
      </c>
      <c r="Y106" s="289">
        <f t="shared" si="705"/>
        <v>0</v>
      </c>
      <c r="Z106" s="279">
        <f t="shared" si="889"/>
        <v>0</v>
      </c>
      <c r="AA106" s="289">
        <f t="shared" si="706"/>
        <v>0</v>
      </c>
      <c r="AB106" s="279">
        <f t="shared" si="889"/>
        <v>0</v>
      </c>
      <c r="AC106" s="289">
        <f t="shared" si="707"/>
        <v>0</v>
      </c>
      <c r="AD106" s="279">
        <f t="shared" si="889"/>
        <v>0</v>
      </c>
      <c r="AE106" s="289">
        <f t="shared" si="708"/>
        <v>0</v>
      </c>
      <c r="AF106" s="279">
        <f t="shared" si="889"/>
        <v>0</v>
      </c>
      <c r="AG106" s="289">
        <f t="shared" si="890"/>
        <v>0</v>
      </c>
      <c r="AH106" s="249">
        <f t="shared" si="456"/>
        <v>0</v>
      </c>
      <c r="AI106" s="299">
        <f t="shared" si="891"/>
        <v>0</v>
      </c>
      <c r="AJ106" s="252">
        <f t="shared" si="709"/>
        <v>0</v>
      </c>
      <c r="AK106" s="312">
        <f t="shared" si="710"/>
        <v>0</v>
      </c>
      <c r="AM106" s="1"/>
      <c r="AN106" s="2">
        <v>8.3333333333333329E-2</v>
      </c>
      <c r="AO106" s="254">
        <f t="shared" si="904"/>
        <v>0</v>
      </c>
      <c r="AP106" s="249">
        <f t="shared" si="917"/>
        <v>0</v>
      </c>
      <c r="AQ106" s="301">
        <f t="shared" si="683"/>
        <v>0</v>
      </c>
      <c r="AR106" s="249">
        <f t="shared" si="884"/>
        <v>0</v>
      </c>
      <c r="AS106" s="301">
        <f t="shared" si="683"/>
        <v>0</v>
      </c>
      <c r="AT106" s="249">
        <f t="shared" si="884"/>
        <v>0</v>
      </c>
      <c r="AU106" s="301">
        <f t="shared" si="684"/>
        <v>0</v>
      </c>
      <c r="AV106" s="249">
        <f t="shared" si="884"/>
        <v>0</v>
      </c>
      <c r="AW106" s="301">
        <f t="shared" si="711"/>
        <v>0</v>
      </c>
      <c r="AX106" s="249">
        <f t="shared" si="884"/>
        <v>0</v>
      </c>
      <c r="AY106" s="301">
        <f t="shared" si="712"/>
        <v>0</v>
      </c>
      <c r="AZ106" s="249">
        <f t="shared" si="884"/>
        <v>0</v>
      </c>
      <c r="BA106" s="301">
        <f t="shared" si="713"/>
        <v>0</v>
      </c>
      <c r="BB106" s="249">
        <f t="shared" si="884"/>
        <v>0</v>
      </c>
      <c r="BC106" s="301">
        <f t="shared" si="714"/>
        <v>0</v>
      </c>
      <c r="BD106" s="249">
        <f t="shared" si="884"/>
        <v>0</v>
      </c>
      <c r="BE106" s="301">
        <f t="shared" si="715"/>
        <v>0</v>
      </c>
      <c r="BF106" s="249">
        <f t="shared" si="882"/>
        <v>0</v>
      </c>
      <c r="BG106" s="301">
        <f t="shared" si="716"/>
        <v>0</v>
      </c>
      <c r="BH106" s="249">
        <f t="shared" si="885"/>
        <v>0</v>
      </c>
      <c r="BI106" s="301">
        <f t="shared" si="940"/>
        <v>0</v>
      </c>
      <c r="BJ106" s="249">
        <f t="shared" si="885"/>
        <v>0</v>
      </c>
      <c r="BK106" s="301">
        <f t="shared" si="940"/>
        <v>0</v>
      </c>
      <c r="BL106" s="249">
        <f t="shared" si="661"/>
        <v>0</v>
      </c>
      <c r="BM106" s="299">
        <f t="shared" si="718"/>
        <v>0</v>
      </c>
      <c r="BN106" s="252">
        <f t="shared" si="719"/>
        <v>0</v>
      </c>
      <c r="BO106" s="312">
        <f t="shared" si="926"/>
        <v>0</v>
      </c>
      <c r="BQ106" s="1"/>
      <c r="BR106" s="2"/>
      <c r="BS106" s="255">
        <f t="shared" si="919"/>
        <v>0</v>
      </c>
      <c r="BT106" s="249">
        <f t="shared" si="881"/>
        <v>0</v>
      </c>
      <c r="BU106" s="336">
        <f t="shared" si="720"/>
        <v>0</v>
      </c>
      <c r="BV106" s="279">
        <f t="shared" si="721"/>
        <v>0</v>
      </c>
      <c r="BW106" s="339">
        <f t="shared" si="722"/>
        <v>0</v>
      </c>
      <c r="BX106" s="279">
        <f t="shared" si="721"/>
        <v>0</v>
      </c>
      <c r="BY106" s="339">
        <f t="shared" si="723"/>
        <v>0</v>
      </c>
      <c r="BZ106" s="279">
        <f t="shared" si="721"/>
        <v>0</v>
      </c>
      <c r="CA106" s="339">
        <f t="shared" si="724"/>
        <v>0</v>
      </c>
      <c r="CB106" s="279">
        <f t="shared" ref="CB106:CF106" si="942">+$BQ106*$BR106</f>
        <v>0</v>
      </c>
      <c r="CC106" s="339">
        <f t="shared" si="725"/>
        <v>0</v>
      </c>
      <c r="CD106" s="279">
        <f t="shared" si="942"/>
        <v>0</v>
      </c>
      <c r="CE106" s="339">
        <f t="shared" si="726"/>
        <v>0</v>
      </c>
      <c r="CF106" s="279">
        <f t="shared" si="942"/>
        <v>0</v>
      </c>
      <c r="CG106" s="339">
        <f t="shared" si="727"/>
        <v>0</v>
      </c>
      <c r="CH106" s="279">
        <f t="shared" ref="CH106:CH110" si="943">+$BQ106*$BR106</f>
        <v>0</v>
      </c>
      <c r="CI106" s="339">
        <f t="shared" si="728"/>
        <v>0</v>
      </c>
      <c r="CJ106" s="279">
        <f t="shared" si="729"/>
        <v>0</v>
      </c>
      <c r="CK106" s="339">
        <f t="shared" si="730"/>
        <v>0</v>
      </c>
      <c r="CL106" s="279">
        <f t="shared" si="463"/>
        <v>0</v>
      </c>
      <c r="CM106" s="339">
        <f t="shared" si="731"/>
        <v>0</v>
      </c>
      <c r="CN106" s="279">
        <f t="shared" si="732"/>
        <v>0</v>
      </c>
      <c r="CO106" s="339">
        <f t="shared" si="733"/>
        <v>0</v>
      </c>
      <c r="CP106" s="279">
        <f t="shared" si="464"/>
        <v>0</v>
      </c>
      <c r="CQ106" s="250">
        <f t="shared" si="905"/>
        <v>0</v>
      </c>
      <c r="CR106" s="252">
        <f t="shared" si="734"/>
        <v>0</v>
      </c>
      <c r="CS106" s="251">
        <f t="shared" si="887"/>
        <v>0</v>
      </c>
      <c r="CU106" s="1"/>
      <c r="CV106" s="2"/>
      <c r="CW106" s="255">
        <f t="shared" si="920"/>
        <v>0</v>
      </c>
      <c r="CX106" s="249">
        <f t="shared" si="735"/>
        <v>0</v>
      </c>
      <c r="CY106" s="250">
        <f t="shared" si="736"/>
        <v>0</v>
      </c>
      <c r="CZ106" s="279">
        <f t="shared" si="870"/>
        <v>0</v>
      </c>
      <c r="DA106" s="299">
        <f t="shared" si="736"/>
        <v>0</v>
      </c>
      <c r="DB106" s="279">
        <f t="shared" si="870"/>
        <v>0</v>
      </c>
      <c r="DC106" s="299">
        <f t="shared" si="737"/>
        <v>0</v>
      </c>
      <c r="DD106" s="279">
        <f t="shared" si="870"/>
        <v>0</v>
      </c>
      <c r="DE106" s="299">
        <f t="shared" si="738"/>
        <v>0</v>
      </c>
      <c r="DF106" s="279">
        <f t="shared" si="870"/>
        <v>0</v>
      </c>
      <c r="DG106" s="299">
        <f t="shared" si="739"/>
        <v>0</v>
      </c>
      <c r="DH106" s="279">
        <f t="shared" si="870"/>
        <v>0</v>
      </c>
      <c r="DI106" s="299">
        <f t="shared" si="740"/>
        <v>0</v>
      </c>
      <c r="DJ106" s="279">
        <f t="shared" si="870"/>
        <v>0</v>
      </c>
      <c r="DK106" s="299">
        <f t="shared" si="741"/>
        <v>0</v>
      </c>
      <c r="DL106" s="279">
        <f t="shared" si="870"/>
        <v>0</v>
      </c>
      <c r="DM106" s="299">
        <f t="shared" si="742"/>
        <v>0</v>
      </c>
      <c r="DN106" s="279">
        <f t="shared" si="743"/>
        <v>0</v>
      </c>
      <c r="DO106" s="299">
        <f t="shared" si="744"/>
        <v>0</v>
      </c>
      <c r="DP106" s="279">
        <f t="shared" si="471"/>
        <v>0</v>
      </c>
      <c r="DQ106" s="299">
        <f t="shared" si="745"/>
        <v>0</v>
      </c>
      <c r="DR106" s="279">
        <f t="shared" si="746"/>
        <v>0</v>
      </c>
      <c r="DS106" s="299">
        <f t="shared" si="747"/>
        <v>0</v>
      </c>
      <c r="DT106" s="279">
        <f t="shared" si="472"/>
        <v>0</v>
      </c>
      <c r="DU106" s="299">
        <f t="shared" si="748"/>
        <v>0</v>
      </c>
      <c r="DV106" s="252">
        <f t="shared" si="749"/>
        <v>0</v>
      </c>
      <c r="DW106" s="251">
        <f t="shared" si="888"/>
        <v>0</v>
      </c>
      <c r="DY106" s="256">
        <v>0</v>
      </c>
      <c r="DZ106" s="2"/>
      <c r="EA106" s="254">
        <f t="shared" si="906"/>
        <v>0</v>
      </c>
      <c r="EB106" s="249">
        <f t="shared" si="871"/>
        <v>0</v>
      </c>
      <c r="EC106" s="250">
        <f t="shared" si="750"/>
        <v>0</v>
      </c>
      <c r="ED106" s="356">
        <f t="shared" si="871"/>
        <v>0</v>
      </c>
      <c r="EE106" s="250">
        <f t="shared" si="750"/>
        <v>0</v>
      </c>
      <c r="EF106" s="249">
        <f t="shared" si="872"/>
        <v>0</v>
      </c>
      <c r="EG106" s="250">
        <f t="shared" si="941"/>
        <v>0</v>
      </c>
      <c r="EH106" s="249">
        <f t="shared" si="872"/>
        <v>0</v>
      </c>
      <c r="EI106" s="250">
        <f t="shared" si="941"/>
        <v>0</v>
      </c>
      <c r="EJ106" s="249">
        <f t="shared" si="872"/>
        <v>0</v>
      </c>
      <c r="EK106" s="250">
        <f t="shared" si="752"/>
        <v>0</v>
      </c>
      <c r="EL106" s="249">
        <f t="shared" si="872"/>
        <v>0</v>
      </c>
      <c r="EM106" s="250">
        <f t="shared" si="753"/>
        <v>0</v>
      </c>
      <c r="EN106" s="249">
        <f t="shared" si="872"/>
        <v>0</v>
      </c>
      <c r="EO106" s="250">
        <f t="shared" si="754"/>
        <v>0</v>
      </c>
      <c r="EP106" s="249">
        <f t="shared" si="872"/>
        <v>0</v>
      </c>
      <c r="EQ106" s="250">
        <f t="shared" si="755"/>
        <v>0</v>
      </c>
      <c r="ER106" s="249">
        <f t="shared" si="872"/>
        <v>0</v>
      </c>
      <c r="ES106" s="250">
        <f t="shared" si="756"/>
        <v>0</v>
      </c>
      <c r="ET106" s="249">
        <f t="shared" si="921"/>
        <v>0</v>
      </c>
      <c r="EU106" s="250">
        <f t="shared" si="757"/>
        <v>0</v>
      </c>
      <c r="EV106" s="249">
        <f t="shared" si="758"/>
        <v>0</v>
      </c>
      <c r="EW106" s="250">
        <f t="shared" si="759"/>
        <v>0</v>
      </c>
      <c r="EX106" s="249">
        <f t="shared" si="922"/>
        <v>0</v>
      </c>
      <c r="EY106" s="250">
        <f t="shared" si="760"/>
        <v>0</v>
      </c>
      <c r="EZ106" s="252">
        <f t="shared" si="761"/>
        <v>0</v>
      </c>
      <c r="FA106" s="251">
        <f t="shared" si="907"/>
        <v>0</v>
      </c>
      <c r="FC106" s="1"/>
      <c r="FD106" s="2"/>
      <c r="FE106" s="257">
        <f t="shared" si="908"/>
        <v>0</v>
      </c>
      <c r="FF106" s="249">
        <f t="shared" si="762"/>
        <v>0</v>
      </c>
      <c r="FG106" s="250">
        <f t="shared" si="763"/>
        <v>0</v>
      </c>
      <c r="FH106" s="372">
        <f t="shared" si="873"/>
        <v>0</v>
      </c>
      <c r="FI106" s="339">
        <f t="shared" si="764"/>
        <v>0</v>
      </c>
      <c r="FJ106" s="372">
        <f t="shared" si="873"/>
        <v>0</v>
      </c>
      <c r="FK106" s="339">
        <f t="shared" si="764"/>
        <v>0</v>
      </c>
      <c r="FL106" s="372">
        <f t="shared" si="873"/>
        <v>0</v>
      </c>
      <c r="FM106" s="339">
        <f t="shared" si="765"/>
        <v>0</v>
      </c>
      <c r="FN106" s="372">
        <f t="shared" si="873"/>
        <v>0</v>
      </c>
      <c r="FO106" s="339">
        <f t="shared" si="766"/>
        <v>0</v>
      </c>
      <c r="FP106" s="372">
        <f t="shared" si="873"/>
        <v>0</v>
      </c>
      <c r="FQ106" s="339">
        <f t="shared" si="767"/>
        <v>0</v>
      </c>
      <c r="FR106" s="372">
        <f t="shared" si="873"/>
        <v>0</v>
      </c>
      <c r="FS106" s="339">
        <f t="shared" si="768"/>
        <v>0</v>
      </c>
      <c r="FT106" s="372">
        <f t="shared" si="873"/>
        <v>0</v>
      </c>
      <c r="FU106" s="339">
        <f t="shared" si="769"/>
        <v>0</v>
      </c>
      <c r="FV106" s="372">
        <f t="shared" si="770"/>
        <v>0</v>
      </c>
      <c r="FW106" s="339">
        <f t="shared" si="771"/>
        <v>0</v>
      </c>
      <c r="FX106" s="372">
        <f t="shared" si="479"/>
        <v>0</v>
      </c>
      <c r="FY106" s="339">
        <f t="shared" si="772"/>
        <v>0</v>
      </c>
      <c r="FZ106" s="372">
        <f t="shared" si="773"/>
        <v>0</v>
      </c>
      <c r="GA106" s="339">
        <f t="shared" si="774"/>
        <v>0</v>
      </c>
      <c r="GB106" s="372">
        <f t="shared" si="480"/>
        <v>0</v>
      </c>
      <c r="GC106" s="339">
        <f t="shared" si="775"/>
        <v>0</v>
      </c>
      <c r="GD106" s="252">
        <f t="shared" si="776"/>
        <v>0</v>
      </c>
      <c r="GE106" s="251">
        <f t="shared" si="927"/>
        <v>0</v>
      </c>
      <c r="GG106" s="1"/>
      <c r="GH106" s="2">
        <v>0.2</v>
      </c>
      <c r="GI106" s="257">
        <f t="shared" si="909"/>
        <v>0</v>
      </c>
      <c r="GJ106" s="249">
        <f t="shared" si="777"/>
        <v>0</v>
      </c>
      <c r="GK106" s="250">
        <f t="shared" si="778"/>
        <v>0</v>
      </c>
      <c r="GL106" s="249">
        <f t="shared" si="777"/>
        <v>0</v>
      </c>
      <c r="GM106" s="250">
        <f t="shared" si="778"/>
        <v>0</v>
      </c>
      <c r="GN106" s="249">
        <f t="shared" si="777"/>
        <v>0</v>
      </c>
      <c r="GO106" s="250">
        <f t="shared" si="894"/>
        <v>0</v>
      </c>
      <c r="GP106" s="249">
        <f t="shared" ref="GP106:GT106" si="944">+$GG106*$GH106</f>
        <v>0</v>
      </c>
      <c r="GQ106" s="250">
        <f t="shared" si="895"/>
        <v>0</v>
      </c>
      <c r="GR106" s="249">
        <f t="shared" si="944"/>
        <v>0</v>
      </c>
      <c r="GS106" s="250">
        <f t="shared" si="896"/>
        <v>0</v>
      </c>
      <c r="GT106" s="249">
        <f t="shared" si="944"/>
        <v>0</v>
      </c>
      <c r="GU106" s="250">
        <f t="shared" si="897"/>
        <v>0</v>
      </c>
      <c r="GV106" s="249">
        <f t="shared" ref="GV106:GV110" si="945">+$GG106*$GH106</f>
        <v>0</v>
      </c>
      <c r="GW106" s="250">
        <f t="shared" si="898"/>
        <v>0</v>
      </c>
      <c r="GX106" s="249">
        <f t="shared" si="784"/>
        <v>0</v>
      </c>
      <c r="GY106" s="250">
        <f t="shared" si="899"/>
        <v>0</v>
      </c>
      <c r="GZ106" s="249">
        <f t="shared" si="786"/>
        <v>0</v>
      </c>
      <c r="HA106" s="250">
        <f t="shared" si="900"/>
        <v>0</v>
      </c>
      <c r="HB106" s="249">
        <f t="shared" si="788"/>
        <v>0</v>
      </c>
      <c r="HC106" s="250">
        <f t="shared" si="901"/>
        <v>0</v>
      </c>
      <c r="HD106" s="249">
        <f t="shared" si="790"/>
        <v>0</v>
      </c>
      <c r="HE106" s="250">
        <f t="shared" si="902"/>
        <v>0</v>
      </c>
      <c r="HF106" s="249">
        <f t="shared" si="792"/>
        <v>0</v>
      </c>
      <c r="HG106" s="250">
        <f t="shared" si="903"/>
        <v>0</v>
      </c>
      <c r="HH106" s="252">
        <f t="shared" si="794"/>
        <v>0</v>
      </c>
      <c r="HI106" s="251">
        <f t="shared" si="910"/>
        <v>0</v>
      </c>
      <c r="HK106" s="1"/>
      <c r="HL106" s="2"/>
      <c r="HM106" s="257">
        <f t="shared" si="911"/>
        <v>0</v>
      </c>
      <c r="HN106" s="249">
        <f t="shared" si="795"/>
        <v>0</v>
      </c>
      <c r="HO106" s="250">
        <f t="shared" si="912"/>
        <v>0</v>
      </c>
      <c r="HP106" s="249">
        <f t="shared" si="796"/>
        <v>0</v>
      </c>
      <c r="HQ106" s="250">
        <f t="shared" si="797"/>
        <v>0</v>
      </c>
      <c r="HR106" s="249">
        <f t="shared" si="796"/>
        <v>0</v>
      </c>
      <c r="HS106" s="250">
        <f t="shared" si="797"/>
        <v>0</v>
      </c>
      <c r="HT106" s="249">
        <f t="shared" si="796"/>
        <v>0</v>
      </c>
      <c r="HU106" s="250">
        <f t="shared" si="798"/>
        <v>0</v>
      </c>
      <c r="HV106" s="249">
        <f t="shared" ref="HV106:HZ106" si="946">+$HK106*$HL106</f>
        <v>0</v>
      </c>
      <c r="HW106" s="250">
        <f t="shared" si="799"/>
        <v>0</v>
      </c>
      <c r="HX106" s="249">
        <f t="shared" si="946"/>
        <v>0</v>
      </c>
      <c r="HY106" s="250">
        <f t="shared" si="800"/>
        <v>0</v>
      </c>
      <c r="HZ106" s="249">
        <f t="shared" si="946"/>
        <v>0</v>
      </c>
      <c r="IA106" s="250">
        <f t="shared" si="801"/>
        <v>0</v>
      </c>
      <c r="IB106" s="249">
        <f t="shared" ref="IB106:IB110" si="947">+$HK106*$HL106</f>
        <v>0</v>
      </c>
      <c r="IC106" s="250">
        <f t="shared" si="802"/>
        <v>0</v>
      </c>
      <c r="ID106" s="249">
        <f t="shared" si="803"/>
        <v>0</v>
      </c>
      <c r="IE106" s="250">
        <f t="shared" si="804"/>
        <v>0</v>
      </c>
      <c r="IF106" s="249">
        <f t="shared" si="805"/>
        <v>0</v>
      </c>
      <c r="IG106" s="250">
        <f t="shared" si="806"/>
        <v>0</v>
      </c>
      <c r="IH106" s="249">
        <f t="shared" si="807"/>
        <v>0</v>
      </c>
      <c r="II106" s="250">
        <f t="shared" si="808"/>
        <v>0</v>
      </c>
      <c r="IJ106" s="249">
        <f t="shared" si="809"/>
        <v>0</v>
      </c>
      <c r="IK106" s="250">
        <f t="shared" si="810"/>
        <v>0</v>
      </c>
      <c r="IL106" s="252">
        <f t="shared" si="811"/>
        <v>0</v>
      </c>
      <c r="IM106" s="251">
        <f t="shared" si="812"/>
        <v>0</v>
      </c>
      <c r="IO106" s="1"/>
      <c r="IP106" s="2">
        <v>8.3333333333333329E-2</v>
      </c>
      <c r="IQ106" s="257">
        <f t="shared" si="913"/>
        <v>0</v>
      </c>
      <c r="IR106" s="249">
        <f t="shared" si="813"/>
        <v>0</v>
      </c>
      <c r="IS106" s="250">
        <f t="shared" si="814"/>
        <v>0</v>
      </c>
      <c r="IT106" s="279">
        <f t="shared" si="874"/>
        <v>0</v>
      </c>
      <c r="IU106" s="289">
        <f t="shared" si="815"/>
        <v>0</v>
      </c>
      <c r="IV106" s="279">
        <f t="shared" si="874"/>
        <v>0</v>
      </c>
      <c r="IW106" s="289">
        <f t="shared" si="815"/>
        <v>0</v>
      </c>
      <c r="IX106" s="279">
        <f t="shared" si="874"/>
        <v>0</v>
      </c>
      <c r="IY106" s="289">
        <f t="shared" si="816"/>
        <v>0</v>
      </c>
      <c r="IZ106" s="279">
        <f t="shared" si="874"/>
        <v>0</v>
      </c>
      <c r="JA106" s="289">
        <f t="shared" si="817"/>
        <v>0</v>
      </c>
      <c r="JB106" s="279">
        <f t="shared" si="874"/>
        <v>0</v>
      </c>
      <c r="JC106" s="289">
        <f t="shared" si="818"/>
        <v>0</v>
      </c>
      <c r="JD106" s="279">
        <f t="shared" si="874"/>
        <v>0</v>
      </c>
      <c r="JE106" s="289">
        <f t="shared" si="819"/>
        <v>0</v>
      </c>
      <c r="JF106" s="279">
        <f t="shared" si="874"/>
        <v>0</v>
      </c>
      <c r="JG106" s="289">
        <f t="shared" si="820"/>
        <v>0</v>
      </c>
      <c r="JH106" s="279">
        <f t="shared" si="821"/>
        <v>0</v>
      </c>
      <c r="JI106" s="289">
        <f t="shared" si="822"/>
        <v>0</v>
      </c>
      <c r="JJ106" s="279">
        <f t="shared" si="923"/>
        <v>0</v>
      </c>
      <c r="JK106" s="289">
        <f t="shared" si="823"/>
        <v>0</v>
      </c>
      <c r="JL106" s="279">
        <f t="shared" si="824"/>
        <v>0</v>
      </c>
      <c r="JM106" s="289">
        <f t="shared" si="825"/>
        <v>0</v>
      </c>
      <c r="JN106" s="279">
        <f t="shared" si="924"/>
        <v>0</v>
      </c>
      <c r="JO106" s="289">
        <f t="shared" si="826"/>
        <v>0</v>
      </c>
      <c r="JP106" s="252">
        <f t="shared" si="827"/>
        <v>0</v>
      </c>
      <c r="JQ106" s="251">
        <f t="shared" si="828"/>
        <v>0</v>
      </c>
      <c r="JS106" s="1"/>
      <c r="JT106" s="2">
        <v>8.3333333333333329E-2</v>
      </c>
      <c r="JU106" s="257">
        <f t="shared" si="914"/>
        <v>0</v>
      </c>
      <c r="JV106" s="249">
        <f t="shared" si="829"/>
        <v>0</v>
      </c>
      <c r="JW106" s="250">
        <f t="shared" si="830"/>
        <v>0</v>
      </c>
      <c r="JX106" s="372">
        <f t="shared" si="875"/>
        <v>0</v>
      </c>
      <c r="JY106" s="339">
        <f t="shared" si="831"/>
        <v>0</v>
      </c>
      <c r="JZ106" s="372">
        <f t="shared" si="875"/>
        <v>0</v>
      </c>
      <c r="KA106" s="339">
        <f t="shared" si="831"/>
        <v>0</v>
      </c>
      <c r="KB106" s="372">
        <f t="shared" si="875"/>
        <v>0</v>
      </c>
      <c r="KC106" s="339">
        <f t="shared" si="832"/>
        <v>0</v>
      </c>
      <c r="KD106" s="372">
        <f t="shared" si="875"/>
        <v>0</v>
      </c>
      <c r="KE106" s="339">
        <f t="shared" si="833"/>
        <v>0</v>
      </c>
      <c r="KF106" s="372">
        <f t="shared" si="875"/>
        <v>0</v>
      </c>
      <c r="KG106" s="339">
        <f t="shared" si="834"/>
        <v>0</v>
      </c>
      <c r="KH106" s="372">
        <f t="shared" si="875"/>
        <v>0</v>
      </c>
      <c r="KI106" s="339">
        <f t="shared" si="835"/>
        <v>0</v>
      </c>
      <c r="KJ106" s="372">
        <f t="shared" si="875"/>
        <v>0</v>
      </c>
      <c r="KK106" s="339">
        <f t="shared" si="836"/>
        <v>0</v>
      </c>
      <c r="KL106" s="372">
        <f t="shared" si="837"/>
        <v>0</v>
      </c>
      <c r="KM106" s="339">
        <f t="shared" si="838"/>
        <v>0</v>
      </c>
      <c r="KN106" s="372">
        <f t="shared" si="918"/>
        <v>0</v>
      </c>
      <c r="KO106" s="339">
        <f t="shared" si="839"/>
        <v>0</v>
      </c>
      <c r="KP106" s="372">
        <f t="shared" si="840"/>
        <v>0</v>
      </c>
      <c r="KQ106" s="339">
        <f t="shared" si="841"/>
        <v>0</v>
      </c>
      <c r="KR106" s="372">
        <f t="shared" si="925"/>
        <v>0</v>
      </c>
      <c r="KS106" s="377">
        <f t="shared" si="842"/>
        <v>0</v>
      </c>
      <c r="KT106" s="379">
        <f t="shared" si="843"/>
        <v>0</v>
      </c>
      <c r="KU106" s="251">
        <f t="shared" si="915"/>
        <v>0</v>
      </c>
      <c r="KW106" s="1"/>
      <c r="KX106" s="2">
        <v>8.3333333333333329E-2</v>
      </c>
      <c r="KY106" s="254">
        <f t="shared" si="680"/>
        <v>0</v>
      </c>
      <c r="KZ106" s="249">
        <f t="shared" si="876"/>
        <v>0</v>
      </c>
      <c r="LA106" s="251">
        <f t="shared" si="681"/>
        <v>0</v>
      </c>
      <c r="LB106" s="279">
        <f t="shared" si="844"/>
        <v>0</v>
      </c>
      <c r="LC106" s="339">
        <f t="shared" si="845"/>
        <v>0</v>
      </c>
      <c r="LD106" s="279">
        <f t="shared" si="844"/>
        <v>0</v>
      </c>
      <c r="LE106" s="339">
        <f t="shared" si="845"/>
        <v>0</v>
      </c>
      <c r="LF106" s="279">
        <f t="shared" si="844"/>
        <v>0</v>
      </c>
      <c r="LG106" s="339">
        <f t="shared" si="846"/>
        <v>0</v>
      </c>
      <c r="LH106" s="279">
        <f t="shared" ref="LH106:LL106" si="948">+$KW106*$KX106</f>
        <v>0</v>
      </c>
      <c r="LI106" s="339">
        <f t="shared" si="847"/>
        <v>0</v>
      </c>
      <c r="LJ106" s="279">
        <f t="shared" si="948"/>
        <v>0</v>
      </c>
      <c r="LK106" s="339">
        <f t="shared" si="848"/>
        <v>0</v>
      </c>
      <c r="LL106" s="279">
        <f t="shared" si="948"/>
        <v>0</v>
      </c>
      <c r="LM106" s="339">
        <f t="shared" si="849"/>
        <v>0</v>
      </c>
      <c r="LN106" s="279">
        <f t="shared" ref="LN106:LN110" si="949">+$KW106*$KX106</f>
        <v>0</v>
      </c>
      <c r="LO106" s="339">
        <f t="shared" si="850"/>
        <v>0</v>
      </c>
      <c r="LP106" s="279">
        <f t="shared" si="877"/>
        <v>0</v>
      </c>
      <c r="LQ106" s="339">
        <f t="shared" si="851"/>
        <v>0</v>
      </c>
      <c r="LR106" s="279">
        <f t="shared" si="878"/>
        <v>0</v>
      </c>
      <c r="LS106" s="339">
        <f t="shared" si="852"/>
        <v>0</v>
      </c>
      <c r="LT106" s="279">
        <f t="shared" si="879"/>
        <v>0</v>
      </c>
      <c r="LU106" s="339">
        <f t="shared" si="853"/>
        <v>0</v>
      </c>
      <c r="LV106" s="279">
        <f t="shared" si="880"/>
        <v>0</v>
      </c>
      <c r="LW106" s="339">
        <f t="shared" si="854"/>
        <v>0</v>
      </c>
      <c r="LX106" s="252">
        <f t="shared" si="855"/>
        <v>0</v>
      </c>
      <c r="LY106" s="253">
        <f t="shared" si="856"/>
        <v>0</v>
      </c>
      <c r="MA106" s="249">
        <f t="shared" si="928"/>
        <v>0</v>
      </c>
      <c r="MB106" s="253">
        <f t="shared" si="857"/>
        <v>0</v>
      </c>
      <c r="MC106" s="397">
        <f t="shared" si="929"/>
        <v>0</v>
      </c>
      <c r="MD106" s="253">
        <f t="shared" si="858"/>
        <v>0</v>
      </c>
      <c r="ME106" s="397">
        <f t="shared" si="930"/>
        <v>0</v>
      </c>
      <c r="MF106" s="253">
        <f t="shared" si="858"/>
        <v>0</v>
      </c>
      <c r="MG106" s="397">
        <f t="shared" si="931"/>
        <v>0</v>
      </c>
      <c r="MH106" s="253">
        <f t="shared" si="859"/>
        <v>0</v>
      </c>
      <c r="MI106" s="397">
        <f t="shared" si="932"/>
        <v>0</v>
      </c>
      <c r="MJ106" s="253">
        <f t="shared" si="860"/>
        <v>0</v>
      </c>
      <c r="MK106" s="397">
        <f t="shared" si="933"/>
        <v>0</v>
      </c>
      <c r="ML106" s="253">
        <f t="shared" si="861"/>
        <v>0</v>
      </c>
      <c r="MM106" s="397">
        <f t="shared" si="934"/>
        <v>0</v>
      </c>
      <c r="MN106" s="253">
        <f t="shared" si="862"/>
        <v>0</v>
      </c>
      <c r="MO106" s="397">
        <f t="shared" si="935"/>
        <v>0</v>
      </c>
      <c r="MP106" s="253">
        <f t="shared" si="863"/>
        <v>0</v>
      </c>
      <c r="MQ106" s="397">
        <f t="shared" si="936"/>
        <v>0</v>
      </c>
      <c r="MR106" s="253">
        <f t="shared" si="864"/>
        <v>0</v>
      </c>
      <c r="MS106" s="397">
        <f t="shared" si="937"/>
        <v>0</v>
      </c>
      <c r="MT106" s="253">
        <f t="shared" si="865"/>
        <v>0</v>
      </c>
      <c r="MU106" s="397">
        <f t="shared" si="938"/>
        <v>0</v>
      </c>
      <c r="MV106" s="253">
        <f t="shared" si="866"/>
        <v>0</v>
      </c>
      <c r="MW106" s="397">
        <f t="shared" si="939"/>
        <v>0</v>
      </c>
      <c r="MX106" s="253">
        <f t="shared" si="867"/>
        <v>0</v>
      </c>
      <c r="MY106" s="252">
        <f t="shared" si="868"/>
        <v>0</v>
      </c>
      <c r="MZ106" s="251">
        <f t="shared" si="869"/>
        <v>0</v>
      </c>
    </row>
    <row r="107" spans="1:364" ht="52.8" x14ac:dyDescent="0.25">
      <c r="A107" s="533"/>
      <c r="B107" s="245" t="s">
        <v>222</v>
      </c>
      <c r="C107" s="246" t="s">
        <v>223</v>
      </c>
      <c r="D107" s="247" t="s">
        <v>119</v>
      </c>
      <c r="E107" s="4">
        <v>10</v>
      </c>
      <c r="F107" s="353">
        <v>6308808.111954459</v>
      </c>
      <c r="G107" s="353">
        <f t="shared" si="700"/>
        <v>6571735.2005060082</v>
      </c>
      <c r="I107" s="30"/>
      <c r="J107" s="2">
        <v>8.3333333333333329E-2</v>
      </c>
      <c r="K107" s="248">
        <f t="shared" si="701"/>
        <v>0</v>
      </c>
      <c r="L107" s="249"/>
      <c r="M107" s="299">
        <f t="shared" ref="M107:M110" si="950">+L107*$G107</f>
        <v>0</v>
      </c>
      <c r="N107" s="279">
        <f t="shared" si="889"/>
        <v>0</v>
      </c>
      <c r="O107" s="289">
        <f t="shared" ref="O107:Q110" si="951">+N107*$G107</f>
        <v>0</v>
      </c>
      <c r="P107" s="279">
        <f t="shared" si="889"/>
        <v>0</v>
      </c>
      <c r="Q107" s="289">
        <f t="shared" si="951"/>
        <v>0</v>
      </c>
      <c r="R107" s="279">
        <f t="shared" si="889"/>
        <v>0</v>
      </c>
      <c r="S107" s="289">
        <f t="shared" si="702"/>
        <v>0</v>
      </c>
      <c r="T107" s="279">
        <f t="shared" si="889"/>
        <v>0</v>
      </c>
      <c r="U107" s="289">
        <f t="shared" si="703"/>
        <v>0</v>
      </c>
      <c r="V107" s="279">
        <f t="shared" si="889"/>
        <v>0</v>
      </c>
      <c r="W107" s="289">
        <f t="shared" si="704"/>
        <v>0</v>
      </c>
      <c r="X107" s="279">
        <f t="shared" si="889"/>
        <v>0</v>
      </c>
      <c r="Y107" s="289">
        <f t="shared" si="705"/>
        <v>0</v>
      </c>
      <c r="Z107" s="279">
        <f t="shared" si="889"/>
        <v>0</v>
      </c>
      <c r="AA107" s="289">
        <f t="shared" si="706"/>
        <v>0</v>
      </c>
      <c r="AB107" s="279">
        <f t="shared" si="889"/>
        <v>0</v>
      </c>
      <c r="AC107" s="289">
        <f t="shared" si="707"/>
        <v>0</v>
      </c>
      <c r="AD107" s="279">
        <f t="shared" si="889"/>
        <v>0</v>
      </c>
      <c r="AE107" s="289">
        <f t="shared" si="708"/>
        <v>0</v>
      </c>
      <c r="AF107" s="279">
        <f t="shared" si="889"/>
        <v>0</v>
      </c>
      <c r="AG107" s="289">
        <f t="shared" si="890"/>
        <v>0</v>
      </c>
      <c r="AH107" s="249">
        <f t="shared" si="456"/>
        <v>0</v>
      </c>
      <c r="AI107" s="299">
        <f t="shared" si="891"/>
        <v>0</v>
      </c>
      <c r="AJ107" s="252">
        <f t="shared" si="709"/>
        <v>0</v>
      </c>
      <c r="AK107" s="312">
        <f t="shared" si="710"/>
        <v>0</v>
      </c>
      <c r="AM107" s="1"/>
      <c r="AN107" s="2">
        <v>8.3333333333333329E-2</v>
      </c>
      <c r="AO107" s="254">
        <f t="shared" si="904"/>
        <v>0</v>
      </c>
      <c r="AP107" s="249">
        <f t="shared" si="917"/>
        <v>0</v>
      </c>
      <c r="AQ107" s="301">
        <f t="shared" si="683"/>
        <v>0</v>
      </c>
      <c r="AR107" s="249">
        <f t="shared" si="884"/>
        <v>0</v>
      </c>
      <c r="AS107" s="301">
        <f t="shared" si="683"/>
        <v>0</v>
      </c>
      <c r="AT107" s="249">
        <f t="shared" si="884"/>
        <v>0</v>
      </c>
      <c r="AU107" s="301">
        <f t="shared" si="684"/>
        <v>0</v>
      </c>
      <c r="AV107" s="249">
        <f t="shared" si="884"/>
        <v>0</v>
      </c>
      <c r="AW107" s="301">
        <f t="shared" si="711"/>
        <v>0</v>
      </c>
      <c r="AX107" s="249">
        <f t="shared" si="884"/>
        <v>0</v>
      </c>
      <c r="AY107" s="301">
        <f t="shared" si="712"/>
        <v>0</v>
      </c>
      <c r="AZ107" s="249">
        <f t="shared" si="884"/>
        <v>0</v>
      </c>
      <c r="BA107" s="301">
        <f t="shared" si="713"/>
        <v>0</v>
      </c>
      <c r="BB107" s="249">
        <f t="shared" si="884"/>
        <v>0</v>
      </c>
      <c r="BC107" s="301">
        <f t="shared" si="714"/>
        <v>0</v>
      </c>
      <c r="BD107" s="249">
        <f t="shared" si="884"/>
        <v>0</v>
      </c>
      <c r="BE107" s="301">
        <f t="shared" si="715"/>
        <v>0</v>
      </c>
      <c r="BF107" s="249">
        <f t="shared" si="882"/>
        <v>0</v>
      </c>
      <c r="BG107" s="301">
        <f t="shared" si="716"/>
        <v>0</v>
      </c>
      <c r="BH107" s="249">
        <f t="shared" si="885"/>
        <v>0</v>
      </c>
      <c r="BI107" s="301">
        <f t="shared" si="940"/>
        <v>0</v>
      </c>
      <c r="BJ107" s="249">
        <f t="shared" si="885"/>
        <v>0</v>
      </c>
      <c r="BK107" s="301">
        <f t="shared" si="940"/>
        <v>0</v>
      </c>
      <c r="BL107" s="249">
        <f t="shared" si="661"/>
        <v>0</v>
      </c>
      <c r="BM107" s="299">
        <f t="shared" si="718"/>
        <v>0</v>
      </c>
      <c r="BN107" s="252">
        <f t="shared" si="719"/>
        <v>0</v>
      </c>
      <c r="BO107" s="312">
        <f t="shared" si="926"/>
        <v>0</v>
      </c>
      <c r="BQ107" s="1"/>
      <c r="BR107" s="2"/>
      <c r="BS107" s="255">
        <f t="shared" si="919"/>
        <v>0</v>
      </c>
      <c r="BT107" s="249">
        <f t="shared" si="881"/>
        <v>0</v>
      </c>
      <c r="BU107" s="336">
        <f t="shared" si="720"/>
        <v>0</v>
      </c>
      <c r="BV107" s="279">
        <f t="shared" ref="BV107:CF110" si="952">+$BQ107*$BR107</f>
        <v>0</v>
      </c>
      <c r="BW107" s="339">
        <f t="shared" si="722"/>
        <v>0</v>
      </c>
      <c r="BX107" s="279">
        <f t="shared" si="952"/>
        <v>0</v>
      </c>
      <c r="BY107" s="339">
        <f t="shared" si="723"/>
        <v>0</v>
      </c>
      <c r="BZ107" s="279">
        <f t="shared" si="952"/>
        <v>0</v>
      </c>
      <c r="CA107" s="339">
        <f t="shared" si="724"/>
        <v>0</v>
      </c>
      <c r="CB107" s="279">
        <f t="shared" si="952"/>
        <v>0</v>
      </c>
      <c r="CC107" s="339">
        <f t="shared" si="725"/>
        <v>0</v>
      </c>
      <c r="CD107" s="279">
        <f t="shared" si="952"/>
        <v>0</v>
      </c>
      <c r="CE107" s="339">
        <f t="shared" si="726"/>
        <v>0</v>
      </c>
      <c r="CF107" s="279">
        <f t="shared" si="952"/>
        <v>0</v>
      </c>
      <c r="CG107" s="339">
        <f t="shared" si="727"/>
        <v>0</v>
      </c>
      <c r="CH107" s="279">
        <f t="shared" si="943"/>
        <v>0</v>
      </c>
      <c r="CI107" s="339">
        <f t="shared" si="728"/>
        <v>0</v>
      </c>
      <c r="CJ107" s="279">
        <f t="shared" si="729"/>
        <v>0</v>
      </c>
      <c r="CK107" s="339">
        <f t="shared" si="730"/>
        <v>0</v>
      </c>
      <c r="CL107" s="279">
        <f t="shared" si="463"/>
        <v>0</v>
      </c>
      <c r="CM107" s="339">
        <f t="shared" si="731"/>
        <v>0</v>
      </c>
      <c r="CN107" s="279">
        <f t="shared" si="732"/>
        <v>0</v>
      </c>
      <c r="CO107" s="339">
        <f t="shared" si="733"/>
        <v>0</v>
      </c>
      <c r="CP107" s="279">
        <f t="shared" si="464"/>
        <v>0</v>
      </c>
      <c r="CQ107" s="250">
        <f t="shared" si="905"/>
        <v>0</v>
      </c>
      <c r="CR107" s="252">
        <f t="shared" si="734"/>
        <v>0</v>
      </c>
      <c r="CS107" s="251">
        <f t="shared" si="887"/>
        <v>0</v>
      </c>
      <c r="CU107" s="1"/>
      <c r="CV107" s="2"/>
      <c r="CW107" s="255">
        <f t="shared" si="920"/>
        <v>0</v>
      </c>
      <c r="CX107" s="249">
        <f t="shared" si="735"/>
        <v>0</v>
      </c>
      <c r="CY107" s="250">
        <f t="shared" si="736"/>
        <v>0</v>
      </c>
      <c r="CZ107" s="279">
        <f t="shared" si="870"/>
        <v>0</v>
      </c>
      <c r="DA107" s="299">
        <f t="shared" si="736"/>
        <v>0</v>
      </c>
      <c r="DB107" s="279">
        <f t="shared" si="870"/>
        <v>0</v>
      </c>
      <c r="DC107" s="299">
        <f t="shared" si="737"/>
        <v>0</v>
      </c>
      <c r="DD107" s="279">
        <f t="shared" si="870"/>
        <v>0</v>
      </c>
      <c r="DE107" s="299">
        <f t="shared" si="738"/>
        <v>0</v>
      </c>
      <c r="DF107" s="279">
        <f t="shared" ref="DF107:DJ107" si="953">+$CU107*$CV107</f>
        <v>0</v>
      </c>
      <c r="DG107" s="299">
        <f t="shared" si="739"/>
        <v>0</v>
      </c>
      <c r="DH107" s="279">
        <f t="shared" si="953"/>
        <v>0</v>
      </c>
      <c r="DI107" s="299">
        <f t="shared" si="740"/>
        <v>0</v>
      </c>
      <c r="DJ107" s="279">
        <f t="shared" si="953"/>
        <v>0</v>
      </c>
      <c r="DK107" s="299">
        <f t="shared" si="741"/>
        <v>0</v>
      </c>
      <c r="DL107" s="279">
        <f t="shared" ref="DL107:DL110" si="954">+$CU107*$CV107</f>
        <v>0</v>
      </c>
      <c r="DM107" s="299">
        <f t="shared" si="742"/>
        <v>0</v>
      </c>
      <c r="DN107" s="279">
        <f t="shared" si="743"/>
        <v>0</v>
      </c>
      <c r="DO107" s="299">
        <f t="shared" si="744"/>
        <v>0</v>
      </c>
      <c r="DP107" s="279">
        <f t="shared" si="471"/>
        <v>0</v>
      </c>
      <c r="DQ107" s="299">
        <f t="shared" si="745"/>
        <v>0</v>
      </c>
      <c r="DR107" s="279">
        <f t="shared" si="746"/>
        <v>0</v>
      </c>
      <c r="DS107" s="299">
        <f t="shared" si="747"/>
        <v>0</v>
      </c>
      <c r="DT107" s="279">
        <f t="shared" si="472"/>
        <v>0</v>
      </c>
      <c r="DU107" s="299">
        <f t="shared" si="748"/>
        <v>0</v>
      </c>
      <c r="DV107" s="252">
        <f t="shared" si="749"/>
        <v>0</v>
      </c>
      <c r="DW107" s="251">
        <f t="shared" si="888"/>
        <v>0</v>
      </c>
      <c r="DY107" s="256">
        <v>0</v>
      </c>
      <c r="DZ107" s="2"/>
      <c r="EA107" s="254">
        <f t="shared" si="906"/>
        <v>0</v>
      </c>
      <c r="EB107" s="249">
        <f t="shared" si="871"/>
        <v>0</v>
      </c>
      <c r="EC107" s="250">
        <f t="shared" si="750"/>
        <v>0</v>
      </c>
      <c r="ED107" s="356">
        <f t="shared" si="871"/>
        <v>0</v>
      </c>
      <c r="EE107" s="250">
        <f t="shared" si="750"/>
        <v>0</v>
      </c>
      <c r="EF107" s="249">
        <f t="shared" si="872"/>
        <v>0</v>
      </c>
      <c r="EG107" s="250">
        <f t="shared" si="941"/>
        <v>0</v>
      </c>
      <c r="EH107" s="249">
        <f t="shared" si="872"/>
        <v>0</v>
      </c>
      <c r="EI107" s="250">
        <f t="shared" si="941"/>
        <v>0</v>
      </c>
      <c r="EJ107" s="249">
        <f t="shared" si="872"/>
        <v>0</v>
      </c>
      <c r="EK107" s="250">
        <f t="shared" si="752"/>
        <v>0</v>
      </c>
      <c r="EL107" s="249">
        <f t="shared" ref="EL107:EP107" si="955">+$DY107*$DZ107</f>
        <v>0</v>
      </c>
      <c r="EM107" s="250">
        <f t="shared" si="753"/>
        <v>0</v>
      </c>
      <c r="EN107" s="249">
        <f t="shared" si="955"/>
        <v>0</v>
      </c>
      <c r="EO107" s="250">
        <f t="shared" si="754"/>
        <v>0</v>
      </c>
      <c r="EP107" s="249">
        <f t="shared" si="955"/>
        <v>0</v>
      </c>
      <c r="EQ107" s="250">
        <f t="shared" si="755"/>
        <v>0</v>
      </c>
      <c r="ER107" s="249">
        <f t="shared" ref="ER107:ER110" si="956">+$DY107*$DZ107</f>
        <v>0</v>
      </c>
      <c r="ES107" s="250">
        <f t="shared" si="756"/>
        <v>0</v>
      </c>
      <c r="ET107" s="249">
        <f t="shared" si="921"/>
        <v>0</v>
      </c>
      <c r="EU107" s="250">
        <f t="shared" si="757"/>
        <v>0</v>
      </c>
      <c r="EV107" s="249">
        <f t="shared" si="758"/>
        <v>0</v>
      </c>
      <c r="EW107" s="250">
        <f t="shared" si="759"/>
        <v>0</v>
      </c>
      <c r="EX107" s="249">
        <f t="shared" si="922"/>
        <v>0</v>
      </c>
      <c r="EY107" s="250">
        <f t="shared" si="760"/>
        <v>0</v>
      </c>
      <c r="EZ107" s="252">
        <f t="shared" si="761"/>
        <v>0</v>
      </c>
      <c r="FA107" s="251">
        <f t="shared" si="907"/>
        <v>0</v>
      </c>
      <c r="FC107" s="1"/>
      <c r="FD107" s="2"/>
      <c r="FE107" s="257">
        <f t="shared" si="908"/>
        <v>0</v>
      </c>
      <c r="FF107" s="249">
        <f t="shared" si="762"/>
        <v>0</v>
      </c>
      <c r="FG107" s="250">
        <f t="shared" si="763"/>
        <v>0</v>
      </c>
      <c r="FH107" s="372">
        <f t="shared" si="873"/>
        <v>0</v>
      </c>
      <c r="FI107" s="339">
        <f t="shared" si="764"/>
        <v>0</v>
      </c>
      <c r="FJ107" s="372">
        <f t="shared" si="873"/>
        <v>0</v>
      </c>
      <c r="FK107" s="339">
        <f t="shared" si="764"/>
        <v>0</v>
      </c>
      <c r="FL107" s="372">
        <f t="shared" si="873"/>
        <v>0</v>
      </c>
      <c r="FM107" s="339">
        <f t="shared" si="765"/>
        <v>0</v>
      </c>
      <c r="FN107" s="372">
        <f t="shared" ref="FN107:FR107" si="957">+$FC107*$FD107</f>
        <v>0</v>
      </c>
      <c r="FO107" s="339">
        <f t="shared" si="766"/>
        <v>0</v>
      </c>
      <c r="FP107" s="372">
        <f t="shared" si="957"/>
        <v>0</v>
      </c>
      <c r="FQ107" s="339">
        <f t="shared" si="767"/>
        <v>0</v>
      </c>
      <c r="FR107" s="372">
        <f t="shared" si="957"/>
        <v>0</v>
      </c>
      <c r="FS107" s="339">
        <f t="shared" si="768"/>
        <v>0</v>
      </c>
      <c r="FT107" s="372">
        <f t="shared" ref="FT107:FT110" si="958">+$FC107*$FD107</f>
        <v>0</v>
      </c>
      <c r="FU107" s="339">
        <f t="shared" si="769"/>
        <v>0</v>
      </c>
      <c r="FV107" s="372">
        <f t="shared" si="770"/>
        <v>0</v>
      </c>
      <c r="FW107" s="339">
        <f t="shared" si="771"/>
        <v>0</v>
      </c>
      <c r="FX107" s="372">
        <f t="shared" si="479"/>
        <v>0</v>
      </c>
      <c r="FY107" s="339">
        <f t="shared" si="772"/>
        <v>0</v>
      </c>
      <c r="FZ107" s="372">
        <f t="shared" si="773"/>
        <v>0</v>
      </c>
      <c r="GA107" s="339">
        <f t="shared" si="774"/>
        <v>0</v>
      </c>
      <c r="GB107" s="372">
        <f t="shared" si="480"/>
        <v>0</v>
      </c>
      <c r="GC107" s="339">
        <f t="shared" si="775"/>
        <v>0</v>
      </c>
      <c r="GD107" s="252">
        <f t="shared" si="776"/>
        <v>0</v>
      </c>
      <c r="GE107" s="251">
        <f t="shared" si="927"/>
        <v>0</v>
      </c>
      <c r="GG107" s="1"/>
      <c r="GH107" s="2">
        <v>0.2</v>
      </c>
      <c r="GI107" s="257">
        <f t="shared" si="909"/>
        <v>0</v>
      </c>
      <c r="GJ107" s="249">
        <f t="shared" ref="GJ107:GT110" si="959">+$GG107*$GH107</f>
        <v>0</v>
      </c>
      <c r="GK107" s="250">
        <f t="shared" si="778"/>
        <v>0</v>
      </c>
      <c r="GL107" s="249">
        <f t="shared" si="959"/>
        <v>0</v>
      </c>
      <c r="GM107" s="250">
        <f t="shared" si="778"/>
        <v>0</v>
      </c>
      <c r="GN107" s="249">
        <f t="shared" si="959"/>
        <v>0</v>
      </c>
      <c r="GO107" s="250">
        <f t="shared" si="894"/>
        <v>0</v>
      </c>
      <c r="GP107" s="249">
        <f t="shared" si="959"/>
        <v>0</v>
      </c>
      <c r="GQ107" s="250">
        <f t="shared" si="895"/>
        <v>0</v>
      </c>
      <c r="GR107" s="249">
        <f t="shared" si="959"/>
        <v>0</v>
      </c>
      <c r="GS107" s="250">
        <f t="shared" si="896"/>
        <v>0</v>
      </c>
      <c r="GT107" s="249">
        <f t="shared" si="959"/>
        <v>0</v>
      </c>
      <c r="GU107" s="250">
        <f t="shared" si="897"/>
        <v>0</v>
      </c>
      <c r="GV107" s="249">
        <f t="shared" si="945"/>
        <v>0</v>
      </c>
      <c r="GW107" s="250">
        <f t="shared" si="898"/>
        <v>0</v>
      </c>
      <c r="GX107" s="249">
        <f t="shared" si="784"/>
        <v>0</v>
      </c>
      <c r="GY107" s="250">
        <f t="shared" si="899"/>
        <v>0</v>
      </c>
      <c r="GZ107" s="249">
        <f t="shared" si="786"/>
        <v>0</v>
      </c>
      <c r="HA107" s="250">
        <f t="shared" si="900"/>
        <v>0</v>
      </c>
      <c r="HB107" s="249">
        <f t="shared" si="788"/>
        <v>0</v>
      </c>
      <c r="HC107" s="250">
        <f t="shared" si="901"/>
        <v>0</v>
      </c>
      <c r="HD107" s="249">
        <f t="shared" si="790"/>
        <v>0</v>
      </c>
      <c r="HE107" s="250">
        <f t="shared" si="902"/>
        <v>0</v>
      </c>
      <c r="HF107" s="249">
        <f t="shared" si="792"/>
        <v>0</v>
      </c>
      <c r="HG107" s="250">
        <f t="shared" si="903"/>
        <v>0</v>
      </c>
      <c r="HH107" s="252">
        <f t="shared" si="794"/>
        <v>0</v>
      </c>
      <c r="HI107" s="251">
        <f t="shared" si="910"/>
        <v>0</v>
      </c>
      <c r="HK107" s="1"/>
      <c r="HL107" s="2"/>
      <c r="HM107" s="257">
        <f t="shared" si="911"/>
        <v>0</v>
      </c>
      <c r="HN107" s="249">
        <f t="shared" si="795"/>
        <v>0</v>
      </c>
      <c r="HO107" s="250">
        <f t="shared" si="912"/>
        <v>0</v>
      </c>
      <c r="HP107" s="249">
        <f t="shared" ref="HP107:HZ110" si="960">+$HK107*$HL107</f>
        <v>0</v>
      </c>
      <c r="HQ107" s="250">
        <f t="shared" si="797"/>
        <v>0</v>
      </c>
      <c r="HR107" s="249">
        <f t="shared" si="960"/>
        <v>0</v>
      </c>
      <c r="HS107" s="250">
        <f t="shared" si="797"/>
        <v>0</v>
      </c>
      <c r="HT107" s="249">
        <f t="shared" si="960"/>
        <v>0</v>
      </c>
      <c r="HU107" s="250">
        <f t="shared" si="798"/>
        <v>0</v>
      </c>
      <c r="HV107" s="249">
        <f t="shared" si="960"/>
        <v>0</v>
      </c>
      <c r="HW107" s="250">
        <f t="shared" si="799"/>
        <v>0</v>
      </c>
      <c r="HX107" s="249">
        <f t="shared" si="960"/>
        <v>0</v>
      </c>
      <c r="HY107" s="250">
        <f t="shared" si="800"/>
        <v>0</v>
      </c>
      <c r="HZ107" s="249">
        <f t="shared" si="960"/>
        <v>0</v>
      </c>
      <c r="IA107" s="250">
        <f t="shared" si="801"/>
        <v>0</v>
      </c>
      <c r="IB107" s="249">
        <f t="shared" si="947"/>
        <v>0</v>
      </c>
      <c r="IC107" s="250">
        <f t="shared" si="802"/>
        <v>0</v>
      </c>
      <c r="ID107" s="249">
        <f t="shared" si="803"/>
        <v>0</v>
      </c>
      <c r="IE107" s="250">
        <f t="shared" si="804"/>
        <v>0</v>
      </c>
      <c r="IF107" s="249">
        <f t="shared" si="805"/>
        <v>0</v>
      </c>
      <c r="IG107" s="250">
        <f t="shared" si="806"/>
        <v>0</v>
      </c>
      <c r="IH107" s="249">
        <f t="shared" si="807"/>
        <v>0</v>
      </c>
      <c r="II107" s="250">
        <f t="shared" si="808"/>
        <v>0</v>
      </c>
      <c r="IJ107" s="249">
        <f t="shared" si="809"/>
        <v>0</v>
      </c>
      <c r="IK107" s="250">
        <f t="shared" si="810"/>
        <v>0</v>
      </c>
      <c r="IL107" s="252">
        <f t="shared" si="811"/>
        <v>0</v>
      </c>
      <c r="IM107" s="251">
        <f t="shared" si="812"/>
        <v>0</v>
      </c>
      <c r="IO107" s="1"/>
      <c r="IP107" s="2">
        <v>8.3333333333333329E-2</v>
      </c>
      <c r="IQ107" s="257">
        <f t="shared" si="913"/>
        <v>0</v>
      </c>
      <c r="IR107" s="249">
        <f t="shared" si="813"/>
        <v>0</v>
      </c>
      <c r="IS107" s="250">
        <f t="shared" si="814"/>
        <v>0</v>
      </c>
      <c r="IT107" s="279">
        <f t="shared" si="874"/>
        <v>0</v>
      </c>
      <c r="IU107" s="289">
        <f t="shared" si="815"/>
        <v>0</v>
      </c>
      <c r="IV107" s="279">
        <f t="shared" si="874"/>
        <v>0</v>
      </c>
      <c r="IW107" s="289">
        <f t="shared" si="815"/>
        <v>0</v>
      </c>
      <c r="IX107" s="279">
        <f t="shared" si="874"/>
        <v>0</v>
      </c>
      <c r="IY107" s="289">
        <f t="shared" si="816"/>
        <v>0</v>
      </c>
      <c r="IZ107" s="279">
        <f t="shared" ref="IZ107:JD107" si="961">+$IO107*$IP107</f>
        <v>0</v>
      </c>
      <c r="JA107" s="289">
        <f t="shared" si="817"/>
        <v>0</v>
      </c>
      <c r="JB107" s="279">
        <f t="shared" si="961"/>
        <v>0</v>
      </c>
      <c r="JC107" s="289">
        <f t="shared" si="818"/>
        <v>0</v>
      </c>
      <c r="JD107" s="279">
        <f t="shared" si="961"/>
        <v>0</v>
      </c>
      <c r="JE107" s="289">
        <f t="shared" si="819"/>
        <v>0</v>
      </c>
      <c r="JF107" s="279">
        <f t="shared" ref="JF107:JF110" si="962">+$IO107*$IP107</f>
        <v>0</v>
      </c>
      <c r="JG107" s="289">
        <f t="shared" si="820"/>
        <v>0</v>
      </c>
      <c r="JH107" s="279">
        <f t="shared" si="821"/>
        <v>0</v>
      </c>
      <c r="JI107" s="289">
        <f t="shared" si="822"/>
        <v>0</v>
      </c>
      <c r="JJ107" s="279">
        <f t="shared" si="923"/>
        <v>0</v>
      </c>
      <c r="JK107" s="289">
        <f t="shared" si="823"/>
        <v>0</v>
      </c>
      <c r="JL107" s="279">
        <f t="shared" si="824"/>
        <v>0</v>
      </c>
      <c r="JM107" s="289">
        <f t="shared" si="825"/>
        <v>0</v>
      </c>
      <c r="JN107" s="279">
        <f t="shared" si="924"/>
        <v>0</v>
      </c>
      <c r="JO107" s="289">
        <f t="shared" si="826"/>
        <v>0</v>
      </c>
      <c r="JP107" s="252">
        <f t="shared" si="827"/>
        <v>0</v>
      </c>
      <c r="JQ107" s="251">
        <f t="shared" si="828"/>
        <v>0</v>
      </c>
      <c r="JS107" s="1"/>
      <c r="JT107" s="2">
        <v>8.3333333333333329E-2</v>
      </c>
      <c r="JU107" s="257">
        <f t="shared" si="914"/>
        <v>0</v>
      </c>
      <c r="JV107" s="249">
        <f t="shared" si="829"/>
        <v>0</v>
      </c>
      <c r="JW107" s="250">
        <f t="shared" si="830"/>
        <v>0</v>
      </c>
      <c r="JX107" s="372">
        <f t="shared" si="875"/>
        <v>0</v>
      </c>
      <c r="JY107" s="339">
        <f t="shared" si="831"/>
        <v>0</v>
      </c>
      <c r="JZ107" s="372">
        <f t="shared" si="875"/>
        <v>0</v>
      </c>
      <c r="KA107" s="339">
        <f t="shared" si="831"/>
        <v>0</v>
      </c>
      <c r="KB107" s="372">
        <f t="shared" si="875"/>
        <v>0</v>
      </c>
      <c r="KC107" s="339">
        <f t="shared" si="832"/>
        <v>0</v>
      </c>
      <c r="KD107" s="372">
        <f t="shared" ref="KD107:KH107" si="963">+$JS107*$JT107</f>
        <v>0</v>
      </c>
      <c r="KE107" s="339">
        <f t="shared" si="833"/>
        <v>0</v>
      </c>
      <c r="KF107" s="372">
        <f t="shared" si="963"/>
        <v>0</v>
      </c>
      <c r="KG107" s="339">
        <f t="shared" si="834"/>
        <v>0</v>
      </c>
      <c r="KH107" s="372">
        <f t="shared" si="963"/>
        <v>0</v>
      </c>
      <c r="KI107" s="339">
        <f t="shared" si="835"/>
        <v>0</v>
      </c>
      <c r="KJ107" s="372">
        <f t="shared" ref="KJ107:KJ110" si="964">+$JS107*$JT107</f>
        <v>0</v>
      </c>
      <c r="KK107" s="339">
        <f t="shared" si="836"/>
        <v>0</v>
      </c>
      <c r="KL107" s="372">
        <f t="shared" si="837"/>
        <v>0</v>
      </c>
      <c r="KM107" s="339">
        <f t="shared" si="838"/>
        <v>0</v>
      </c>
      <c r="KN107" s="372">
        <f t="shared" si="918"/>
        <v>0</v>
      </c>
      <c r="KO107" s="339">
        <f t="shared" si="839"/>
        <v>0</v>
      </c>
      <c r="KP107" s="372">
        <f t="shared" si="840"/>
        <v>0</v>
      </c>
      <c r="KQ107" s="339">
        <f t="shared" si="841"/>
        <v>0</v>
      </c>
      <c r="KR107" s="372">
        <f t="shared" si="925"/>
        <v>0</v>
      </c>
      <c r="KS107" s="377">
        <f t="shared" si="842"/>
        <v>0</v>
      </c>
      <c r="KT107" s="379">
        <f t="shared" si="843"/>
        <v>0</v>
      </c>
      <c r="KU107" s="251">
        <f t="shared" si="915"/>
        <v>0</v>
      </c>
      <c r="KW107" s="1"/>
      <c r="KX107" s="2">
        <v>8.3333333333333329E-2</v>
      </c>
      <c r="KY107" s="254">
        <f t="shared" si="680"/>
        <v>0</v>
      </c>
      <c r="KZ107" s="249">
        <f t="shared" si="876"/>
        <v>0</v>
      </c>
      <c r="LA107" s="251">
        <f t="shared" si="681"/>
        <v>0</v>
      </c>
      <c r="LB107" s="279">
        <f t="shared" ref="LB107:LL110" si="965">+$KW107*$KX107</f>
        <v>0</v>
      </c>
      <c r="LC107" s="339">
        <f t="shared" si="845"/>
        <v>0</v>
      </c>
      <c r="LD107" s="279">
        <f t="shared" si="965"/>
        <v>0</v>
      </c>
      <c r="LE107" s="339">
        <f t="shared" si="845"/>
        <v>0</v>
      </c>
      <c r="LF107" s="279">
        <f t="shared" si="965"/>
        <v>0</v>
      </c>
      <c r="LG107" s="339">
        <f t="shared" si="846"/>
        <v>0</v>
      </c>
      <c r="LH107" s="279">
        <f t="shared" si="965"/>
        <v>0</v>
      </c>
      <c r="LI107" s="339">
        <f t="shared" si="847"/>
        <v>0</v>
      </c>
      <c r="LJ107" s="279">
        <f t="shared" si="965"/>
        <v>0</v>
      </c>
      <c r="LK107" s="339">
        <f t="shared" si="848"/>
        <v>0</v>
      </c>
      <c r="LL107" s="279">
        <f t="shared" si="965"/>
        <v>0</v>
      </c>
      <c r="LM107" s="339">
        <f t="shared" si="849"/>
        <v>0</v>
      </c>
      <c r="LN107" s="279">
        <f t="shared" si="949"/>
        <v>0</v>
      </c>
      <c r="LO107" s="339">
        <f t="shared" si="850"/>
        <v>0</v>
      </c>
      <c r="LP107" s="279">
        <f t="shared" si="877"/>
        <v>0</v>
      </c>
      <c r="LQ107" s="339">
        <f t="shared" si="851"/>
        <v>0</v>
      </c>
      <c r="LR107" s="279">
        <f t="shared" si="878"/>
        <v>0</v>
      </c>
      <c r="LS107" s="339">
        <f t="shared" si="852"/>
        <v>0</v>
      </c>
      <c r="LT107" s="279">
        <f t="shared" si="879"/>
        <v>0</v>
      </c>
      <c r="LU107" s="339">
        <f t="shared" si="853"/>
        <v>0</v>
      </c>
      <c r="LV107" s="279">
        <f t="shared" si="880"/>
        <v>0</v>
      </c>
      <c r="LW107" s="339">
        <f t="shared" si="854"/>
        <v>0</v>
      </c>
      <c r="LX107" s="252">
        <f t="shared" si="855"/>
        <v>0</v>
      </c>
      <c r="LY107" s="253">
        <f t="shared" si="856"/>
        <v>0</v>
      </c>
      <c r="MA107" s="249">
        <f t="shared" si="928"/>
        <v>0</v>
      </c>
      <c r="MB107" s="253">
        <f t="shared" si="857"/>
        <v>0</v>
      </c>
      <c r="MC107" s="397">
        <f t="shared" si="929"/>
        <v>0</v>
      </c>
      <c r="MD107" s="253">
        <f t="shared" si="858"/>
        <v>0</v>
      </c>
      <c r="ME107" s="397">
        <f t="shared" si="930"/>
        <v>0</v>
      </c>
      <c r="MF107" s="253">
        <f t="shared" si="858"/>
        <v>0</v>
      </c>
      <c r="MG107" s="397">
        <f t="shared" si="931"/>
        <v>0</v>
      </c>
      <c r="MH107" s="253">
        <f t="shared" si="859"/>
        <v>0</v>
      </c>
      <c r="MI107" s="397">
        <f t="shared" si="932"/>
        <v>0</v>
      </c>
      <c r="MJ107" s="253">
        <f t="shared" si="860"/>
        <v>0</v>
      </c>
      <c r="MK107" s="397">
        <f t="shared" si="933"/>
        <v>0</v>
      </c>
      <c r="ML107" s="253">
        <f t="shared" si="861"/>
        <v>0</v>
      </c>
      <c r="MM107" s="397">
        <f t="shared" si="934"/>
        <v>0</v>
      </c>
      <c r="MN107" s="253">
        <f t="shared" si="862"/>
        <v>0</v>
      </c>
      <c r="MO107" s="397">
        <f t="shared" si="935"/>
        <v>0</v>
      </c>
      <c r="MP107" s="253">
        <f t="shared" si="863"/>
        <v>0</v>
      </c>
      <c r="MQ107" s="397">
        <f t="shared" si="936"/>
        <v>0</v>
      </c>
      <c r="MR107" s="253">
        <f t="shared" si="864"/>
        <v>0</v>
      </c>
      <c r="MS107" s="397">
        <f t="shared" si="937"/>
        <v>0</v>
      </c>
      <c r="MT107" s="253">
        <f t="shared" si="865"/>
        <v>0</v>
      </c>
      <c r="MU107" s="397">
        <f t="shared" si="938"/>
        <v>0</v>
      </c>
      <c r="MV107" s="253">
        <f t="shared" si="866"/>
        <v>0</v>
      </c>
      <c r="MW107" s="397">
        <f t="shared" si="939"/>
        <v>0</v>
      </c>
      <c r="MX107" s="253">
        <f t="shared" si="867"/>
        <v>0</v>
      </c>
      <c r="MY107" s="252">
        <f t="shared" si="868"/>
        <v>0</v>
      </c>
      <c r="MZ107" s="251">
        <f t="shared" si="869"/>
        <v>0</v>
      </c>
    </row>
    <row r="108" spans="1:364" ht="52.8" x14ac:dyDescent="0.25">
      <c r="A108" s="533"/>
      <c r="B108" s="245" t="s">
        <v>224</v>
      </c>
      <c r="C108" s="246" t="s">
        <v>225</v>
      </c>
      <c r="D108" s="247" t="s">
        <v>119</v>
      </c>
      <c r="E108" s="4">
        <v>10</v>
      </c>
      <c r="F108" s="353">
        <v>7092901.2986242874</v>
      </c>
      <c r="G108" s="353">
        <f t="shared" si="700"/>
        <v>7388506.4041745719</v>
      </c>
      <c r="I108" s="30"/>
      <c r="J108" s="2">
        <v>8.3333333333333329E-2</v>
      </c>
      <c r="K108" s="248">
        <f t="shared" si="701"/>
        <v>0</v>
      </c>
      <c r="L108" s="249"/>
      <c r="M108" s="299">
        <f t="shared" si="950"/>
        <v>0</v>
      </c>
      <c r="N108" s="279">
        <f t="shared" si="889"/>
        <v>0</v>
      </c>
      <c r="O108" s="289">
        <f t="shared" si="951"/>
        <v>0</v>
      </c>
      <c r="P108" s="279">
        <f t="shared" si="889"/>
        <v>0</v>
      </c>
      <c r="Q108" s="289">
        <f t="shared" si="951"/>
        <v>0</v>
      </c>
      <c r="R108" s="279">
        <f t="shared" si="889"/>
        <v>0</v>
      </c>
      <c r="S108" s="289">
        <f t="shared" si="702"/>
        <v>0</v>
      </c>
      <c r="T108" s="279">
        <f t="shared" si="889"/>
        <v>0</v>
      </c>
      <c r="U108" s="289">
        <f t="shared" si="703"/>
        <v>0</v>
      </c>
      <c r="V108" s="279">
        <f t="shared" si="889"/>
        <v>0</v>
      </c>
      <c r="W108" s="289">
        <f t="shared" si="704"/>
        <v>0</v>
      </c>
      <c r="X108" s="279">
        <f t="shared" si="889"/>
        <v>0</v>
      </c>
      <c r="Y108" s="289">
        <f t="shared" si="705"/>
        <v>0</v>
      </c>
      <c r="Z108" s="279">
        <f t="shared" si="889"/>
        <v>0</v>
      </c>
      <c r="AA108" s="289">
        <f t="shared" si="706"/>
        <v>0</v>
      </c>
      <c r="AB108" s="279">
        <f t="shared" si="889"/>
        <v>0</v>
      </c>
      <c r="AC108" s="289">
        <f t="shared" si="707"/>
        <v>0</v>
      </c>
      <c r="AD108" s="279">
        <f t="shared" si="889"/>
        <v>0</v>
      </c>
      <c r="AE108" s="289">
        <f t="shared" si="708"/>
        <v>0</v>
      </c>
      <c r="AF108" s="279">
        <f t="shared" si="889"/>
        <v>0</v>
      </c>
      <c r="AG108" s="289">
        <f t="shared" si="890"/>
        <v>0</v>
      </c>
      <c r="AH108" s="249">
        <f t="shared" si="456"/>
        <v>0</v>
      </c>
      <c r="AI108" s="299">
        <f t="shared" si="891"/>
        <v>0</v>
      </c>
      <c r="AJ108" s="252">
        <f t="shared" si="709"/>
        <v>0</v>
      </c>
      <c r="AK108" s="312">
        <f t="shared" si="710"/>
        <v>0</v>
      </c>
      <c r="AM108" s="1"/>
      <c r="AN108" s="2">
        <v>8.3333333333333329E-2</v>
      </c>
      <c r="AO108" s="254">
        <f t="shared" si="904"/>
        <v>0</v>
      </c>
      <c r="AP108" s="249">
        <f t="shared" si="917"/>
        <v>0</v>
      </c>
      <c r="AQ108" s="301">
        <f t="shared" si="683"/>
        <v>0</v>
      </c>
      <c r="AR108" s="249">
        <f t="shared" si="884"/>
        <v>0</v>
      </c>
      <c r="AS108" s="301">
        <f t="shared" si="683"/>
        <v>0</v>
      </c>
      <c r="AT108" s="249">
        <f t="shared" si="884"/>
        <v>0</v>
      </c>
      <c r="AU108" s="301">
        <f t="shared" si="684"/>
        <v>0</v>
      </c>
      <c r="AV108" s="249">
        <f t="shared" si="884"/>
        <v>0</v>
      </c>
      <c r="AW108" s="301">
        <f t="shared" si="711"/>
        <v>0</v>
      </c>
      <c r="AX108" s="249">
        <f t="shared" si="884"/>
        <v>0</v>
      </c>
      <c r="AY108" s="301">
        <f t="shared" si="712"/>
        <v>0</v>
      </c>
      <c r="AZ108" s="249">
        <f t="shared" si="884"/>
        <v>0</v>
      </c>
      <c r="BA108" s="301">
        <f t="shared" si="713"/>
        <v>0</v>
      </c>
      <c r="BB108" s="249">
        <f t="shared" si="884"/>
        <v>0</v>
      </c>
      <c r="BC108" s="301">
        <f t="shared" si="714"/>
        <v>0</v>
      </c>
      <c r="BD108" s="249">
        <f t="shared" si="884"/>
        <v>0</v>
      </c>
      <c r="BE108" s="301">
        <f t="shared" si="715"/>
        <v>0</v>
      </c>
      <c r="BF108" s="249">
        <f t="shared" si="882"/>
        <v>0</v>
      </c>
      <c r="BG108" s="301">
        <f t="shared" si="716"/>
        <v>0</v>
      </c>
      <c r="BH108" s="249">
        <f t="shared" si="885"/>
        <v>0</v>
      </c>
      <c r="BI108" s="301">
        <f t="shared" si="940"/>
        <v>0</v>
      </c>
      <c r="BJ108" s="249">
        <f t="shared" si="885"/>
        <v>0</v>
      </c>
      <c r="BK108" s="301">
        <f t="shared" si="940"/>
        <v>0</v>
      </c>
      <c r="BL108" s="249">
        <f t="shared" si="661"/>
        <v>0</v>
      </c>
      <c r="BM108" s="299">
        <f t="shared" si="718"/>
        <v>0</v>
      </c>
      <c r="BN108" s="252">
        <f t="shared" si="719"/>
        <v>0</v>
      </c>
      <c r="BO108" s="312">
        <f t="shared" si="926"/>
        <v>0</v>
      </c>
      <c r="BQ108" s="1"/>
      <c r="BR108" s="2"/>
      <c r="BS108" s="255">
        <f t="shared" si="919"/>
        <v>0</v>
      </c>
      <c r="BT108" s="249">
        <f t="shared" si="881"/>
        <v>0</v>
      </c>
      <c r="BU108" s="336">
        <f t="shared" si="720"/>
        <v>0</v>
      </c>
      <c r="BV108" s="279">
        <f t="shared" si="952"/>
        <v>0</v>
      </c>
      <c r="BW108" s="339">
        <f t="shared" si="722"/>
        <v>0</v>
      </c>
      <c r="BX108" s="279">
        <f t="shared" si="952"/>
        <v>0</v>
      </c>
      <c r="BY108" s="339">
        <f t="shared" si="723"/>
        <v>0</v>
      </c>
      <c r="BZ108" s="279">
        <f t="shared" si="952"/>
        <v>0</v>
      </c>
      <c r="CA108" s="339">
        <f t="shared" si="724"/>
        <v>0</v>
      </c>
      <c r="CB108" s="279">
        <f t="shared" si="952"/>
        <v>0</v>
      </c>
      <c r="CC108" s="339">
        <f t="shared" si="725"/>
        <v>0</v>
      </c>
      <c r="CD108" s="279">
        <f t="shared" si="952"/>
        <v>0</v>
      </c>
      <c r="CE108" s="339">
        <f t="shared" si="726"/>
        <v>0</v>
      </c>
      <c r="CF108" s="279">
        <f t="shared" si="952"/>
        <v>0</v>
      </c>
      <c r="CG108" s="339">
        <f t="shared" si="727"/>
        <v>0</v>
      </c>
      <c r="CH108" s="279">
        <f t="shared" si="943"/>
        <v>0</v>
      </c>
      <c r="CI108" s="339">
        <f t="shared" si="728"/>
        <v>0</v>
      </c>
      <c r="CJ108" s="279">
        <f t="shared" si="729"/>
        <v>0</v>
      </c>
      <c r="CK108" s="339">
        <f t="shared" si="730"/>
        <v>0</v>
      </c>
      <c r="CL108" s="279">
        <f t="shared" si="463"/>
        <v>0</v>
      </c>
      <c r="CM108" s="339">
        <f t="shared" si="731"/>
        <v>0</v>
      </c>
      <c r="CN108" s="279">
        <f t="shared" si="732"/>
        <v>0</v>
      </c>
      <c r="CO108" s="339">
        <f t="shared" si="733"/>
        <v>0</v>
      </c>
      <c r="CP108" s="279">
        <f t="shared" si="464"/>
        <v>0</v>
      </c>
      <c r="CQ108" s="250">
        <f t="shared" si="905"/>
        <v>0</v>
      </c>
      <c r="CR108" s="252">
        <f t="shared" si="734"/>
        <v>0</v>
      </c>
      <c r="CS108" s="251">
        <f t="shared" si="887"/>
        <v>0</v>
      </c>
      <c r="CU108" s="1"/>
      <c r="CV108" s="2"/>
      <c r="CW108" s="255">
        <f t="shared" si="920"/>
        <v>0</v>
      </c>
      <c r="CX108" s="249">
        <f t="shared" si="735"/>
        <v>0</v>
      </c>
      <c r="CY108" s="250">
        <f t="shared" si="736"/>
        <v>0</v>
      </c>
      <c r="CZ108" s="279">
        <f t="shared" ref="CZ108:DJ110" si="966">+$CU108*$CV108</f>
        <v>0</v>
      </c>
      <c r="DA108" s="299">
        <f t="shared" si="736"/>
        <v>0</v>
      </c>
      <c r="DB108" s="279">
        <f t="shared" si="966"/>
        <v>0</v>
      </c>
      <c r="DC108" s="299">
        <f t="shared" si="737"/>
        <v>0</v>
      </c>
      <c r="DD108" s="279">
        <f t="shared" si="966"/>
        <v>0</v>
      </c>
      <c r="DE108" s="299">
        <f t="shared" si="738"/>
        <v>0</v>
      </c>
      <c r="DF108" s="279">
        <f t="shared" si="966"/>
        <v>0</v>
      </c>
      <c r="DG108" s="299">
        <f t="shared" si="739"/>
        <v>0</v>
      </c>
      <c r="DH108" s="279">
        <f t="shared" si="966"/>
        <v>0</v>
      </c>
      <c r="DI108" s="299">
        <f t="shared" si="740"/>
        <v>0</v>
      </c>
      <c r="DJ108" s="279">
        <f t="shared" si="966"/>
        <v>0</v>
      </c>
      <c r="DK108" s="299">
        <f t="shared" si="741"/>
        <v>0</v>
      </c>
      <c r="DL108" s="279">
        <f t="shared" si="954"/>
        <v>0</v>
      </c>
      <c r="DM108" s="299">
        <f t="shared" si="742"/>
        <v>0</v>
      </c>
      <c r="DN108" s="279">
        <f t="shared" si="743"/>
        <v>0</v>
      </c>
      <c r="DO108" s="299">
        <f t="shared" si="744"/>
        <v>0</v>
      </c>
      <c r="DP108" s="279">
        <f t="shared" si="471"/>
        <v>0</v>
      </c>
      <c r="DQ108" s="299">
        <f t="shared" si="745"/>
        <v>0</v>
      </c>
      <c r="DR108" s="279">
        <f t="shared" si="746"/>
        <v>0</v>
      </c>
      <c r="DS108" s="299">
        <f t="shared" si="747"/>
        <v>0</v>
      </c>
      <c r="DT108" s="279">
        <f t="shared" si="472"/>
        <v>0</v>
      </c>
      <c r="DU108" s="299">
        <f t="shared" si="748"/>
        <v>0</v>
      </c>
      <c r="DV108" s="252">
        <f t="shared" si="749"/>
        <v>0</v>
      </c>
      <c r="DW108" s="251">
        <f t="shared" si="888"/>
        <v>0</v>
      </c>
      <c r="DY108" s="256">
        <v>0</v>
      </c>
      <c r="DZ108" s="2"/>
      <c r="EA108" s="254">
        <f t="shared" si="906"/>
        <v>0</v>
      </c>
      <c r="EB108" s="249">
        <f t="shared" si="871"/>
        <v>0</v>
      </c>
      <c r="EC108" s="250">
        <f t="shared" si="750"/>
        <v>0</v>
      </c>
      <c r="ED108" s="356">
        <f t="shared" si="871"/>
        <v>0</v>
      </c>
      <c r="EE108" s="250">
        <f t="shared" si="750"/>
        <v>0</v>
      </c>
      <c r="EF108" s="249">
        <f t="shared" ref="EF108:EP110" si="967">+$DY108*$DZ108</f>
        <v>0</v>
      </c>
      <c r="EG108" s="250">
        <f t="shared" si="941"/>
        <v>0</v>
      </c>
      <c r="EH108" s="249">
        <f t="shared" si="967"/>
        <v>0</v>
      </c>
      <c r="EI108" s="250">
        <f t="shared" si="941"/>
        <v>0</v>
      </c>
      <c r="EJ108" s="249">
        <f t="shared" si="967"/>
        <v>0</v>
      </c>
      <c r="EK108" s="250">
        <f t="shared" si="752"/>
        <v>0</v>
      </c>
      <c r="EL108" s="249">
        <f t="shared" si="967"/>
        <v>0</v>
      </c>
      <c r="EM108" s="250">
        <f t="shared" si="753"/>
        <v>0</v>
      </c>
      <c r="EN108" s="249">
        <f t="shared" si="967"/>
        <v>0</v>
      </c>
      <c r="EO108" s="250">
        <f t="shared" si="754"/>
        <v>0</v>
      </c>
      <c r="EP108" s="249">
        <f t="shared" si="967"/>
        <v>0</v>
      </c>
      <c r="EQ108" s="250">
        <f t="shared" si="755"/>
        <v>0</v>
      </c>
      <c r="ER108" s="249">
        <f t="shared" si="956"/>
        <v>0</v>
      </c>
      <c r="ES108" s="250">
        <f t="shared" si="756"/>
        <v>0</v>
      </c>
      <c r="ET108" s="249">
        <f t="shared" si="921"/>
        <v>0</v>
      </c>
      <c r="EU108" s="250">
        <f t="shared" si="757"/>
        <v>0</v>
      </c>
      <c r="EV108" s="249">
        <f t="shared" si="758"/>
        <v>0</v>
      </c>
      <c r="EW108" s="250">
        <f t="shared" si="759"/>
        <v>0</v>
      </c>
      <c r="EX108" s="249">
        <f t="shared" si="922"/>
        <v>0</v>
      </c>
      <c r="EY108" s="250">
        <f t="shared" si="760"/>
        <v>0</v>
      </c>
      <c r="EZ108" s="252">
        <f t="shared" si="761"/>
        <v>0</v>
      </c>
      <c r="FA108" s="251">
        <f t="shared" si="907"/>
        <v>0</v>
      </c>
      <c r="FC108" s="1"/>
      <c r="FD108" s="2"/>
      <c r="FE108" s="257">
        <f t="shared" si="908"/>
        <v>0</v>
      </c>
      <c r="FF108" s="249">
        <f t="shared" si="762"/>
        <v>0</v>
      </c>
      <c r="FG108" s="250">
        <f t="shared" si="763"/>
        <v>0</v>
      </c>
      <c r="FH108" s="372">
        <f t="shared" ref="FH108:FR110" si="968">+$FC108*$FD108</f>
        <v>0</v>
      </c>
      <c r="FI108" s="339">
        <f t="shared" si="764"/>
        <v>0</v>
      </c>
      <c r="FJ108" s="372">
        <f t="shared" si="968"/>
        <v>0</v>
      </c>
      <c r="FK108" s="339">
        <f t="shared" si="764"/>
        <v>0</v>
      </c>
      <c r="FL108" s="372">
        <f t="shared" si="968"/>
        <v>0</v>
      </c>
      <c r="FM108" s="339">
        <f t="shared" si="765"/>
        <v>0</v>
      </c>
      <c r="FN108" s="372">
        <f t="shared" si="968"/>
        <v>0</v>
      </c>
      <c r="FO108" s="339">
        <f t="shared" si="766"/>
        <v>0</v>
      </c>
      <c r="FP108" s="372">
        <f t="shared" si="968"/>
        <v>0</v>
      </c>
      <c r="FQ108" s="339">
        <f t="shared" si="767"/>
        <v>0</v>
      </c>
      <c r="FR108" s="372">
        <f t="shared" si="968"/>
        <v>0</v>
      </c>
      <c r="FS108" s="339">
        <f t="shared" si="768"/>
        <v>0</v>
      </c>
      <c r="FT108" s="372">
        <f t="shared" si="958"/>
        <v>0</v>
      </c>
      <c r="FU108" s="339">
        <f t="shared" si="769"/>
        <v>0</v>
      </c>
      <c r="FV108" s="372">
        <f t="shared" si="770"/>
        <v>0</v>
      </c>
      <c r="FW108" s="339">
        <f t="shared" si="771"/>
        <v>0</v>
      </c>
      <c r="FX108" s="372">
        <f t="shared" si="479"/>
        <v>0</v>
      </c>
      <c r="FY108" s="339">
        <f t="shared" si="772"/>
        <v>0</v>
      </c>
      <c r="FZ108" s="372">
        <f t="shared" si="773"/>
        <v>0</v>
      </c>
      <c r="GA108" s="339">
        <f t="shared" si="774"/>
        <v>0</v>
      </c>
      <c r="GB108" s="372">
        <f t="shared" si="480"/>
        <v>0</v>
      </c>
      <c r="GC108" s="339">
        <f t="shared" si="775"/>
        <v>0</v>
      </c>
      <c r="GD108" s="252">
        <f t="shared" si="776"/>
        <v>0</v>
      </c>
      <c r="GE108" s="251">
        <f t="shared" si="927"/>
        <v>0</v>
      </c>
      <c r="GG108" s="1"/>
      <c r="GH108" s="2">
        <v>0.2</v>
      </c>
      <c r="GI108" s="257">
        <f t="shared" si="909"/>
        <v>0</v>
      </c>
      <c r="GJ108" s="249">
        <f t="shared" si="959"/>
        <v>0</v>
      </c>
      <c r="GK108" s="250">
        <f t="shared" si="778"/>
        <v>0</v>
      </c>
      <c r="GL108" s="249">
        <f t="shared" si="959"/>
        <v>0</v>
      </c>
      <c r="GM108" s="250">
        <f t="shared" si="778"/>
        <v>0</v>
      </c>
      <c r="GN108" s="249">
        <f t="shared" si="959"/>
        <v>0</v>
      </c>
      <c r="GO108" s="250">
        <f t="shared" si="894"/>
        <v>0</v>
      </c>
      <c r="GP108" s="249">
        <f t="shared" si="959"/>
        <v>0</v>
      </c>
      <c r="GQ108" s="250">
        <f t="shared" si="895"/>
        <v>0</v>
      </c>
      <c r="GR108" s="249">
        <f t="shared" si="959"/>
        <v>0</v>
      </c>
      <c r="GS108" s="250">
        <f t="shared" si="896"/>
        <v>0</v>
      </c>
      <c r="GT108" s="249">
        <f t="shared" si="959"/>
        <v>0</v>
      </c>
      <c r="GU108" s="250">
        <f t="shared" si="897"/>
        <v>0</v>
      </c>
      <c r="GV108" s="249">
        <f t="shared" si="945"/>
        <v>0</v>
      </c>
      <c r="GW108" s="250">
        <f t="shared" si="898"/>
        <v>0</v>
      </c>
      <c r="GX108" s="249">
        <f t="shared" si="784"/>
        <v>0</v>
      </c>
      <c r="GY108" s="250">
        <f t="shared" si="899"/>
        <v>0</v>
      </c>
      <c r="GZ108" s="249">
        <f t="shared" si="786"/>
        <v>0</v>
      </c>
      <c r="HA108" s="250">
        <f t="shared" si="900"/>
        <v>0</v>
      </c>
      <c r="HB108" s="249">
        <f t="shared" si="788"/>
        <v>0</v>
      </c>
      <c r="HC108" s="250">
        <f t="shared" si="901"/>
        <v>0</v>
      </c>
      <c r="HD108" s="249">
        <f t="shared" si="790"/>
        <v>0</v>
      </c>
      <c r="HE108" s="250">
        <f t="shared" si="902"/>
        <v>0</v>
      </c>
      <c r="HF108" s="249">
        <f t="shared" si="792"/>
        <v>0</v>
      </c>
      <c r="HG108" s="250">
        <f t="shared" si="903"/>
        <v>0</v>
      </c>
      <c r="HH108" s="252">
        <f t="shared" si="794"/>
        <v>0</v>
      </c>
      <c r="HI108" s="251">
        <f t="shared" si="910"/>
        <v>0</v>
      </c>
      <c r="HK108" s="1"/>
      <c r="HL108" s="2"/>
      <c r="HM108" s="257">
        <f t="shared" si="911"/>
        <v>0</v>
      </c>
      <c r="HN108" s="249">
        <f t="shared" si="795"/>
        <v>0</v>
      </c>
      <c r="HO108" s="250">
        <f t="shared" si="912"/>
        <v>0</v>
      </c>
      <c r="HP108" s="249">
        <f t="shared" si="960"/>
        <v>0</v>
      </c>
      <c r="HQ108" s="250">
        <f t="shared" si="797"/>
        <v>0</v>
      </c>
      <c r="HR108" s="249">
        <f t="shared" si="960"/>
        <v>0</v>
      </c>
      <c r="HS108" s="250">
        <f t="shared" si="797"/>
        <v>0</v>
      </c>
      <c r="HT108" s="249">
        <f t="shared" si="960"/>
        <v>0</v>
      </c>
      <c r="HU108" s="250">
        <f t="shared" si="798"/>
        <v>0</v>
      </c>
      <c r="HV108" s="249">
        <f t="shared" si="960"/>
        <v>0</v>
      </c>
      <c r="HW108" s="250">
        <f t="shared" si="799"/>
        <v>0</v>
      </c>
      <c r="HX108" s="249">
        <f t="shared" si="960"/>
        <v>0</v>
      </c>
      <c r="HY108" s="250">
        <f t="shared" si="800"/>
        <v>0</v>
      </c>
      <c r="HZ108" s="249">
        <f t="shared" si="960"/>
        <v>0</v>
      </c>
      <c r="IA108" s="250">
        <f t="shared" si="801"/>
        <v>0</v>
      </c>
      <c r="IB108" s="249">
        <f t="shared" si="947"/>
        <v>0</v>
      </c>
      <c r="IC108" s="250">
        <f t="shared" si="802"/>
        <v>0</v>
      </c>
      <c r="ID108" s="249">
        <f t="shared" si="803"/>
        <v>0</v>
      </c>
      <c r="IE108" s="250">
        <f t="shared" si="804"/>
        <v>0</v>
      </c>
      <c r="IF108" s="249">
        <f t="shared" si="805"/>
        <v>0</v>
      </c>
      <c r="IG108" s="250">
        <f t="shared" si="806"/>
        <v>0</v>
      </c>
      <c r="IH108" s="249">
        <f t="shared" si="807"/>
        <v>0</v>
      </c>
      <c r="II108" s="250">
        <f t="shared" si="808"/>
        <v>0</v>
      </c>
      <c r="IJ108" s="249">
        <f t="shared" si="809"/>
        <v>0</v>
      </c>
      <c r="IK108" s="250">
        <f t="shared" si="810"/>
        <v>0</v>
      </c>
      <c r="IL108" s="252">
        <f t="shared" si="811"/>
        <v>0</v>
      </c>
      <c r="IM108" s="251">
        <f t="shared" si="812"/>
        <v>0</v>
      </c>
      <c r="IO108" s="1"/>
      <c r="IP108" s="2">
        <v>8.3333333333333329E-2</v>
      </c>
      <c r="IQ108" s="257">
        <f t="shared" si="913"/>
        <v>0</v>
      </c>
      <c r="IR108" s="249">
        <f t="shared" si="813"/>
        <v>0</v>
      </c>
      <c r="IS108" s="250">
        <f t="shared" si="814"/>
        <v>0</v>
      </c>
      <c r="IT108" s="279">
        <f t="shared" ref="IT108:JD110" si="969">+$IO108*$IP108</f>
        <v>0</v>
      </c>
      <c r="IU108" s="289">
        <f t="shared" si="815"/>
        <v>0</v>
      </c>
      <c r="IV108" s="279">
        <f t="shared" si="969"/>
        <v>0</v>
      </c>
      <c r="IW108" s="289">
        <f t="shared" si="815"/>
        <v>0</v>
      </c>
      <c r="IX108" s="279">
        <f t="shared" si="969"/>
        <v>0</v>
      </c>
      <c r="IY108" s="289">
        <f t="shared" si="816"/>
        <v>0</v>
      </c>
      <c r="IZ108" s="279">
        <f t="shared" si="969"/>
        <v>0</v>
      </c>
      <c r="JA108" s="289">
        <f t="shared" si="817"/>
        <v>0</v>
      </c>
      <c r="JB108" s="279">
        <f t="shared" si="969"/>
        <v>0</v>
      </c>
      <c r="JC108" s="289">
        <f t="shared" si="818"/>
        <v>0</v>
      </c>
      <c r="JD108" s="279">
        <f t="shared" si="969"/>
        <v>0</v>
      </c>
      <c r="JE108" s="289">
        <f t="shared" si="819"/>
        <v>0</v>
      </c>
      <c r="JF108" s="279">
        <f t="shared" si="962"/>
        <v>0</v>
      </c>
      <c r="JG108" s="289">
        <f t="shared" si="820"/>
        <v>0</v>
      </c>
      <c r="JH108" s="279">
        <f t="shared" si="821"/>
        <v>0</v>
      </c>
      <c r="JI108" s="289">
        <f t="shared" si="822"/>
        <v>0</v>
      </c>
      <c r="JJ108" s="279">
        <f t="shared" si="923"/>
        <v>0</v>
      </c>
      <c r="JK108" s="289">
        <f t="shared" si="823"/>
        <v>0</v>
      </c>
      <c r="JL108" s="279">
        <f t="shared" si="824"/>
        <v>0</v>
      </c>
      <c r="JM108" s="289">
        <f t="shared" si="825"/>
        <v>0</v>
      </c>
      <c r="JN108" s="279">
        <f t="shared" si="924"/>
        <v>0</v>
      </c>
      <c r="JO108" s="289">
        <f t="shared" si="826"/>
        <v>0</v>
      </c>
      <c r="JP108" s="252">
        <f t="shared" si="827"/>
        <v>0</v>
      </c>
      <c r="JQ108" s="251">
        <f t="shared" si="828"/>
        <v>0</v>
      </c>
      <c r="JS108" s="1"/>
      <c r="JT108" s="2">
        <v>8.3333333333333329E-2</v>
      </c>
      <c r="JU108" s="257">
        <f t="shared" si="914"/>
        <v>0</v>
      </c>
      <c r="JV108" s="249">
        <f t="shared" si="829"/>
        <v>0</v>
      </c>
      <c r="JW108" s="250">
        <f t="shared" si="830"/>
        <v>0</v>
      </c>
      <c r="JX108" s="372">
        <f t="shared" ref="JX108:KH110" si="970">+$JS108*$JT108</f>
        <v>0</v>
      </c>
      <c r="JY108" s="339">
        <f t="shared" si="831"/>
        <v>0</v>
      </c>
      <c r="JZ108" s="372">
        <f t="shared" si="970"/>
        <v>0</v>
      </c>
      <c r="KA108" s="339">
        <f t="shared" si="831"/>
        <v>0</v>
      </c>
      <c r="KB108" s="372">
        <f t="shared" si="970"/>
        <v>0</v>
      </c>
      <c r="KC108" s="339">
        <f t="shared" si="832"/>
        <v>0</v>
      </c>
      <c r="KD108" s="372">
        <f t="shared" si="970"/>
        <v>0</v>
      </c>
      <c r="KE108" s="339">
        <f t="shared" si="833"/>
        <v>0</v>
      </c>
      <c r="KF108" s="372">
        <f t="shared" si="970"/>
        <v>0</v>
      </c>
      <c r="KG108" s="339">
        <f t="shared" si="834"/>
        <v>0</v>
      </c>
      <c r="KH108" s="372">
        <f t="shared" si="970"/>
        <v>0</v>
      </c>
      <c r="KI108" s="339">
        <f t="shared" si="835"/>
        <v>0</v>
      </c>
      <c r="KJ108" s="372">
        <f t="shared" si="964"/>
        <v>0</v>
      </c>
      <c r="KK108" s="339">
        <f t="shared" si="836"/>
        <v>0</v>
      </c>
      <c r="KL108" s="372">
        <f t="shared" si="837"/>
        <v>0</v>
      </c>
      <c r="KM108" s="339">
        <f t="shared" si="838"/>
        <v>0</v>
      </c>
      <c r="KN108" s="372">
        <f t="shared" si="918"/>
        <v>0</v>
      </c>
      <c r="KO108" s="339">
        <f t="shared" si="839"/>
        <v>0</v>
      </c>
      <c r="KP108" s="372">
        <f t="shared" si="840"/>
        <v>0</v>
      </c>
      <c r="KQ108" s="339">
        <f t="shared" si="841"/>
        <v>0</v>
      </c>
      <c r="KR108" s="372">
        <f t="shared" si="925"/>
        <v>0</v>
      </c>
      <c r="KS108" s="377">
        <f t="shared" si="842"/>
        <v>0</v>
      </c>
      <c r="KT108" s="379">
        <f t="shared" si="843"/>
        <v>0</v>
      </c>
      <c r="KU108" s="251">
        <f t="shared" si="915"/>
        <v>0</v>
      </c>
      <c r="KW108" s="1"/>
      <c r="KX108" s="2">
        <v>8.3333333333333329E-2</v>
      </c>
      <c r="KY108" s="254">
        <f t="shared" si="680"/>
        <v>0</v>
      </c>
      <c r="KZ108" s="249">
        <f t="shared" si="876"/>
        <v>0</v>
      </c>
      <c r="LA108" s="251">
        <f t="shared" si="681"/>
        <v>0</v>
      </c>
      <c r="LB108" s="279">
        <f t="shared" si="965"/>
        <v>0</v>
      </c>
      <c r="LC108" s="339">
        <f t="shared" si="845"/>
        <v>0</v>
      </c>
      <c r="LD108" s="279">
        <f t="shared" si="965"/>
        <v>0</v>
      </c>
      <c r="LE108" s="339">
        <f t="shared" si="845"/>
        <v>0</v>
      </c>
      <c r="LF108" s="279">
        <f t="shared" si="965"/>
        <v>0</v>
      </c>
      <c r="LG108" s="339">
        <f t="shared" si="846"/>
        <v>0</v>
      </c>
      <c r="LH108" s="279">
        <f t="shared" si="965"/>
        <v>0</v>
      </c>
      <c r="LI108" s="339">
        <f t="shared" si="847"/>
        <v>0</v>
      </c>
      <c r="LJ108" s="279">
        <f t="shared" si="965"/>
        <v>0</v>
      </c>
      <c r="LK108" s="339">
        <f t="shared" si="848"/>
        <v>0</v>
      </c>
      <c r="LL108" s="279">
        <f t="shared" si="965"/>
        <v>0</v>
      </c>
      <c r="LM108" s="339">
        <f t="shared" si="849"/>
        <v>0</v>
      </c>
      <c r="LN108" s="279">
        <f t="shared" si="949"/>
        <v>0</v>
      </c>
      <c r="LO108" s="339">
        <f t="shared" si="850"/>
        <v>0</v>
      </c>
      <c r="LP108" s="279">
        <f t="shared" si="877"/>
        <v>0</v>
      </c>
      <c r="LQ108" s="339">
        <f t="shared" si="851"/>
        <v>0</v>
      </c>
      <c r="LR108" s="279">
        <f t="shared" si="878"/>
        <v>0</v>
      </c>
      <c r="LS108" s="339">
        <f t="shared" si="852"/>
        <v>0</v>
      </c>
      <c r="LT108" s="279">
        <f t="shared" si="879"/>
        <v>0</v>
      </c>
      <c r="LU108" s="339">
        <f t="shared" si="853"/>
        <v>0</v>
      </c>
      <c r="LV108" s="279">
        <f t="shared" si="880"/>
        <v>0</v>
      </c>
      <c r="LW108" s="339">
        <f t="shared" si="854"/>
        <v>0</v>
      </c>
      <c r="LX108" s="252">
        <f t="shared" si="855"/>
        <v>0</v>
      </c>
      <c r="LY108" s="253">
        <f t="shared" si="856"/>
        <v>0</v>
      </c>
      <c r="MA108" s="249">
        <f t="shared" si="928"/>
        <v>0</v>
      </c>
      <c r="MB108" s="253">
        <f t="shared" si="857"/>
        <v>0</v>
      </c>
      <c r="MC108" s="397">
        <f t="shared" si="929"/>
        <v>0</v>
      </c>
      <c r="MD108" s="253">
        <f t="shared" si="858"/>
        <v>0</v>
      </c>
      <c r="ME108" s="397">
        <f t="shared" si="930"/>
        <v>0</v>
      </c>
      <c r="MF108" s="253">
        <f t="shared" si="858"/>
        <v>0</v>
      </c>
      <c r="MG108" s="397">
        <f t="shared" si="931"/>
        <v>0</v>
      </c>
      <c r="MH108" s="253">
        <f t="shared" si="859"/>
        <v>0</v>
      </c>
      <c r="MI108" s="397">
        <f t="shared" si="932"/>
        <v>0</v>
      </c>
      <c r="MJ108" s="253">
        <f t="shared" si="860"/>
        <v>0</v>
      </c>
      <c r="MK108" s="397">
        <f t="shared" si="933"/>
        <v>0</v>
      </c>
      <c r="ML108" s="253">
        <f t="shared" si="861"/>
        <v>0</v>
      </c>
      <c r="MM108" s="397">
        <f t="shared" si="934"/>
        <v>0</v>
      </c>
      <c r="MN108" s="253">
        <f t="shared" si="862"/>
        <v>0</v>
      </c>
      <c r="MO108" s="397">
        <f t="shared" si="935"/>
        <v>0</v>
      </c>
      <c r="MP108" s="253">
        <f t="shared" si="863"/>
        <v>0</v>
      </c>
      <c r="MQ108" s="397">
        <f t="shared" si="936"/>
        <v>0</v>
      </c>
      <c r="MR108" s="253">
        <f t="shared" si="864"/>
        <v>0</v>
      </c>
      <c r="MS108" s="397">
        <f t="shared" si="937"/>
        <v>0</v>
      </c>
      <c r="MT108" s="253">
        <f t="shared" si="865"/>
        <v>0</v>
      </c>
      <c r="MU108" s="397">
        <f t="shared" si="938"/>
        <v>0</v>
      </c>
      <c r="MV108" s="253">
        <f t="shared" si="866"/>
        <v>0</v>
      </c>
      <c r="MW108" s="397">
        <f t="shared" si="939"/>
        <v>0</v>
      </c>
      <c r="MX108" s="253">
        <f t="shared" si="867"/>
        <v>0</v>
      </c>
      <c r="MY108" s="252">
        <f t="shared" si="868"/>
        <v>0</v>
      </c>
      <c r="MZ108" s="251">
        <f t="shared" si="869"/>
        <v>0</v>
      </c>
    </row>
    <row r="109" spans="1:364" ht="39.6" x14ac:dyDescent="0.25">
      <c r="A109" s="533"/>
      <c r="B109" s="245" t="s">
        <v>226</v>
      </c>
      <c r="C109" s="246" t="s">
        <v>227</v>
      </c>
      <c r="D109" s="247" t="s">
        <v>119</v>
      </c>
      <c r="E109" s="4">
        <v>10</v>
      </c>
      <c r="F109" s="353">
        <v>8008703.1546489559</v>
      </c>
      <c r="G109" s="353">
        <f t="shared" si="700"/>
        <v>8342475.3927893732</v>
      </c>
      <c r="I109" s="30"/>
      <c r="J109" s="2">
        <v>8.3333333333333329E-2</v>
      </c>
      <c r="K109" s="248">
        <f t="shared" si="701"/>
        <v>0</v>
      </c>
      <c r="L109" s="249"/>
      <c r="M109" s="299">
        <f t="shared" si="950"/>
        <v>0</v>
      </c>
      <c r="N109" s="279">
        <f t="shared" si="889"/>
        <v>0</v>
      </c>
      <c r="O109" s="289">
        <f t="shared" si="951"/>
        <v>0</v>
      </c>
      <c r="P109" s="279">
        <f t="shared" si="889"/>
        <v>0</v>
      </c>
      <c r="Q109" s="289">
        <f t="shared" si="951"/>
        <v>0</v>
      </c>
      <c r="R109" s="279">
        <f t="shared" si="889"/>
        <v>0</v>
      </c>
      <c r="S109" s="289">
        <f t="shared" si="702"/>
        <v>0</v>
      </c>
      <c r="T109" s="279">
        <f t="shared" si="889"/>
        <v>0</v>
      </c>
      <c r="U109" s="289">
        <f t="shared" si="703"/>
        <v>0</v>
      </c>
      <c r="V109" s="279">
        <f t="shared" si="889"/>
        <v>0</v>
      </c>
      <c r="W109" s="289">
        <f t="shared" si="704"/>
        <v>0</v>
      </c>
      <c r="X109" s="279">
        <f t="shared" si="889"/>
        <v>0</v>
      </c>
      <c r="Y109" s="289">
        <f t="shared" si="705"/>
        <v>0</v>
      </c>
      <c r="Z109" s="279">
        <f t="shared" si="889"/>
        <v>0</v>
      </c>
      <c r="AA109" s="289">
        <f t="shared" si="706"/>
        <v>0</v>
      </c>
      <c r="AB109" s="279">
        <f t="shared" si="889"/>
        <v>0</v>
      </c>
      <c r="AC109" s="289">
        <f t="shared" si="707"/>
        <v>0</v>
      </c>
      <c r="AD109" s="279">
        <f t="shared" si="889"/>
        <v>0</v>
      </c>
      <c r="AE109" s="289">
        <f t="shared" si="708"/>
        <v>0</v>
      </c>
      <c r="AF109" s="279">
        <f t="shared" si="889"/>
        <v>0</v>
      </c>
      <c r="AG109" s="289">
        <f t="shared" si="890"/>
        <v>0</v>
      </c>
      <c r="AH109" s="249">
        <f t="shared" si="456"/>
        <v>0</v>
      </c>
      <c r="AI109" s="299">
        <f t="shared" si="891"/>
        <v>0</v>
      </c>
      <c r="AJ109" s="252">
        <f t="shared" si="709"/>
        <v>0</v>
      </c>
      <c r="AK109" s="312">
        <f t="shared" si="710"/>
        <v>0</v>
      </c>
      <c r="AM109" s="1"/>
      <c r="AN109" s="2">
        <v>8.3333333333333329E-2</v>
      </c>
      <c r="AO109" s="254">
        <f t="shared" si="904"/>
        <v>0</v>
      </c>
      <c r="AP109" s="249">
        <f t="shared" si="917"/>
        <v>0</v>
      </c>
      <c r="AQ109" s="301">
        <f t="shared" si="683"/>
        <v>0</v>
      </c>
      <c r="AR109" s="249">
        <f t="shared" si="884"/>
        <v>0</v>
      </c>
      <c r="AS109" s="301">
        <f t="shared" si="683"/>
        <v>0</v>
      </c>
      <c r="AT109" s="249">
        <f t="shared" si="884"/>
        <v>0</v>
      </c>
      <c r="AU109" s="301">
        <f t="shared" si="684"/>
        <v>0</v>
      </c>
      <c r="AV109" s="249">
        <f t="shared" si="884"/>
        <v>0</v>
      </c>
      <c r="AW109" s="301">
        <f t="shared" si="711"/>
        <v>0</v>
      </c>
      <c r="AX109" s="249">
        <f t="shared" si="884"/>
        <v>0</v>
      </c>
      <c r="AY109" s="301">
        <f t="shared" si="712"/>
        <v>0</v>
      </c>
      <c r="AZ109" s="249">
        <f t="shared" si="884"/>
        <v>0</v>
      </c>
      <c r="BA109" s="301">
        <f t="shared" si="713"/>
        <v>0</v>
      </c>
      <c r="BB109" s="249">
        <f t="shared" si="884"/>
        <v>0</v>
      </c>
      <c r="BC109" s="301">
        <f t="shared" si="714"/>
        <v>0</v>
      </c>
      <c r="BD109" s="249">
        <f t="shared" si="884"/>
        <v>0</v>
      </c>
      <c r="BE109" s="301">
        <f t="shared" si="715"/>
        <v>0</v>
      </c>
      <c r="BF109" s="249">
        <f t="shared" si="882"/>
        <v>0</v>
      </c>
      <c r="BG109" s="301">
        <f t="shared" si="716"/>
        <v>0</v>
      </c>
      <c r="BH109" s="249">
        <f t="shared" si="885"/>
        <v>0</v>
      </c>
      <c r="BI109" s="301">
        <f t="shared" si="940"/>
        <v>0</v>
      </c>
      <c r="BJ109" s="249">
        <f t="shared" si="885"/>
        <v>0</v>
      </c>
      <c r="BK109" s="301">
        <f t="shared" si="940"/>
        <v>0</v>
      </c>
      <c r="BL109" s="249">
        <f t="shared" si="661"/>
        <v>0</v>
      </c>
      <c r="BM109" s="299">
        <f t="shared" si="718"/>
        <v>0</v>
      </c>
      <c r="BN109" s="252">
        <f t="shared" si="719"/>
        <v>0</v>
      </c>
      <c r="BO109" s="312">
        <f t="shared" si="926"/>
        <v>0</v>
      </c>
      <c r="BQ109" s="1"/>
      <c r="BR109" s="2"/>
      <c r="BS109" s="255">
        <f t="shared" si="919"/>
        <v>0</v>
      </c>
      <c r="BT109" s="249">
        <f t="shared" si="881"/>
        <v>0</v>
      </c>
      <c r="BU109" s="336">
        <f t="shared" si="720"/>
        <v>0</v>
      </c>
      <c r="BV109" s="279">
        <f t="shared" si="952"/>
        <v>0</v>
      </c>
      <c r="BW109" s="339">
        <f t="shared" si="722"/>
        <v>0</v>
      </c>
      <c r="BX109" s="279">
        <f t="shared" si="952"/>
        <v>0</v>
      </c>
      <c r="BY109" s="339">
        <f t="shared" si="723"/>
        <v>0</v>
      </c>
      <c r="BZ109" s="279">
        <f t="shared" si="952"/>
        <v>0</v>
      </c>
      <c r="CA109" s="339">
        <f t="shared" si="724"/>
        <v>0</v>
      </c>
      <c r="CB109" s="279">
        <f t="shared" si="952"/>
        <v>0</v>
      </c>
      <c r="CC109" s="339">
        <f t="shared" si="725"/>
        <v>0</v>
      </c>
      <c r="CD109" s="279">
        <f t="shared" si="952"/>
        <v>0</v>
      </c>
      <c r="CE109" s="339">
        <f t="shared" si="726"/>
        <v>0</v>
      </c>
      <c r="CF109" s="279">
        <f t="shared" si="952"/>
        <v>0</v>
      </c>
      <c r="CG109" s="339">
        <f t="shared" si="727"/>
        <v>0</v>
      </c>
      <c r="CH109" s="279">
        <f t="shared" si="943"/>
        <v>0</v>
      </c>
      <c r="CI109" s="339">
        <f t="shared" si="728"/>
        <v>0</v>
      </c>
      <c r="CJ109" s="279">
        <f t="shared" si="729"/>
        <v>0</v>
      </c>
      <c r="CK109" s="339">
        <f t="shared" si="730"/>
        <v>0</v>
      </c>
      <c r="CL109" s="279">
        <f t="shared" si="463"/>
        <v>0</v>
      </c>
      <c r="CM109" s="339">
        <f t="shared" si="731"/>
        <v>0</v>
      </c>
      <c r="CN109" s="279">
        <f t="shared" si="732"/>
        <v>0</v>
      </c>
      <c r="CO109" s="339">
        <f t="shared" si="733"/>
        <v>0</v>
      </c>
      <c r="CP109" s="279">
        <f t="shared" si="464"/>
        <v>0</v>
      </c>
      <c r="CQ109" s="250">
        <f t="shared" si="905"/>
        <v>0</v>
      </c>
      <c r="CR109" s="252">
        <f t="shared" si="734"/>
        <v>0</v>
      </c>
      <c r="CS109" s="251">
        <f t="shared" si="887"/>
        <v>0</v>
      </c>
      <c r="CU109" s="1"/>
      <c r="CV109" s="2"/>
      <c r="CW109" s="255">
        <f t="shared" si="920"/>
        <v>0</v>
      </c>
      <c r="CX109" s="249">
        <f t="shared" si="735"/>
        <v>0</v>
      </c>
      <c r="CY109" s="250">
        <f t="shared" si="736"/>
        <v>0</v>
      </c>
      <c r="CZ109" s="279">
        <f t="shared" si="966"/>
        <v>0</v>
      </c>
      <c r="DA109" s="299">
        <f t="shared" si="736"/>
        <v>0</v>
      </c>
      <c r="DB109" s="279">
        <f t="shared" si="966"/>
        <v>0</v>
      </c>
      <c r="DC109" s="299">
        <f t="shared" si="737"/>
        <v>0</v>
      </c>
      <c r="DD109" s="279">
        <f t="shared" si="966"/>
        <v>0</v>
      </c>
      <c r="DE109" s="299">
        <f t="shared" si="738"/>
        <v>0</v>
      </c>
      <c r="DF109" s="279">
        <f t="shared" si="966"/>
        <v>0</v>
      </c>
      <c r="DG109" s="299">
        <f t="shared" si="739"/>
        <v>0</v>
      </c>
      <c r="DH109" s="279">
        <f t="shared" si="966"/>
        <v>0</v>
      </c>
      <c r="DI109" s="299">
        <f t="shared" si="740"/>
        <v>0</v>
      </c>
      <c r="DJ109" s="279">
        <f t="shared" si="966"/>
        <v>0</v>
      </c>
      <c r="DK109" s="299">
        <f t="shared" si="741"/>
        <v>0</v>
      </c>
      <c r="DL109" s="279">
        <f t="shared" si="954"/>
        <v>0</v>
      </c>
      <c r="DM109" s="299">
        <f t="shared" si="742"/>
        <v>0</v>
      </c>
      <c r="DN109" s="279">
        <f t="shared" si="743"/>
        <v>0</v>
      </c>
      <c r="DO109" s="299">
        <f t="shared" si="744"/>
        <v>0</v>
      </c>
      <c r="DP109" s="279">
        <f t="shared" si="471"/>
        <v>0</v>
      </c>
      <c r="DQ109" s="299">
        <f t="shared" si="745"/>
        <v>0</v>
      </c>
      <c r="DR109" s="279">
        <f t="shared" si="746"/>
        <v>0</v>
      </c>
      <c r="DS109" s="299">
        <f t="shared" si="747"/>
        <v>0</v>
      </c>
      <c r="DT109" s="279">
        <f t="shared" si="472"/>
        <v>0</v>
      </c>
      <c r="DU109" s="299">
        <f t="shared" si="748"/>
        <v>0</v>
      </c>
      <c r="DV109" s="252">
        <f t="shared" si="749"/>
        <v>0</v>
      </c>
      <c r="DW109" s="251">
        <f t="shared" si="888"/>
        <v>0</v>
      </c>
      <c r="DY109" s="256">
        <v>0</v>
      </c>
      <c r="DZ109" s="2"/>
      <c r="EA109" s="254">
        <f t="shared" si="906"/>
        <v>0</v>
      </c>
      <c r="EB109" s="249">
        <f t="shared" si="871"/>
        <v>0</v>
      </c>
      <c r="EC109" s="250">
        <f t="shared" si="750"/>
        <v>0</v>
      </c>
      <c r="ED109" s="356">
        <f t="shared" si="871"/>
        <v>0</v>
      </c>
      <c r="EE109" s="250">
        <f t="shared" si="750"/>
        <v>0</v>
      </c>
      <c r="EF109" s="249">
        <f t="shared" si="967"/>
        <v>0</v>
      </c>
      <c r="EG109" s="250">
        <f t="shared" si="941"/>
        <v>0</v>
      </c>
      <c r="EH109" s="249">
        <f t="shared" si="967"/>
        <v>0</v>
      </c>
      <c r="EI109" s="250">
        <f t="shared" si="941"/>
        <v>0</v>
      </c>
      <c r="EJ109" s="249">
        <f t="shared" si="967"/>
        <v>0</v>
      </c>
      <c r="EK109" s="250">
        <f t="shared" si="752"/>
        <v>0</v>
      </c>
      <c r="EL109" s="249">
        <f t="shared" si="967"/>
        <v>0</v>
      </c>
      <c r="EM109" s="250">
        <f t="shared" si="753"/>
        <v>0</v>
      </c>
      <c r="EN109" s="249">
        <f t="shared" si="967"/>
        <v>0</v>
      </c>
      <c r="EO109" s="250">
        <f t="shared" si="754"/>
        <v>0</v>
      </c>
      <c r="EP109" s="249">
        <f t="shared" si="967"/>
        <v>0</v>
      </c>
      <c r="EQ109" s="250">
        <f t="shared" si="755"/>
        <v>0</v>
      </c>
      <c r="ER109" s="249">
        <f t="shared" si="956"/>
        <v>0</v>
      </c>
      <c r="ES109" s="250">
        <f t="shared" si="756"/>
        <v>0</v>
      </c>
      <c r="ET109" s="249">
        <f t="shared" si="921"/>
        <v>0</v>
      </c>
      <c r="EU109" s="250">
        <f t="shared" si="757"/>
        <v>0</v>
      </c>
      <c r="EV109" s="249">
        <f t="shared" si="758"/>
        <v>0</v>
      </c>
      <c r="EW109" s="250">
        <f t="shared" si="759"/>
        <v>0</v>
      </c>
      <c r="EX109" s="249">
        <f t="shared" si="922"/>
        <v>0</v>
      </c>
      <c r="EY109" s="250">
        <f t="shared" si="760"/>
        <v>0</v>
      </c>
      <c r="EZ109" s="252">
        <f t="shared" si="761"/>
        <v>0</v>
      </c>
      <c r="FA109" s="251">
        <f t="shared" si="907"/>
        <v>0</v>
      </c>
      <c r="FC109" s="1"/>
      <c r="FD109" s="2"/>
      <c r="FE109" s="257">
        <f t="shared" si="908"/>
        <v>0</v>
      </c>
      <c r="FF109" s="249">
        <f t="shared" si="762"/>
        <v>0</v>
      </c>
      <c r="FG109" s="250">
        <f t="shared" si="763"/>
        <v>0</v>
      </c>
      <c r="FH109" s="372">
        <f t="shared" si="968"/>
        <v>0</v>
      </c>
      <c r="FI109" s="339">
        <f t="shared" si="764"/>
        <v>0</v>
      </c>
      <c r="FJ109" s="372">
        <f t="shared" si="968"/>
        <v>0</v>
      </c>
      <c r="FK109" s="339">
        <f t="shared" si="764"/>
        <v>0</v>
      </c>
      <c r="FL109" s="372">
        <f t="shared" si="968"/>
        <v>0</v>
      </c>
      <c r="FM109" s="339">
        <f t="shared" si="765"/>
        <v>0</v>
      </c>
      <c r="FN109" s="372">
        <f t="shared" si="968"/>
        <v>0</v>
      </c>
      <c r="FO109" s="339">
        <f t="shared" si="766"/>
        <v>0</v>
      </c>
      <c r="FP109" s="372">
        <f t="shared" si="968"/>
        <v>0</v>
      </c>
      <c r="FQ109" s="339">
        <f t="shared" si="767"/>
        <v>0</v>
      </c>
      <c r="FR109" s="372">
        <f t="shared" si="968"/>
        <v>0</v>
      </c>
      <c r="FS109" s="339">
        <f t="shared" si="768"/>
        <v>0</v>
      </c>
      <c r="FT109" s="372">
        <f t="shared" si="958"/>
        <v>0</v>
      </c>
      <c r="FU109" s="339">
        <f t="shared" si="769"/>
        <v>0</v>
      </c>
      <c r="FV109" s="372">
        <f t="shared" si="770"/>
        <v>0</v>
      </c>
      <c r="FW109" s="339">
        <f t="shared" si="771"/>
        <v>0</v>
      </c>
      <c r="FX109" s="372">
        <f t="shared" si="479"/>
        <v>0</v>
      </c>
      <c r="FY109" s="339">
        <f t="shared" si="772"/>
        <v>0</v>
      </c>
      <c r="FZ109" s="372">
        <f t="shared" si="773"/>
        <v>0</v>
      </c>
      <c r="GA109" s="339">
        <f t="shared" si="774"/>
        <v>0</v>
      </c>
      <c r="GB109" s="372">
        <f t="shared" si="480"/>
        <v>0</v>
      </c>
      <c r="GC109" s="339">
        <f t="shared" si="775"/>
        <v>0</v>
      </c>
      <c r="GD109" s="252">
        <f t="shared" si="776"/>
        <v>0</v>
      </c>
      <c r="GE109" s="251">
        <f t="shared" si="927"/>
        <v>0</v>
      </c>
      <c r="GG109" s="1"/>
      <c r="GH109" s="2">
        <v>0.2</v>
      </c>
      <c r="GI109" s="257">
        <f t="shared" si="909"/>
        <v>0</v>
      </c>
      <c r="GJ109" s="249">
        <f t="shared" si="959"/>
        <v>0</v>
      </c>
      <c r="GK109" s="250">
        <f t="shared" si="778"/>
        <v>0</v>
      </c>
      <c r="GL109" s="249">
        <f t="shared" si="959"/>
        <v>0</v>
      </c>
      <c r="GM109" s="250">
        <f t="shared" si="778"/>
        <v>0</v>
      </c>
      <c r="GN109" s="249">
        <f t="shared" si="959"/>
        <v>0</v>
      </c>
      <c r="GO109" s="250">
        <f t="shared" si="894"/>
        <v>0</v>
      </c>
      <c r="GP109" s="249">
        <f t="shared" si="959"/>
        <v>0</v>
      </c>
      <c r="GQ109" s="250">
        <f t="shared" si="895"/>
        <v>0</v>
      </c>
      <c r="GR109" s="249">
        <f t="shared" si="959"/>
        <v>0</v>
      </c>
      <c r="GS109" s="250">
        <f t="shared" si="896"/>
        <v>0</v>
      </c>
      <c r="GT109" s="249">
        <f t="shared" si="959"/>
        <v>0</v>
      </c>
      <c r="GU109" s="250">
        <f t="shared" si="897"/>
        <v>0</v>
      </c>
      <c r="GV109" s="249">
        <f t="shared" si="945"/>
        <v>0</v>
      </c>
      <c r="GW109" s="250">
        <f t="shared" si="898"/>
        <v>0</v>
      </c>
      <c r="GX109" s="249">
        <f t="shared" si="784"/>
        <v>0</v>
      </c>
      <c r="GY109" s="250">
        <f t="shared" si="899"/>
        <v>0</v>
      </c>
      <c r="GZ109" s="249">
        <f t="shared" si="786"/>
        <v>0</v>
      </c>
      <c r="HA109" s="250">
        <f t="shared" si="900"/>
        <v>0</v>
      </c>
      <c r="HB109" s="249">
        <f t="shared" si="788"/>
        <v>0</v>
      </c>
      <c r="HC109" s="250">
        <f t="shared" si="901"/>
        <v>0</v>
      </c>
      <c r="HD109" s="249">
        <f t="shared" si="790"/>
        <v>0</v>
      </c>
      <c r="HE109" s="250">
        <f t="shared" si="902"/>
        <v>0</v>
      </c>
      <c r="HF109" s="249">
        <f t="shared" si="792"/>
        <v>0</v>
      </c>
      <c r="HG109" s="250">
        <f t="shared" si="903"/>
        <v>0</v>
      </c>
      <c r="HH109" s="252">
        <f t="shared" si="794"/>
        <v>0</v>
      </c>
      <c r="HI109" s="251">
        <f t="shared" si="910"/>
        <v>0</v>
      </c>
      <c r="HK109" s="1"/>
      <c r="HL109" s="2"/>
      <c r="HM109" s="257">
        <f t="shared" si="911"/>
        <v>0</v>
      </c>
      <c r="HN109" s="249">
        <f t="shared" si="795"/>
        <v>0</v>
      </c>
      <c r="HO109" s="250">
        <f t="shared" si="912"/>
        <v>0</v>
      </c>
      <c r="HP109" s="249">
        <f t="shared" si="960"/>
        <v>0</v>
      </c>
      <c r="HQ109" s="250">
        <f t="shared" si="797"/>
        <v>0</v>
      </c>
      <c r="HR109" s="249">
        <f t="shared" si="960"/>
        <v>0</v>
      </c>
      <c r="HS109" s="250">
        <f t="shared" si="797"/>
        <v>0</v>
      </c>
      <c r="HT109" s="249">
        <f t="shared" si="960"/>
        <v>0</v>
      </c>
      <c r="HU109" s="250">
        <f t="shared" si="798"/>
        <v>0</v>
      </c>
      <c r="HV109" s="249">
        <f t="shared" si="960"/>
        <v>0</v>
      </c>
      <c r="HW109" s="250">
        <f t="shared" si="799"/>
        <v>0</v>
      </c>
      <c r="HX109" s="249">
        <f t="shared" si="960"/>
        <v>0</v>
      </c>
      <c r="HY109" s="250">
        <f t="shared" si="800"/>
        <v>0</v>
      </c>
      <c r="HZ109" s="249">
        <f t="shared" si="960"/>
        <v>0</v>
      </c>
      <c r="IA109" s="250">
        <f t="shared" si="801"/>
        <v>0</v>
      </c>
      <c r="IB109" s="249">
        <f t="shared" si="947"/>
        <v>0</v>
      </c>
      <c r="IC109" s="250">
        <f t="shared" si="802"/>
        <v>0</v>
      </c>
      <c r="ID109" s="249">
        <f t="shared" si="803"/>
        <v>0</v>
      </c>
      <c r="IE109" s="250">
        <f t="shared" si="804"/>
        <v>0</v>
      </c>
      <c r="IF109" s="249">
        <f t="shared" si="805"/>
        <v>0</v>
      </c>
      <c r="IG109" s="250">
        <f t="shared" si="806"/>
        <v>0</v>
      </c>
      <c r="IH109" s="249">
        <f t="shared" si="807"/>
        <v>0</v>
      </c>
      <c r="II109" s="250">
        <f t="shared" si="808"/>
        <v>0</v>
      </c>
      <c r="IJ109" s="249">
        <f t="shared" si="809"/>
        <v>0</v>
      </c>
      <c r="IK109" s="250">
        <f t="shared" si="810"/>
        <v>0</v>
      </c>
      <c r="IL109" s="252">
        <f t="shared" si="811"/>
        <v>0</v>
      </c>
      <c r="IM109" s="251">
        <f t="shared" si="812"/>
        <v>0</v>
      </c>
      <c r="IO109" s="1"/>
      <c r="IP109" s="2">
        <v>8.3333333333333329E-2</v>
      </c>
      <c r="IQ109" s="257">
        <f t="shared" si="913"/>
        <v>0</v>
      </c>
      <c r="IR109" s="249">
        <f t="shared" si="813"/>
        <v>0</v>
      </c>
      <c r="IS109" s="250">
        <f t="shared" si="814"/>
        <v>0</v>
      </c>
      <c r="IT109" s="279">
        <f t="shared" si="969"/>
        <v>0</v>
      </c>
      <c r="IU109" s="289">
        <f t="shared" si="815"/>
        <v>0</v>
      </c>
      <c r="IV109" s="279">
        <f t="shared" si="969"/>
        <v>0</v>
      </c>
      <c r="IW109" s="289">
        <f t="shared" si="815"/>
        <v>0</v>
      </c>
      <c r="IX109" s="279">
        <f t="shared" si="969"/>
        <v>0</v>
      </c>
      <c r="IY109" s="289">
        <f t="shared" si="816"/>
        <v>0</v>
      </c>
      <c r="IZ109" s="279">
        <f t="shared" si="969"/>
        <v>0</v>
      </c>
      <c r="JA109" s="289">
        <f t="shared" si="817"/>
        <v>0</v>
      </c>
      <c r="JB109" s="279">
        <f t="shared" si="969"/>
        <v>0</v>
      </c>
      <c r="JC109" s="289">
        <f t="shared" si="818"/>
        <v>0</v>
      </c>
      <c r="JD109" s="279">
        <f t="shared" si="969"/>
        <v>0</v>
      </c>
      <c r="JE109" s="289">
        <f t="shared" si="819"/>
        <v>0</v>
      </c>
      <c r="JF109" s="279">
        <f t="shared" si="962"/>
        <v>0</v>
      </c>
      <c r="JG109" s="289">
        <f t="shared" si="820"/>
        <v>0</v>
      </c>
      <c r="JH109" s="279">
        <f t="shared" si="821"/>
        <v>0</v>
      </c>
      <c r="JI109" s="289">
        <f t="shared" si="822"/>
        <v>0</v>
      </c>
      <c r="JJ109" s="279">
        <f t="shared" si="923"/>
        <v>0</v>
      </c>
      <c r="JK109" s="289">
        <f t="shared" si="823"/>
        <v>0</v>
      </c>
      <c r="JL109" s="279">
        <f t="shared" si="824"/>
        <v>0</v>
      </c>
      <c r="JM109" s="289">
        <f t="shared" si="825"/>
        <v>0</v>
      </c>
      <c r="JN109" s="279">
        <f t="shared" si="924"/>
        <v>0</v>
      </c>
      <c r="JO109" s="289">
        <f t="shared" si="826"/>
        <v>0</v>
      </c>
      <c r="JP109" s="252">
        <f t="shared" si="827"/>
        <v>0</v>
      </c>
      <c r="JQ109" s="251">
        <f t="shared" si="828"/>
        <v>0</v>
      </c>
      <c r="JS109" s="1"/>
      <c r="JT109" s="2">
        <v>8.3333333333333329E-2</v>
      </c>
      <c r="JU109" s="257">
        <f t="shared" si="914"/>
        <v>0</v>
      </c>
      <c r="JV109" s="249">
        <f t="shared" si="829"/>
        <v>0</v>
      </c>
      <c r="JW109" s="250">
        <f t="shared" si="830"/>
        <v>0</v>
      </c>
      <c r="JX109" s="372">
        <f t="shared" si="970"/>
        <v>0</v>
      </c>
      <c r="JY109" s="339">
        <f t="shared" si="831"/>
        <v>0</v>
      </c>
      <c r="JZ109" s="372">
        <f t="shared" si="970"/>
        <v>0</v>
      </c>
      <c r="KA109" s="339">
        <f t="shared" si="831"/>
        <v>0</v>
      </c>
      <c r="KB109" s="372">
        <f t="shared" si="970"/>
        <v>0</v>
      </c>
      <c r="KC109" s="339">
        <f t="shared" si="832"/>
        <v>0</v>
      </c>
      <c r="KD109" s="372">
        <f t="shared" si="970"/>
        <v>0</v>
      </c>
      <c r="KE109" s="339">
        <f t="shared" si="833"/>
        <v>0</v>
      </c>
      <c r="KF109" s="372">
        <f t="shared" si="970"/>
        <v>0</v>
      </c>
      <c r="KG109" s="339">
        <f t="shared" si="834"/>
        <v>0</v>
      </c>
      <c r="KH109" s="372">
        <f t="shared" si="970"/>
        <v>0</v>
      </c>
      <c r="KI109" s="339">
        <f t="shared" si="835"/>
        <v>0</v>
      </c>
      <c r="KJ109" s="372">
        <f t="shared" si="964"/>
        <v>0</v>
      </c>
      <c r="KK109" s="339">
        <f t="shared" si="836"/>
        <v>0</v>
      </c>
      <c r="KL109" s="372">
        <f t="shared" si="837"/>
        <v>0</v>
      </c>
      <c r="KM109" s="339">
        <f t="shared" si="838"/>
        <v>0</v>
      </c>
      <c r="KN109" s="372">
        <f t="shared" si="918"/>
        <v>0</v>
      </c>
      <c r="KO109" s="339">
        <f t="shared" si="839"/>
        <v>0</v>
      </c>
      <c r="KP109" s="372">
        <f t="shared" si="840"/>
        <v>0</v>
      </c>
      <c r="KQ109" s="339">
        <f t="shared" si="841"/>
        <v>0</v>
      </c>
      <c r="KR109" s="372">
        <f t="shared" si="925"/>
        <v>0</v>
      </c>
      <c r="KS109" s="377">
        <f t="shared" si="842"/>
        <v>0</v>
      </c>
      <c r="KT109" s="379">
        <f t="shared" si="843"/>
        <v>0</v>
      </c>
      <c r="KU109" s="251">
        <f t="shared" si="915"/>
        <v>0</v>
      </c>
      <c r="KW109" s="1"/>
      <c r="KX109" s="2">
        <v>8.3333333333333329E-2</v>
      </c>
      <c r="KY109" s="254">
        <f t="shared" si="680"/>
        <v>0</v>
      </c>
      <c r="KZ109" s="249">
        <f t="shared" si="876"/>
        <v>0</v>
      </c>
      <c r="LA109" s="251">
        <f t="shared" si="681"/>
        <v>0</v>
      </c>
      <c r="LB109" s="279">
        <f t="shared" si="965"/>
        <v>0</v>
      </c>
      <c r="LC109" s="339">
        <f t="shared" si="845"/>
        <v>0</v>
      </c>
      <c r="LD109" s="279">
        <f t="shared" si="965"/>
        <v>0</v>
      </c>
      <c r="LE109" s="339">
        <f t="shared" si="845"/>
        <v>0</v>
      </c>
      <c r="LF109" s="279">
        <f t="shared" si="965"/>
        <v>0</v>
      </c>
      <c r="LG109" s="339">
        <f t="shared" si="846"/>
        <v>0</v>
      </c>
      <c r="LH109" s="279">
        <f t="shared" si="965"/>
        <v>0</v>
      </c>
      <c r="LI109" s="339">
        <f t="shared" si="847"/>
        <v>0</v>
      </c>
      <c r="LJ109" s="279">
        <f t="shared" si="965"/>
        <v>0</v>
      </c>
      <c r="LK109" s="339">
        <f t="shared" si="848"/>
        <v>0</v>
      </c>
      <c r="LL109" s="279">
        <f t="shared" si="965"/>
        <v>0</v>
      </c>
      <c r="LM109" s="339">
        <f t="shared" si="849"/>
        <v>0</v>
      </c>
      <c r="LN109" s="279">
        <f t="shared" si="949"/>
        <v>0</v>
      </c>
      <c r="LO109" s="339">
        <f t="shared" si="850"/>
        <v>0</v>
      </c>
      <c r="LP109" s="279">
        <f t="shared" si="877"/>
        <v>0</v>
      </c>
      <c r="LQ109" s="339">
        <f t="shared" si="851"/>
        <v>0</v>
      </c>
      <c r="LR109" s="279">
        <f t="shared" si="878"/>
        <v>0</v>
      </c>
      <c r="LS109" s="339">
        <f t="shared" si="852"/>
        <v>0</v>
      </c>
      <c r="LT109" s="279">
        <f t="shared" si="879"/>
        <v>0</v>
      </c>
      <c r="LU109" s="339">
        <f t="shared" si="853"/>
        <v>0</v>
      </c>
      <c r="LV109" s="279">
        <f t="shared" si="880"/>
        <v>0</v>
      </c>
      <c r="LW109" s="339">
        <f t="shared" si="854"/>
        <v>0</v>
      </c>
      <c r="LX109" s="252">
        <f t="shared" si="855"/>
        <v>0</v>
      </c>
      <c r="LY109" s="253">
        <f t="shared" si="856"/>
        <v>0</v>
      </c>
      <c r="MA109" s="249">
        <f t="shared" si="928"/>
        <v>0</v>
      </c>
      <c r="MB109" s="253">
        <f t="shared" si="857"/>
        <v>0</v>
      </c>
      <c r="MC109" s="397">
        <f t="shared" si="929"/>
        <v>0</v>
      </c>
      <c r="MD109" s="253">
        <f t="shared" si="858"/>
        <v>0</v>
      </c>
      <c r="ME109" s="397">
        <f t="shared" si="930"/>
        <v>0</v>
      </c>
      <c r="MF109" s="253">
        <f t="shared" si="858"/>
        <v>0</v>
      </c>
      <c r="MG109" s="397">
        <f t="shared" si="931"/>
        <v>0</v>
      </c>
      <c r="MH109" s="253">
        <f t="shared" si="859"/>
        <v>0</v>
      </c>
      <c r="MI109" s="397">
        <f t="shared" si="932"/>
        <v>0</v>
      </c>
      <c r="MJ109" s="253">
        <f t="shared" si="860"/>
        <v>0</v>
      </c>
      <c r="MK109" s="397">
        <f t="shared" si="933"/>
        <v>0</v>
      </c>
      <c r="ML109" s="253">
        <f t="shared" si="861"/>
        <v>0</v>
      </c>
      <c r="MM109" s="397">
        <f t="shared" si="934"/>
        <v>0</v>
      </c>
      <c r="MN109" s="253">
        <f t="shared" si="862"/>
        <v>0</v>
      </c>
      <c r="MO109" s="397">
        <f t="shared" si="935"/>
        <v>0</v>
      </c>
      <c r="MP109" s="253">
        <f t="shared" si="863"/>
        <v>0</v>
      </c>
      <c r="MQ109" s="397">
        <f t="shared" si="936"/>
        <v>0</v>
      </c>
      <c r="MR109" s="253">
        <f t="shared" si="864"/>
        <v>0</v>
      </c>
      <c r="MS109" s="397">
        <f t="shared" si="937"/>
        <v>0</v>
      </c>
      <c r="MT109" s="253">
        <f t="shared" si="865"/>
        <v>0</v>
      </c>
      <c r="MU109" s="397">
        <f t="shared" si="938"/>
        <v>0</v>
      </c>
      <c r="MV109" s="253">
        <f t="shared" si="866"/>
        <v>0</v>
      </c>
      <c r="MW109" s="397">
        <f t="shared" si="939"/>
        <v>0</v>
      </c>
      <c r="MX109" s="253">
        <f t="shared" si="867"/>
        <v>0</v>
      </c>
      <c r="MY109" s="252">
        <f t="shared" si="868"/>
        <v>0</v>
      </c>
      <c r="MZ109" s="251">
        <f t="shared" si="869"/>
        <v>0</v>
      </c>
    </row>
    <row r="110" spans="1:364" ht="40.200000000000003" thickBot="1" x14ac:dyDescent="0.3">
      <c r="A110" s="534"/>
      <c r="B110" s="258" t="s">
        <v>228</v>
      </c>
      <c r="C110" s="259" t="s">
        <v>229</v>
      </c>
      <c r="D110" s="260" t="s">
        <v>119</v>
      </c>
      <c r="E110" s="5">
        <v>10</v>
      </c>
      <c r="F110" s="354">
        <v>9622238.6444497146</v>
      </c>
      <c r="G110" s="354">
        <f t="shared" si="700"/>
        <v>10023256.89500316</v>
      </c>
      <c r="I110" s="32"/>
      <c r="J110" s="7">
        <v>8.3333333333333329E-2</v>
      </c>
      <c r="K110" s="261">
        <f t="shared" si="701"/>
        <v>0</v>
      </c>
      <c r="L110" s="249"/>
      <c r="M110" s="299">
        <f t="shared" si="950"/>
        <v>0</v>
      </c>
      <c r="N110" s="279">
        <f t="shared" si="889"/>
        <v>0</v>
      </c>
      <c r="O110" s="289">
        <f t="shared" si="951"/>
        <v>0</v>
      </c>
      <c r="P110" s="279">
        <f t="shared" si="889"/>
        <v>0</v>
      </c>
      <c r="Q110" s="289">
        <f t="shared" si="951"/>
        <v>0</v>
      </c>
      <c r="R110" s="279">
        <f t="shared" si="889"/>
        <v>0</v>
      </c>
      <c r="S110" s="289">
        <f t="shared" si="702"/>
        <v>0</v>
      </c>
      <c r="T110" s="279">
        <f t="shared" si="889"/>
        <v>0</v>
      </c>
      <c r="U110" s="289">
        <f t="shared" si="703"/>
        <v>0</v>
      </c>
      <c r="V110" s="279">
        <f t="shared" si="889"/>
        <v>0</v>
      </c>
      <c r="W110" s="289">
        <f t="shared" si="704"/>
        <v>0</v>
      </c>
      <c r="X110" s="279">
        <f t="shared" si="889"/>
        <v>0</v>
      </c>
      <c r="Y110" s="289">
        <f t="shared" si="705"/>
        <v>0</v>
      </c>
      <c r="Z110" s="279">
        <f t="shared" si="889"/>
        <v>0</v>
      </c>
      <c r="AA110" s="289">
        <f t="shared" si="706"/>
        <v>0</v>
      </c>
      <c r="AB110" s="279">
        <f t="shared" si="889"/>
        <v>0</v>
      </c>
      <c r="AC110" s="289">
        <f t="shared" si="707"/>
        <v>0</v>
      </c>
      <c r="AD110" s="279">
        <f t="shared" si="889"/>
        <v>0</v>
      </c>
      <c r="AE110" s="289">
        <f t="shared" si="708"/>
        <v>0</v>
      </c>
      <c r="AF110" s="279">
        <f t="shared" si="889"/>
        <v>0</v>
      </c>
      <c r="AG110" s="289">
        <f t="shared" si="890"/>
        <v>0</v>
      </c>
      <c r="AH110" s="249">
        <f t="shared" si="456"/>
        <v>0</v>
      </c>
      <c r="AI110" s="299">
        <f t="shared" si="891"/>
        <v>0</v>
      </c>
      <c r="AJ110" s="252">
        <f t="shared" si="709"/>
        <v>0</v>
      </c>
      <c r="AK110" s="312">
        <f t="shared" si="710"/>
        <v>0</v>
      </c>
      <c r="AM110" s="1"/>
      <c r="AN110" s="2">
        <v>8.3333333333333329E-2</v>
      </c>
      <c r="AO110" s="254">
        <f t="shared" si="904"/>
        <v>0</v>
      </c>
      <c r="AP110" s="249">
        <f t="shared" si="917"/>
        <v>0</v>
      </c>
      <c r="AQ110" s="301">
        <f t="shared" si="683"/>
        <v>0</v>
      </c>
      <c r="AR110" s="249">
        <f t="shared" si="884"/>
        <v>0</v>
      </c>
      <c r="AS110" s="301">
        <f t="shared" si="683"/>
        <v>0</v>
      </c>
      <c r="AT110" s="249">
        <f t="shared" si="884"/>
        <v>0</v>
      </c>
      <c r="AU110" s="301">
        <f t="shared" si="684"/>
        <v>0</v>
      </c>
      <c r="AV110" s="249">
        <f t="shared" si="884"/>
        <v>0</v>
      </c>
      <c r="AW110" s="301">
        <f t="shared" si="711"/>
        <v>0</v>
      </c>
      <c r="AX110" s="249">
        <f t="shared" si="884"/>
        <v>0</v>
      </c>
      <c r="AY110" s="301">
        <f t="shared" si="712"/>
        <v>0</v>
      </c>
      <c r="AZ110" s="249">
        <f t="shared" si="884"/>
        <v>0</v>
      </c>
      <c r="BA110" s="301">
        <f t="shared" si="713"/>
        <v>0</v>
      </c>
      <c r="BB110" s="249">
        <f t="shared" si="884"/>
        <v>0</v>
      </c>
      <c r="BC110" s="301">
        <f t="shared" si="714"/>
        <v>0</v>
      </c>
      <c r="BD110" s="249">
        <f t="shared" si="884"/>
        <v>0</v>
      </c>
      <c r="BE110" s="301">
        <f t="shared" si="715"/>
        <v>0</v>
      </c>
      <c r="BF110" s="249">
        <f t="shared" si="882"/>
        <v>0</v>
      </c>
      <c r="BG110" s="301">
        <f t="shared" si="716"/>
        <v>0</v>
      </c>
      <c r="BH110" s="249">
        <f t="shared" si="885"/>
        <v>0</v>
      </c>
      <c r="BI110" s="301">
        <f t="shared" si="940"/>
        <v>0</v>
      </c>
      <c r="BJ110" s="249">
        <f t="shared" si="885"/>
        <v>0</v>
      </c>
      <c r="BK110" s="301">
        <f t="shared" si="940"/>
        <v>0</v>
      </c>
      <c r="BL110" s="249">
        <f t="shared" si="661"/>
        <v>0</v>
      </c>
      <c r="BM110" s="299">
        <f t="shared" si="718"/>
        <v>0</v>
      </c>
      <c r="BN110" s="252">
        <f t="shared" si="719"/>
        <v>0</v>
      </c>
      <c r="BO110" s="312">
        <f t="shared" si="926"/>
        <v>0</v>
      </c>
      <c r="BQ110" s="6"/>
      <c r="BR110" s="7"/>
      <c r="BS110" s="340">
        <f t="shared" si="919"/>
        <v>0</v>
      </c>
      <c r="BT110" s="249">
        <f t="shared" si="881"/>
        <v>0</v>
      </c>
      <c r="BU110" s="336">
        <f t="shared" si="720"/>
        <v>0</v>
      </c>
      <c r="BV110" s="279">
        <f t="shared" si="952"/>
        <v>0</v>
      </c>
      <c r="BW110" s="339">
        <f t="shared" si="722"/>
        <v>0</v>
      </c>
      <c r="BX110" s="279">
        <f t="shared" si="952"/>
        <v>0</v>
      </c>
      <c r="BY110" s="339">
        <f t="shared" si="723"/>
        <v>0</v>
      </c>
      <c r="BZ110" s="279">
        <f t="shared" si="952"/>
        <v>0</v>
      </c>
      <c r="CA110" s="339">
        <f t="shared" si="724"/>
        <v>0</v>
      </c>
      <c r="CB110" s="279">
        <f t="shared" si="952"/>
        <v>0</v>
      </c>
      <c r="CC110" s="339">
        <f t="shared" si="725"/>
        <v>0</v>
      </c>
      <c r="CD110" s="279">
        <f t="shared" si="952"/>
        <v>0</v>
      </c>
      <c r="CE110" s="339">
        <f t="shared" si="726"/>
        <v>0</v>
      </c>
      <c r="CF110" s="279">
        <f t="shared" si="952"/>
        <v>0</v>
      </c>
      <c r="CG110" s="339">
        <f t="shared" si="727"/>
        <v>0</v>
      </c>
      <c r="CH110" s="279">
        <f t="shared" si="943"/>
        <v>0</v>
      </c>
      <c r="CI110" s="339">
        <f t="shared" si="728"/>
        <v>0</v>
      </c>
      <c r="CJ110" s="279">
        <f t="shared" si="729"/>
        <v>0</v>
      </c>
      <c r="CK110" s="339">
        <f t="shared" si="730"/>
        <v>0</v>
      </c>
      <c r="CL110" s="279">
        <f t="shared" si="463"/>
        <v>0</v>
      </c>
      <c r="CM110" s="339">
        <f t="shared" si="731"/>
        <v>0</v>
      </c>
      <c r="CN110" s="279">
        <f t="shared" si="732"/>
        <v>0</v>
      </c>
      <c r="CO110" s="339">
        <f t="shared" si="733"/>
        <v>0</v>
      </c>
      <c r="CP110" s="279">
        <f t="shared" si="464"/>
        <v>0</v>
      </c>
      <c r="CQ110" s="250">
        <f t="shared" si="905"/>
        <v>0</v>
      </c>
      <c r="CR110" s="252">
        <f t="shared" si="734"/>
        <v>0</v>
      </c>
      <c r="CS110" s="251">
        <f t="shared" si="887"/>
        <v>0</v>
      </c>
      <c r="CU110" s="6"/>
      <c r="CV110" s="7"/>
      <c r="CW110" s="340">
        <f t="shared" si="920"/>
        <v>0</v>
      </c>
      <c r="CX110" s="249">
        <f t="shared" si="735"/>
        <v>0</v>
      </c>
      <c r="CY110" s="250">
        <f t="shared" si="736"/>
        <v>0</v>
      </c>
      <c r="CZ110" s="279">
        <f t="shared" si="966"/>
        <v>0</v>
      </c>
      <c r="DA110" s="299">
        <f t="shared" si="736"/>
        <v>0</v>
      </c>
      <c r="DB110" s="279">
        <f t="shared" si="966"/>
        <v>0</v>
      </c>
      <c r="DC110" s="299">
        <f t="shared" si="737"/>
        <v>0</v>
      </c>
      <c r="DD110" s="279">
        <f t="shared" si="966"/>
        <v>0</v>
      </c>
      <c r="DE110" s="299">
        <f t="shared" si="738"/>
        <v>0</v>
      </c>
      <c r="DF110" s="279">
        <f t="shared" si="966"/>
        <v>0</v>
      </c>
      <c r="DG110" s="299">
        <f t="shared" si="739"/>
        <v>0</v>
      </c>
      <c r="DH110" s="279">
        <f t="shared" si="966"/>
        <v>0</v>
      </c>
      <c r="DI110" s="299">
        <f t="shared" si="740"/>
        <v>0</v>
      </c>
      <c r="DJ110" s="279">
        <f t="shared" si="966"/>
        <v>0</v>
      </c>
      <c r="DK110" s="299">
        <f t="shared" si="741"/>
        <v>0</v>
      </c>
      <c r="DL110" s="279">
        <f t="shared" si="954"/>
        <v>0</v>
      </c>
      <c r="DM110" s="299">
        <f t="shared" si="742"/>
        <v>0</v>
      </c>
      <c r="DN110" s="279">
        <f t="shared" si="743"/>
        <v>0</v>
      </c>
      <c r="DO110" s="299">
        <f t="shared" si="744"/>
        <v>0</v>
      </c>
      <c r="DP110" s="279">
        <f t="shared" si="471"/>
        <v>0</v>
      </c>
      <c r="DQ110" s="299">
        <f t="shared" si="745"/>
        <v>0</v>
      </c>
      <c r="DR110" s="279">
        <f t="shared" si="746"/>
        <v>0</v>
      </c>
      <c r="DS110" s="299">
        <f t="shared" si="747"/>
        <v>0</v>
      </c>
      <c r="DT110" s="279">
        <f t="shared" si="472"/>
        <v>0</v>
      </c>
      <c r="DU110" s="299">
        <f t="shared" si="748"/>
        <v>0</v>
      </c>
      <c r="DV110" s="252">
        <f t="shared" si="749"/>
        <v>0</v>
      </c>
      <c r="DW110" s="251">
        <f t="shared" si="888"/>
        <v>0</v>
      </c>
      <c r="DY110" s="256">
        <v>0</v>
      </c>
      <c r="DZ110" s="2"/>
      <c r="EA110" s="254">
        <f t="shared" si="906"/>
        <v>0</v>
      </c>
      <c r="EB110" s="249">
        <f t="shared" si="871"/>
        <v>0</v>
      </c>
      <c r="EC110" s="250">
        <f t="shared" si="750"/>
        <v>0</v>
      </c>
      <c r="ED110" s="356">
        <f t="shared" si="871"/>
        <v>0</v>
      </c>
      <c r="EE110" s="250">
        <f t="shared" si="750"/>
        <v>0</v>
      </c>
      <c r="EF110" s="249">
        <f t="shared" si="967"/>
        <v>0</v>
      </c>
      <c r="EG110" s="250">
        <f t="shared" si="941"/>
        <v>0</v>
      </c>
      <c r="EH110" s="249">
        <f t="shared" si="967"/>
        <v>0</v>
      </c>
      <c r="EI110" s="250">
        <f t="shared" si="941"/>
        <v>0</v>
      </c>
      <c r="EJ110" s="249">
        <f t="shared" si="967"/>
        <v>0</v>
      </c>
      <c r="EK110" s="250">
        <f t="shared" si="752"/>
        <v>0</v>
      </c>
      <c r="EL110" s="249">
        <f t="shared" si="967"/>
        <v>0</v>
      </c>
      <c r="EM110" s="250">
        <f t="shared" si="753"/>
        <v>0</v>
      </c>
      <c r="EN110" s="249">
        <f t="shared" si="967"/>
        <v>0</v>
      </c>
      <c r="EO110" s="250">
        <f t="shared" si="754"/>
        <v>0</v>
      </c>
      <c r="EP110" s="249">
        <f t="shared" si="967"/>
        <v>0</v>
      </c>
      <c r="EQ110" s="250">
        <f t="shared" si="755"/>
        <v>0</v>
      </c>
      <c r="ER110" s="249">
        <f t="shared" si="956"/>
        <v>0</v>
      </c>
      <c r="ES110" s="250">
        <f t="shared" si="756"/>
        <v>0</v>
      </c>
      <c r="ET110" s="249">
        <f t="shared" si="921"/>
        <v>0</v>
      </c>
      <c r="EU110" s="250">
        <f t="shared" si="757"/>
        <v>0</v>
      </c>
      <c r="EV110" s="249">
        <f t="shared" si="758"/>
        <v>0</v>
      </c>
      <c r="EW110" s="250">
        <f t="shared" si="759"/>
        <v>0</v>
      </c>
      <c r="EX110" s="249">
        <f t="shared" si="922"/>
        <v>0</v>
      </c>
      <c r="EY110" s="250">
        <f t="shared" si="760"/>
        <v>0</v>
      </c>
      <c r="EZ110" s="252">
        <f t="shared" si="761"/>
        <v>0</v>
      </c>
      <c r="FA110" s="251">
        <f t="shared" si="907"/>
        <v>0</v>
      </c>
      <c r="FC110" s="1"/>
      <c r="FD110" s="2"/>
      <c r="FE110" s="257">
        <f t="shared" si="908"/>
        <v>0</v>
      </c>
      <c r="FF110" s="249">
        <f t="shared" si="762"/>
        <v>0</v>
      </c>
      <c r="FG110" s="250">
        <f t="shared" si="763"/>
        <v>0</v>
      </c>
      <c r="FH110" s="372">
        <f t="shared" si="968"/>
        <v>0</v>
      </c>
      <c r="FI110" s="339">
        <f t="shared" si="764"/>
        <v>0</v>
      </c>
      <c r="FJ110" s="372">
        <f t="shared" si="968"/>
        <v>0</v>
      </c>
      <c r="FK110" s="339">
        <f t="shared" si="764"/>
        <v>0</v>
      </c>
      <c r="FL110" s="372">
        <f t="shared" si="968"/>
        <v>0</v>
      </c>
      <c r="FM110" s="339">
        <f t="shared" si="765"/>
        <v>0</v>
      </c>
      <c r="FN110" s="372">
        <f t="shared" si="968"/>
        <v>0</v>
      </c>
      <c r="FO110" s="339">
        <f t="shared" si="766"/>
        <v>0</v>
      </c>
      <c r="FP110" s="372">
        <f t="shared" si="968"/>
        <v>0</v>
      </c>
      <c r="FQ110" s="339">
        <f t="shared" si="767"/>
        <v>0</v>
      </c>
      <c r="FR110" s="372">
        <f t="shared" si="968"/>
        <v>0</v>
      </c>
      <c r="FS110" s="339">
        <f t="shared" si="768"/>
        <v>0</v>
      </c>
      <c r="FT110" s="372">
        <f t="shared" si="958"/>
        <v>0</v>
      </c>
      <c r="FU110" s="339">
        <f t="shared" si="769"/>
        <v>0</v>
      </c>
      <c r="FV110" s="372">
        <f t="shared" si="770"/>
        <v>0</v>
      </c>
      <c r="FW110" s="339">
        <f t="shared" si="771"/>
        <v>0</v>
      </c>
      <c r="FX110" s="372">
        <f t="shared" si="479"/>
        <v>0</v>
      </c>
      <c r="FY110" s="339">
        <f t="shared" si="772"/>
        <v>0</v>
      </c>
      <c r="FZ110" s="372">
        <f t="shared" si="773"/>
        <v>0</v>
      </c>
      <c r="GA110" s="339">
        <f t="shared" si="774"/>
        <v>0</v>
      </c>
      <c r="GB110" s="372">
        <f t="shared" si="480"/>
        <v>0</v>
      </c>
      <c r="GC110" s="339">
        <f t="shared" si="775"/>
        <v>0</v>
      </c>
      <c r="GD110" s="252">
        <f t="shared" si="776"/>
        <v>0</v>
      </c>
      <c r="GE110" s="251">
        <f t="shared" si="927"/>
        <v>0</v>
      </c>
      <c r="GG110" s="1"/>
      <c r="GH110" s="2">
        <v>0.2</v>
      </c>
      <c r="GI110" s="257">
        <f t="shared" si="909"/>
        <v>0</v>
      </c>
      <c r="GJ110" s="249">
        <f t="shared" si="959"/>
        <v>0</v>
      </c>
      <c r="GK110" s="250">
        <f t="shared" si="778"/>
        <v>0</v>
      </c>
      <c r="GL110" s="249">
        <f t="shared" si="959"/>
        <v>0</v>
      </c>
      <c r="GM110" s="250">
        <f t="shared" si="778"/>
        <v>0</v>
      </c>
      <c r="GN110" s="249">
        <f t="shared" si="959"/>
        <v>0</v>
      </c>
      <c r="GO110" s="250">
        <f t="shared" si="894"/>
        <v>0</v>
      </c>
      <c r="GP110" s="249">
        <f t="shared" si="959"/>
        <v>0</v>
      </c>
      <c r="GQ110" s="250">
        <f t="shared" si="895"/>
        <v>0</v>
      </c>
      <c r="GR110" s="249">
        <f t="shared" si="959"/>
        <v>0</v>
      </c>
      <c r="GS110" s="250">
        <f t="shared" si="896"/>
        <v>0</v>
      </c>
      <c r="GT110" s="249">
        <f t="shared" si="959"/>
        <v>0</v>
      </c>
      <c r="GU110" s="250">
        <f t="shared" si="897"/>
        <v>0</v>
      </c>
      <c r="GV110" s="249">
        <f t="shared" si="945"/>
        <v>0</v>
      </c>
      <c r="GW110" s="250">
        <f t="shared" si="898"/>
        <v>0</v>
      </c>
      <c r="GX110" s="249">
        <f t="shared" si="784"/>
        <v>0</v>
      </c>
      <c r="GY110" s="250">
        <f t="shared" si="899"/>
        <v>0</v>
      </c>
      <c r="GZ110" s="249">
        <f t="shared" si="786"/>
        <v>0</v>
      </c>
      <c r="HA110" s="250">
        <f t="shared" si="900"/>
        <v>0</v>
      </c>
      <c r="HB110" s="249">
        <f t="shared" si="788"/>
        <v>0</v>
      </c>
      <c r="HC110" s="250">
        <f t="shared" si="901"/>
        <v>0</v>
      </c>
      <c r="HD110" s="249">
        <f t="shared" si="790"/>
        <v>0</v>
      </c>
      <c r="HE110" s="250">
        <f t="shared" si="902"/>
        <v>0</v>
      </c>
      <c r="HF110" s="249">
        <f t="shared" si="792"/>
        <v>0</v>
      </c>
      <c r="HG110" s="250">
        <f t="shared" si="903"/>
        <v>0</v>
      </c>
      <c r="HH110" s="252">
        <f t="shared" si="794"/>
        <v>0</v>
      </c>
      <c r="HI110" s="251">
        <f t="shared" si="910"/>
        <v>0</v>
      </c>
      <c r="HK110" s="1"/>
      <c r="HL110" s="2"/>
      <c r="HM110" s="257">
        <f t="shared" si="911"/>
        <v>0</v>
      </c>
      <c r="HN110" s="249">
        <f t="shared" si="795"/>
        <v>0</v>
      </c>
      <c r="HO110" s="250">
        <f t="shared" si="912"/>
        <v>0</v>
      </c>
      <c r="HP110" s="249">
        <f t="shared" si="960"/>
        <v>0</v>
      </c>
      <c r="HQ110" s="250">
        <f t="shared" si="797"/>
        <v>0</v>
      </c>
      <c r="HR110" s="249">
        <f t="shared" si="960"/>
        <v>0</v>
      </c>
      <c r="HS110" s="250">
        <f t="shared" si="797"/>
        <v>0</v>
      </c>
      <c r="HT110" s="249">
        <f t="shared" si="960"/>
        <v>0</v>
      </c>
      <c r="HU110" s="250">
        <f t="shared" si="798"/>
        <v>0</v>
      </c>
      <c r="HV110" s="249">
        <f t="shared" si="960"/>
        <v>0</v>
      </c>
      <c r="HW110" s="250">
        <f t="shared" si="799"/>
        <v>0</v>
      </c>
      <c r="HX110" s="249">
        <f t="shared" si="960"/>
        <v>0</v>
      </c>
      <c r="HY110" s="250">
        <f t="shared" si="800"/>
        <v>0</v>
      </c>
      <c r="HZ110" s="249">
        <f t="shared" si="960"/>
        <v>0</v>
      </c>
      <c r="IA110" s="250">
        <f t="shared" si="801"/>
        <v>0</v>
      </c>
      <c r="IB110" s="249">
        <f t="shared" si="947"/>
        <v>0</v>
      </c>
      <c r="IC110" s="250">
        <f t="shared" si="802"/>
        <v>0</v>
      </c>
      <c r="ID110" s="249">
        <f t="shared" si="803"/>
        <v>0</v>
      </c>
      <c r="IE110" s="250">
        <f t="shared" si="804"/>
        <v>0</v>
      </c>
      <c r="IF110" s="249">
        <f t="shared" si="805"/>
        <v>0</v>
      </c>
      <c r="IG110" s="250">
        <f t="shared" si="806"/>
        <v>0</v>
      </c>
      <c r="IH110" s="249">
        <f t="shared" si="807"/>
        <v>0</v>
      </c>
      <c r="II110" s="250">
        <f t="shared" si="808"/>
        <v>0</v>
      </c>
      <c r="IJ110" s="249">
        <f t="shared" si="809"/>
        <v>0</v>
      </c>
      <c r="IK110" s="250">
        <f t="shared" si="810"/>
        <v>0</v>
      </c>
      <c r="IL110" s="252">
        <f t="shared" si="811"/>
        <v>0</v>
      </c>
      <c r="IM110" s="251">
        <f t="shared" si="812"/>
        <v>0</v>
      </c>
      <c r="IO110" s="1"/>
      <c r="IP110" s="2">
        <v>8.3333333333333329E-2</v>
      </c>
      <c r="IQ110" s="257">
        <f t="shared" si="913"/>
        <v>0</v>
      </c>
      <c r="IR110" s="249">
        <f t="shared" si="813"/>
        <v>0</v>
      </c>
      <c r="IS110" s="250">
        <f t="shared" si="814"/>
        <v>0</v>
      </c>
      <c r="IT110" s="279">
        <f t="shared" si="969"/>
        <v>0</v>
      </c>
      <c r="IU110" s="289">
        <f t="shared" si="815"/>
        <v>0</v>
      </c>
      <c r="IV110" s="279">
        <f t="shared" si="969"/>
        <v>0</v>
      </c>
      <c r="IW110" s="289">
        <f t="shared" si="815"/>
        <v>0</v>
      </c>
      <c r="IX110" s="279">
        <f t="shared" si="969"/>
        <v>0</v>
      </c>
      <c r="IY110" s="289">
        <f t="shared" si="816"/>
        <v>0</v>
      </c>
      <c r="IZ110" s="279">
        <f t="shared" si="969"/>
        <v>0</v>
      </c>
      <c r="JA110" s="289">
        <f t="shared" si="817"/>
        <v>0</v>
      </c>
      <c r="JB110" s="279">
        <f t="shared" si="969"/>
        <v>0</v>
      </c>
      <c r="JC110" s="289">
        <f t="shared" si="818"/>
        <v>0</v>
      </c>
      <c r="JD110" s="279">
        <f t="shared" si="969"/>
        <v>0</v>
      </c>
      <c r="JE110" s="289">
        <f t="shared" si="819"/>
        <v>0</v>
      </c>
      <c r="JF110" s="279">
        <f t="shared" si="962"/>
        <v>0</v>
      </c>
      <c r="JG110" s="289">
        <f t="shared" si="820"/>
        <v>0</v>
      </c>
      <c r="JH110" s="279">
        <f t="shared" si="821"/>
        <v>0</v>
      </c>
      <c r="JI110" s="289">
        <f t="shared" si="822"/>
        <v>0</v>
      </c>
      <c r="JJ110" s="279">
        <f t="shared" si="923"/>
        <v>0</v>
      </c>
      <c r="JK110" s="289">
        <f t="shared" si="823"/>
        <v>0</v>
      </c>
      <c r="JL110" s="279">
        <f t="shared" si="824"/>
        <v>0</v>
      </c>
      <c r="JM110" s="289">
        <f t="shared" si="825"/>
        <v>0</v>
      </c>
      <c r="JN110" s="279">
        <f t="shared" si="924"/>
        <v>0</v>
      </c>
      <c r="JO110" s="289">
        <f t="shared" si="826"/>
        <v>0</v>
      </c>
      <c r="JP110" s="252">
        <f t="shared" si="827"/>
        <v>0</v>
      </c>
      <c r="JQ110" s="251">
        <f t="shared" si="828"/>
        <v>0</v>
      </c>
      <c r="JS110" s="1"/>
      <c r="JT110" s="2">
        <v>8.3333333333333329E-2</v>
      </c>
      <c r="JU110" s="257">
        <f t="shared" si="914"/>
        <v>0</v>
      </c>
      <c r="JV110" s="249">
        <f t="shared" si="829"/>
        <v>0</v>
      </c>
      <c r="JW110" s="250">
        <f t="shared" si="830"/>
        <v>0</v>
      </c>
      <c r="JX110" s="372">
        <f t="shared" si="970"/>
        <v>0</v>
      </c>
      <c r="JY110" s="339">
        <f t="shared" si="831"/>
        <v>0</v>
      </c>
      <c r="JZ110" s="372">
        <f t="shared" si="970"/>
        <v>0</v>
      </c>
      <c r="KA110" s="339">
        <f t="shared" si="831"/>
        <v>0</v>
      </c>
      <c r="KB110" s="372">
        <f t="shared" si="970"/>
        <v>0</v>
      </c>
      <c r="KC110" s="339">
        <f t="shared" si="832"/>
        <v>0</v>
      </c>
      <c r="KD110" s="372">
        <f t="shared" si="970"/>
        <v>0</v>
      </c>
      <c r="KE110" s="339">
        <f t="shared" si="833"/>
        <v>0</v>
      </c>
      <c r="KF110" s="372">
        <f t="shared" si="970"/>
        <v>0</v>
      </c>
      <c r="KG110" s="339">
        <f t="shared" si="834"/>
        <v>0</v>
      </c>
      <c r="KH110" s="372">
        <f t="shared" si="970"/>
        <v>0</v>
      </c>
      <c r="KI110" s="339">
        <f t="shared" si="835"/>
        <v>0</v>
      </c>
      <c r="KJ110" s="372">
        <f t="shared" si="964"/>
        <v>0</v>
      </c>
      <c r="KK110" s="339">
        <f t="shared" si="836"/>
        <v>0</v>
      </c>
      <c r="KL110" s="372">
        <f t="shared" si="837"/>
        <v>0</v>
      </c>
      <c r="KM110" s="339">
        <f t="shared" si="838"/>
        <v>0</v>
      </c>
      <c r="KN110" s="372">
        <f t="shared" si="918"/>
        <v>0</v>
      </c>
      <c r="KO110" s="339">
        <f t="shared" si="839"/>
        <v>0</v>
      </c>
      <c r="KP110" s="372">
        <f t="shared" si="840"/>
        <v>0</v>
      </c>
      <c r="KQ110" s="339">
        <f t="shared" si="841"/>
        <v>0</v>
      </c>
      <c r="KR110" s="372">
        <f t="shared" si="925"/>
        <v>0</v>
      </c>
      <c r="KS110" s="377">
        <f t="shared" si="842"/>
        <v>0</v>
      </c>
      <c r="KT110" s="379">
        <f t="shared" si="843"/>
        <v>0</v>
      </c>
      <c r="KU110" s="251">
        <f t="shared" si="915"/>
        <v>0</v>
      </c>
      <c r="KW110" s="1"/>
      <c r="KX110" s="2">
        <v>8.3333333333333329E-2</v>
      </c>
      <c r="KY110" s="254">
        <f t="shared" si="680"/>
        <v>0</v>
      </c>
      <c r="KZ110" s="249">
        <f t="shared" si="876"/>
        <v>0</v>
      </c>
      <c r="LA110" s="251">
        <f t="shared" si="681"/>
        <v>0</v>
      </c>
      <c r="LB110" s="279">
        <f t="shared" si="965"/>
        <v>0</v>
      </c>
      <c r="LC110" s="339">
        <f t="shared" si="845"/>
        <v>0</v>
      </c>
      <c r="LD110" s="279">
        <f t="shared" si="965"/>
        <v>0</v>
      </c>
      <c r="LE110" s="339">
        <f t="shared" si="845"/>
        <v>0</v>
      </c>
      <c r="LF110" s="279">
        <f t="shared" si="965"/>
        <v>0</v>
      </c>
      <c r="LG110" s="339">
        <f t="shared" si="846"/>
        <v>0</v>
      </c>
      <c r="LH110" s="279">
        <f t="shared" si="965"/>
        <v>0</v>
      </c>
      <c r="LI110" s="339">
        <f t="shared" si="847"/>
        <v>0</v>
      </c>
      <c r="LJ110" s="279">
        <f t="shared" si="965"/>
        <v>0</v>
      </c>
      <c r="LK110" s="339">
        <f t="shared" si="848"/>
        <v>0</v>
      </c>
      <c r="LL110" s="279">
        <f t="shared" si="965"/>
        <v>0</v>
      </c>
      <c r="LM110" s="339">
        <f t="shared" si="849"/>
        <v>0</v>
      </c>
      <c r="LN110" s="279">
        <f t="shared" si="949"/>
        <v>0</v>
      </c>
      <c r="LO110" s="339">
        <f t="shared" si="850"/>
        <v>0</v>
      </c>
      <c r="LP110" s="279">
        <f t="shared" si="877"/>
        <v>0</v>
      </c>
      <c r="LQ110" s="339">
        <f t="shared" si="851"/>
        <v>0</v>
      </c>
      <c r="LR110" s="279">
        <f t="shared" si="878"/>
        <v>0</v>
      </c>
      <c r="LS110" s="339">
        <f t="shared" si="852"/>
        <v>0</v>
      </c>
      <c r="LT110" s="279">
        <f t="shared" si="879"/>
        <v>0</v>
      </c>
      <c r="LU110" s="339">
        <f t="shared" si="853"/>
        <v>0</v>
      </c>
      <c r="LV110" s="279">
        <f t="shared" si="880"/>
        <v>0</v>
      </c>
      <c r="LW110" s="339">
        <f t="shared" si="854"/>
        <v>0</v>
      </c>
      <c r="LX110" s="252">
        <f t="shared" si="855"/>
        <v>0</v>
      </c>
      <c r="LY110" s="253">
        <f t="shared" si="856"/>
        <v>0</v>
      </c>
      <c r="MA110" s="249">
        <f t="shared" si="928"/>
        <v>0</v>
      </c>
      <c r="MB110" s="253">
        <f t="shared" si="857"/>
        <v>0</v>
      </c>
      <c r="MC110" s="397">
        <f t="shared" si="929"/>
        <v>0</v>
      </c>
      <c r="MD110" s="253">
        <f t="shared" si="858"/>
        <v>0</v>
      </c>
      <c r="ME110" s="397">
        <f t="shared" si="930"/>
        <v>0</v>
      </c>
      <c r="MF110" s="253">
        <f t="shared" si="858"/>
        <v>0</v>
      </c>
      <c r="MG110" s="397">
        <f t="shared" si="931"/>
        <v>0</v>
      </c>
      <c r="MH110" s="253">
        <f t="shared" si="859"/>
        <v>0</v>
      </c>
      <c r="MI110" s="397">
        <f t="shared" si="932"/>
        <v>0</v>
      </c>
      <c r="MJ110" s="253">
        <f t="shared" si="860"/>
        <v>0</v>
      </c>
      <c r="MK110" s="397">
        <f t="shared" si="933"/>
        <v>0</v>
      </c>
      <c r="ML110" s="253">
        <f t="shared" si="861"/>
        <v>0</v>
      </c>
      <c r="MM110" s="397">
        <f t="shared" si="934"/>
        <v>0</v>
      </c>
      <c r="MN110" s="253">
        <f t="shared" si="862"/>
        <v>0</v>
      </c>
      <c r="MO110" s="397">
        <f t="shared" si="935"/>
        <v>0</v>
      </c>
      <c r="MP110" s="253">
        <f t="shared" si="863"/>
        <v>0</v>
      </c>
      <c r="MQ110" s="397">
        <f t="shared" si="936"/>
        <v>0</v>
      </c>
      <c r="MR110" s="253">
        <f t="shared" si="864"/>
        <v>0</v>
      </c>
      <c r="MS110" s="397">
        <f t="shared" si="937"/>
        <v>0</v>
      </c>
      <c r="MT110" s="253">
        <f t="shared" si="865"/>
        <v>0</v>
      </c>
      <c r="MU110" s="397">
        <f t="shared" si="938"/>
        <v>0</v>
      </c>
      <c r="MV110" s="253">
        <f t="shared" si="866"/>
        <v>0</v>
      </c>
      <c r="MW110" s="397">
        <f t="shared" si="939"/>
        <v>0</v>
      </c>
      <c r="MX110" s="253">
        <f t="shared" si="867"/>
        <v>0</v>
      </c>
      <c r="MY110" s="252">
        <f t="shared" si="868"/>
        <v>0</v>
      </c>
      <c r="MZ110" s="251">
        <f t="shared" si="869"/>
        <v>0</v>
      </c>
    </row>
    <row r="111" spans="1:364" x14ac:dyDescent="0.25">
      <c r="B111" s="262" t="s">
        <v>230</v>
      </c>
      <c r="C111" s="263"/>
      <c r="J111" s="524">
        <f>SUM(K4:K110)</f>
        <v>159923573.44441247</v>
      </c>
      <c r="K111" s="526"/>
      <c r="L111" s="524">
        <f>SUM(M4:M110)</f>
        <v>170596105.60586715</v>
      </c>
      <c r="M111" s="526"/>
      <c r="N111" s="524">
        <f>SUM(O4:O110)</f>
        <v>172979656.40894821</v>
      </c>
      <c r="O111" s="526"/>
      <c r="P111" s="524">
        <f>SUM(Q4:Q110)</f>
        <v>163171750.44951731</v>
      </c>
      <c r="Q111" s="526"/>
      <c r="R111" s="524">
        <f>SUM(S4:S110)</f>
        <v>158920066.50919786</v>
      </c>
      <c r="S111" s="526"/>
      <c r="T111" s="524">
        <f>SUM(U4:U110)</f>
        <v>183507128.29021561</v>
      </c>
      <c r="U111" s="526"/>
      <c r="V111" s="524">
        <f>SUM(W4:W110)</f>
        <v>160235080.85228691</v>
      </c>
      <c r="W111" s="526"/>
      <c r="X111" s="524">
        <f>SUM(Y4:Y110)</f>
        <v>165801779.13569534</v>
      </c>
      <c r="Y111" s="526"/>
      <c r="Z111" s="524">
        <f>SUM(AA4:AA110)</f>
        <v>183148659.36845782</v>
      </c>
      <c r="AA111" s="526"/>
      <c r="AB111" s="524">
        <f>SUM(AC4:AC110)</f>
        <v>165511604.12611231</v>
      </c>
      <c r="AC111" s="526"/>
      <c r="AD111" s="524">
        <f>SUM(AE4:AE110)</f>
        <v>162058545.34335139</v>
      </c>
      <c r="AE111" s="526"/>
      <c r="AF111" s="524">
        <f>SUM(AG4:AG110)</f>
        <v>185366542.71687537</v>
      </c>
      <c r="AG111" s="526"/>
      <c r="AH111" s="524">
        <f>SUM(AI4:AI110)</f>
        <v>163075445.63930234</v>
      </c>
      <c r="AI111" s="526"/>
      <c r="AJ111" s="524">
        <f>SUM(AK4:AK110)</f>
        <v>2034372364.445827</v>
      </c>
      <c r="AK111" s="525"/>
      <c r="AN111" s="524">
        <f>SUM(AO4:AO110)</f>
        <v>59218473.277043939</v>
      </c>
      <c r="AO111" s="526"/>
      <c r="AP111" s="524">
        <f>SUM(AQ4:AQ110)</f>
        <v>58594658.030562028</v>
      </c>
      <c r="AQ111" s="526"/>
      <c r="AR111" s="524">
        <f>SUM(AS4:AS110)</f>
        <v>58328892.669601999</v>
      </c>
      <c r="AS111" s="526"/>
      <c r="AT111" s="524">
        <f>SUM(AU4:AU110)</f>
        <v>57812902.442545108</v>
      </c>
      <c r="AU111" s="526"/>
      <c r="AV111" s="524">
        <f>SUM(AW4:AW110)</f>
        <v>56091949.032893032</v>
      </c>
      <c r="AW111" s="526"/>
      <c r="AX111" s="524">
        <f>SUM(AY4:AY110)</f>
        <v>57630153.493913487</v>
      </c>
      <c r="AY111" s="526"/>
      <c r="AZ111" s="524">
        <f>SUM(BA4:BA110)</f>
        <v>56898513.228006557</v>
      </c>
      <c r="BA111" s="526"/>
      <c r="BB111" s="524">
        <f>SUM(BC4:BC110)</f>
        <v>56199774.052318051</v>
      </c>
      <c r="BC111" s="526"/>
      <c r="BD111" s="524">
        <f>SUM(BE4:BE110)</f>
        <v>56715764.279374942</v>
      </c>
      <c r="BE111" s="526"/>
      <c r="BF111" s="524">
        <f>SUM(BG4:BG110)</f>
        <v>56199774.052318051</v>
      </c>
      <c r="BG111" s="526"/>
      <c r="BH111" s="524">
        <f>SUM(BI4:BI110)</f>
        <v>57705077.423120089</v>
      </c>
      <c r="BI111" s="526"/>
      <c r="BJ111" s="524">
        <f>SUM(BK4:BK110)</f>
        <v>56823589.298799962</v>
      </c>
      <c r="BK111" s="526"/>
      <c r="BL111" s="524">
        <f>SUM(BM4:BM110)</f>
        <v>56091949.032893032</v>
      </c>
      <c r="BM111" s="526"/>
      <c r="BN111" s="524">
        <f>SUM(BO4:BO110)</f>
        <v>685092997.03634644</v>
      </c>
      <c r="BO111" s="525"/>
      <c r="BR111" s="524">
        <f>SUM(BS4:BS110)</f>
        <v>150835308.17922813</v>
      </c>
      <c r="BS111" s="526"/>
      <c r="BT111" s="524">
        <f>SUM(BU4:BU110)</f>
        <v>156172133.18829313</v>
      </c>
      <c r="BU111" s="526"/>
      <c r="BV111" s="524">
        <f>SUM(BW4:BW110)</f>
        <v>141329104.66663066</v>
      </c>
      <c r="BW111" s="526"/>
      <c r="BX111" s="524">
        <f>SUM(BY4:BY110)</f>
        <v>135759444.89558691</v>
      </c>
      <c r="BY111" s="526"/>
      <c r="BZ111" s="524">
        <f>SUM(CA4:CA110)</f>
        <v>154113139.19502711</v>
      </c>
      <c r="CA111" s="526"/>
      <c r="CB111" s="524">
        <f>SUM(CC4:CC110)</f>
        <v>144150773.8818599</v>
      </c>
      <c r="CC111" s="526"/>
      <c r="CD111" s="524">
        <f>SUM(CE4:CE110)</f>
        <v>137005376.86416155</v>
      </c>
      <c r="CE111" s="526"/>
      <c r="CF111" s="524">
        <f>SUM(CG4:CG110)</f>
        <v>162019309.89001116</v>
      </c>
      <c r="CG111" s="526"/>
      <c r="CH111" s="524">
        <f>SUM(CI4:CI110)</f>
        <v>139041079.000741</v>
      </c>
      <c r="CI111" s="526"/>
      <c r="CJ111" s="524">
        <f>SUM(CK4:CK110)</f>
        <v>137284795.33951333</v>
      </c>
      <c r="CK111" s="526"/>
      <c r="CL111" s="524">
        <f>SUM(CM4:CM110)</f>
        <v>155130039.49097809</v>
      </c>
      <c r="CM111" s="526"/>
      <c r="CN111" s="524">
        <f>SUM(CO4:CO110)</f>
        <v>144150773.8818599</v>
      </c>
      <c r="CO111" s="526"/>
      <c r="CP111" s="524">
        <f>SUM(CQ4:CQ110)</f>
        <v>135225801.34624735</v>
      </c>
      <c r="CQ111" s="526"/>
      <c r="CR111" s="524">
        <f>SUM(CS4:CS110)</f>
        <v>1741381771.6409099</v>
      </c>
      <c r="CS111" s="526"/>
      <c r="CV111" s="524">
        <f>SUM(CW4:CW110)</f>
        <v>138855095.35467508</v>
      </c>
      <c r="CW111" s="526"/>
      <c r="CX111" s="524">
        <f>SUM(CY4:CY110)</f>
        <v>146895748.82667276</v>
      </c>
      <c r="CY111" s="526"/>
      <c r="CZ111" s="524">
        <f>SUM(DA4:DA110)</f>
        <v>143200589.68814149</v>
      </c>
      <c r="DA111" s="526"/>
      <c r="DB111" s="524">
        <f>SUM(DC4:DC110)</f>
        <v>134875844.86452064</v>
      </c>
      <c r="DC111" s="526"/>
      <c r="DD111" s="524">
        <f>SUM(DE4:DE110)</f>
        <v>145020638.68905732</v>
      </c>
      <c r="DE111" s="526"/>
      <c r="DF111" s="524">
        <f>SUM(DG4:DG110)</f>
        <v>145838375.04772016</v>
      </c>
      <c r="DG111" s="526"/>
      <c r="DH111" s="524">
        <f>SUM(DI4:DI110)</f>
        <v>136305660.68874583</v>
      </c>
      <c r="DI111" s="526"/>
      <c r="DJ111" s="524">
        <f>SUM(DK4:DK110)</f>
        <v>152742925.52839079</v>
      </c>
      <c r="DK111" s="526"/>
      <c r="DL111" s="524">
        <f>SUM(DM4:DM110)</f>
        <v>140912564.02225181</v>
      </c>
      <c r="DM111" s="526"/>
      <c r="DN111" s="524">
        <f>SUM(DO4:DO110)</f>
        <v>136401195.30844709</v>
      </c>
      <c r="DO111" s="526"/>
      <c r="DP111" s="524">
        <f>SUM(DQ4:DQ110)</f>
        <v>146037538.98500827</v>
      </c>
      <c r="DQ111" s="526"/>
      <c r="DR111" s="524">
        <f>SUM(DS4:DS110)</f>
        <v>145838375.04772016</v>
      </c>
      <c r="DS111" s="526"/>
      <c r="DT111" s="524">
        <f>SUM(DU4:DU110)</f>
        <v>8871733427.9815006</v>
      </c>
      <c r="DU111" s="526"/>
      <c r="DV111" s="524">
        <f>SUM(DW4:DW110)</f>
        <v>1708595541.8675079</v>
      </c>
      <c r="DW111" s="526"/>
      <c r="DY111" s="256">
        <v>0</v>
      </c>
      <c r="DZ111" s="522">
        <f>SUM(EA4:EA110)</f>
        <v>277335693.6011948</v>
      </c>
      <c r="EA111" s="523"/>
      <c r="EB111" s="522">
        <f>SUM(EC4:EC110)</f>
        <v>60386104.180146746</v>
      </c>
      <c r="EC111" s="523"/>
      <c r="ED111" s="522">
        <f>SUM(EE4:EE110)</f>
        <v>63616329.889203124</v>
      </c>
      <c r="EE111" s="523"/>
      <c r="EF111" s="522">
        <f>SUM(EG4:EG110)</f>
        <v>60386104.180146746</v>
      </c>
      <c r="EG111" s="523"/>
      <c r="EH111" s="522">
        <f>SUM(EI4:EI110)</f>
        <v>311751608.4878391</v>
      </c>
      <c r="EI111" s="523"/>
      <c r="EJ111" s="522">
        <f>SUM(EK4:EK110)</f>
        <v>320459478.56329453</v>
      </c>
      <c r="EK111" s="523"/>
      <c r="EL111" s="522">
        <f>SUM(EM4:EM110)</f>
        <v>301553380.04961067</v>
      </c>
      <c r="EM111" s="523"/>
      <c r="EN111" s="522">
        <f>SUM(EO4:EO110)</f>
        <v>307778188.06169736</v>
      </c>
      <c r="EO111" s="523"/>
      <c r="EP111" s="522">
        <f>SUM(EQ4:EQ110)</f>
        <v>324432898.98943627</v>
      </c>
      <c r="EQ111" s="523"/>
      <c r="ER111" s="522">
        <f>SUM(ES4:ES110)</f>
        <v>307778188.06169736</v>
      </c>
      <c r="ES111" s="523"/>
      <c r="ET111" s="522">
        <f>SUM(EU4:EU110)</f>
        <v>301553380.04961067</v>
      </c>
      <c r="EU111" s="523"/>
      <c r="EV111" s="522">
        <f>SUM(EW4:EW110)</f>
        <v>318846350.17306745</v>
      </c>
      <c r="EW111" s="523"/>
      <c r="EX111" s="522">
        <f>SUM(EY4:EY110)</f>
        <v>311751608.4878391</v>
      </c>
      <c r="EY111" s="523"/>
      <c r="EZ111" s="522">
        <f>SUM(FA4:FA110)</f>
        <v>2990293619.1735873</v>
      </c>
      <c r="FA111" s="523"/>
      <c r="FD111" s="524">
        <f>SUM(FE4:FE110)</f>
        <v>212329455.35954177</v>
      </c>
      <c r="FE111" s="526"/>
      <c r="FF111" s="524">
        <f>SUM(FG4:FG110)</f>
        <v>208819270.33648926</v>
      </c>
      <c r="FG111" s="526"/>
      <c r="FH111" s="524">
        <f>SUM(FI4:FI110)</f>
        <v>197203791.4832983</v>
      </c>
      <c r="FI111" s="526"/>
      <c r="FJ111" s="524">
        <f>SUM(FK4:FK110)</f>
        <v>201700968.26483253</v>
      </c>
      <c r="FK111" s="526"/>
      <c r="FL111" s="524">
        <f>SUM(FM4:FM110)</f>
        <v>198117167.34283203</v>
      </c>
      <c r="FM111" s="526"/>
      <c r="FN111" s="524">
        <f>SUM(FO4:FO110)</f>
        <v>217845730.16134062</v>
      </c>
      <c r="FO111" s="526"/>
      <c r="FP111" s="524">
        <f>SUM(FQ4:FQ110)</f>
        <v>195549586.64898723</v>
      </c>
      <c r="FQ111" s="526"/>
      <c r="FR111" s="524">
        <f>SUM(FS4:FS110)</f>
        <v>201700968.26483253</v>
      </c>
      <c r="FS111" s="526"/>
      <c r="FT111" s="524">
        <f>SUM(FU4:FU110)</f>
        <v>203584748.28695914</v>
      </c>
      <c r="FU111" s="526"/>
      <c r="FV111" s="524">
        <f>SUM(FW4:FW110)</f>
        <v>200175617.8209061</v>
      </c>
      <c r="FW111" s="526"/>
      <c r="FX111" s="524">
        <f>SUM(FY4:FY110)</f>
        <v>195549586.64898723</v>
      </c>
      <c r="FY111" s="526"/>
      <c r="FZ111" s="524">
        <f>SUM(GA4:GA110)</f>
        <v>217845730.16134062</v>
      </c>
      <c r="GA111" s="526"/>
      <c r="GB111" s="524">
        <f>SUM(GC4:GC110)</f>
        <v>209048845.52430484</v>
      </c>
      <c r="GC111" s="526"/>
      <c r="GD111" s="524">
        <f>SUM(GE4:GE110)</f>
        <v>2447142010.9451108</v>
      </c>
      <c r="GE111" s="526"/>
      <c r="GH111" s="524">
        <f>SUM(GI4:GI110)</f>
        <v>151040930.7307179</v>
      </c>
      <c r="GI111" s="526"/>
      <c r="GJ111" s="524">
        <f>SUM(GK4:GK110)</f>
        <v>146292851.98393244</v>
      </c>
      <c r="GK111" s="526"/>
      <c r="GL111" s="524">
        <f>SUM(GM4:GM110)</f>
        <v>146176597.72523639</v>
      </c>
      <c r="GM111" s="526"/>
      <c r="GN111" s="524">
        <f>SUM(GO4:GO110)</f>
        <v>145897984.23713142</v>
      </c>
      <c r="GO111" s="526"/>
      <c r="GP111" s="524">
        <f>SUM(GQ4:GQ110)</f>
        <v>139865575.9952521</v>
      </c>
      <c r="GQ111" s="526"/>
      <c r="GR111" s="524">
        <f>SUM(GS4:GS110)</f>
        <v>140325080.30060306</v>
      </c>
      <c r="GS111" s="526"/>
      <c r="GT111" s="524">
        <f>SUM(GU4:GU110)</f>
        <v>143309414.31223458</v>
      </c>
      <c r="GU111" s="526"/>
      <c r="GV111" s="524">
        <f>SUM(GW4:GW110)</f>
        <v>147080857.15986302</v>
      </c>
      <c r="GW111" s="526"/>
      <c r="GX111" s="524">
        <f>SUM(GY4:GY110)</f>
        <v>130389313.18402912</v>
      </c>
      <c r="GY111" s="526"/>
      <c r="GZ111" s="524">
        <f>SUM(HA4:HA110)</f>
        <v>134661421.0737361</v>
      </c>
      <c r="HA111" s="526"/>
      <c r="HB111" s="524">
        <f>SUM(HC4:HC110)</f>
        <v>147034537.97484356</v>
      </c>
      <c r="HC111" s="526"/>
      <c r="HD111" s="524">
        <f>SUM(HE4:HE110)</f>
        <v>145460241.68829262</v>
      </c>
      <c r="HE111" s="526"/>
      <c r="HF111" s="524">
        <f>SUM(HG4:HG110)</f>
        <v>137411577.70258179</v>
      </c>
      <c r="HG111" s="526"/>
      <c r="HH111" s="524">
        <f>SUM(HI4:HI110)</f>
        <v>1714582906.4452209</v>
      </c>
      <c r="HI111" s="526"/>
      <c r="HL111" s="524">
        <f>SUM(HM4:HM110)</f>
        <v>88596338.863817558</v>
      </c>
      <c r="HM111" s="526"/>
      <c r="HN111" s="524">
        <f>SUM(HO4:HO110)</f>
        <v>0</v>
      </c>
      <c r="HO111" s="526"/>
      <c r="HP111" s="524">
        <f>SUM(HQ4:HQ110)</f>
        <v>0</v>
      </c>
      <c r="HQ111" s="526"/>
      <c r="HR111" s="524">
        <f>SUM(HS4:HS110)</f>
        <v>74948241.532121733</v>
      </c>
      <c r="HS111" s="526"/>
      <c r="HT111" s="524">
        <f>SUM(HU4:HU110)</f>
        <v>73103199.124137625</v>
      </c>
      <c r="HU111" s="526"/>
      <c r="HV111" s="524">
        <f>SUM(HW4:HW110)</f>
        <v>81960612.310815349</v>
      </c>
      <c r="HW111" s="526"/>
      <c r="HX111" s="524">
        <f>SUM(HY4:HY110)</f>
        <v>93139733.84890984</v>
      </c>
      <c r="HY111" s="526"/>
      <c r="HZ111" s="524">
        <f>SUM(IA4:IA110)</f>
        <v>77867681.17304413</v>
      </c>
      <c r="IA111" s="526"/>
      <c r="IB111" s="524">
        <f>SUM(IC4:IC110)</f>
        <v>81289061.399680063</v>
      </c>
      <c r="IC111" s="526"/>
      <c r="ID111" s="524">
        <f>SUM(IE4:IE110)</f>
        <v>83134103.807664171</v>
      </c>
      <c r="IE111" s="526"/>
      <c r="IF111" s="524">
        <f>SUM(IG4:IG110)</f>
        <v>73103199.124137625</v>
      </c>
      <c r="IG111" s="526"/>
      <c r="IH111" s="524">
        <f>SUM(II4:II110)</f>
        <v>81960612.310815349</v>
      </c>
      <c r="II111" s="526"/>
      <c r="IJ111" s="524">
        <f>SUM(IK4:IK110)</f>
        <v>97232664.986681044</v>
      </c>
      <c r="IK111" s="526"/>
      <c r="IL111" s="524">
        <f>SUM(IM4:IM110)</f>
        <v>817739109.61800694</v>
      </c>
      <c r="IM111" s="526"/>
      <c r="IP111" s="524">
        <f>SUM(IQ4:IQ110)</f>
        <v>45324764.105556987</v>
      </c>
      <c r="IQ111" s="526"/>
      <c r="IR111" s="524">
        <f>SUM(IS4:IS110)</f>
        <v>65111276.427868411</v>
      </c>
      <c r="IS111" s="526"/>
      <c r="IT111" s="524">
        <f>SUM(IU4:IU110)</f>
        <v>69807723.512043491</v>
      </c>
      <c r="IU111" s="526"/>
      <c r="IV111" s="524">
        <f>SUM(IW4:IW110)</f>
        <v>65111276.427868411</v>
      </c>
      <c r="IW111" s="526"/>
      <c r="IX111" s="524">
        <f>SUM(IY4:IY110)</f>
        <v>56576482.91876024</v>
      </c>
      <c r="IY111" s="526"/>
      <c r="IZ111" s="524">
        <f>SUM(JA4:JA110)</f>
        <v>78342517.021151662</v>
      </c>
      <c r="JA111" s="526"/>
      <c r="JB111" s="524">
        <f>SUM(JC4:JC110)</f>
        <v>56576482.91876024</v>
      </c>
      <c r="JC111" s="526"/>
      <c r="JD111" s="524">
        <f>SUM(JE4:JE110)</f>
        <v>65111276.427868411</v>
      </c>
      <c r="JE111" s="526"/>
      <c r="JF111" s="524">
        <f>SUM(JG4:JG110)</f>
        <v>69807723.512043491</v>
      </c>
      <c r="JG111" s="526"/>
      <c r="JH111" s="524">
        <f>SUM(JI4:JI110)</f>
        <v>65111276.427868411</v>
      </c>
      <c r="JI111" s="526"/>
      <c r="JJ111" s="524">
        <f>SUM(JK4:JK110)</f>
        <v>56576482.91876024</v>
      </c>
      <c r="JK111" s="526"/>
      <c r="JL111" s="524">
        <f>SUM(JM4:JM110)</f>
        <v>78342517.021151662</v>
      </c>
      <c r="JM111" s="526"/>
      <c r="JN111" s="524">
        <f>SUM(JO4:JO110)</f>
        <v>56576482.91876024</v>
      </c>
      <c r="JO111" s="526"/>
      <c r="JP111" s="524">
        <f>SUM(JQ4:JQ110)</f>
        <v>783051518.45290494</v>
      </c>
      <c r="JQ111" s="526"/>
      <c r="JT111" s="524">
        <f>SUM(JU4:JU110)</f>
        <v>38480769.591527797</v>
      </c>
      <c r="JU111" s="526"/>
      <c r="JV111" s="524">
        <f>SUM(JW4:JW110)</f>
        <v>35253565.383061372</v>
      </c>
      <c r="JW111" s="526"/>
      <c r="JX111" s="524">
        <f>SUM(JY4:JY110)</f>
        <v>0</v>
      </c>
      <c r="JY111" s="526"/>
      <c r="JZ111" s="524">
        <f>SUM(KA4:KA110)</f>
        <v>0</v>
      </c>
      <c r="KA111" s="526"/>
      <c r="KB111" s="524">
        <f>SUM(KC4:KC110)</f>
        <v>0</v>
      </c>
      <c r="KC111" s="526"/>
      <c r="KD111" s="524">
        <f>SUM(KE4:KE110)</f>
        <v>0</v>
      </c>
      <c r="KE111" s="526"/>
      <c r="KF111" s="524">
        <f>SUM(KG4:KG110)</f>
        <v>0</v>
      </c>
      <c r="KG111" s="526"/>
      <c r="KH111" s="524">
        <f>SUM(KI4:KI110)</f>
        <v>0</v>
      </c>
      <c r="KI111" s="526"/>
      <c r="KJ111" s="524">
        <f>SUM(KK4:KK110)</f>
        <v>0</v>
      </c>
      <c r="KK111" s="526"/>
      <c r="KL111" s="524">
        <f>SUM(KM4:KM110)</f>
        <v>0</v>
      </c>
      <c r="KM111" s="526"/>
      <c r="KN111" s="524">
        <f>SUM(KO4:KO110)</f>
        <v>0</v>
      </c>
      <c r="KO111" s="526"/>
      <c r="KP111" s="524">
        <f>SUM(KQ4:KQ110)</f>
        <v>0</v>
      </c>
      <c r="KQ111" s="526"/>
      <c r="KR111" s="524">
        <f>SUM(KS4:KS110)</f>
        <v>0</v>
      </c>
      <c r="KS111" s="526"/>
      <c r="KT111" s="524">
        <f>SUM(KU4:KU110)</f>
        <v>35253565.383061372</v>
      </c>
      <c r="KU111" s="526"/>
      <c r="KW111" s="39"/>
      <c r="KX111" s="524">
        <f>SUM(KY4:KY110)</f>
        <v>81110021.721833721</v>
      </c>
      <c r="KY111" s="526"/>
      <c r="KZ111" s="524">
        <f>SUM(LA4:LA110)</f>
        <v>22880941.852369849</v>
      </c>
      <c r="LA111" s="526"/>
      <c r="LB111" s="524">
        <f>SUM(LC4:LC110)</f>
        <v>22880941.852369849</v>
      </c>
      <c r="LC111" s="526"/>
      <c r="LD111" s="524">
        <f>SUM(LE4:LE110)</f>
        <v>66086166.868686855</v>
      </c>
      <c r="LE111" s="526"/>
      <c r="LF111" s="524">
        <f>SUM(LG4:LG110)</f>
        <v>22880941.852369849</v>
      </c>
      <c r="LG111" s="526"/>
      <c r="LH111" s="524">
        <f>SUM(LI4:LI110)</f>
        <v>22880941.852369849</v>
      </c>
      <c r="LI111" s="526"/>
      <c r="LJ111" s="524">
        <f>SUM(LK4:LK110)</f>
        <v>66086166.868686855</v>
      </c>
      <c r="LK111" s="526"/>
      <c r="LL111" s="524">
        <f>SUM(LM4:LM110)</f>
        <v>22880941.852369849</v>
      </c>
      <c r="LM111" s="526"/>
      <c r="LN111" s="524">
        <f>SUM(LO4:LO110)</f>
        <v>22880941.852369849</v>
      </c>
      <c r="LO111" s="526"/>
      <c r="LP111" s="524">
        <f>SUM(LQ4:LQ110)</f>
        <v>66086166.868686855</v>
      </c>
      <c r="LQ111" s="526"/>
      <c r="LR111" s="524">
        <f>SUM(LS4:LS110)</f>
        <v>22880941.852369849</v>
      </c>
      <c r="LS111" s="526"/>
      <c r="LT111" s="524">
        <f>SUM(LU4:LU110)</f>
        <v>22880941.852369849</v>
      </c>
      <c r="LU111" s="526"/>
      <c r="LV111" s="524">
        <f>SUM(LW4:LW110)</f>
        <v>66086166.868686855</v>
      </c>
      <c r="LW111" s="526"/>
      <c r="LX111" s="524">
        <f>SUM(LY4:LY110)</f>
        <v>447392202.29370624</v>
      </c>
      <c r="LY111" s="525"/>
      <c r="MA111" s="522">
        <f>SUM(MB4:MB110)</f>
        <v>1071002655.8152634</v>
      </c>
      <c r="MB111" s="523"/>
      <c r="MC111" s="522">
        <f>SUM(MD4:MD110)</f>
        <v>1015523627.8954735</v>
      </c>
      <c r="MD111" s="523"/>
      <c r="ME111" s="522">
        <f>SUM(MF4:MF110)</f>
        <v>1105750684.1629577</v>
      </c>
      <c r="MF111" s="523"/>
      <c r="MG111" s="522">
        <f>SUM(MH4:MH110)</f>
        <v>1316440769.1473665</v>
      </c>
      <c r="MH111" s="523"/>
      <c r="MI111" s="522">
        <f>SUM(MJ4:MJ110)</f>
        <v>1392940790.9232838</v>
      </c>
      <c r="MJ111" s="523"/>
      <c r="MK111" s="522">
        <f>SUM(ML4:ML110)</f>
        <v>1346659396.2803903</v>
      </c>
      <c r="ML111" s="523"/>
      <c r="MM111" s="522">
        <f>SUM(MN4:MN110)</f>
        <v>1359183701.5460906</v>
      </c>
      <c r="MN111" s="523"/>
      <c r="MO111" s="522">
        <f>SUM(MP4:MP110)</f>
        <v>1362880207.0028288</v>
      </c>
      <c r="MP111" s="523"/>
      <c r="MQ111" s="522">
        <f>SUM(MR4:MR110)</f>
        <v>1352344142.8869493</v>
      </c>
      <c r="MR111" s="523"/>
      <c r="MS111" s="522">
        <f>SUM(MT4:MT110)</f>
        <v>1317629329.811167</v>
      </c>
      <c r="MT111" s="523"/>
      <c r="MU111" s="522">
        <f>SUM(MV4:MV110)</f>
        <v>1397515674.1522925</v>
      </c>
      <c r="MV111" s="523"/>
      <c r="MW111" s="522">
        <f>SUM(MX4:MX110)</f>
        <v>1367026627.6781285</v>
      </c>
      <c r="MX111" s="523"/>
      <c r="MY111" s="522">
        <f>SUM(MZ4:MZ110)</f>
        <v>15404897607.302187</v>
      </c>
      <c r="MZ111" s="523"/>
    </row>
    <row r="112" spans="1:364" s="264" customFormat="1" x14ac:dyDescent="0.25">
      <c r="B112" s="265" t="s">
        <v>231</v>
      </c>
      <c r="C112" s="21"/>
      <c r="I112" s="266"/>
      <c r="J112" s="514">
        <f>+J111*20%</f>
        <v>31984714.688882496</v>
      </c>
      <c r="K112" s="520"/>
      <c r="L112" s="514">
        <f>+L111*20%</f>
        <v>34119221.121173434</v>
      </c>
      <c r="M112" s="520"/>
      <c r="N112" s="514">
        <f>+N111*20%</f>
        <v>34595931.281789646</v>
      </c>
      <c r="O112" s="520"/>
      <c r="P112" s="514">
        <f>+P111*20%</f>
        <v>32634350.089903463</v>
      </c>
      <c r="Q112" s="520"/>
      <c r="R112" s="514">
        <f>+R111*20%</f>
        <v>31784013.301839575</v>
      </c>
      <c r="S112" s="520"/>
      <c r="T112" s="514">
        <f>+T111*20%</f>
        <v>36701425.658043124</v>
      </c>
      <c r="U112" s="520"/>
      <c r="V112" s="514">
        <f>+V111*20%</f>
        <v>32047016.170457382</v>
      </c>
      <c r="W112" s="520"/>
      <c r="X112" s="514">
        <f>+X111*20%</f>
        <v>33160355.827139068</v>
      </c>
      <c r="Y112" s="520"/>
      <c r="Z112" s="514">
        <f>+Z111*20%</f>
        <v>36629731.873691566</v>
      </c>
      <c r="AA112" s="520"/>
      <c r="AB112" s="514">
        <f>+AB111*20%</f>
        <v>33102320.825222462</v>
      </c>
      <c r="AC112" s="520"/>
      <c r="AD112" s="514">
        <f>+AD111*20%</f>
        <v>32411709.06867028</v>
      </c>
      <c r="AE112" s="520"/>
      <c r="AF112" s="514">
        <f>+AF111*20%</f>
        <v>37073308.543375075</v>
      </c>
      <c r="AG112" s="520"/>
      <c r="AH112" s="514">
        <f>+AH111*20%</f>
        <v>32615089.127860472</v>
      </c>
      <c r="AI112" s="520"/>
      <c r="AJ112" s="514">
        <f>+AJ111*20%</f>
        <v>406874472.8891654</v>
      </c>
      <c r="AK112" s="521"/>
      <c r="AM112" s="266"/>
      <c r="AN112" s="514">
        <f>+AN111*20%</f>
        <v>11843694.655408788</v>
      </c>
      <c r="AO112" s="520"/>
      <c r="AP112" s="514">
        <f>+AP111*20%</f>
        <v>11718931.606112406</v>
      </c>
      <c r="AQ112" s="520"/>
      <c r="AR112" s="514">
        <f>+AR111*20%</f>
        <v>11665778.5339204</v>
      </c>
      <c r="AS112" s="520"/>
      <c r="AT112" s="514">
        <f>+AT111*20%</f>
        <v>11562580.488509022</v>
      </c>
      <c r="AU112" s="520"/>
      <c r="AV112" s="514">
        <f>+AV111*20%</f>
        <v>11218389.806578606</v>
      </c>
      <c r="AW112" s="520"/>
      <c r="AX112" s="514">
        <f>+AX111*20%</f>
        <v>11526030.698782697</v>
      </c>
      <c r="AY112" s="520"/>
      <c r="AZ112" s="514">
        <f>+AZ111*20%</f>
        <v>11379702.645601312</v>
      </c>
      <c r="BA112" s="520"/>
      <c r="BB112" s="514">
        <f>+BB111*20%</f>
        <v>11239954.810463611</v>
      </c>
      <c r="BC112" s="520"/>
      <c r="BD112" s="514">
        <f>+BD111*20%</f>
        <v>11343152.855874989</v>
      </c>
      <c r="BE112" s="520"/>
      <c r="BF112" s="514">
        <f>+BF111*20%</f>
        <v>11239954.810463611</v>
      </c>
      <c r="BG112" s="520"/>
      <c r="BH112" s="514">
        <f>+BH111*20%</f>
        <v>11541015.484624019</v>
      </c>
      <c r="BI112" s="520"/>
      <c r="BJ112" s="514">
        <f>+BJ111*20%</f>
        <v>11364717.859759994</v>
      </c>
      <c r="BK112" s="520"/>
      <c r="BL112" s="514">
        <f>+BL111*20%</f>
        <v>11218389.806578606</v>
      </c>
      <c r="BM112" s="520"/>
      <c r="BN112" s="514">
        <f>+BN111*20%</f>
        <v>137018599.4072693</v>
      </c>
      <c r="BO112" s="521"/>
      <c r="BQ112" s="266"/>
      <c r="BR112" s="514">
        <f>+BR111*20%</f>
        <v>30167061.635845628</v>
      </c>
      <c r="BS112" s="520"/>
      <c r="BT112" s="514">
        <f>+BT111*20%</f>
        <v>31234426.637658626</v>
      </c>
      <c r="BU112" s="520"/>
      <c r="BV112" s="514">
        <f>+BV111*20%</f>
        <v>28265820.933326133</v>
      </c>
      <c r="BW112" s="520"/>
      <c r="BX112" s="514">
        <f>+BX111*20%</f>
        <v>27151888.979117382</v>
      </c>
      <c r="BY112" s="520"/>
      <c r="BZ112" s="514">
        <f>+BZ111*20%</f>
        <v>30822627.839005426</v>
      </c>
      <c r="CA112" s="520"/>
      <c r="CB112" s="514">
        <f>+CB111*20%</f>
        <v>28830154.776371982</v>
      </c>
      <c r="CC112" s="520"/>
      <c r="CD112" s="514">
        <f>+CD111*20%</f>
        <v>27401075.372832313</v>
      </c>
      <c r="CE112" s="520"/>
      <c r="CF112" s="514">
        <f>+CF111*20%</f>
        <v>32403861.978002235</v>
      </c>
      <c r="CG112" s="520"/>
      <c r="CH112" s="514">
        <f>+CH111*20%</f>
        <v>27808215.800148204</v>
      </c>
      <c r="CI112" s="520"/>
      <c r="CJ112" s="514">
        <f>+CJ111*20%</f>
        <v>27456959.067902669</v>
      </c>
      <c r="CK112" s="520"/>
      <c r="CL112" s="514">
        <f>+CL111*20%</f>
        <v>31026007.898195621</v>
      </c>
      <c r="CM112" s="520"/>
      <c r="CN112" s="514">
        <f>+CN111*20%</f>
        <v>28830154.776371982</v>
      </c>
      <c r="CO112" s="520"/>
      <c r="CP112" s="514">
        <f>+CP111*20%</f>
        <v>27045160.269249469</v>
      </c>
      <c r="CQ112" s="520"/>
      <c r="CR112" s="514">
        <f>+CR111*20%</f>
        <v>348276354.32818198</v>
      </c>
      <c r="CS112" s="520"/>
      <c r="CU112" s="266"/>
      <c r="CV112" s="514">
        <f>+CV111*20%</f>
        <v>27771019.070935018</v>
      </c>
      <c r="CW112" s="520"/>
      <c r="CX112" s="514">
        <f>+CX111*20%</f>
        <v>29379149.765334554</v>
      </c>
      <c r="CY112" s="520"/>
      <c r="CZ112" s="514">
        <f>+CZ111*20%</f>
        <v>28640117.937628299</v>
      </c>
      <c r="DA112" s="520"/>
      <c r="DB112" s="514">
        <f>+DB111*20%</f>
        <v>26975168.972904131</v>
      </c>
      <c r="DC112" s="520"/>
      <c r="DD112" s="514">
        <f>+DD111*20%</f>
        <v>29004127.737811465</v>
      </c>
      <c r="DE112" s="520"/>
      <c r="DF112" s="514">
        <f>+DF111*20%</f>
        <v>29167675.009544034</v>
      </c>
      <c r="DG112" s="520"/>
      <c r="DH112" s="514">
        <f>+DH111*20%</f>
        <v>27261132.137749165</v>
      </c>
      <c r="DI112" s="520"/>
      <c r="DJ112" s="514">
        <f>+DJ111*20%</f>
        <v>30548585.10567816</v>
      </c>
      <c r="DK112" s="520"/>
      <c r="DL112" s="514">
        <f>+DL111*20%</f>
        <v>28182512.804450363</v>
      </c>
      <c r="DM112" s="520"/>
      <c r="DN112" s="514">
        <f>+DN111*20%</f>
        <v>27280239.061689422</v>
      </c>
      <c r="DO112" s="520"/>
      <c r="DP112" s="514">
        <f>+DP111*20%</f>
        <v>29207507.797001656</v>
      </c>
      <c r="DQ112" s="520"/>
      <c r="DR112" s="514">
        <f>+DR111*20%</f>
        <v>29167675.009544034</v>
      </c>
      <c r="DS112" s="520"/>
      <c r="DT112" s="514">
        <f>+DT111*20%</f>
        <v>1774346685.5963001</v>
      </c>
      <c r="DU112" s="520"/>
      <c r="DV112" s="514">
        <f>+DV111*20%</f>
        <v>341719108.3735016</v>
      </c>
      <c r="DW112" s="520"/>
      <c r="DY112" s="267">
        <v>0</v>
      </c>
      <c r="DZ112" s="514">
        <f>+DZ111*20%</f>
        <v>55467138.720238961</v>
      </c>
      <c r="EA112" s="515"/>
      <c r="EB112" s="514">
        <f>+EB111*20%</f>
        <v>12077220.836029351</v>
      </c>
      <c r="EC112" s="515"/>
      <c r="ED112" s="514">
        <f>+ED111*20%</f>
        <v>12723265.977840625</v>
      </c>
      <c r="EE112" s="515"/>
      <c r="EF112" s="514">
        <f>+EF111*20%</f>
        <v>12077220.836029351</v>
      </c>
      <c r="EG112" s="515"/>
      <c r="EH112" s="514">
        <f>+EH111*20%</f>
        <v>62350321.697567821</v>
      </c>
      <c r="EI112" s="515"/>
      <c r="EJ112" s="514">
        <f>+EJ111*20%</f>
        <v>64091895.712658912</v>
      </c>
      <c r="EK112" s="515"/>
      <c r="EL112" s="514">
        <f>+EL111*20%</f>
        <v>60310676.009922139</v>
      </c>
      <c r="EM112" s="515"/>
      <c r="EN112" s="514">
        <f>+EN111*20%</f>
        <v>61555637.612339474</v>
      </c>
      <c r="EO112" s="515"/>
      <c r="EP112" s="514">
        <f>+EP111*20%</f>
        <v>64886579.797887258</v>
      </c>
      <c r="EQ112" s="515"/>
      <c r="ER112" s="514">
        <f>+ER111*20%</f>
        <v>61555637.612339474</v>
      </c>
      <c r="ES112" s="515"/>
      <c r="ET112" s="514">
        <f>+ET111*20%</f>
        <v>60310676.009922139</v>
      </c>
      <c r="EU112" s="515"/>
      <c r="EV112" s="514">
        <f>+EV111*20%</f>
        <v>63769270.03461349</v>
      </c>
      <c r="EW112" s="515"/>
      <c r="EX112" s="514">
        <f>+EX111*20%</f>
        <v>62350321.697567821</v>
      </c>
      <c r="EY112" s="515"/>
      <c r="EZ112" s="514">
        <f>+EZ111*20%</f>
        <v>598058723.83471751</v>
      </c>
      <c r="FA112" s="515"/>
      <c r="FC112" s="266"/>
      <c r="FD112" s="514">
        <f>+FD111*20%</f>
        <v>42465891.071908355</v>
      </c>
      <c r="FE112" s="520"/>
      <c r="FF112" s="514">
        <f>+FF111*20%</f>
        <v>41763854.067297854</v>
      </c>
      <c r="FG112" s="520"/>
      <c r="FH112" s="514">
        <f>+FH111*20%</f>
        <v>39440758.296659663</v>
      </c>
      <c r="FI112" s="520"/>
      <c r="FJ112" s="514">
        <f>+FJ111*20%</f>
        <v>40340193.652966507</v>
      </c>
      <c r="FK112" s="520"/>
      <c r="FL112" s="514">
        <f>+FL111*20%</f>
        <v>39623433.46856641</v>
      </c>
      <c r="FM112" s="520"/>
      <c r="FN112" s="514">
        <f>+FN111*20%</f>
        <v>43569146.032268129</v>
      </c>
      <c r="FO112" s="520"/>
      <c r="FP112" s="514">
        <f>+FP111*20%</f>
        <v>39109917.329797447</v>
      </c>
      <c r="FQ112" s="520"/>
      <c r="FR112" s="514">
        <f>+FR111*20%</f>
        <v>40340193.652966507</v>
      </c>
      <c r="FS112" s="520"/>
      <c r="FT112" s="514">
        <f>+FT111*20%</f>
        <v>40716949.657391831</v>
      </c>
      <c r="FU112" s="520"/>
      <c r="FV112" s="514">
        <f>+FV111*20%</f>
        <v>40035123.564181224</v>
      </c>
      <c r="FW112" s="520"/>
      <c r="FX112" s="514">
        <f>+FX111*20%</f>
        <v>39109917.329797447</v>
      </c>
      <c r="FY112" s="520"/>
      <c r="FZ112" s="514">
        <f>+FZ111*20%</f>
        <v>43569146.032268129</v>
      </c>
      <c r="GA112" s="520"/>
      <c r="GB112" s="514">
        <f>+GB111*20%</f>
        <v>41809769.104860969</v>
      </c>
      <c r="GC112" s="520"/>
      <c r="GD112" s="514">
        <f>+GD111*20%</f>
        <v>489428402.18902218</v>
      </c>
      <c r="GE112" s="520"/>
      <c r="GG112" s="266"/>
      <c r="GH112" s="514">
        <f>+GH111*20%</f>
        <v>30208186.146143582</v>
      </c>
      <c r="GI112" s="520"/>
      <c r="GJ112" s="514">
        <f>+GJ111*20%</f>
        <v>29258570.396786489</v>
      </c>
      <c r="GK112" s="520"/>
      <c r="GL112" s="514">
        <f>+GL111*20%</f>
        <v>29235319.545047279</v>
      </c>
      <c r="GM112" s="520"/>
      <c r="GN112" s="514">
        <f>+GN111*20%</f>
        <v>29179596.847426284</v>
      </c>
      <c r="GO112" s="520"/>
      <c r="GP112" s="514">
        <f>+GP111*20%</f>
        <v>27973115.199050423</v>
      </c>
      <c r="GQ112" s="520"/>
      <c r="GR112" s="514">
        <f>+GR111*20%</f>
        <v>28065016.060120612</v>
      </c>
      <c r="GS112" s="520"/>
      <c r="GT112" s="514">
        <f>+GT111*20%</f>
        <v>28661882.862446919</v>
      </c>
      <c r="GU112" s="520"/>
      <c r="GV112" s="514">
        <f>+GV111*20%</f>
        <v>29416171.431972608</v>
      </c>
      <c r="GW112" s="520"/>
      <c r="GX112" s="514">
        <f>+GX111*20%</f>
        <v>26077862.636805825</v>
      </c>
      <c r="GY112" s="520"/>
      <c r="GZ112" s="514">
        <f>+GZ111*20%</f>
        <v>26932284.21474722</v>
      </c>
      <c r="HA112" s="520"/>
      <c r="HB112" s="514">
        <f>+HB111*20%</f>
        <v>29406907.594968714</v>
      </c>
      <c r="HC112" s="520"/>
      <c r="HD112" s="514">
        <f>+HD111*20%</f>
        <v>29092048.337658525</v>
      </c>
      <c r="HE112" s="520"/>
      <c r="HF112" s="514">
        <f>+HF111*20%</f>
        <v>27482315.540516362</v>
      </c>
      <c r="HG112" s="520"/>
      <c r="HH112" s="514">
        <f>+HH111*20%</f>
        <v>342916581.2890442</v>
      </c>
      <c r="HI112" s="520"/>
      <c r="HK112" s="266"/>
      <c r="HL112" s="514">
        <f>+HL111*20%</f>
        <v>17719267.772763513</v>
      </c>
      <c r="HM112" s="520"/>
      <c r="HN112" s="514">
        <f>+HN111*20%</f>
        <v>0</v>
      </c>
      <c r="HO112" s="520"/>
      <c r="HP112" s="514">
        <f>+HP111*20%</f>
        <v>0</v>
      </c>
      <c r="HQ112" s="520"/>
      <c r="HR112" s="514">
        <f>+HR111*20%</f>
        <v>14989648.306424348</v>
      </c>
      <c r="HS112" s="520"/>
      <c r="HT112" s="514">
        <f>+HT111*20%</f>
        <v>14620639.824827526</v>
      </c>
      <c r="HU112" s="520"/>
      <c r="HV112" s="514">
        <f>+HV111*20%</f>
        <v>16392122.46216307</v>
      </c>
      <c r="HW112" s="520"/>
      <c r="HX112" s="514">
        <f>+HX111*20%</f>
        <v>18627946.769781969</v>
      </c>
      <c r="HY112" s="520"/>
      <c r="HZ112" s="514">
        <f>+HZ111*20%</f>
        <v>15573536.234608827</v>
      </c>
      <c r="IA112" s="520"/>
      <c r="IB112" s="514">
        <f>+IB111*20%</f>
        <v>16257812.279936014</v>
      </c>
      <c r="IC112" s="520"/>
      <c r="ID112" s="514">
        <f>+ID111*20%</f>
        <v>16626820.761532836</v>
      </c>
      <c r="IE112" s="520"/>
      <c r="IF112" s="514">
        <f>+IF111*20%</f>
        <v>14620639.824827526</v>
      </c>
      <c r="IG112" s="520"/>
      <c r="IH112" s="514">
        <f>+IH111*20%</f>
        <v>16392122.46216307</v>
      </c>
      <c r="II112" s="520"/>
      <c r="IJ112" s="514">
        <f>+IJ111*20%</f>
        <v>19446532.997336209</v>
      </c>
      <c r="IK112" s="520"/>
      <c r="IL112" s="514">
        <f>+IL111*20%</f>
        <v>163547821.92360139</v>
      </c>
      <c r="IM112" s="520"/>
      <c r="IO112" s="266"/>
      <c r="IP112" s="514">
        <f>+IP111*20%</f>
        <v>9064952.8211113978</v>
      </c>
      <c r="IQ112" s="520"/>
      <c r="IR112" s="514">
        <f>+IR111*20%</f>
        <v>13022255.285573684</v>
      </c>
      <c r="IS112" s="520"/>
      <c r="IT112" s="514">
        <f>+IT111*20%</f>
        <v>13961544.702408699</v>
      </c>
      <c r="IU112" s="520"/>
      <c r="IV112" s="514">
        <f>+IV111*20%</f>
        <v>13022255.285573684</v>
      </c>
      <c r="IW112" s="520"/>
      <c r="IX112" s="514">
        <f>+IX111*20%</f>
        <v>11315296.583752049</v>
      </c>
      <c r="IY112" s="520"/>
      <c r="IZ112" s="514">
        <f>+IZ111*20%</f>
        <v>15668503.404230334</v>
      </c>
      <c r="JA112" s="520"/>
      <c r="JB112" s="514">
        <f>+JB111*20%</f>
        <v>11315296.583752049</v>
      </c>
      <c r="JC112" s="520"/>
      <c r="JD112" s="514">
        <f>+JD111*20%</f>
        <v>13022255.285573684</v>
      </c>
      <c r="JE112" s="520"/>
      <c r="JF112" s="514">
        <f>+JF111*20%</f>
        <v>13961544.702408699</v>
      </c>
      <c r="JG112" s="520"/>
      <c r="JH112" s="514">
        <f>+JH111*20%</f>
        <v>13022255.285573684</v>
      </c>
      <c r="JI112" s="520"/>
      <c r="JJ112" s="514">
        <f>+JJ111*20%</f>
        <v>11315296.583752049</v>
      </c>
      <c r="JK112" s="520"/>
      <c r="JL112" s="514">
        <f>+JL111*20%</f>
        <v>15668503.404230334</v>
      </c>
      <c r="JM112" s="520"/>
      <c r="JN112" s="514">
        <f>+JN111*20%</f>
        <v>11315296.583752049</v>
      </c>
      <c r="JO112" s="520"/>
      <c r="JP112" s="514">
        <f>+JP111*20%</f>
        <v>156610303.69058099</v>
      </c>
      <c r="JQ112" s="520"/>
      <c r="JS112" s="266"/>
      <c r="JT112" s="514">
        <f>+JT111*20%</f>
        <v>7696153.91830556</v>
      </c>
      <c r="JU112" s="520"/>
      <c r="JV112" s="514">
        <f>+JV111*20%</f>
        <v>7050713.0766122751</v>
      </c>
      <c r="JW112" s="520"/>
      <c r="JX112" s="514">
        <f>+JX111*20%</f>
        <v>0</v>
      </c>
      <c r="JY112" s="520"/>
      <c r="JZ112" s="514">
        <f>+JZ111*20%</f>
        <v>0</v>
      </c>
      <c r="KA112" s="520"/>
      <c r="KB112" s="514">
        <f>+KB111*20%</f>
        <v>0</v>
      </c>
      <c r="KC112" s="520"/>
      <c r="KD112" s="514">
        <f>+KD111*20%</f>
        <v>0</v>
      </c>
      <c r="KE112" s="520"/>
      <c r="KF112" s="514">
        <f>+KF111*20%</f>
        <v>0</v>
      </c>
      <c r="KG112" s="520"/>
      <c r="KH112" s="514">
        <f>+KH111*20%</f>
        <v>0</v>
      </c>
      <c r="KI112" s="520"/>
      <c r="KJ112" s="514">
        <f>+KJ111*20%</f>
        <v>0</v>
      </c>
      <c r="KK112" s="520"/>
      <c r="KL112" s="514">
        <f>+KL111*20%</f>
        <v>0</v>
      </c>
      <c r="KM112" s="520"/>
      <c r="KN112" s="514">
        <f>+KN111*20%</f>
        <v>0</v>
      </c>
      <c r="KO112" s="520"/>
      <c r="KP112" s="514">
        <f>+KP111*20%</f>
        <v>0</v>
      </c>
      <c r="KQ112" s="520"/>
      <c r="KR112" s="514">
        <f>+KR111*20%</f>
        <v>0</v>
      </c>
      <c r="KS112" s="520"/>
      <c r="KT112" s="514">
        <f>+KT111*20%</f>
        <v>7050713.0766122751</v>
      </c>
      <c r="KU112" s="520"/>
      <c r="KW112" s="266"/>
      <c r="KX112" s="514">
        <f>+KX111*20%</f>
        <v>16222004.344366744</v>
      </c>
      <c r="KY112" s="520"/>
      <c r="KZ112" s="514">
        <f>+KZ111*20%</f>
        <v>4576188.3704739697</v>
      </c>
      <c r="LA112" s="520"/>
      <c r="LB112" s="514">
        <f>+LB111*20%</f>
        <v>4576188.3704739697</v>
      </c>
      <c r="LC112" s="520"/>
      <c r="LD112" s="514">
        <f>+LD111*20%</f>
        <v>13217233.373737372</v>
      </c>
      <c r="LE112" s="520"/>
      <c r="LF112" s="514">
        <f>+LF111*20%</f>
        <v>4576188.3704739697</v>
      </c>
      <c r="LG112" s="520"/>
      <c r="LH112" s="514">
        <f>+LH111*20%</f>
        <v>4576188.3704739697</v>
      </c>
      <c r="LI112" s="520"/>
      <c r="LJ112" s="514">
        <f>+LJ111*20%</f>
        <v>13217233.373737372</v>
      </c>
      <c r="LK112" s="520"/>
      <c r="LL112" s="514">
        <f>+LL111*20%</f>
        <v>4576188.3704739697</v>
      </c>
      <c r="LM112" s="520"/>
      <c r="LN112" s="514">
        <f>+LN111*20%</f>
        <v>4576188.3704739697</v>
      </c>
      <c r="LO112" s="520"/>
      <c r="LP112" s="514">
        <f>+LP111*20%</f>
        <v>13217233.373737372</v>
      </c>
      <c r="LQ112" s="520"/>
      <c r="LR112" s="514">
        <f>+LR111*20%</f>
        <v>4576188.3704739697</v>
      </c>
      <c r="LS112" s="520"/>
      <c r="LT112" s="514">
        <f>+LT111*20%</f>
        <v>4576188.3704739697</v>
      </c>
      <c r="LU112" s="520"/>
      <c r="LV112" s="514">
        <f>+LV111*20%</f>
        <v>13217233.373737372</v>
      </c>
      <c r="LW112" s="520"/>
      <c r="LX112" s="514">
        <f>+LX111*20%</f>
        <v>89478440.458741248</v>
      </c>
      <c r="LY112" s="521"/>
      <c r="MA112" s="514">
        <f>+MA111*20%</f>
        <v>214200531.16305268</v>
      </c>
      <c r="MB112" s="515"/>
      <c r="MC112" s="514">
        <f>+MC111*20%</f>
        <v>203104725.57909471</v>
      </c>
      <c r="MD112" s="515"/>
      <c r="ME112" s="514">
        <f>+ME111*20%</f>
        <v>221150136.83259153</v>
      </c>
      <c r="MF112" s="515"/>
      <c r="MG112" s="514">
        <f>+MG111*20%</f>
        <v>263288153.82947332</v>
      </c>
      <c r="MH112" s="515"/>
      <c r="MI112" s="514">
        <f>+MI111*20%</f>
        <v>278588158.1846568</v>
      </c>
      <c r="MJ112" s="515"/>
      <c r="MK112" s="514">
        <f>+MK111*20%</f>
        <v>269331879.25607806</v>
      </c>
      <c r="ML112" s="515"/>
      <c r="MM112" s="514">
        <f>+MM111*20%</f>
        <v>271836740.30921811</v>
      </c>
      <c r="MN112" s="515"/>
      <c r="MO112" s="514">
        <f>+MO111*20%</f>
        <v>272576041.4005658</v>
      </c>
      <c r="MP112" s="515"/>
      <c r="MQ112" s="514">
        <f>+MQ111*20%</f>
        <v>270468828.5773899</v>
      </c>
      <c r="MR112" s="515"/>
      <c r="MS112" s="514">
        <f>+MS111*20%</f>
        <v>263525865.96223342</v>
      </c>
      <c r="MT112" s="515"/>
      <c r="MU112" s="514">
        <f>+MU111*20%</f>
        <v>279503134.83045852</v>
      </c>
      <c r="MV112" s="515"/>
      <c r="MW112" s="514">
        <f>+MW111*20%</f>
        <v>273405325.5356257</v>
      </c>
      <c r="MX112" s="515"/>
      <c r="MY112" s="514">
        <f>+MY111*20%</f>
        <v>3080979521.4604378</v>
      </c>
      <c r="MZ112" s="515"/>
    </row>
    <row r="113" spans="2:364" s="264" customFormat="1" x14ac:dyDescent="0.25">
      <c r="B113" s="265" t="s">
        <v>232</v>
      </c>
      <c r="C113" s="21"/>
      <c r="I113" s="266"/>
      <c r="J113" s="514">
        <f>+J111*0.05</f>
        <v>7996178.6722206241</v>
      </c>
      <c r="K113" s="520"/>
      <c r="L113" s="514">
        <f>+L111*0.05</f>
        <v>8529805.2802933585</v>
      </c>
      <c r="M113" s="520"/>
      <c r="N113" s="514">
        <f>+N111*0.05</f>
        <v>8648982.8204474114</v>
      </c>
      <c r="O113" s="520"/>
      <c r="P113" s="514">
        <f>+P111*0.05</f>
        <v>8158587.5224758657</v>
      </c>
      <c r="Q113" s="520"/>
      <c r="R113" s="514">
        <f>+R111*0.05</f>
        <v>7946003.3254598938</v>
      </c>
      <c r="S113" s="520"/>
      <c r="T113" s="514">
        <f>+T111*0.05</f>
        <v>9175356.4145107809</v>
      </c>
      <c r="U113" s="520"/>
      <c r="V113" s="514">
        <f>+V111*0.05</f>
        <v>8011754.0426143454</v>
      </c>
      <c r="W113" s="520"/>
      <c r="X113" s="514">
        <f>+X111*0.05</f>
        <v>8290088.9567847671</v>
      </c>
      <c r="Y113" s="520"/>
      <c r="Z113" s="514">
        <f>+Z111*0.05</f>
        <v>9157432.9684228916</v>
      </c>
      <c r="AA113" s="520"/>
      <c r="AB113" s="514">
        <f>+AB111*0.05</f>
        <v>8275580.2063056156</v>
      </c>
      <c r="AC113" s="520"/>
      <c r="AD113" s="514">
        <f>+AD111*0.05</f>
        <v>8102927.2671675701</v>
      </c>
      <c r="AE113" s="520"/>
      <c r="AF113" s="514">
        <f>+AF111*0.05</f>
        <v>9268327.1358437687</v>
      </c>
      <c r="AG113" s="520"/>
      <c r="AH113" s="514">
        <f>+AH111*0.05</f>
        <v>8153772.2819651179</v>
      </c>
      <c r="AI113" s="520"/>
      <c r="AJ113" s="514">
        <f>+AJ111*0.05</f>
        <v>101718618.22229135</v>
      </c>
      <c r="AK113" s="521"/>
      <c r="AM113" s="266"/>
      <c r="AN113" s="514">
        <f>+AN111*0.05</f>
        <v>2960923.6638521971</v>
      </c>
      <c r="AO113" s="520"/>
      <c r="AP113" s="514">
        <f>+AP111*0.05</f>
        <v>2929732.9015281014</v>
      </c>
      <c r="AQ113" s="520"/>
      <c r="AR113" s="514">
        <f>+AR111*0.05</f>
        <v>2916444.6334801</v>
      </c>
      <c r="AS113" s="520"/>
      <c r="AT113" s="514">
        <f>+AT111*0.05</f>
        <v>2890645.1221272554</v>
      </c>
      <c r="AU113" s="520"/>
      <c r="AV113" s="514">
        <f>+AV111*0.05</f>
        <v>2804597.4516446516</v>
      </c>
      <c r="AW113" s="520"/>
      <c r="AX113" s="514">
        <f>+AX111*0.05</f>
        <v>2881507.6746956743</v>
      </c>
      <c r="AY113" s="520"/>
      <c r="AZ113" s="514">
        <f>+AZ111*0.05</f>
        <v>2844925.6614003279</v>
      </c>
      <c r="BA113" s="520"/>
      <c r="BB113" s="514">
        <f>+BB111*0.05</f>
        <v>2809988.7026159028</v>
      </c>
      <c r="BC113" s="520"/>
      <c r="BD113" s="514">
        <f>+BD111*0.05</f>
        <v>2835788.2139687473</v>
      </c>
      <c r="BE113" s="520"/>
      <c r="BF113" s="514">
        <f>+BF111*0.05</f>
        <v>2809988.7026159028</v>
      </c>
      <c r="BG113" s="520"/>
      <c r="BH113" s="514">
        <f>+BH111*0.05</f>
        <v>2885253.8711560047</v>
      </c>
      <c r="BI113" s="520"/>
      <c r="BJ113" s="514">
        <f>+BJ111*0.05</f>
        <v>2841179.4649399985</v>
      </c>
      <c r="BK113" s="520"/>
      <c r="BL113" s="514">
        <f>+BL111*0.05</f>
        <v>2804597.4516446516</v>
      </c>
      <c r="BM113" s="520"/>
      <c r="BN113" s="514">
        <f>+BN111*0.05</f>
        <v>34254649.851817325</v>
      </c>
      <c r="BO113" s="521"/>
      <c r="BQ113" s="266"/>
      <c r="BR113" s="514">
        <f>+BR111*0.05</f>
        <v>7541765.4089614069</v>
      </c>
      <c r="BS113" s="520"/>
      <c r="BT113" s="514">
        <f>+BT111*0.05</f>
        <v>7808606.6594146565</v>
      </c>
      <c r="BU113" s="520"/>
      <c r="BV113" s="514">
        <f>+BV111*0.05</f>
        <v>7066455.2333315331</v>
      </c>
      <c r="BW113" s="520"/>
      <c r="BX113" s="514">
        <f>+BX111*0.05</f>
        <v>6787972.2447793456</v>
      </c>
      <c r="BY113" s="520"/>
      <c r="BZ113" s="514">
        <f>+BZ111*0.05</f>
        <v>7705656.9597513564</v>
      </c>
      <c r="CA113" s="520"/>
      <c r="CB113" s="514">
        <f>+CB111*0.05</f>
        <v>7207538.6940929955</v>
      </c>
      <c r="CC113" s="520"/>
      <c r="CD113" s="514">
        <f>+CD111*0.05</f>
        <v>6850268.8432080783</v>
      </c>
      <c r="CE113" s="520"/>
      <c r="CF113" s="514">
        <f>+CF111*0.05</f>
        <v>8100965.4945005588</v>
      </c>
      <c r="CG113" s="520"/>
      <c r="CH113" s="514">
        <f>+CH111*0.05</f>
        <v>6952053.950037051</v>
      </c>
      <c r="CI113" s="520"/>
      <c r="CJ113" s="514">
        <f>+CJ111*0.05</f>
        <v>6864239.7669756673</v>
      </c>
      <c r="CK113" s="520"/>
      <c r="CL113" s="514">
        <f>+CL111*0.05</f>
        <v>7756501.9745489052</v>
      </c>
      <c r="CM113" s="520"/>
      <c r="CN113" s="514">
        <f>+CN111*0.05</f>
        <v>7207538.6940929955</v>
      </c>
      <c r="CO113" s="520"/>
      <c r="CP113" s="514">
        <f>+CP111*0.05</f>
        <v>6761290.0673123673</v>
      </c>
      <c r="CQ113" s="520"/>
      <c r="CR113" s="514">
        <f>+CR111*0.05</f>
        <v>87069088.582045496</v>
      </c>
      <c r="CS113" s="520"/>
      <c r="CU113" s="266"/>
      <c r="CV113" s="514">
        <f>+CV111*0.05</f>
        <v>6942754.7677337546</v>
      </c>
      <c r="CW113" s="520"/>
      <c r="CX113" s="514">
        <f>+CX111*0.05</f>
        <v>7344787.4413336385</v>
      </c>
      <c r="CY113" s="520"/>
      <c r="CZ113" s="514">
        <f>+CZ111*0.05</f>
        <v>7160029.4844070747</v>
      </c>
      <c r="DA113" s="520"/>
      <c r="DB113" s="514">
        <f>+DB111*0.05</f>
        <v>6743792.2432260327</v>
      </c>
      <c r="DC113" s="520"/>
      <c r="DD113" s="514">
        <f>+DD111*0.05</f>
        <v>7251031.9344528662</v>
      </c>
      <c r="DE113" s="520"/>
      <c r="DF113" s="514">
        <f>+DF111*0.05</f>
        <v>7291918.7523860084</v>
      </c>
      <c r="DG113" s="520"/>
      <c r="DH113" s="514">
        <f>+DH111*0.05</f>
        <v>6815283.0344372913</v>
      </c>
      <c r="DI113" s="520"/>
      <c r="DJ113" s="514">
        <f>+DJ111*0.05</f>
        <v>7637146.2764195399</v>
      </c>
      <c r="DK113" s="520"/>
      <c r="DL113" s="514">
        <f>+DL111*0.05</f>
        <v>7045628.2011125907</v>
      </c>
      <c r="DM113" s="520"/>
      <c r="DN113" s="514">
        <f>+DN111*0.05</f>
        <v>6820059.7654223554</v>
      </c>
      <c r="DO113" s="520"/>
      <c r="DP113" s="514">
        <f>+DP111*0.05</f>
        <v>7301876.949250414</v>
      </c>
      <c r="DQ113" s="520"/>
      <c r="DR113" s="514">
        <f>+DR111*0.05</f>
        <v>7291918.7523860084</v>
      </c>
      <c r="DS113" s="520"/>
      <c r="DT113" s="514">
        <f>+DT111*0.05</f>
        <v>443586671.39907503</v>
      </c>
      <c r="DU113" s="520"/>
      <c r="DV113" s="514">
        <f>+DV111*0.05</f>
        <v>85429777.0933754</v>
      </c>
      <c r="DW113" s="520"/>
      <c r="DY113" s="267">
        <v>0</v>
      </c>
      <c r="DZ113" s="514">
        <f>+DZ111*0.05</f>
        <v>13866784.68005974</v>
      </c>
      <c r="EA113" s="515"/>
      <c r="EB113" s="514">
        <f>+EB111*0.05</f>
        <v>3019305.2090073377</v>
      </c>
      <c r="EC113" s="515"/>
      <c r="ED113" s="514">
        <f>+ED111*0.05</f>
        <v>3180816.4944601562</v>
      </c>
      <c r="EE113" s="515"/>
      <c r="EF113" s="514">
        <f>+EF111*0.05</f>
        <v>3019305.2090073377</v>
      </c>
      <c r="EG113" s="515"/>
      <c r="EH113" s="514">
        <f>+EH111*0.05</f>
        <v>15587580.424391955</v>
      </c>
      <c r="EI113" s="515"/>
      <c r="EJ113" s="514">
        <f>+EJ111*0.05</f>
        <v>16022973.928164728</v>
      </c>
      <c r="EK113" s="515"/>
      <c r="EL113" s="514">
        <f>+EL111*0.05</f>
        <v>15077669.002480535</v>
      </c>
      <c r="EM113" s="515"/>
      <c r="EN113" s="514">
        <f>+EN111*0.05</f>
        <v>15388909.403084869</v>
      </c>
      <c r="EO113" s="515"/>
      <c r="EP113" s="514">
        <f>+EP111*0.05</f>
        <v>16221644.949471815</v>
      </c>
      <c r="EQ113" s="515"/>
      <c r="ER113" s="514">
        <f>+ER111*0.05</f>
        <v>15388909.403084869</v>
      </c>
      <c r="ES113" s="515"/>
      <c r="ET113" s="514">
        <f>+ET111*0.05</f>
        <v>15077669.002480535</v>
      </c>
      <c r="EU113" s="515"/>
      <c r="EV113" s="514">
        <f>+EV111*0.05</f>
        <v>15942317.508653373</v>
      </c>
      <c r="EW113" s="515"/>
      <c r="EX113" s="514">
        <f>+EX111*0.05</f>
        <v>15587580.424391955</v>
      </c>
      <c r="EY113" s="515"/>
      <c r="EZ113" s="514">
        <f>+EZ111*0.05</f>
        <v>149514680.95867938</v>
      </c>
      <c r="FA113" s="515"/>
      <c r="FC113" s="266"/>
      <c r="FD113" s="514">
        <f>+FD111*0.05</f>
        <v>10616472.767977089</v>
      </c>
      <c r="FE113" s="520"/>
      <c r="FF113" s="514">
        <f>+FF111*0.05</f>
        <v>10440963.516824463</v>
      </c>
      <c r="FG113" s="520"/>
      <c r="FH113" s="514">
        <f>+FH111*0.05</f>
        <v>9860189.5741649158</v>
      </c>
      <c r="FI113" s="520"/>
      <c r="FJ113" s="514">
        <f>+FJ111*0.05</f>
        <v>10085048.413241627</v>
      </c>
      <c r="FK113" s="520"/>
      <c r="FL113" s="514">
        <f>+FL111*0.05</f>
        <v>9905858.3671416026</v>
      </c>
      <c r="FM113" s="520"/>
      <c r="FN113" s="514">
        <f>+FN111*0.05</f>
        <v>10892286.508067032</v>
      </c>
      <c r="FO113" s="520"/>
      <c r="FP113" s="514">
        <f>+FP111*0.05</f>
        <v>9777479.3324493617</v>
      </c>
      <c r="FQ113" s="520"/>
      <c r="FR113" s="514">
        <f>+FR111*0.05</f>
        <v>10085048.413241627</v>
      </c>
      <c r="FS113" s="520"/>
      <c r="FT113" s="514">
        <f>+FT111*0.05</f>
        <v>10179237.414347958</v>
      </c>
      <c r="FU113" s="520"/>
      <c r="FV113" s="514">
        <f>+FV111*0.05</f>
        <v>10008780.891045306</v>
      </c>
      <c r="FW113" s="520"/>
      <c r="FX113" s="514">
        <f>+FX111*0.05</f>
        <v>9777479.3324493617</v>
      </c>
      <c r="FY113" s="520"/>
      <c r="FZ113" s="514">
        <f>+FZ111*0.05</f>
        <v>10892286.508067032</v>
      </c>
      <c r="GA113" s="520"/>
      <c r="GB113" s="514">
        <f>+GB111*0.05</f>
        <v>10452442.276215242</v>
      </c>
      <c r="GC113" s="520"/>
      <c r="GD113" s="514">
        <f>+GD111*0.05</f>
        <v>122357100.54725555</v>
      </c>
      <c r="GE113" s="520"/>
      <c r="GG113" s="266"/>
      <c r="GH113" s="514">
        <f>+GH111*0.05</f>
        <v>7552046.5365358954</v>
      </c>
      <c r="GI113" s="520"/>
      <c r="GJ113" s="514">
        <f>+GJ111*0.05</f>
        <v>7314642.5991966221</v>
      </c>
      <c r="GK113" s="520"/>
      <c r="GL113" s="514">
        <f>+GL111*0.05</f>
        <v>7308829.8862618199</v>
      </c>
      <c r="GM113" s="520"/>
      <c r="GN113" s="514">
        <f>+GN111*0.05</f>
        <v>7294899.211856571</v>
      </c>
      <c r="GO113" s="520"/>
      <c r="GP113" s="514">
        <f>+GP111*0.05</f>
        <v>6993278.7997626057</v>
      </c>
      <c r="GQ113" s="520"/>
      <c r="GR113" s="514">
        <f>+GR111*0.05</f>
        <v>7016254.0150301531</v>
      </c>
      <c r="GS113" s="520"/>
      <c r="GT113" s="514">
        <f>+GT111*0.05</f>
        <v>7165470.7156117298</v>
      </c>
      <c r="GU113" s="520"/>
      <c r="GV113" s="514">
        <f>+GV111*0.05</f>
        <v>7354042.857993152</v>
      </c>
      <c r="GW113" s="520"/>
      <c r="GX113" s="514">
        <f>+GX111*0.05</f>
        <v>6519465.6592014562</v>
      </c>
      <c r="GY113" s="520"/>
      <c r="GZ113" s="514">
        <f>+GZ111*0.05</f>
        <v>6733071.0536868051</v>
      </c>
      <c r="HA113" s="520"/>
      <c r="HB113" s="514">
        <f>+HB111*0.05</f>
        <v>7351726.8987421785</v>
      </c>
      <c r="HC113" s="520"/>
      <c r="HD113" s="514">
        <f>+HD111*0.05</f>
        <v>7273012.0844146311</v>
      </c>
      <c r="HE113" s="520"/>
      <c r="HF113" s="514">
        <f>+HF111*0.05</f>
        <v>6870578.8851290904</v>
      </c>
      <c r="HG113" s="520"/>
      <c r="HH113" s="514">
        <f>+HH111*0.05</f>
        <v>85729145.32226105</v>
      </c>
      <c r="HI113" s="520"/>
      <c r="HK113" s="266"/>
      <c r="HL113" s="514">
        <f>+HL111*0.05</f>
        <v>4429816.9431908783</v>
      </c>
      <c r="HM113" s="520"/>
      <c r="HN113" s="514">
        <f>+HN111*0.05</f>
        <v>0</v>
      </c>
      <c r="HO113" s="520"/>
      <c r="HP113" s="514">
        <f>+HP111*0.05</f>
        <v>0</v>
      </c>
      <c r="HQ113" s="520"/>
      <c r="HR113" s="514">
        <f>+HR111*0.05</f>
        <v>3747412.0766060869</v>
      </c>
      <c r="HS113" s="520"/>
      <c r="HT113" s="514">
        <f>+HT111*0.05</f>
        <v>3655159.9562068814</v>
      </c>
      <c r="HU113" s="520"/>
      <c r="HV113" s="514">
        <f>+HV111*0.05</f>
        <v>4098030.6155407676</v>
      </c>
      <c r="HW113" s="520"/>
      <c r="HX113" s="514">
        <f>+HX111*0.05</f>
        <v>4656986.6924454924</v>
      </c>
      <c r="HY113" s="520"/>
      <c r="HZ113" s="514">
        <f>+HZ111*0.05</f>
        <v>3893384.0586522068</v>
      </c>
      <c r="IA113" s="520"/>
      <c r="IB113" s="514">
        <f>+IB111*0.05</f>
        <v>4064453.0699840034</v>
      </c>
      <c r="IC113" s="520"/>
      <c r="ID113" s="514">
        <f>+ID111*0.05</f>
        <v>4156705.1903832089</v>
      </c>
      <c r="IE113" s="520"/>
      <c r="IF113" s="514">
        <f>+IF111*0.05</f>
        <v>3655159.9562068814</v>
      </c>
      <c r="IG113" s="520"/>
      <c r="IH113" s="514">
        <f>+IH111*0.05</f>
        <v>4098030.6155407676</v>
      </c>
      <c r="II113" s="520"/>
      <c r="IJ113" s="514">
        <f>+IJ111*0.05</f>
        <v>4861633.2493340522</v>
      </c>
      <c r="IK113" s="520"/>
      <c r="IL113" s="514">
        <f>+IL111*0.05</f>
        <v>40886955.480900347</v>
      </c>
      <c r="IM113" s="520"/>
      <c r="IO113" s="266"/>
      <c r="IP113" s="514">
        <f>+IP111*0.05</f>
        <v>2266238.2052778495</v>
      </c>
      <c r="IQ113" s="520"/>
      <c r="IR113" s="514">
        <f>+IR111*0.05</f>
        <v>3255563.8213934209</v>
      </c>
      <c r="IS113" s="520"/>
      <c r="IT113" s="514">
        <f>+IT111*0.05</f>
        <v>3490386.1756021748</v>
      </c>
      <c r="IU113" s="520"/>
      <c r="IV113" s="514">
        <f>+IV111*0.05</f>
        <v>3255563.8213934209</v>
      </c>
      <c r="IW113" s="520"/>
      <c r="IX113" s="514">
        <f>+IX111*0.05</f>
        <v>2828824.1459380123</v>
      </c>
      <c r="IY113" s="520"/>
      <c r="IZ113" s="514">
        <f>+IZ111*0.05</f>
        <v>3917125.8510575835</v>
      </c>
      <c r="JA113" s="520"/>
      <c r="JB113" s="514">
        <f>+JB111*0.05</f>
        <v>2828824.1459380123</v>
      </c>
      <c r="JC113" s="520"/>
      <c r="JD113" s="514">
        <f>+JD111*0.05</f>
        <v>3255563.8213934209</v>
      </c>
      <c r="JE113" s="520"/>
      <c r="JF113" s="514">
        <f>+JF111*0.05</f>
        <v>3490386.1756021748</v>
      </c>
      <c r="JG113" s="520"/>
      <c r="JH113" s="514">
        <f>+JH111*0.05</f>
        <v>3255563.8213934209</v>
      </c>
      <c r="JI113" s="520"/>
      <c r="JJ113" s="514">
        <f>+JJ111*0.05</f>
        <v>2828824.1459380123</v>
      </c>
      <c r="JK113" s="520"/>
      <c r="JL113" s="514">
        <f>+JL111*0.05</f>
        <v>3917125.8510575835</v>
      </c>
      <c r="JM113" s="520"/>
      <c r="JN113" s="514">
        <f>+JN111*0.05</f>
        <v>2828824.1459380123</v>
      </c>
      <c r="JO113" s="520"/>
      <c r="JP113" s="514">
        <f>+JP111*0.05</f>
        <v>39152575.922645248</v>
      </c>
      <c r="JQ113" s="520"/>
      <c r="JS113" s="266"/>
      <c r="JT113" s="514">
        <f>+JT111*0.05</f>
        <v>1924038.47957639</v>
      </c>
      <c r="JU113" s="520"/>
      <c r="JV113" s="514">
        <f>+JV111*0.05</f>
        <v>1762678.2691530688</v>
      </c>
      <c r="JW113" s="520"/>
      <c r="JX113" s="514">
        <f>+JX111*0.05</f>
        <v>0</v>
      </c>
      <c r="JY113" s="520"/>
      <c r="JZ113" s="514">
        <f>+JZ111*0.05</f>
        <v>0</v>
      </c>
      <c r="KA113" s="520"/>
      <c r="KB113" s="514">
        <f>+KB111*0.05</f>
        <v>0</v>
      </c>
      <c r="KC113" s="520"/>
      <c r="KD113" s="514">
        <f>+KD111*0.05</f>
        <v>0</v>
      </c>
      <c r="KE113" s="520"/>
      <c r="KF113" s="514">
        <f>+KF111*0.05</f>
        <v>0</v>
      </c>
      <c r="KG113" s="520"/>
      <c r="KH113" s="514">
        <f>+KH111*0.05</f>
        <v>0</v>
      </c>
      <c r="KI113" s="520"/>
      <c r="KJ113" s="514">
        <f>+KJ111*0.05</f>
        <v>0</v>
      </c>
      <c r="KK113" s="520"/>
      <c r="KL113" s="514">
        <f>+KL111*0.05</f>
        <v>0</v>
      </c>
      <c r="KM113" s="520"/>
      <c r="KN113" s="514">
        <f>+KN111*0.05</f>
        <v>0</v>
      </c>
      <c r="KO113" s="520"/>
      <c r="KP113" s="514">
        <f>+KP111*0.05</f>
        <v>0</v>
      </c>
      <c r="KQ113" s="520"/>
      <c r="KR113" s="514">
        <f>+KR111*0.05</f>
        <v>0</v>
      </c>
      <c r="KS113" s="520"/>
      <c r="KT113" s="514">
        <f>+KT111*0.05</f>
        <v>1762678.2691530688</v>
      </c>
      <c r="KU113" s="520"/>
      <c r="KW113" s="266"/>
      <c r="KX113" s="514">
        <f>+KX111*0.05</f>
        <v>4055501.086091686</v>
      </c>
      <c r="KY113" s="520"/>
      <c r="KZ113" s="514">
        <f>+KZ111*0.05</f>
        <v>1144047.0926184924</v>
      </c>
      <c r="LA113" s="520"/>
      <c r="LB113" s="514">
        <f>+LB111*0.05</f>
        <v>1144047.0926184924</v>
      </c>
      <c r="LC113" s="520"/>
      <c r="LD113" s="514">
        <f>+LD111*0.05</f>
        <v>3304308.3434343431</v>
      </c>
      <c r="LE113" s="520"/>
      <c r="LF113" s="514">
        <f>+LF111*0.05</f>
        <v>1144047.0926184924</v>
      </c>
      <c r="LG113" s="520"/>
      <c r="LH113" s="514">
        <f>+LH111*0.05</f>
        <v>1144047.0926184924</v>
      </c>
      <c r="LI113" s="520"/>
      <c r="LJ113" s="514">
        <f>+LJ111*0.05</f>
        <v>3304308.3434343431</v>
      </c>
      <c r="LK113" s="520"/>
      <c r="LL113" s="514">
        <f>+LL111*0.05</f>
        <v>1144047.0926184924</v>
      </c>
      <c r="LM113" s="520"/>
      <c r="LN113" s="514">
        <f>+LN111*0.05</f>
        <v>1144047.0926184924</v>
      </c>
      <c r="LO113" s="520"/>
      <c r="LP113" s="514">
        <f>+LP111*0.05</f>
        <v>3304308.3434343431</v>
      </c>
      <c r="LQ113" s="520"/>
      <c r="LR113" s="514">
        <f>+LR111*0.05</f>
        <v>1144047.0926184924</v>
      </c>
      <c r="LS113" s="520"/>
      <c r="LT113" s="514">
        <f>+LT111*0.05</f>
        <v>1144047.0926184924</v>
      </c>
      <c r="LU113" s="520"/>
      <c r="LV113" s="514">
        <f>+LV111*0.05</f>
        <v>3304308.3434343431</v>
      </c>
      <c r="LW113" s="520"/>
      <c r="LX113" s="514">
        <f>+LX111*0.05</f>
        <v>22369610.114685312</v>
      </c>
      <c r="LY113" s="521"/>
      <c r="MA113" s="514">
        <f>+MA111*0.05</f>
        <v>53550132.79076317</v>
      </c>
      <c r="MB113" s="515"/>
      <c r="MC113" s="514">
        <f>+MC111*0.05</f>
        <v>50776181.394773677</v>
      </c>
      <c r="MD113" s="515"/>
      <c r="ME113" s="514">
        <f>+ME111*0.05</f>
        <v>55287534.208147883</v>
      </c>
      <c r="MF113" s="515"/>
      <c r="MG113" s="514">
        <f>+MG111*0.05</f>
        <v>65822038.457368329</v>
      </c>
      <c r="MH113" s="515"/>
      <c r="MI113" s="514">
        <f>+MI111*0.05</f>
        <v>69647039.5461642</v>
      </c>
      <c r="MJ113" s="515"/>
      <c r="MK113" s="514">
        <f>+MK111*0.05</f>
        <v>67332969.814019516</v>
      </c>
      <c r="ML113" s="515"/>
      <c r="MM113" s="514">
        <f>+MM111*0.05</f>
        <v>67959185.077304527</v>
      </c>
      <c r="MN113" s="515"/>
      <c r="MO113" s="514">
        <f>+MO111*0.05</f>
        <v>68144010.350141451</v>
      </c>
      <c r="MP113" s="515"/>
      <c r="MQ113" s="514">
        <f>+MQ111*0.05</f>
        <v>67617207.144347474</v>
      </c>
      <c r="MR113" s="515"/>
      <c r="MS113" s="514">
        <f>+MS111*0.05</f>
        <v>65881466.490558356</v>
      </c>
      <c r="MT113" s="515"/>
      <c r="MU113" s="514">
        <f>+MU111*0.05</f>
        <v>69875783.70761463</v>
      </c>
      <c r="MV113" s="515"/>
      <c r="MW113" s="514">
        <f>+MW111*0.05</f>
        <v>68351331.383906424</v>
      </c>
      <c r="MX113" s="515"/>
      <c r="MY113" s="514">
        <f>+MY111*0.05</f>
        <v>770244880.36510944</v>
      </c>
      <c r="MZ113" s="515"/>
    </row>
    <row r="114" spans="2:364" s="264" customFormat="1" x14ac:dyDescent="0.25">
      <c r="B114" s="268" t="s">
        <v>233</v>
      </c>
      <c r="C114" s="22"/>
      <c r="I114" s="266"/>
      <c r="J114" s="517">
        <f>+J111*0.05</f>
        <v>7996178.6722206241</v>
      </c>
      <c r="K114" s="518"/>
      <c r="L114" s="517">
        <f>+L111*0.05</f>
        <v>8529805.2802933585</v>
      </c>
      <c r="M114" s="518"/>
      <c r="N114" s="517">
        <f>+N111*0.05</f>
        <v>8648982.8204474114</v>
      </c>
      <c r="O114" s="518"/>
      <c r="P114" s="517">
        <f>+P111*0.05</f>
        <v>8158587.5224758657</v>
      </c>
      <c r="Q114" s="518"/>
      <c r="R114" s="517">
        <f>+R111*0.05</f>
        <v>7946003.3254598938</v>
      </c>
      <c r="S114" s="518"/>
      <c r="T114" s="517">
        <f>+T111*0.05</f>
        <v>9175356.4145107809</v>
      </c>
      <c r="U114" s="518"/>
      <c r="V114" s="517">
        <f>+V111*0.05</f>
        <v>8011754.0426143454</v>
      </c>
      <c r="W114" s="518"/>
      <c r="X114" s="517">
        <f>+X111*0.05</f>
        <v>8290088.9567847671</v>
      </c>
      <c r="Y114" s="518"/>
      <c r="Z114" s="517">
        <f>+Z111*0.05</f>
        <v>9157432.9684228916</v>
      </c>
      <c r="AA114" s="518"/>
      <c r="AB114" s="517">
        <f>+AB111*0.05</f>
        <v>8275580.2063056156</v>
      </c>
      <c r="AC114" s="518"/>
      <c r="AD114" s="517">
        <f>+AD111*0.05</f>
        <v>8102927.2671675701</v>
      </c>
      <c r="AE114" s="518"/>
      <c r="AF114" s="517">
        <f>+AF111*0.05</f>
        <v>9268327.1358437687</v>
      </c>
      <c r="AG114" s="518"/>
      <c r="AH114" s="517">
        <f>+AH111*0.05</f>
        <v>8153772.2819651179</v>
      </c>
      <c r="AI114" s="518"/>
      <c r="AJ114" s="517">
        <f>+AJ111*0.05</f>
        <v>101718618.22229135</v>
      </c>
      <c r="AK114" s="519"/>
      <c r="AM114" s="266"/>
      <c r="AN114" s="517">
        <f>+AN111*0.05</f>
        <v>2960923.6638521971</v>
      </c>
      <c r="AO114" s="518"/>
      <c r="AP114" s="517">
        <f>+AP111*0.05</f>
        <v>2929732.9015281014</v>
      </c>
      <c r="AQ114" s="518"/>
      <c r="AR114" s="517">
        <f>+AR111*0.05</f>
        <v>2916444.6334801</v>
      </c>
      <c r="AS114" s="518"/>
      <c r="AT114" s="517">
        <f>+AT111*0.05</f>
        <v>2890645.1221272554</v>
      </c>
      <c r="AU114" s="518"/>
      <c r="AV114" s="517">
        <f>+AV111*0.05</f>
        <v>2804597.4516446516</v>
      </c>
      <c r="AW114" s="518"/>
      <c r="AX114" s="517">
        <f>+AX111*0.05</f>
        <v>2881507.6746956743</v>
      </c>
      <c r="AY114" s="518"/>
      <c r="AZ114" s="517">
        <f>+AZ111*0.05</f>
        <v>2844925.6614003279</v>
      </c>
      <c r="BA114" s="518"/>
      <c r="BB114" s="517">
        <f>+BB111*0.05</f>
        <v>2809988.7026159028</v>
      </c>
      <c r="BC114" s="518"/>
      <c r="BD114" s="517">
        <f>+BD111*0.05</f>
        <v>2835788.2139687473</v>
      </c>
      <c r="BE114" s="518"/>
      <c r="BF114" s="517">
        <f>+BF111*0.05</f>
        <v>2809988.7026159028</v>
      </c>
      <c r="BG114" s="518"/>
      <c r="BH114" s="517">
        <f>+BH111*0.05</f>
        <v>2885253.8711560047</v>
      </c>
      <c r="BI114" s="518"/>
      <c r="BJ114" s="517">
        <f>+BJ111*0.05</f>
        <v>2841179.4649399985</v>
      </c>
      <c r="BK114" s="518"/>
      <c r="BL114" s="517">
        <f>+BL111*0.05</f>
        <v>2804597.4516446516</v>
      </c>
      <c r="BM114" s="518"/>
      <c r="BN114" s="517">
        <f>+BN111*0.05</f>
        <v>34254649.851817325</v>
      </c>
      <c r="BO114" s="519"/>
      <c r="BQ114" s="266"/>
      <c r="BR114" s="517">
        <f>+BR111*0.05</f>
        <v>7541765.4089614069</v>
      </c>
      <c r="BS114" s="518"/>
      <c r="BT114" s="517">
        <f>+BT111*0.05</f>
        <v>7808606.6594146565</v>
      </c>
      <c r="BU114" s="518"/>
      <c r="BV114" s="517">
        <f>+BV111*0.05</f>
        <v>7066455.2333315331</v>
      </c>
      <c r="BW114" s="518"/>
      <c r="BX114" s="517">
        <f>+BX111*0.05</f>
        <v>6787972.2447793456</v>
      </c>
      <c r="BY114" s="518"/>
      <c r="BZ114" s="517">
        <f>+BZ111*0.05</f>
        <v>7705656.9597513564</v>
      </c>
      <c r="CA114" s="518"/>
      <c r="CB114" s="517">
        <f>+CB111*0.05</f>
        <v>7207538.6940929955</v>
      </c>
      <c r="CC114" s="518"/>
      <c r="CD114" s="517">
        <f>+CD111*0.05</f>
        <v>6850268.8432080783</v>
      </c>
      <c r="CE114" s="518"/>
      <c r="CF114" s="517">
        <f>+CF111*0.05</f>
        <v>8100965.4945005588</v>
      </c>
      <c r="CG114" s="518"/>
      <c r="CH114" s="517">
        <f>+CH111*0.05</f>
        <v>6952053.950037051</v>
      </c>
      <c r="CI114" s="518"/>
      <c r="CJ114" s="517">
        <f>+CJ111*0.05</f>
        <v>6864239.7669756673</v>
      </c>
      <c r="CK114" s="518"/>
      <c r="CL114" s="517">
        <f>+CL111*0.05</f>
        <v>7756501.9745489052</v>
      </c>
      <c r="CM114" s="518"/>
      <c r="CN114" s="517">
        <f>+CN111*0.05</f>
        <v>7207538.6940929955</v>
      </c>
      <c r="CO114" s="518"/>
      <c r="CP114" s="517">
        <f>+CP111*0.05</f>
        <v>6761290.0673123673</v>
      </c>
      <c r="CQ114" s="518"/>
      <c r="CR114" s="517">
        <f>+CR111*0.05</f>
        <v>87069088.582045496</v>
      </c>
      <c r="CS114" s="518"/>
      <c r="CU114" s="266"/>
      <c r="CV114" s="517">
        <f>+CV111*0.05</f>
        <v>6942754.7677337546</v>
      </c>
      <c r="CW114" s="518"/>
      <c r="CX114" s="517">
        <f>+CX111*0.05</f>
        <v>7344787.4413336385</v>
      </c>
      <c r="CY114" s="518"/>
      <c r="CZ114" s="517">
        <f>+CZ111*0.05</f>
        <v>7160029.4844070747</v>
      </c>
      <c r="DA114" s="518"/>
      <c r="DB114" s="517">
        <f>+DB111*0.05</f>
        <v>6743792.2432260327</v>
      </c>
      <c r="DC114" s="518"/>
      <c r="DD114" s="517">
        <f>+DD111*0.05</f>
        <v>7251031.9344528662</v>
      </c>
      <c r="DE114" s="518"/>
      <c r="DF114" s="517">
        <f>+DF111*0.05</f>
        <v>7291918.7523860084</v>
      </c>
      <c r="DG114" s="518"/>
      <c r="DH114" s="517">
        <f>+DH111*0.05</f>
        <v>6815283.0344372913</v>
      </c>
      <c r="DI114" s="518"/>
      <c r="DJ114" s="517">
        <f>+DJ111*0.05</f>
        <v>7637146.2764195399</v>
      </c>
      <c r="DK114" s="518"/>
      <c r="DL114" s="517">
        <f>+DL111*0.05</f>
        <v>7045628.2011125907</v>
      </c>
      <c r="DM114" s="518"/>
      <c r="DN114" s="517">
        <f>+DN111*0.05</f>
        <v>6820059.7654223554</v>
      </c>
      <c r="DO114" s="518"/>
      <c r="DP114" s="517">
        <f>+DP111*0.05</f>
        <v>7301876.949250414</v>
      </c>
      <c r="DQ114" s="518"/>
      <c r="DR114" s="517">
        <f>+DR111*0.05</f>
        <v>7291918.7523860084</v>
      </c>
      <c r="DS114" s="518"/>
      <c r="DT114" s="517">
        <f>+DT111*0.05</f>
        <v>443586671.39907503</v>
      </c>
      <c r="DU114" s="518"/>
      <c r="DV114" s="517">
        <f>+DV111*0.05</f>
        <v>85429777.0933754</v>
      </c>
      <c r="DW114" s="518"/>
      <c r="DY114" s="267">
        <v>0</v>
      </c>
      <c r="DZ114" s="514">
        <f>+DZ111*0.05</f>
        <v>13866784.68005974</v>
      </c>
      <c r="EA114" s="515"/>
      <c r="EB114" s="514">
        <f>+EB111*0.05</f>
        <v>3019305.2090073377</v>
      </c>
      <c r="EC114" s="515"/>
      <c r="ED114" s="514">
        <f>+ED111*0.05</f>
        <v>3180816.4944601562</v>
      </c>
      <c r="EE114" s="515"/>
      <c r="EF114" s="514">
        <f>+EF111*0.05</f>
        <v>3019305.2090073377</v>
      </c>
      <c r="EG114" s="515"/>
      <c r="EH114" s="514">
        <f>+EH111*0.05</f>
        <v>15587580.424391955</v>
      </c>
      <c r="EI114" s="515"/>
      <c r="EJ114" s="514">
        <f>+EJ111*0.05</f>
        <v>16022973.928164728</v>
      </c>
      <c r="EK114" s="515"/>
      <c r="EL114" s="514">
        <f>+EL111*0.05</f>
        <v>15077669.002480535</v>
      </c>
      <c r="EM114" s="515"/>
      <c r="EN114" s="514">
        <f>+EN111*0.05</f>
        <v>15388909.403084869</v>
      </c>
      <c r="EO114" s="515"/>
      <c r="EP114" s="514">
        <f>+EP111*0.05</f>
        <v>16221644.949471815</v>
      </c>
      <c r="EQ114" s="515"/>
      <c r="ER114" s="514">
        <f>+ER111*0.05</f>
        <v>15388909.403084869</v>
      </c>
      <c r="ES114" s="515"/>
      <c r="ET114" s="514">
        <f>+ET111*0.05</f>
        <v>15077669.002480535</v>
      </c>
      <c r="EU114" s="515"/>
      <c r="EV114" s="514">
        <f>+EV111*0.05</f>
        <v>15942317.508653373</v>
      </c>
      <c r="EW114" s="515"/>
      <c r="EX114" s="514">
        <f>+EX111*0.05</f>
        <v>15587580.424391955</v>
      </c>
      <c r="EY114" s="515"/>
      <c r="EZ114" s="514">
        <f>+EZ111*0.05</f>
        <v>149514680.95867938</v>
      </c>
      <c r="FA114" s="515"/>
      <c r="FC114" s="266"/>
      <c r="FD114" s="517">
        <f>+FD111*0.05</f>
        <v>10616472.767977089</v>
      </c>
      <c r="FE114" s="518"/>
      <c r="FF114" s="517">
        <f>+FF111*0.05</f>
        <v>10440963.516824463</v>
      </c>
      <c r="FG114" s="518"/>
      <c r="FH114" s="517">
        <f>+FH111*0.05</f>
        <v>9860189.5741649158</v>
      </c>
      <c r="FI114" s="518"/>
      <c r="FJ114" s="517">
        <f>+FJ111*0.05</f>
        <v>10085048.413241627</v>
      </c>
      <c r="FK114" s="518"/>
      <c r="FL114" s="517">
        <f>+FL111*0.05</f>
        <v>9905858.3671416026</v>
      </c>
      <c r="FM114" s="518"/>
      <c r="FN114" s="517">
        <f>+FN111*0.05</f>
        <v>10892286.508067032</v>
      </c>
      <c r="FO114" s="518"/>
      <c r="FP114" s="517">
        <f>+FP111*0.05</f>
        <v>9777479.3324493617</v>
      </c>
      <c r="FQ114" s="518"/>
      <c r="FR114" s="517">
        <f>+FR111*0.05</f>
        <v>10085048.413241627</v>
      </c>
      <c r="FS114" s="518"/>
      <c r="FT114" s="517">
        <f>+FT111*0.05</f>
        <v>10179237.414347958</v>
      </c>
      <c r="FU114" s="518"/>
      <c r="FV114" s="517">
        <f>+FV111*0.05</f>
        <v>10008780.891045306</v>
      </c>
      <c r="FW114" s="518"/>
      <c r="FX114" s="517">
        <f>+FX111*0.05</f>
        <v>9777479.3324493617</v>
      </c>
      <c r="FY114" s="518"/>
      <c r="FZ114" s="517">
        <f>+FZ111*0.05</f>
        <v>10892286.508067032</v>
      </c>
      <c r="GA114" s="518"/>
      <c r="GB114" s="517">
        <f>+GB111*0.05</f>
        <v>10452442.276215242</v>
      </c>
      <c r="GC114" s="518"/>
      <c r="GD114" s="517">
        <f>+GD111*0.05</f>
        <v>122357100.54725555</v>
      </c>
      <c r="GE114" s="518"/>
      <c r="GG114" s="266"/>
      <c r="GH114" s="517">
        <f>+GH111*0.05</f>
        <v>7552046.5365358954</v>
      </c>
      <c r="GI114" s="518"/>
      <c r="GJ114" s="517">
        <f>+GJ111*0.05</f>
        <v>7314642.5991966221</v>
      </c>
      <c r="GK114" s="518"/>
      <c r="GL114" s="517">
        <f>+GL111*0.05</f>
        <v>7308829.8862618199</v>
      </c>
      <c r="GM114" s="518"/>
      <c r="GN114" s="517">
        <f>+GN111*0.05</f>
        <v>7294899.211856571</v>
      </c>
      <c r="GO114" s="518"/>
      <c r="GP114" s="517">
        <f>+GP111*0.05</f>
        <v>6993278.7997626057</v>
      </c>
      <c r="GQ114" s="518"/>
      <c r="GR114" s="517">
        <f>+GR111*0.05</f>
        <v>7016254.0150301531</v>
      </c>
      <c r="GS114" s="518"/>
      <c r="GT114" s="517">
        <f>+GT111*0.05</f>
        <v>7165470.7156117298</v>
      </c>
      <c r="GU114" s="518"/>
      <c r="GV114" s="517">
        <f>+GV111*0.05</f>
        <v>7354042.857993152</v>
      </c>
      <c r="GW114" s="518"/>
      <c r="GX114" s="517">
        <f>+GX111*0.05</f>
        <v>6519465.6592014562</v>
      </c>
      <c r="GY114" s="518"/>
      <c r="GZ114" s="517">
        <f>+GZ111*0.05</f>
        <v>6733071.0536868051</v>
      </c>
      <c r="HA114" s="518"/>
      <c r="HB114" s="517">
        <f>+HB111*0.05</f>
        <v>7351726.8987421785</v>
      </c>
      <c r="HC114" s="518"/>
      <c r="HD114" s="517">
        <f>+HD111*0.05</f>
        <v>7273012.0844146311</v>
      </c>
      <c r="HE114" s="518"/>
      <c r="HF114" s="517">
        <f>+HF111*0.05</f>
        <v>6870578.8851290904</v>
      </c>
      <c r="HG114" s="518"/>
      <c r="HH114" s="517">
        <f>+HH111*0.05</f>
        <v>85729145.32226105</v>
      </c>
      <c r="HI114" s="518"/>
      <c r="HK114" s="266"/>
      <c r="HL114" s="517">
        <f>+HL111*0.05</f>
        <v>4429816.9431908783</v>
      </c>
      <c r="HM114" s="518"/>
      <c r="HN114" s="517">
        <f>+HN111*0.05</f>
        <v>0</v>
      </c>
      <c r="HO114" s="518"/>
      <c r="HP114" s="517">
        <f>+HP111*0.05</f>
        <v>0</v>
      </c>
      <c r="HQ114" s="518"/>
      <c r="HR114" s="517">
        <f>+HR111*0.05</f>
        <v>3747412.0766060869</v>
      </c>
      <c r="HS114" s="518"/>
      <c r="HT114" s="517">
        <f>+HT111*0.05</f>
        <v>3655159.9562068814</v>
      </c>
      <c r="HU114" s="518"/>
      <c r="HV114" s="517">
        <f>+HV111*0.05</f>
        <v>4098030.6155407676</v>
      </c>
      <c r="HW114" s="518"/>
      <c r="HX114" s="517">
        <f>+HX111*0.05</f>
        <v>4656986.6924454924</v>
      </c>
      <c r="HY114" s="518"/>
      <c r="HZ114" s="517">
        <f>+HZ111*0.05</f>
        <v>3893384.0586522068</v>
      </c>
      <c r="IA114" s="518"/>
      <c r="IB114" s="517">
        <f>+IB111*0.05</f>
        <v>4064453.0699840034</v>
      </c>
      <c r="IC114" s="518"/>
      <c r="ID114" s="517">
        <f>+ID111*0.05</f>
        <v>4156705.1903832089</v>
      </c>
      <c r="IE114" s="518"/>
      <c r="IF114" s="517">
        <f>+IF111*0.05</f>
        <v>3655159.9562068814</v>
      </c>
      <c r="IG114" s="518"/>
      <c r="IH114" s="517">
        <f>+IH111*0.05</f>
        <v>4098030.6155407676</v>
      </c>
      <c r="II114" s="518"/>
      <c r="IJ114" s="517">
        <f>+IJ111*0.05</f>
        <v>4861633.2493340522</v>
      </c>
      <c r="IK114" s="518"/>
      <c r="IL114" s="517">
        <f>+IL111*0.05</f>
        <v>40886955.480900347</v>
      </c>
      <c r="IM114" s="518"/>
      <c r="IO114" s="266"/>
      <c r="IP114" s="517">
        <f>+IP111*0.05</f>
        <v>2266238.2052778495</v>
      </c>
      <c r="IQ114" s="518"/>
      <c r="IR114" s="517">
        <f>+IR111*0.05</f>
        <v>3255563.8213934209</v>
      </c>
      <c r="IS114" s="518"/>
      <c r="IT114" s="517">
        <f>+IT111*0.05</f>
        <v>3490386.1756021748</v>
      </c>
      <c r="IU114" s="518"/>
      <c r="IV114" s="517">
        <f>+IV111*0.05</f>
        <v>3255563.8213934209</v>
      </c>
      <c r="IW114" s="518"/>
      <c r="IX114" s="517">
        <f>+IX111*0.05</f>
        <v>2828824.1459380123</v>
      </c>
      <c r="IY114" s="518"/>
      <c r="IZ114" s="517">
        <f>+IZ111*0.05</f>
        <v>3917125.8510575835</v>
      </c>
      <c r="JA114" s="518"/>
      <c r="JB114" s="517">
        <f>+JB111*0.05</f>
        <v>2828824.1459380123</v>
      </c>
      <c r="JC114" s="518"/>
      <c r="JD114" s="517">
        <f>+JD111*0.05</f>
        <v>3255563.8213934209</v>
      </c>
      <c r="JE114" s="518"/>
      <c r="JF114" s="517">
        <f>+JF111*0.05</f>
        <v>3490386.1756021748</v>
      </c>
      <c r="JG114" s="518"/>
      <c r="JH114" s="517">
        <f>+JH111*0.05</f>
        <v>3255563.8213934209</v>
      </c>
      <c r="JI114" s="518"/>
      <c r="JJ114" s="517">
        <f>+JJ111*0.05</f>
        <v>2828824.1459380123</v>
      </c>
      <c r="JK114" s="518"/>
      <c r="JL114" s="517">
        <f>+JL111*0.05</f>
        <v>3917125.8510575835</v>
      </c>
      <c r="JM114" s="518"/>
      <c r="JN114" s="517">
        <f>+JN111*0.05</f>
        <v>2828824.1459380123</v>
      </c>
      <c r="JO114" s="518"/>
      <c r="JP114" s="517">
        <f>+JP111*0.05</f>
        <v>39152575.922645248</v>
      </c>
      <c r="JQ114" s="518"/>
      <c r="JS114" s="266"/>
      <c r="JT114" s="517">
        <f>+JT111*0.05</f>
        <v>1924038.47957639</v>
      </c>
      <c r="JU114" s="518"/>
      <c r="JV114" s="517">
        <f>+JV111*0.05</f>
        <v>1762678.2691530688</v>
      </c>
      <c r="JW114" s="518"/>
      <c r="JX114" s="517">
        <f>+JX111*0.05</f>
        <v>0</v>
      </c>
      <c r="JY114" s="518"/>
      <c r="JZ114" s="517">
        <f>+JZ111*0.05</f>
        <v>0</v>
      </c>
      <c r="KA114" s="518"/>
      <c r="KB114" s="517">
        <f>+KB111*0.05</f>
        <v>0</v>
      </c>
      <c r="KC114" s="518"/>
      <c r="KD114" s="517">
        <f>+KD111*0.05</f>
        <v>0</v>
      </c>
      <c r="KE114" s="518"/>
      <c r="KF114" s="517">
        <f>+KF111*0.05</f>
        <v>0</v>
      </c>
      <c r="KG114" s="518"/>
      <c r="KH114" s="517">
        <f>+KH111*0.05</f>
        <v>0</v>
      </c>
      <c r="KI114" s="518"/>
      <c r="KJ114" s="517">
        <f>+KJ111*0.05</f>
        <v>0</v>
      </c>
      <c r="KK114" s="518"/>
      <c r="KL114" s="517">
        <f>+KL111*0.05</f>
        <v>0</v>
      </c>
      <c r="KM114" s="518"/>
      <c r="KN114" s="517">
        <f>+KN111*0.05</f>
        <v>0</v>
      </c>
      <c r="KO114" s="518"/>
      <c r="KP114" s="517">
        <f>+KP111*0.05</f>
        <v>0</v>
      </c>
      <c r="KQ114" s="518"/>
      <c r="KR114" s="517">
        <f>+KR111*0.05</f>
        <v>0</v>
      </c>
      <c r="KS114" s="518"/>
      <c r="KT114" s="517">
        <f>+KT111*0.05</f>
        <v>1762678.2691530688</v>
      </c>
      <c r="KU114" s="518"/>
      <c r="KW114" s="266"/>
      <c r="KX114" s="517">
        <f>+KX111*0.05</f>
        <v>4055501.086091686</v>
      </c>
      <c r="KY114" s="518"/>
      <c r="KZ114" s="517">
        <f>+KZ111*0.05</f>
        <v>1144047.0926184924</v>
      </c>
      <c r="LA114" s="518"/>
      <c r="LB114" s="517">
        <f>+LB111*0.05</f>
        <v>1144047.0926184924</v>
      </c>
      <c r="LC114" s="518"/>
      <c r="LD114" s="517">
        <f>+LD111*0.05</f>
        <v>3304308.3434343431</v>
      </c>
      <c r="LE114" s="518"/>
      <c r="LF114" s="517">
        <f>+LF111*0.05</f>
        <v>1144047.0926184924</v>
      </c>
      <c r="LG114" s="518"/>
      <c r="LH114" s="517">
        <f>+LH111*0.05</f>
        <v>1144047.0926184924</v>
      </c>
      <c r="LI114" s="518"/>
      <c r="LJ114" s="517">
        <f>+LJ111*0.05</f>
        <v>3304308.3434343431</v>
      </c>
      <c r="LK114" s="518"/>
      <c r="LL114" s="517">
        <f>+LL111*0.05</f>
        <v>1144047.0926184924</v>
      </c>
      <c r="LM114" s="518"/>
      <c r="LN114" s="517">
        <f>+LN111*0.05</f>
        <v>1144047.0926184924</v>
      </c>
      <c r="LO114" s="518"/>
      <c r="LP114" s="517">
        <f>+LP111*0.05</f>
        <v>3304308.3434343431</v>
      </c>
      <c r="LQ114" s="518"/>
      <c r="LR114" s="517">
        <f>+LR111*0.05</f>
        <v>1144047.0926184924</v>
      </c>
      <c r="LS114" s="518"/>
      <c r="LT114" s="517">
        <f>+LT111*0.05</f>
        <v>1144047.0926184924</v>
      </c>
      <c r="LU114" s="518"/>
      <c r="LV114" s="517">
        <f>+LV111*0.05</f>
        <v>3304308.3434343431</v>
      </c>
      <c r="LW114" s="518"/>
      <c r="LX114" s="517">
        <f>+LX111*0.05</f>
        <v>22369610.114685312</v>
      </c>
      <c r="LY114" s="519"/>
      <c r="MA114" s="514">
        <f>+MA111*0.05</f>
        <v>53550132.79076317</v>
      </c>
      <c r="MB114" s="515"/>
      <c r="MC114" s="514">
        <f>+MC111*0.05</f>
        <v>50776181.394773677</v>
      </c>
      <c r="MD114" s="515"/>
      <c r="ME114" s="514">
        <f>+ME111*0.05</f>
        <v>55287534.208147883</v>
      </c>
      <c r="MF114" s="515"/>
      <c r="MG114" s="514">
        <f>+MG111*0.05</f>
        <v>65822038.457368329</v>
      </c>
      <c r="MH114" s="515"/>
      <c r="MI114" s="514">
        <f>+MI111*0.05</f>
        <v>69647039.5461642</v>
      </c>
      <c r="MJ114" s="515"/>
      <c r="MK114" s="514">
        <f>+MK111*0.05</f>
        <v>67332969.814019516</v>
      </c>
      <c r="ML114" s="515"/>
      <c r="MM114" s="514">
        <f>+MM111*0.05</f>
        <v>67959185.077304527</v>
      </c>
      <c r="MN114" s="515"/>
      <c r="MO114" s="514">
        <f>+MO111*0.05</f>
        <v>68144010.350141451</v>
      </c>
      <c r="MP114" s="515"/>
      <c r="MQ114" s="514">
        <f>+MQ111*0.05</f>
        <v>67617207.144347474</v>
      </c>
      <c r="MR114" s="515"/>
      <c r="MS114" s="514">
        <f>+MS111*0.05</f>
        <v>65881466.490558356</v>
      </c>
      <c r="MT114" s="515"/>
      <c r="MU114" s="514">
        <f>+MU111*0.05</f>
        <v>69875783.70761463</v>
      </c>
      <c r="MV114" s="515"/>
      <c r="MW114" s="514">
        <f>+MW111*0.05</f>
        <v>68351331.383906424</v>
      </c>
      <c r="MX114" s="515"/>
      <c r="MY114" s="514">
        <f>+MY111*0.05</f>
        <v>770244880.36510944</v>
      </c>
      <c r="MZ114" s="515"/>
    </row>
    <row r="115" spans="2:364" s="269" customFormat="1" ht="21" customHeight="1" thickBot="1" x14ac:dyDescent="0.35">
      <c r="B115" s="516" t="s">
        <v>234</v>
      </c>
      <c r="C115" s="512"/>
      <c r="I115" s="270"/>
      <c r="J115" s="510">
        <f>+J111+J112+J113+J114</f>
        <v>207900645.4777362</v>
      </c>
      <c r="K115" s="512"/>
      <c r="L115" s="510">
        <f>+L111+L112+L113+L114</f>
        <v>221774937.28762728</v>
      </c>
      <c r="M115" s="512"/>
      <c r="N115" s="510">
        <f>+N111+N112+N113+N114</f>
        <v>224873553.33163267</v>
      </c>
      <c r="O115" s="512"/>
      <c r="P115" s="510">
        <f>+P111+P112+P113+P114</f>
        <v>212123275.58437252</v>
      </c>
      <c r="Q115" s="512"/>
      <c r="R115" s="510">
        <f>+R111+R112+R113+R114</f>
        <v>206596086.46195722</v>
      </c>
      <c r="S115" s="512"/>
      <c r="T115" s="510">
        <f>+T111+T112+T113+T114</f>
        <v>238559266.7772803</v>
      </c>
      <c r="U115" s="512"/>
      <c r="V115" s="510">
        <f>+V111+V112+V113+V114</f>
        <v>208305605.10797298</v>
      </c>
      <c r="W115" s="512"/>
      <c r="X115" s="510">
        <f>+X111+X112+X113+X114</f>
        <v>215542312.87640393</v>
      </c>
      <c r="Y115" s="512"/>
      <c r="Z115" s="510">
        <f>+Z111+Z112+Z113+Z114</f>
        <v>238093257.17899516</v>
      </c>
      <c r="AA115" s="512"/>
      <c r="AB115" s="510">
        <f>+AB111+AB112+AB113+AB114</f>
        <v>215165085.36394602</v>
      </c>
      <c r="AC115" s="512"/>
      <c r="AD115" s="510">
        <f>+AD111+AD112+AD113+AD114</f>
        <v>210676108.9463568</v>
      </c>
      <c r="AE115" s="512"/>
      <c r="AF115" s="510">
        <f>+AF111+AF112+AF113+AF114</f>
        <v>240976505.53193796</v>
      </c>
      <c r="AG115" s="512"/>
      <c r="AH115" s="510">
        <f>+AH111+AH112+AH113+AH114</f>
        <v>211998079.33109301</v>
      </c>
      <c r="AI115" s="512"/>
      <c r="AJ115" s="510">
        <f>+AJ111+AJ112+AJ113+AJ114</f>
        <v>2644684073.7795753</v>
      </c>
      <c r="AK115" s="513"/>
      <c r="AM115" s="270"/>
      <c r="AN115" s="510">
        <f>+AN111+AN112+AN113+AN114</f>
        <v>76984015.260157123</v>
      </c>
      <c r="AO115" s="512"/>
      <c r="AP115" s="510">
        <f>+AP111+AP112+AP113+AP114</f>
        <v>76173055.439730644</v>
      </c>
      <c r="AQ115" s="512"/>
      <c r="AR115" s="510">
        <f>+AR111+AR112+AR113+AR114</f>
        <v>75827560.470482603</v>
      </c>
      <c r="AS115" s="512"/>
      <c r="AT115" s="510">
        <f>+AT111+AT112+AT113+AT114</f>
        <v>75156773.17530863</v>
      </c>
      <c r="AU115" s="512"/>
      <c r="AV115" s="510">
        <f>+AV111+AV112+AV113+AV114</f>
        <v>72919533.742760956</v>
      </c>
      <c r="AW115" s="512"/>
      <c r="AX115" s="510">
        <f>+AX111+AX112+AX113+AX114</f>
        <v>74919199.542087525</v>
      </c>
      <c r="AY115" s="512"/>
      <c r="AZ115" s="510">
        <f>+AZ111+AZ112+AZ113+AZ114</f>
        <v>73968067.19640854</v>
      </c>
      <c r="BA115" s="512"/>
      <c r="BB115" s="510">
        <f>+BB111+BB112+BB113+BB114</f>
        <v>73059706.268013462</v>
      </c>
      <c r="BC115" s="512"/>
      <c r="BD115" s="510">
        <f>+BD111+BD112+BD113+BD114</f>
        <v>73730493.563187435</v>
      </c>
      <c r="BE115" s="512"/>
      <c r="BF115" s="510">
        <f>+BF111+BF112+BF113+BF114</f>
        <v>73059706.268013462</v>
      </c>
      <c r="BG115" s="512"/>
      <c r="BH115" s="510">
        <f>+BH111+BH112+BH113+BH114</f>
        <v>75016600.650056124</v>
      </c>
      <c r="BI115" s="512"/>
      <c r="BJ115" s="510">
        <f>+BJ111+BJ112+BJ113+BJ114</f>
        <v>73870666.088439941</v>
      </c>
      <c r="BK115" s="512"/>
      <c r="BL115" s="510">
        <f>+BL111+BL112+BL113+BL114</f>
        <v>72919533.742760956</v>
      </c>
      <c r="BM115" s="512"/>
      <c r="BN115" s="510">
        <f>+BN111+BN112+BN113+BN114</f>
        <v>890620896.14725041</v>
      </c>
      <c r="BO115" s="513"/>
      <c r="BQ115" s="270"/>
      <c r="BR115" s="510">
        <f>+BR111+BR112+BR113+BR114</f>
        <v>196085900.63299659</v>
      </c>
      <c r="BS115" s="512"/>
      <c r="BT115" s="510">
        <f>+BT111+BT112+BT113+BT114</f>
        <v>203023773.14478105</v>
      </c>
      <c r="BU115" s="512"/>
      <c r="BV115" s="510">
        <f>+BV111+BV112+BV113+BV114</f>
        <v>183727836.06661984</v>
      </c>
      <c r="BW115" s="512"/>
      <c r="BX115" s="510">
        <f>+BX111+BX112+BX113+BX114</f>
        <v>176487278.364263</v>
      </c>
      <c r="BY115" s="512"/>
      <c r="BZ115" s="510">
        <f>+BZ111+BZ112+BZ113+BZ114</f>
        <v>200347080.95353526</v>
      </c>
      <c r="CA115" s="512"/>
      <c r="CB115" s="510">
        <f>+CB111+CB112+CB113+CB114</f>
        <v>187396006.04641786</v>
      </c>
      <c r="CC115" s="512"/>
      <c r="CD115" s="510">
        <f>+CD111+CD112+CD113+CD114</f>
        <v>178106989.92341</v>
      </c>
      <c r="CE115" s="512"/>
      <c r="CF115" s="510">
        <f>+CF111+CF112+CF113+CF114</f>
        <v>210625102.85701448</v>
      </c>
      <c r="CG115" s="512"/>
      <c r="CH115" s="510">
        <f>+CH111+CH112+CH113+CH114</f>
        <v>180753402.70096332</v>
      </c>
      <c r="CI115" s="512"/>
      <c r="CJ115" s="510">
        <f>+CJ111+CJ112+CJ113+CJ114</f>
        <v>178470233.94136733</v>
      </c>
      <c r="CK115" s="512"/>
      <c r="CL115" s="510">
        <f>+CL111+CL112+CL113+CL114</f>
        <v>201669051.33827153</v>
      </c>
      <c r="CM115" s="512"/>
      <c r="CN115" s="510">
        <f>+CN111+CN112+CN113+CN114</f>
        <v>187396006.04641786</v>
      </c>
      <c r="CO115" s="512"/>
      <c r="CP115" s="510">
        <f>+CP111+CP112+CP113+CP114</f>
        <v>175793541.75012153</v>
      </c>
      <c r="CQ115" s="512"/>
      <c r="CR115" s="510">
        <f>+CR111+CR112+CR113+CR114</f>
        <v>2263796303.133183</v>
      </c>
      <c r="CS115" s="512"/>
      <c r="CU115" s="270"/>
      <c r="CV115" s="510">
        <f>+CV111+CV112+CV113+CV114</f>
        <v>180511623.9610776</v>
      </c>
      <c r="CW115" s="512"/>
      <c r="CX115" s="510">
        <f>+CX111+CX112+CX113+CX114</f>
        <v>190964473.47467461</v>
      </c>
      <c r="CY115" s="512"/>
      <c r="CZ115" s="510">
        <f>+CZ111+CZ112+CZ113+CZ114</f>
        <v>186160766.59458393</v>
      </c>
      <c r="DA115" s="512"/>
      <c r="DB115" s="510">
        <f>+DB111+DB112+DB113+DB114</f>
        <v>175338598.3238768</v>
      </c>
      <c r="DC115" s="512"/>
      <c r="DD115" s="510">
        <f>+DD111+DD112+DD113+DD114</f>
        <v>188526830.29577452</v>
      </c>
      <c r="DE115" s="512"/>
      <c r="DF115" s="510">
        <f>+DF111+DF112+DF113+DF114</f>
        <v>189589887.56203622</v>
      </c>
      <c r="DG115" s="512"/>
      <c r="DH115" s="510">
        <f>+DH111+DH112+DH113+DH114</f>
        <v>177197358.89536959</v>
      </c>
      <c r="DI115" s="512"/>
      <c r="DJ115" s="510">
        <f>+DJ111+DJ112+DJ113+DJ114</f>
        <v>198565803.18690807</v>
      </c>
      <c r="DK115" s="512"/>
      <c r="DL115" s="510">
        <f>+DL111+DL112+DL113+DL114</f>
        <v>183186333.22892737</v>
      </c>
      <c r="DM115" s="512"/>
      <c r="DN115" s="510">
        <f>+DN111+DN112+DN113+DN114</f>
        <v>177321553.90098119</v>
      </c>
      <c r="DO115" s="512"/>
      <c r="DP115" s="510">
        <f>+DP111+DP112+DP113+DP114</f>
        <v>189848800.68051073</v>
      </c>
      <c r="DQ115" s="512"/>
      <c r="DR115" s="510">
        <f>+DR111+DR112+DR113+DR114</f>
        <v>189589887.56203622</v>
      </c>
      <c r="DS115" s="512"/>
      <c r="DT115" s="510">
        <f>+DT111+DT112+DT113+DT114</f>
        <v>11533253456.37595</v>
      </c>
      <c r="DU115" s="512"/>
      <c r="DV115" s="510">
        <f>+DV111+DV112+DV113+DV114</f>
        <v>2221174204.4277601</v>
      </c>
      <c r="DW115" s="512"/>
      <c r="DY115" s="270"/>
      <c r="DZ115" s="510">
        <f>+DZ111+DZ112+DZ113+DZ114</f>
        <v>360536401.68155324</v>
      </c>
      <c r="EA115" s="511"/>
      <c r="EB115" s="510">
        <f>+EB111+EB112+EB113+EB114</f>
        <v>78501935.43419078</v>
      </c>
      <c r="EC115" s="511"/>
      <c r="ED115" s="510">
        <f>+ED111+ED112+ED113+ED114</f>
        <v>82701228.85596405</v>
      </c>
      <c r="EE115" s="511"/>
      <c r="EF115" s="510">
        <f>+EF111+EF112+EF113+EF114</f>
        <v>78501935.43419078</v>
      </c>
      <c r="EG115" s="511"/>
      <c r="EH115" s="510">
        <f>+EH111+EH112+EH113+EH114</f>
        <v>405277091.03419089</v>
      </c>
      <c r="EI115" s="511"/>
      <c r="EJ115" s="510">
        <f>+EJ111+EJ112+EJ113+EJ114</f>
        <v>416597322.13228285</v>
      </c>
      <c r="EK115" s="511"/>
      <c r="EL115" s="510">
        <f>+EL111+EL112+EL113+EL114</f>
        <v>392019394.06449383</v>
      </c>
      <c r="EM115" s="511"/>
      <c r="EN115" s="510">
        <f>+EN111+EN112+EN113+EN114</f>
        <v>400111644.48020661</v>
      </c>
      <c r="EO115" s="511"/>
      <c r="EP115" s="510">
        <f>+EP111+EP112+EP113+EP114</f>
        <v>421762768.6862672</v>
      </c>
      <c r="EQ115" s="511"/>
      <c r="ER115" s="510">
        <f>+ER111+ER112+ER113+ER114</f>
        <v>400111644.48020661</v>
      </c>
      <c r="ES115" s="511"/>
      <c r="ET115" s="510">
        <f>+ET111+ET112+ET113+ET114</f>
        <v>392019394.06449383</v>
      </c>
      <c r="EU115" s="511"/>
      <c r="EV115" s="510">
        <f>+EV111+EV112+EV113+EV114</f>
        <v>414500255.22498775</v>
      </c>
      <c r="EW115" s="511"/>
      <c r="EX115" s="510">
        <f>+EX111+EX112+EX113+EX114</f>
        <v>405277091.03419089</v>
      </c>
      <c r="EY115" s="511"/>
      <c r="EZ115" s="510">
        <f>+EZ111+EZ112+EZ113+EZ114</f>
        <v>3887381704.925663</v>
      </c>
      <c r="FA115" s="511"/>
      <c r="FC115" s="270"/>
      <c r="FD115" s="510">
        <f>+FD111+FD112+FD113+FD114</f>
        <v>276028291.96740431</v>
      </c>
      <c r="FE115" s="512"/>
      <c r="FF115" s="510">
        <f>+FF111+FF112+FF113+FF114</f>
        <v>271465051.43743604</v>
      </c>
      <c r="FG115" s="512"/>
      <c r="FH115" s="510">
        <f>+FH111+FH112+FH113+FH114</f>
        <v>256364928.9282878</v>
      </c>
      <c r="FI115" s="512"/>
      <c r="FJ115" s="510">
        <f>+FJ111+FJ112+FJ113+FJ114</f>
        <v>262211258.74428228</v>
      </c>
      <c r="FK115" s="512"/>
      <c r="FL115" s="510">
        <f>+FL111+FL112+FL113+FL114</f>
        <v>257552317.54568166</v>
      </c>
      <c r="FM115" s="512"/>
      <c r="FN115" s="510">
        <f>+FN111+FN112+FN113+FN114</f>
        <v>283199449.20974278</v>
      </c>
      <c r="FO115" s="512"/>
      <c r="FP115" s="510">
        <f>+FP111+FP112+FP113+FP114</f>
        <v>254214462.64368343</v>
      </c>
      <c r="FQ115" s="512"/>
      <c r="FR115" s="510">
        <f>+FR111+FR112+FR113+FR114</f>
        <v>262211258.74428228</v>
      </c>
      <c r="FS115" s="512"/>
      <c r="FT115" s="510">
        <f>+FT111+FT112+FT113+FT114</f>
        <v>264660172.77304685</v>
      </c>
      <c r="FU115" s="512"/>
      <c r="FV115" s="510">
        <f>+FV111+FV112+FV113+FV114</f>
        <v>260228303.16717792</v>
      </c>
      <c r="FW115" s="512"/>
      <c r="FX115" s="510">
        <f>+FX111+FX112+FX113+FX114</f>
        <v>254214462.64368343</v>
      </c>
      <c r="FY115" s="512"/>
      <c r="FZ115" s="510">
        <f>+FZ111+FZ112+FZ113+FZ114</f>
        <v>283199449.20974278</v>
      </c>
      <c r="GA115" s="512"/>
      <c r="GB115" s="510">
        <f>+GB111+GB112+GB113+GB114</f>
        <v>271763499.18159628</v>
      </c>
      <c r="GC115" s="512"/>
      <c r="GD115" s="510">
        <f>+GD111+GD112+GD113+GD114</f>
        <v>3181284614.2286439</v>
      </c>
      <c r="GE115" s="512"/>
      <c r="GG115" s="270"/>
      <c r="GH115" s="510">
        <f>+GH111+GH112+GH113+GH114</f>
        <v>196353209.94993326</v>
      </c>
      <c r="GI115" s="512"/>
      <c r="GJ115" s="510">
        <f>+GJ111+GJ112+GJ113+GJ114</f>
        <v>190180707.57911214</v>
      </c>
      <c r="GK115" s="512"/>
      <c r="GL115" s="510">
        <f>+GL111+GL112+GL113+GL114</f>
        <v>190029577.04280731</v>
      </c>
      <c r="GM115" s="512"/>
      <c r="GN115" s="510">
        <f>+GN111+GN112+GN113+GN114</f>
        <v>189667379.50827086</v>
      </c>
      <c r="GO115" s="512"/>
      <c r="GP115" s="510">
        <f>+GP111+GP112+GP113+GP114</f>
        <v>181825248.79382774</v>
      </c>
      <c r="GQ115" s="512"/>
      <c r="GR115" s="510">
        <f>+GR111+GR112+GR113+GR114</f>
        <v>182422604.39078397</v>
      </c>
      <c r="GS115" s="512"/>
      <c r="GT115" s="510">
        <f>+GT111+GT112+GT113+GT114</f>
        <v>186302238.60590494</v>
      </c>
      <c r="GU115" s="512"/>
      <c r="GV115" s="510">
        <f>+GV111+GV112+GV113+GV114</f>
        <v>191205114.30782193</v>
      </c>
      <c r="GW115" s="512"/>
      <c r="GX115" s="510">
        <f>+GX111+GX112+GX113+GX114</f>
        <v>169506107.13923782</v>
      </c>
      <c r="GY115" s="512"/>
      <c r="GZ115" s="510">
        <f>+GZ111+GZ112+GZ113+GZ114</f>
        <v>175059847.39585692</v>
      </c>
      <c r="HA115" s="512"/>
      <c r="HB115" s="510">
        <f>+HB111+HB112+HB113+HB114</f>
        <v>191144899.36729661</v>
      </c>
      <c r="HC115" s="512"/>
      <c r="HD115" s="510">
        <f>+HD111+HD112+HD113+HD114</f>
        <v>189098314.19478041</v>
      </c>
      <c r="HE115" s="512"/>
      <c r="HF115" s="510">
        <f>+HF111+HF112+HF113+HF114</f>
        <v>178635051.01335633</v>
      </c>
      <c r="HG115" s="512"/>
      <c r="HH115" s="510">
        <f>+HH111+HH112+HH113+HH114</f>
        <v>2228957778.378787</v>
      </c>
      <c r="HI115" s="512"/>
      <c r="HK115" s="270"/>
      <c r="HL115" s="510">
        <f>+HL111+HL112+HL113+HL114</f>
        <v>115175240.52296281</v>
      </c>
      <c r="HM115" s="512"/>
      <c r="HN115" s="510">
        <f>+HN111+HN112+HN113+HN114</f>
        <v>0</v>
      </c>
      <c r="HO115" s="512"/>
      <c r="HP115" s="510">
        <f>+HP111+HP112+HP113+HP114</f>
        <v>0</v>
      </c>
      <c r="HQ115" s="512"/>
      <c r="HR115" s="510">
        <f>+HR111+HR112+HR113+HR114</f>
        <v>97432713.991758242</v>
      </c>
      <c r="HS115" s="512"/>
      <c r="HT115" s="510">
        <f>+HT111+HT112+HT113+HT114</f>
        <v>95034158.861378923</v>
      </c>
      <c r="HU115" s="512"/>
      <c r="HV115" s="510">
        <f>+HV111+HV112+HV113+HV114</f>
        <v>106548796.00405997</v>
      </c>
      <c r="HW115" s="512"/>
      <c r="HX115" s="510">
        <f>+HX111+HX112+HX113+HX114</f>
        <v>121081654.00358278</v>
      </c>
      <c r="HY115" s="512"/>
      <c r="HZ115" s="510">
        <f>+HZ111+HZ112+HZ113+HZ114</f>
        <v>101227985.52495737</v>
      </c>
      <c r="IA115" s="511"/>
      <c r="IB115" s="510">
        <f>+IB111+IB112+IB113+IB114</f>
        <v>105675779.81958409</v>
      </c>
      <c r="IC115" s="512"/>
      <c r="ID115" s="510">
        <f>+ID111+ID112+ID113+ID114</f>
        <v>108074334.94996342</v>
      </c>
      <c r="IE115" s="512"/>
      <c r="IF115" s="510">
        <f>+IF111+IF112+IF113+IF114</f>
        <v>95034158.861378923</v>
      </c>
      <c r="IG115" s="512"/>
      <c r="IH115" s="510">
        <f>+IH111+IH112+IH113+IH114</f>
        <v>106548796.00405997</v>
      </c>
      <c r="II115" s="512"/>
      <c r="IJ115" s="510">
        <f>+IJ111+IJ112+IJ113+IJ114</f>
        <v>126402464.48268536</v>
      </c>
      <c r="IK115" s="512"/>
      <c r="IL115" s="510">
        <f>+IL111+IL112+IL113+IL114</f>
        <v>1063060842.5034089</v>
      </c>
      <c r="IM115" s="512"/>
      <c r="IO115" s="270"/>
      <c r="IP115" s="510">
        <f>+IP111+IP112+IP113+IP114</f>
        <v>58922193.337224089</v>
      </c>
      <c r="IQ115" s="512"/>
      <c r="IR115" s="510">
        <f>+IR111+IR112+IR113+IR114</f>
        <v>84644659.356228918</v>
      </c>
      <c r="IS115" s="512"/>
      <c r="IT115" s="510">
        <f>+IT111+IT112+IT113+IT114</f>
        <v>90750040.565656528</v>
      </c>
      <c r="IU115" s="512"/>
      <c r="IV115" s="510">
        <f>+IV111+IV112+IV113+IV114</f>
        <v>84644659.356228918</v>
      </c>
      <c r="IW115" s="512"/>
      <c r="IX115" s="510">
        <f>+IX111+IX112+IX113+IX114</f>
        <v>73549427.794388309</v>
      </c>
      <c r="IY115" s="512"/>
      <c r="IZ115" s="510">
        <f>+IZ111+IZ112+IZ113+IZ114</f>
        <v>101845272.12749717</v>
      </c>
      <c r="JA115" s="512"/>
      <c r="JB115" s="510">
        <f>+JB111+JB112+JB113+JB114</f>
        <v>73549427.794388309</v>
      </c>
      <c r="JC115" s="512"/>
      <c r="JD115" s="510">
        <f>+JD111+JD112+JD113+JD114</f>
        <v>84644659.356228918</v>
      </c>
      <c r="JE115" s="512"/>
      <c r="JF115" s="510">
        <f>+JF111+JF112+JF113+JF114</f>
        <v>90750040.565656528</v>
      </c>
      <c r="JG115" s="512"/>
      <c r="JH115" s="510">
        <f>+JH111+JH112+JH113+JH114</f>
        <v>84644659.356228918</v>
      </c>
      <c r="JI115" s="512"/>
      <c r="JJ115" s="510">
        <f>+JJ111+JJ112+JJ113+JJ114</f>
        <v>73549427.794388309</v>
      </c>
      <c r="JK115" s="512"/>
      <c r="JL115" s="510">
        <f>+JL111+JL112+JL113+JL114</f>
        <v>101845272.12749717</v>
      </c>
      <c r="JM115" s="512"/>
      <c r="JN115" s="510">
        <f>+JN111+JN112+JN113+JN114</f>
        <v>73549427.794388309</v>
      </c>
      <c r="JO115" s="512"/>
      <c r="JP115" s="510">
        <f>+JP111+JP112+JP113+JP114</f>
        <v>1017966973.9887763</v>
      </c>
      <c r="JQ115" s="512"/>
      <c r="JS115" s="270"/>
      <c r="JT115" s="510">
        <f>+JT111+JT112+JT113+JT114</f>
        <v>50025000.468986131</v>
      </c>
      <c r="JU115" s="512"/>
      <c r="JV115" s="510">
        <f>+JV111+JV112+JV113+JV114</f>
        <v>45829634.997979775</v>
      </c>
      <c r="JW115" s="512"/>
      <c r="JX115" s="510">
        <f>+JX111+JX112+JX113+JX114</f>
        <v>0</v>
      </c>
      <c r="JY115" s="512"/>
      <c r="JZ115" s="510">
        <f>+JZ111+JZ112+JZ113+JZ114</f>
        <v>0</v>
      </c>
      <c r="KA115" s="512"/>
      <c r="KB115" s="510">
        <f>+KB111+KB112+KB113+KB114</f>
        <v>0</v>
      </c>
      <c r="KC115" s="512"/>
      <c r="KD115" s="510">
        <f>+KD111+KD112+KD113+KD114</f>
        <v>0</v>
      </c>
      <c r="KE115" s="512"/>
      <c r="KF115" s="510">
        <f>+KF111+KF112+KF113+KF114</f>
        <v>0</v>
      </c>
      <c r="KG115" s="512"/>
      <c r="KH115" s="510">
        <f>+KH111+KH112+KH113+KH114</f>
        <v>0</v>
      </c>
      <c r="KI115" s="512"/>
      <c r="KJ115" s="510">
        <f>+KJ111+KJ112+KJ113+KJ114</f>
        <v>0</v>
      </c>
      <c r="KK115" s="512"/>
      <c r="KL115" s="510">
        <f>+KL111+KL112+KL113+KL114</f>
        <v>0</v>
      </c>
      <c r="KM115" s="512"/>
      <c r="KN115" s="510">
        <f>+KN111+KN112+KN113+KN114</f>
        <v>0</v>
      </c>
      <c r="KO115" s="512"/>
      <c r="KP115" s="510">
        <f>+KP111+KP112+KP113+KP114</f>
        <v>0</v>
      </c>
      <c r="KQ115" s="512"/>
      <c r="KR115" s="510">
        <f>+KR111+KR112+KR113+KR114</f>
        <v>0</v>
      </c>
      <c r="KS115" s="512"/>
      <c r="KT115" s="510">
        <f>+KT111+KT112+KT113+KT114</f>
        <v>45829634.997979775</v>
      </c>
      <c r="KU115" s="512"/>
      <c r="KW115" s="270"/>
      <c r="KX115" s="510">
        <f>+KX111+KX112+KX113+KX114</f>
        <v>105443028.23838383</v>
      </c>
      <c r="KY115" s="512"/>
      <c r="KZ115" s="510">
        <f>+KZ111+KZ112+KZ113+KZ114</f>
        <v>29745224.408080801</v>
      </c>
      <c r="LA115" s="512"/>
      <c r="LB115" s="510">
        <f>+LB111+LB112+LB113+LB114</f>
        <v>29745224.408080801</v>
      </c>
      <c r="LC115" s="512"/>
      <c r="LD115" s="510">
        <f>+LD111+LD112+LD113+LD114</f>
        <v>85912016.929292917</v>
      </c>
      <c r="LE115" s="512"/>
      <c r="LF115" s="510">
        <f>+LF111+LF112+LF113+LF114</f>
        <v>29745224.408080801</v>
      </c>
      <c r="LG115" s="512"/>
      <c r="LH115" s="510">
        <f>+LH111+LH112+LH113+LH114</f>
        <v>29745224.408080801</v>
      </c>
      <c r="LI115" s="512"/>
      <c r="LJ115" s="510">
        <f>+LJ111+LJ112+LJ113+LJ114</f>
        <v>85912016.929292917</v>
      </c>
      <c r="LK115" s="512"/>
      <c r="LL115" s="510">
        <f>+LL111+LL112+LL113+LL114</f>
        <v>29745224.408080801</v>
      </c>
      <c r="LM115" s="512"/>
      <c r="LN115" s="510">
        <f>+LN111+LN112+LN113+LN114</f>
        <v>29745224.408080801</v>
      </c>
      <c r="LO115" s="512"/>
      <c r="LP115" s="510">
        <f>+LP111+LP112+LP113+LP114</f>
        <v>85912016.929292917</v>
      </c>
      <c r="LQ115" s="512"/>
      <c r="LR115" s="510">
        <f>+LR111+LR112+LR113+LR114</f>
        <v>29745224.408080801</v>
      </c>
      <c r="LS115" s="512"/>
      <c r="LT115" s="510">
        <f>+LT111+LT112+LT113+LT114</f>
        <v>29745224.408080801</v>
      </c>
      <c r="LU115" s="512"/>
      <c r="LV115" s="510">
        <f>+LV111+LV112+LV113+LV114</f>
        <v>85912016.929292917</v>
      </c>
      <c r="LW115" s="512"/>
      <c r="LX115" s="510">
        <f>+LX111+LX112+LX113+LX114</f>
        <v>581609862.98181808</v>
      </c>
      <c r="LY115" s="513"/>
      <c r="MA115" s="510">
        <f>+MA111+MA112+MA113+MA114</f>
        <v>1392303452.5598423</v>
      </c>
      <c r="MB115" s="511"/>
      <c r="MC115" s="510">
        <f>+MC111+MC112+MC113+MC114</f>
        <v>1320180716.2641156</v>
      </c>
      <c r="MD115" s="511"/>
      <c r="ME115" s="510">
        <f>+ME111+ME112+ME113+ME114</f>
        <v>1437475889.4118452</v>
      </c>
      <c r="MF115" s="511"/>
      <c r="MG115" s="510">
        <f>+MG111+MG112+MG113+MG114</f>
        <v>1711372999.8915765</v>
      </c>
      <c r="MH115" s="511"/>
      <c r="MI115" s="510">
        <f>+MI111+MI112+MI113+MI114</f>
        <v>1810823028.2002692</v>
      </c>
      <c r="MJ115" s="511"/>
      <c r="MK115" s="510">
        <f>+MK111+MK112+MK113+MK114</f>
        <v>1750657215.1645072</v>
      </c>
      <c r="ML115" s="511"/>
      <c r="MM115" s="510">
        <f>+MM111+MM112+MM113+MM114</f>
        <v>1766938812.009918</v>
      </c>
      <c r="MN115" s="511"/>
      <c r="MO115" s="510">
        <f>+MO111+MO112+MO113+MO114</f>
        <v>1771744269.1036777</v>
      </c>
      <c r="MP115" s="511"/>
      <c r="MQ115" s="510">
        <f>+MQ111+MQ112+MQ113+MQ114</f>
        <v>1758047385.7530341</v>
      </c>
      <c r="MR115" s="511"/>
      <c r="MS115" s="510">
        <f>+MS111+MS112+MS113+MS114</f>
        <v>1712918128.7545171</v>
      </c>
      <c r="MT115" s="511"/>
      <c r="MU115" s="510">
        <f>+MU111+MU112+MU113+MU114</f>
        <v>1816770376.3979802</v>
      </c>
      <c r="MV115" s="511"/>
      <c r="MW115" s="510">
        <f>+MW111+MW112+MW113+MW114</f>
        <v>1777134615.9815669</v>
      </c>
      <c r="MX115" s="511"/>
      <c r="MY115" s="510">
        <f>+MY111+MY112+MY113+MY114</f>
        <v>20026366889.492844</v>
      </c>
      <c r="MZ115" s="511"/>
    </row>
    <row r="116" spans="2:364" s="126" customFormat="1" ht="18" customHeight="1" thickTop="1" x14ac:dyDescent="0.3">
      <c r="G116" s="404"/>
      <c r="I116" s="399"/>
      <c r="K116" s="400"/>
      <c r="Z116" s="399"/>
      <c r="AB116" s="399"/>
      <c r="AD116" s="399"/>
      <c r="AF116" s="399"/>
      <c r="AH116" s="399"/>
      <c r="AJ116" s="405"/>
      <c r="AK116" s="406"/>
      <c r="AL116" s="405"/>
      <c r="AM116" s="407"/>
      <c r="AN116" s="405"/>
      <c r="AO116" s="408"/>
      <c r="AP116" s="405"/>
      <c r="AQ116" s="405"/>
      <c r="AR116" s="405"/>
      <c r="AS116" s="405"/>
      <c r="AT116" s="405"/>
      <c r="AU116" s="405"/>
      <c r="AV116" s="405"/>
      <c r="AW116" s="405"/>
      <c r="AX116" s="405"/>
      <c r="AY116" s="405"/>
      <c r="AZ116" s="405"/>
      <c r="BA116" s="405"/>
      <c r="BB116" s="405"/>
      <c r="BC116" s="405"/>
      <c r="BD116" s="405"/>
      <c r="BE116" s="405"/>
      <c r="BF116" s="405"/>
      <c r="BG116" s="405"/>
      <c r="BH116" s="405"/>
      <c r="BI116" s="405"/>
      <c r="BJ116" s="405"/>
      <c r="BK116" s="405"/>
      <c r="BL116" s="405"/>
      <c r="BM116" s="405"/>
      <c r="BN116" s="405"/>
      <c r="BO116" s="406"/>
      <c r="BP116" s="405"/>
      <c r="BQ116" s="407"/>
      <c r="BR116" s="405"/>
      <c r="BS116" s="408"/>
      <c r="BT116" s="405"/>
      <c r="BU116" s="405"/>
      <c r="BV116" s="405"/>
      <c r="BW116" s="405"/>
      <c r="BX116" s="405"/>
      <c r="BY116" s="405"/>
      <c r="BZ116" s="405"/>
      <c r="CA116" s="405"/>
      <c r="CB116" s="405"/>
      <c r="CC116" s="405"/>
      <c r="CD116" s="405"/>
      <c r="CE116" s="405"/>
      <c r="CF116" s="405"/>
      <c r="CG116" s="405"/>
      <c r="CH116" s="405"/>
      <c r="CI116" s="405"/>
      <c r="CJ116" s="405"/>
      <c r="CK116" s="405"/>
      <c r="CL116" s="405"/>
      <c r="CM116" s="405"/>
      <c r="CN116" s="405"/>
      <c r="CO116" s="405"/>
      <c r="CP116" s="405"/>
      <c r="CQ116" s="405"/>
      <c r="CR116" s="405"/>
      <c r="CS116" s="406"/>
      <c r="CT116" s="405"/>
      <c r="CU116" s="407"/>
      <c r="CV116" s="405"/>
      <c r="CW116" s="408"/>
      <c r="CX116" s="405"/>
      <c r="CY116" s="405"/>
      <c r="CZ116" s="407"/>
      <c r="DA116" s="405"/>
      <c r="DB116" s="407"/>
      <c r="DC116" s="405"/>
      <c r="DD116" s="407"/>
      <c r="DE116" s="405"/>
      <c r="DF116" s="407"/>
      <c r="DG116" s="405"/>
      <c r="DH116" s="407"/>
      <c r="DI116" s="405"/>
      <c r="DJ116" s="407"/>
      <c r="DK116" s="405"/>
      <c r="DL116" s="407"/>
      <c r="DM116" s="405"/>
      <c r="DN116" s="407"/>
      <c r="DO116" s="405"/>
      <c r="DP116" s="407"/>
      <c r="DQ116" s="405"/>
      <c r="DR116" s="407"/>
      <c r="DS116" s="405"/>
      <c r="DT116" s="407"/>
      <c r="DU116" s="405"/>
      <c r="DV116" s="405"/>
      <c r="DW116" s="406"/>
      <c r="DX116" s="405"/>
      <c r="DY116" s="407"/>
      <c r="DZ116" s="405"/>
      <c r="EA116" s="408"/>
      <c r="EB116" s="405"/>
      <c r="EC116" s="405"/>
      <c r="ED116" s="407"/>
      <c r="EE116" s="405"/>
      <c r="EF116" s="405"/>
      <c r="EG116" s="405"/>
      <c r="EH116" s="405"/>
      <c r="EI116" s="405"/>
      <c r="EJ116" s="405"/>
      <c r="EK116" s="405"/>
      <c r="EL116" s="405"/>
      <c r="EM116" s="405"/>
      <c r="EN116" s="405"/>
      <c r="EO116" s="405"/>
      <c r="EP116" s="405"/>
      <c r="EQ116" s="405"/>
      <c r="ER116" s="405"/>
      <c r="ES116" s="405"/>
      <c r="ET116" s="405"/>
      <c r="EU116" s="405"/>
      <c r="EV116" s="405"/>
      <c r="EW116" s="405"/>
      <c r="EX116" s="405"/>
      <c r="EY116" s="405"/>
      <c r="EZ116" s="405"/>
      <c r="FA116" s="406"/>
      <c r="FB116" s="405"/>
      <c r="FC116" s="407"/>
      <c r="FD116" s="405"/>
      <c r="FE116" s="405"/>
      <c r="FF116" s="405"/>
      <c r="FG116" s="405"/>
      <c r="FH116" s="409"/>
      <c r="FI116" s="405"/>
      <c r="FJ116" s="410"/>
      <c r="FK116" s="405"/>
      <c r="FL116" s="410"/>
      <c r="FM116" s="405"/>
      <c r="FN116" s="410"/>
      <c r="FO116" s="405"/>
      <c r="FP116" s="410"/>
      <c r="FQ116" s="405"/>
      <c r="FR116" s="410"/>
      <c r="FS116" s="405"/>
      <c r="FT116" s="410"/>
      <c r="FU116" s="405"/>
      <c r="FV116" s="410"/>
      <c r="FW116" s="405"/>
      <c r="FX116" s="410"/>
      <c r="FY116" s="405"/>
      <c r="FZ116" s="410"/>
      <c r="GA116" s="405"/>
      <c r="GB116" s="410"/>
      <c r="GC116" s="405"/>
      <c r="GD116" s="405"/>
      <c r="GE116" s="406"/>
      <c r="GF116" s="405"/>
      <c r="GG116" s="407"/>
      <c r="GH116" s="405"/>
      <c r="GI116" s="405"/>
      <c r="GJ116" s="405"/>
      <c r="GK116" s="405"/>
      <c r="GL116" s="405"/>
      <c r="GM116" s="405"/>
      <c r="GN116" s="405"/>
      <c r="GO116" s="405"/>
      <c r="GP116" s="405"/>
      <c r="GQ116" s="405"/>
      <c r="GR116" s="405"/>
      <c r="GS116" s="405"/>
      <c r="GT116" s="405"/>
      <c r="GU116" s="405"/>
      <c r="GV116" s="405"/>
      <c r="GW116" s="405"/>
      <c r="GX116" s="405"/>
      <c r="GY116" s="405"/>
      <c r="GZ116" s="405"/>
      <c r="HA116" s="405"/>
      <c r="HB116" s="405"/>
      <c r="HC116" s="405"/>
      <c r="HD116" s="405"/>
      <c r="HE116" s="405"/>
      <c r="HF116" s="405"/>
      <c r="HG116" s="405"/>
      <c r="HH116" s="405"/>
      <c r="HI116" s="498"/>
      <c r="HJ116" s="405"/>
      <c r="HK116" s="407"/>
      <c r="HL116" s="405"/>
      <c r="HM116" s="405"/>
      <c r="HN116" s="405"/>
      <c r="HO116" s="405"/>
      <c r="HP116" s="405"/>
      <c r="HQ116" s="405"/>
      <c r="HR116" s="405"/>
      <c r="HS116" s="405"/>
      <c r="HT116" s="405"/>
      <c r="HU116" s="405"/>
      <c r="HV116" s="405"/>
      <c r="HW116" s="405"/>
      <c r="HX116" s="405"/>
      <c r="HY116" s="405"/>
      <c r="HZ116" s="405"/>
      <c r="IA116" s="405"/>
      <c r="IB116" s="405"/>
      <c r="IC116" s="405"/>
      <c r="ID116" s="405"/>
      <c r="IE116" s="405"/>
      <c r="IF116" s="405"/>
      <c r="IG116" s="405"/>
      <c r="IH116" s="405"/>
      <c r="II116" s="405"/>
      <c r="IJ116" s="405"/>
      <c r="IK116" s="405"/>
      <c r="IL116" s="405"/>
      <c r="IM116" s="406"/>
      <c r="IN116" s="405"/>
      <c r="IO116" s="407"/>
      <c r="IP116" s="405"/>
      <c r="IQ116" s="405"/>
      <c r="IR116" s="405"/>
      <c r="IS116" s="405"/>
      <c r="IT116" s="405"/>
      <c r="IU116" s="405"/>
      <c r="IV116" s="405"/>
      <c r="IW116" s="405"/>
      <c r="IX116" s="405"/>
      <c r="IY116" s="405"/>
      <c r="IZ116" s="405"/>
      <c r="JA116" s="405"/>
      <c r="JB116" s="405"/>
      <c r="JC116" s="405"/>
      <c r="JD116" s="405"/>
      <c r="JE116" s="405"/>
      <c r="JF116" s="405"/>
      <c r="JG116" s="405"/>
      <c r="JH116" s="405"/>
      <c r="JI116" s="405"/>
      <c r="JJ116" s="405"/>
      <c r="JK116" s="405"/>
      <c r="JL116" s="405"/>
      <c r="JM116" s="405"/>
      <c r="JN116" s="405"/>
      <c r="JO116" s="405"/>
      <c r="JP116" s="405"/>
      <c r="JQ116" s="406"/>
      <c r="JR116" s="405"/>
      <c r="JS116" s="407"/>
      <c r="JT116" s="405"/>
      <c r="JU116" s="405"/>
      <c r="JV116" s="405"/>
      <c r="JW116" s="405"/>
      <c r="JX116" s="405"/>
      <c r="JY116" s="405"/>
      <c r="JZ116" s="405"/>
      <c r="KA116" s="405"/>
      <c r="KB116" s="405"/>
      <c r="KC116" s="405"/>
      <c r="KD116" s="405"/>
      <c r="KE116" s="405"/>
      <c r="KF116" s="405"/>
      <c r="KG116" s="405"/>
      <c r="KH116" s="405"/>
      <c r="KI116" s="405"/>
      <c r="KJ116" s="405"/>
      <c r="KK116" s="405"/>
      <c r="KL116" s="405"/>
      <c r="KM116" s="405"/>
      <c r="KN116" s="405"/>
      <c r="KO116" s="405"/>
      <c r="KP116" s="405"/>
      <c r="KQ116" s="405"/>
      <c r="KR116" s="405"/>
      <c r="KS116" s="405"/>
      <c r="KT116" s="405"/>
      <c r="KU116" s="406"/>
      <c r="KV116" s="405"/>
      <c r="KW116" s="405"/>
      <c r="KX116" s="405"/>
      <c r="KY116" s="406"/>
      <c r="KZ116" s="405"/>
      <c r="LA116" s="405"/>
      <c r="LB116" s="405"/>
      <c r="LC116" s="405"/>
      <c r="LD116" s="405"/>
      <c r="LE116" s="405"/>
      <c r="LF116" s="405"/>
      <c r="LG116" s="405"/>
      <c r="LH116" s="405"/>
      <c r="LI116" s="405"/>
      <c r="LJ116" s="405"/>
      <c r="LK116" s="405"/>
      <c r="LL116" s="405"/>
      <c r="LM116" s="405"/>
      <c r="LN116" s="405"/>
      <c r="LO116" s="405"/>
      <c r="LP116" s="405"/>
      <c r="LQ116" s="405"/>
      <c r="LR116" s="405"/>
      <c r="LS116" s="405"/>
      <c r="LT116" s="405"/>
      <c r="LU116" s="405"/>
      <c r="LV116" s="405"/>
      <c r="LW116" s="405"/>
      <c r="LX116" s="405"/>
      <c r="LY116" s="406"/>
      <c r="MA116" s="401"/>
      <c r="MB116" s="402"/>
      <c r="MC116" s="401"/>
      <c r="MD116" s="402"/>
      <c r="MF116" s="402"/>
      <c r="MH116" s="402"/>
      <c r="MJ116" s="402"/>
      <c r="ML116" s="402"/>
      <c r="MN116" s="402"/>
      <c r="MP116" s="402"/>
      <c r="MR116" s="402"/>
      <c r="MT116" s="402"/>
      <c r="MV116" s="402"/>
      <c r="MX116" s="402"/>
      <c r="MZ116" s="406"/>
    </row>
    <row r="117" spans="2:364" s="271" customFormat="1" ht="18" customHeight="1" x14ac:dyDescent="0.3">
      <c r="G117" s="404"/>
      <c r="I117" s="272"/>
      <c r="K117" s="273"/>
      <c r="Q117" s="274"/>
      <c r="Z117" s="272"/>
      <c r="AB117" s="272"/>
      <c r="AD117" s="272"/>
      <c r="AF117" s="272"/>
      <c r="AH117" s="272"/>
      <c r="AJ117" s="274"/>
      <c r="AK117" s="411"/>
      <c r="AM117" s="272"/>
      <c r="AO117" s="273"/>
      <c r="BN117" s="274"/>
      <c r="BO117" s="411"/>
      <c r="BQ117" s="272"/>
      <c r="BS117" s="273"/>
      <c r="CS117" s="411"/>
      <c r="CU117" s="272"/>
      <c r="CW117" s="273"/>
      <c r="CZ117" s="272"/>
      <c r="DB117" s="272"/>
      <c r="DD117" s="272"/>
      <c r="DF117" s="272"/>
      <c r="DH117" s="272"/>
      <c r="DJ117" s="272"/>
      <c r="DL117" s="272"/>
      <c r="DN117" s="272"/>
      <c r="DP117" s="272"/>
      <c r="DR117" s="272"/>
      <c r="DT117" s="272"/>
      <c r="DW117" s="458"/>
      <c r="DY117" s="272"/>
      <c r="EA117" s="273"/>
      <c r="ED117" s="272"/>
      <c r="EZ117" s="274"/>
      <c r="FA117" s="411"/>
      <c r="FC117" s="275"/>
      <c r="FH117" s="362"/>
      <c r="FJ117" s="360"/>
      <c r="FL117" s="360"/>
      <c r="FN117" s="360"/>
      <c r="FP117" s="360"/>
      <c r="FR117" s="360"/>
      <c r="FT117" s="360"/>
      <c r="FV117" s="360"/>
      <c r="FX117" s="360"/>
      <c r="FZ117" s="360"/>
      <c r="GB117" s="360"/>
      <c r="GD117" s="274"/>
      <c r="GE117" s="411"/>
      <c r="GG117" s="272"/>
      <c r="HI117" s="411"/>
      <c r="HK117" s="272"/>
      <c r="IM117" s="411"/>
      <c r="IO117" s="272"/>
      <c r="JQ117" s="411"/>
      <c r="JS117" s="272"/>
      <c r="KU117" s="411"/>
      <c r="LY117" s="411"/>
      <c r="MA117" s="401"/>
      <c r="MB117" s="274"/>
      <c r="MC117" s="401"/>
      <c r="MD117" s="274"/>
    </row>
    <row r="118" spans="2:364" s="271" customFormat="1" ht="19.95" customHeight="1" x14ac:dyDescent="0.3">
      <c r="I118" s="272"/>
      <c r="K118" s="273"/>
      <c r="Z118" s="272"/>
      <c r="AB118" s="272"/>
      <c r="AD118" s="272"/>
      <c r="AF118" s="272"/>
      <c r="AH118" s="272"/>
      <c r="AM118" s="272"/>
      <c r="AO118" s="273"/>
      <c r="BQ118" s="272"/>
      <c r="BS118" s="273"/>
      <c r="CU118" s="272"/>
      <c r="CW118" s="273"/>
      <c r="CZ118" s="272"/>
      <c r="DB118" s="272"/>
      <c r="DD118" s="272"/>
      <c r="DF118" s="272"/>
      <c r="DH118" s="272"/>
      <c r="DJ118" s="272"/>
      <c r="DL118" s="272"/>
      <c r="DN118" s="272"/>
      <c r="DP118" s="272"/>
      <c r="DR118" s="272"/>
      <c r="DT118" s="272"/>
      <c r="DY118" s="272"/>
      <c r="EA118" s="273"/>
      <c r="ED118" s="272"/>
      <c r="FC118" s="275"/>
      <c r="FH118" s="362"/>
      <c r="FJ118" s="360"/>
      <c r="FL118" s="360"/>
      <c r="FN118" s="360"/>
      <c r="FP118" s="360"/>
      <c r="FR118" s="360"/>
      <c r="FT118" s="360"/>
      <c r="FV118" s="360"/>
      <c r="FX118" s="360"/>
      <c r="FZ118" s="360"/>
      <c r="GB118" s="360"/>
      <c r="GG118" s="272"/>
      <c r="HH118" s="274"/>
      <c r="HK118" s="272"/>
      <c r="IL118" s="274"/>
      <c r="IO118" s="272"/>
      <c r="JP118" s="274"/>
      <c r="JS118" s="272"/>
      <c r="JU118" s="276"/>
      <c r="JW118" s="276"/>
      <c r="JX118" s="276"/>
      <c r="JY118" s="276"/>
      <c r="JZ118" s="276"/>
      <c r="KA118" s="276"/>
      <c r="KB118" s="276"/>
      <c r="KC118" s="276"/>
      <c r="KD118" s="276"/>
      <c r="KE118" s="276"/>
      <c r="KF118" s="276"/>
      <c r="KG118" s="276"/>
      <c r="KH118" s="276"/>
      <c r="KI118" s="276"/>
      <c r="KJ118" s="276"/>
      <c r="KK118" s="276"/>
      <c r="KM118" s="276"/>
      <c r="KO118" s="276"/>
      <c r="KQ118" s="276"/>
      <c r="KS118" s="276"/>
      <c r="KT118" s="274"/>
      <c r="LY118" s="414"/>
      <c r="MX118" s="403"/>
      <c r="MZ118" s="421"/>
    </row>
    <row r="119" spans="2:364" ht="15.6" x14ac:dyDescent="0.25">
      <c r="LY119" s="414"/>
      <c r="MW119" s="271"/>
      <c r="MX119" s="403"/>
      <c r="MY119" s="271"/>
      <c r="MZ119" s="477"/>
    </row>
    <row r="120" spans="2:364" ht="21" customHeight="1" x14ac:dyDescent="0.25">
      <c r="LY120" s="414"/>
      <c r="MX120" s="403"/>
      <c r="MY120" s="478"/>
      <c r="MZ120" s="477"/>
    </row>
    <row r="121" spans="2:364" ht="15.6" x14ac:dyDescent="0.25">
      <c r="LY121" s="414"/>
      <c r="LZ121" s="414"/>
      <c r="MX121" s="403"/>
      <c r="MY121" s="478"/>
      <c r="MZ121" s="479"/>
    </row>
  </sheetData>
  <mergeCells count="1007">
    <mergeCell ref="EV112:EW112"/>
    <mergeCell ref="ET112:EU112"/>
    <mergeCell ref="ER112:ES112"/>
    <mergeCell ref="EP112:EQ112"/>
    <mergeCell ref="EN112:EO112"/>
    <mergeCell ref="EL112:EM112"/>
    <mergeCell ref="EZ112:FA112"/>
    <mergeCell ref="EX112:EY112"/>
    <mergeCell ref="EZ111:FA111"/>
    <mergeCell ref="ER2:ES2"/>
    <mergeCell ref="EP2:EQ2"/>
    <mergeCell ref="EN2:EO2"/>
    <mergeCell ref="EL2:EM2"/>
    <mergeCell ref="EJ2:EK2"/>
    <mergeCell ref="EH2:EI2"/>
    <mergeCell ref="EZ2:FA2"/>
    <mergeCell ref="EX2:EY2"/>
    <mergeCell ref="EV2:EW2"/>
    <mergeCell ref="ET2:EU2"/>
    <mergeCell ref="EN111:EO111"/>
    <mergeCell ref="EP111:EQ111"/>
    <mergeCell ref="ER111:ES111"/>
    <mergeCell ref="ET111:EU111"/>
    <mergeCell ref="EV111:EW111"/>
    <mergeCell ref="EX111:EY111"/>
    <mergeCell ref="EH111:EI111"/>
    <mergeCell ref="EJ111:EK111"/>
    <mergeCell ref="EL111:EM111"/>
    <mergeCell ref="I2:K2"/>
    <mergeCell ref="L2:M2"/>
    <mergeCell ref="N2:O2"/>
    <mergeCell ref="P2:Q2"/>
    <mergeCell ref="R2:S2"/>
    <mergeCell ref="T2:U2"/>
    <mergeCell ref="AV2:AW2"/>
    <mergeCell ref="AX2:AY2"/>
    <mergeCell ref="AZ2:BA2"/>
    <mergeCell ref="BB2:BC2"/>
    <mergeCell ref="BD2:BE2"/>
    <mergeCell ref="BF2:BG2"/>
    <mergeCell ref="AH2:AI2"/>
    <mergeCell ref="AJ2:AK2"/>
    <mergeCell ref="AM2:AO2"/>
    <mergeCell ref="AP2:AQ2"/>
    <mergeCell ref="AR2:AS2"/>
    <mergeCell ref="AT2:AU2"/>
    <mergeCell ref="V2:W2"/>
    <mergeCell ref="X2:Y2"/>
    <mergeCell ref="Z2:AA2"/>
    <mergeCell ref="AB2:AC2"/>
    <mergeCell ref="AD2:AE2"/>
    <mergeCell ref="AF2:AG2"/>
    <mergeCell ref="CH2:CI2"/>
    <mergeCell ref="CJ2:CK2"/>
    <mergeCell ref="CL2:CM2"/>
    <mergeCell ref="CN2:CO2"/>
    <mergeCell ref="CP2:CQ2"/>
    <mergeCell ref="CR2:CS2"/>
    <mergeCell ref="BV2:BW2"/>
    <mergeCell ref="BX2:BY2"/>
    <mergeCell ref="BZ2:CA2"/>
    <mergeCell ref="CB2:CC2"/>
    <mergeCell ref="CD2:CE2"/>
    <mergeCell ref="CF2:CG2"/>
    <mergeCell ref="BH2:BI2"/>
    <mergeCell ref="BJ2:BK2"/>
    <mergeCell ref="BL2:BM2"/>
    <mergeCell ref="BN2:BO2"/>
    <mergeCell ref="BQ2:BS2"/>
    <mergeCell ref="BT2:BU2"/>
    <mergeCell ref="DT2:DU2"/>
    <mergeCell ref="DV2:DW2"/>
    <mergeCell ref="DH2:DI2"/>
    <mergeCell ref="DJ2:DK2"/>
    <mergeCell ref="DL2:DM2"/>
    <mergeCell ref="DN2:DO2"/>
    <mergeCell ref="DP2:DQ2"/>
    <mergeCell ref="DR2:DS2"/>
    <mergeCell ref="CU2:CW2"/>
    <mergeCell ref="CX2:CY2"/>
    <mergeCell ref="CZ2:DA2"/>
    <mergeCell ref="DB2:DC2"/>
    <mergeCell ref="DD2:DE2"/>
    <mergeCell ref="DF2:DG2"/>
    <mergeCell ref="FH2:FI2"/>
    <mergeCell ref="FJ2:FK2"/>
    <mergeCell ref="FL2:FM2"/>
    <mergeCell ref="EF2:EG2"/>
    <mergeCell ref="ED2:EE2"/>
    <mergeCell ref="EB2:EC2"/>
    <mergeCell ref="DY2:EA2"/>
    <mergeCell ref="FN2:FO2"/>
    <mergeCell ref="FP2:FQ2"/>
    <mergeCell ref="FR2:FS2"/>
    <mergeCell ref="FC2:FE2"/>
    <mergeCell ref="FF2:FG2"/>
    <mergeCell ref="GT2:GU2"/>
    <mergeCell ref="GV2:GW2"/>
    <mergeCell ref="GX2:GY2"/>
    <mergeCell ref="GZ2:HA2"/>
    <mergeCell ref="HB2:HC2"/>
    <mergeCell ref="HD2:HE2"/>
    <mergeCell ref="GG2:GI2"/>
    <mergeCell ref="GJ2:GK2"/>
    <mergeCell ref="GL2:GM2"/>
    <mergeCell ref="GN2:GO2"/>
    <mergeCell ref="GP2:GQ2"/>
    <mergeCell ref="GR2:GS2"/>
    <mergeCell ref="FT2:FU2"/>
    <mergeCell ref="FV2:FW2"/>
    <mergeCell ref="FX2:FY2"/>
    <mergeCell ref="FZ2:GA2"/>
    <mergeCell ref="GB2:GC2"/>
    <mergeCell ref="GD2:GE2"/>
    <mergeCell ref="IF2:IG2"/>
    <mergeCell ref="IH2:II2"/>
    <mergeCell ref="IJ2:IK2"/>
    <mergeCell ref="IL2:IM2"/>
    <mergeCell ref="IO2:IQ2"/>
    <mergeCell ref="IR2:IS2"/>
    <mergeCell ref="HT2:HU2"/>
    <mergeCell ref="HV2:HW2"/>
    <mergeCell ref="HX2:HY2"/>
    <mergeCell ref="HZ2:IA2"/>
    <mergeCell ref="IB2:IC2"/>
    <mergeCell ref="ID2:IE2"/>
    <mergeCell ref="HF2:HG2"/>
    <mergeCell ref="HH2:HI2"/>
    <mergeCell ref="HK2:HM2"/>
    <mergeCell ref="HN2:HO2"/>
    <mergeCell ref="HP2:HQ2"/>
    <mergeCell ref="HR2:HS2"/>
    <mergeCell ref="KJ2:KK2"/>
    <mergeCell ref="KL2:KM2"/>
    <mergeCell ref="KN2:KO2"/>
    <mergeCell ref="KP2:KQ2"/>
    <mergeCell ref="JS2:JU2"/>
    <mergeCell ref="JV2:JW2"/>
    <mergeCell ref="JX2:JY2"/>
    <mergeCell ref="JZ2:KA2"/>
    <mergeCell ref="KB2:KC2"/>
    <mergeCell ref="KD2:KE2"/>
    <mergeCell ref="JF2:JG2"/>
    <mergeCell ref="JH2:JI2"/>
    <mergeCell ref="JJ2:JK2"/>
    <mergeCell ref="JL2:JM2"/>
    <mergeCell ref="JN2:JO2"/>
    <mergeCell ref="JP2:JQ2"/>
    <mergeCell ref="IT2:IU2"/>
    <mergeCell ref="IV2:IW2"/>
    <mergeCell ref="IX2:IY2"/>
    <mergeCell ref="IZ2:JA2"/>
    <mergeCell ref="JB2:JC2"/>
    <mergeCell ref="JD2:JE2"/>
    <mergeCell ref="MQ2:MR2"/>
    <mergeCell ref="MS2:MT2"/>
    <mergeCell ref="MU2:MV2"/>
    <mergeCell ref="MW2:MX2"/>
    <mergeCell ref="MY2:MZ2"/>
    <mergeCell ref="A4:A18"/>
    <mergeCell ref="ME2:MF2"/>
    <mergeCell ref="MG2:MH2"/>
    <mergeCell ref="MI2:MJ2"/>
    <mergeCell ref="MK2:ML2"/>
    <mergeCell ref="MM2:MN2"/>
    <mergeCell ref="MO2:MP2"/>
    <mergeCell ref="LR2:LS2"/>
    <mergeCell ref="LT2:LU2"/>
    <mergeCell ref="LV2:LW2"/>
    <mergeCell ref="LX2:LY2"/>
    <mergeCell ref="MA2:MB2"/>
    <mergeCell ref="MC2:MD2"/>
    <mergeCell ref="LF2:LG2"/>
    <mergeCell ref="LH2:LI2"/>
    <mergeCell ref="LJ2:LK2"/>
    <mergeCell ref="LL2:LM2"/>
    <mergeCell ref="LN2:LO2"/>
    <mergeCell ref="LP2:LQ2"/>
    <mergeCell ref="KR2:KS2"/>
    <mergeCell ref="KT2:KU2"/>
    <mergeCell ref="KW2:KY2"/>
    <mergeCell ref="KZ2:LA2"/>
    <mergeCell ref="LB2:LC2"/>
    <mergeCell ref="LD2:LE2"/>
    <mergeCell ref="KF2:KG2"/>
    <mergeCell ref="KH2:KI2"/>
    <mergeCell ref="AB111:AC111"/>
    <mergeCell ref="AD111:AE111"/>
    <mergeCell ref="AF111:AG111"/>
    <mergeCell ref="AH111:AI111"/>
    <mergeCell ref="AJ111:AK111"/>
    <mergeCell ref="AN111:AO111"/>
    <mergeCell ref="P111:Q111"/>
    <mergeCell ref="R111:S111"/>
    <mergeCell ref="T111:U111"/>
    <mergeCell ref="V111:W111"/>
    <mergeCell ref="X111:Y111"/>
    <mergeCell ref="Z111:AA111"/>
    <mergeCell ref="A19:A40"/>
    <mergeCell ref="A41:A54"/>
    <mergeCell ref="A55:A110"/>
    <mergeCell ref="J111:K111"/>
    <mergeCell ref="L111:M111"/>
    <mergeCell ref="N111:O111"/>
    <mergeCell ref="BN111:BO111"/>
    <mergeCell ref="BR111:BS111"/>
    <mergeCell ref="BT111:BU111"/>
    <mergeCell ref="BV111:BW111"/>
    <mergeCell ref="BX111:BY111"/>
    <mergeCell ref="BZ111:CA111"/>
    <mergeCell ref="BB111:BC111"/>
    <mergeCell ref="BD111:BE111"/>
    <mergeCell ref="BF111:BG111"/>
    <mergeCell ref="BH111:BI111"/>
    <mergeCell ref="BJ111:BK111"/>
    <mergeCell ref="BL111:BM111"/>
    <mergeCell ref="AP111:AQ111"/>
    <mergeCell ref="AR111:AS111"/>
    <mergeCell ref="AT111:AU111"/>
    <mergeCell ref="AV111:AW111"/>
    <mergeCell ref="AX111:AY111"/>
    <mergeCell ref="AZ111:BA111"/>
    <mergeCell ref="DB111:DC111"/>
    <mergeCell ref="DD111:DE111"/>
    <mergeCell ref="DF111:DG111"/>
    <mergeCell ref="DH111:DI111"/>
    <mergeCell ref="DJ111:DK111"/>
    <mergeCell ref="DL111:DM111"/>
    <mergeCell ref="CN111:CO111"/>
    <mergeCell ref="CP111:CQ111"/>
    <mergeCell ref="CR111:CS111"/>
    <mergeCell ref="CV111:CW111"/>
    <mergeCell ref="CX111:CY111"/>
    <mergeCell ref="CZ111:DA111"/>
    <mergeCell ref="CB111:CC111"/>
    <mergeCell ref="CD111:CE111"/>
    <mergeCell ref="CF111:CG111"/>
    <mergeCell ref="CH111:CI111"/>
    <mergeCell ref="CJ111:CK111"/>
    <mergeCell ref="CL111:CM111"/>
    <mergeCell ref="DN111:DO111"/>
    <mergeCell ref="DP111:DQ111"/>
    <mergeCell ref="DR111:DS111"/>
    <mergeCell ref="DT111:DU111"/>
    <mergeCell ref="DV111:DW111"/>
    <mergeCell ref="DZ111:EA111"/>
    <mergeCell ref="FZ111:GA111"/>
    <mergeCell ref="GB111:GC111"/>
    <mergeCell ref="GD111:GE111"/>
    <mergeCell ref="GH111:GI111"/>
    <mergeCell ref="GJ111:GK111"/>
    <mergeCell ref="GL111:GM111"/>
    <mergeCell ref="FN111:FO111"/>
    <mergeCell ref="FP111:FQ111"/>
    <mergeCell ref="FR111:FS111"/>
    <mergeCell ref="FT111:FU111"/>
    <mergeCell ref="FV111:FW111"/>
    <mergeCell ref="FX111:FY111"/>
    <mergeCell ref="FD111:FE111"/>
    <mergeCell ref="FF111:FG111"/>
    <mergeCell ref="FH111:FI111"/>
    <mergeCell ref="FJ111:FK111"/>
    <mergeCell ref="FL111:FM111"/>
    <mergeCell ref="EB111:EC111"/>
    <mergeCell ref="ED111:EE111"/>
    <mergeCell ref="EF111:EG111"/>
    <mergeCell ref="HN111:HO111"/>
    <mergeCell ref="HP111:HQ111"/>
    <mergeCell ref="HR111:HS111"/>
    <mergeCell ref="HT111:HU111"/>
    <mergeCell ref="HV111:HW111"/>
    <mergeCell ref="HX111:HY111"/>
    <mergeCell ref="GZ111:HA111"/>
    <mergeCell ref="HB111:HC111"/>
    <mergeCell ref="HD111:HE111"/>
    <mergeCell ref="HF111:HG111"/>
    <mergeCell ref="HH111:HI111"/>
    <mergeCell ref="HL111:HM111"/>
    <mergeCell ref="GN111:GO111"/>
    <mergeCell ref="GP111:GQ111"/>
    <mergeCell ref="GR111:GS111"/>
    <mergeCell ref="GT111:GU111"/>
    <mergeCell ref="GV111:GW111"/>
    <mergeCell ref="GX111:GY111"/>
    <mergeCell ref="IZ111:JA111"/>
    <mergeCell ref="JB111:JC111"/>
    <mergeCell ref="JD111:JE111"/>
    <mergeCell ref="JF111:JG111"/>
    <mergeCell ref="JH111:JI111"/>
    <mergeCell ref="JJ111:JK111"/>
    <mergeCell ref="IL111:IM111"/>
    <mergeCell ref="IP111:IQ111"/>
    <mergeCell ref="IR111:IS111"/>
    <mergeCell ref="IT111:IU111"/>
    <mergeCell ref="IV111:IW111"/>
    <mergeCell ref="IX111:IY111"/>
    <mergeCell ref="HZ111:IA111"/>
    <mergeCell ref="IB111:IC111"/>
    <mergeCell ref="ID111:IE111"/>
    <mergeCell ref="IF111:IG111"/>
    <mergeCell ref="IH111:II111"/>
    <mergeCell ref="IJ111:IK111"/>
    <mergeCell ref="LH111:LI111"/>
    <mergeCell ref="LJ111:LK111"/>
    <mergeCell ref="KL111:KM111"/>
    <mergeCell ref="KN111:KO111"/>
    <mergeCell ref="KP111:KQ111"/>
    <mergeCell ref="KR111:KS111"/>
    <mergeCell ref="KT111:KU111"/>
    <mergeCell ref="KX111:KY111"/>
    <mergeCell ref="JZ111:KA111"/>
    <mergeCell ref="KB111:KC111"/>
    <mergeCell ref="KD111:KE111"/>
    <mergeCell ref="KF111:KG111"/>
    <mergeCell ref="KH111:KI111"/>
    <mergeCell ref="KJ111:KK111"/>
    <mergeCell ref="JL111:JM111"/>
    <mergeCell ref="JN111:JO111"/>
    <mergeCell ref="JP111:JQ111"/>
    <mergeCell ref="JT111:JU111"/>
    <mergeCell ref="JV111:JW111"/>
    <mergeCell ref="JX111:JY111"/>
    <mergeCell ref="MW111:MX111"/>
    <mergeCell ref="MY111:MZ111"/>
    <mergeCell ref="J112:K112"/>
    <mergeCell ref="L112:M112"/>
    <mergeCell ref="N112:O112"/>
    <mergeCell ref="P112:Q112"/>
    <mergeCell ref="R112:S112"/>
    <mergeCell ref="T112:U112"/>
    <mergeCell ref="V112:W112"/>
    <mergeCell ref="X112:Y112"/>
    <mergeCell ref="MK111:ML111"/>
    <mergeCell ref="MM111:MN111"/>
    <mergeCell ref="MO111:MP111"/>
    <mergeCell ref="MQ111:MR111"/>
    <mergeCell ref="MS111:MT111"/>
    <mergeCell ref="MU111:MV111"/>
    <mergeCell ref="LX111:LY111"/>
    <mergeCell ref="MA111:MB111"/>
    <mergeCell ref="MC111:MD111"/>
    <mergeCell ref="ME111:MF111"/>
    <mergeCell ref="MG111:MH111"/>
    <mergeCell ref="MI111:MJ111"/>
    <mergeCell ref="LL111:LM111"/>
    <mergeCell ref="LN111:LO111"/>
    <mergeCell ref="LP111:LQ111"/>
    <mergeCell ref="LR111:LS111"/>
    <mergeCell ref="LT111:LU111"/>
    <mergeCell ref="LV111:LW111"/>
    <mergeCell ref="KZ111:LA111"/>
    <mergeCell ref="LB111:LC111"/>
    <mergeCell ref="LD111:LE111"/>
    <mergeCell ref="LF111:LG111"/>
    <mergeCell ref="AZ112:BA112"/>
    <mergeCell ref="BB112:BC112"/>
    <mergeCell ref="BD112:BE112"/>
    <mergeCell ref="BF112:BG112"/>
    <mergeCell ref="BH112:BI112"/>
    <mergeCell ref="BJ112:BK112"/>
    <mergeCell ref="AN112:AO112"/>
    <mergeCell ref="AP112:AQ112"/>
    <mergeCell ref="AR112:AS112"/>
    <mergeCell ref="AT112:AU112"/>
    <mergeCell ref="AV112:AW112"/>
    <mergeCell ref="AX112:AY112"/>
    <mergeCell ref="Z112:AA112"/>
    <mergeCell ref="AB112:AC112"/>
    <mergeCell ref="AD112:AE112"/>
    <mergeCell ref="AF112:AG112"/>
    <mergeCell ref="AH112:AI112"/>
    <mergeCell ref="AJ112:AK112"/>
    <mergeCell ref="CL112:CM112"/>
    <mergeCell ref="CN112:CO112"/>
    <mergeCell ref="CP112:CQ112"/>
    <mergeCell ref="CR112:CS112"/>
    <mergeCell ref="CV112:CW112"/>
    <mergeCell ref="CX112:CY112"/>
    <mergeCell ref="BZ112:CA112"/>
    <mergeCell ref="CB112:CC112"/>
    <mergeCell ref="CD112:CE112"/>
    <mergeCell ref="CF112:CG112"/>
    <mergeCell ref="CH112:CI112"/>
    <mergeCell ref="CJ112:CK112"/>
    <mergeCell ref="BL112:BM112"/>
    <mergeCell ref="BN112:BO112"/>
    <mergeCell ref="BR112:BS112"/>
    <mergeCell ref="BT112:BU112"/>
    <mergeCell ref="BV112:BW112"/>
    <mergeCell ref="BX112:BY112"/>
    <mergeCell ref="DZ112:EA112"/>
    <mergeCell ref="EB112:EC112"/>
    <mergeCell ref="ED112:EE112"/>
    <mergeCell ref="EF112:EG112"/>
    <mergeCell ref="EH112:EI112"/>
    <mergeCell ref="EJ112:EK112"/>
    <mergeCell ref="DL112:DM112"/>
    <mergeCell ref="DN112:DO112"/>
    <mergeCell ref="DP112:DQ112"/>
    <mergeCell ref="DR112:DS112"/>
    <mergeCell ref="DT112:DU112"/>
    <mergeCell ref="DV112:DW112"/>
    <mergeCell ref="CZ112:DA112"/>
    <mergeCell ref="DB112:DC112"/>
    <mergeCell ref="DD112:DE112"/>
    <mergeCell ref="DF112:DG112"/>
    <mergeCell ref="DH112:DI112"/>
    <mergeCell ref="DJ112:DK112"/>
    <mergeCell ref="FL112:FM112"/>
    <mergeCell ref="FN112:FO112"/>
    <mergeCell ref="FP112:FQ112"/>
    <mergeCell ref="FR112:FS112"/>
    <mergeCell ref="FT112:FU112"/>
    <mergeCell ref="FV112:FW112"/>
    <mergeCell ref="FD112:FE112"/>
    <mergeCell ref="FF112:FG112"/>
    <mergeCell ref="FH112:FI112"/>
    <mergeCell ref="FJ112:FK112"/>
    <mergeCell ref="GX112:GY112"/>
    <mergeCell ref="GZ112:HA112"/>
    <mergeCell ref="HB112:HC112"/>
    <mergeCell ref="HD112:HE112"/>
    <mergeCell ref="HF112:HG112"/>
    <mergeCell ref="HH112:HI112"/>
    <mergeCell ref="GL112:GM112"/>
    <mergeCell ref="GN112:GO112"/>
    <mergeCell ref="GP112:GQ112"/>
    <mergeCell ref="GR112:GS112"/>
    <mergeCell ref="GT112:GU112"/>
    <mergeCell ref="GV112:GW112"/>
    <mergeCell ref="FX112:FY112"/>
    <mergeCell ref="FZ112:GA112"/>
    <mergeCell ref="GB112:GC112"/>
    <mergeCell ref="GD112:GE112"/>
    <mergeCell ref="GH112:GI112"/>
    <mergeCell ref="GJ112:GK112"/>
    <mergeCell ref="IJ112:IK112"/>
    <mergeCell ref="IL112:IM112"/>
    <mergeCell ref="IP112:IQ112"/>
    <mergeCell ref="IR112:IS112"/>
    <mergeCell ref="IT112:IU112"/>
    <mergeCell ref="IV112:IW112"/>
    <mergeCell ref="HX112:HY112"/>
    <mergeCell ref="HZ112:IA112"/>
    <mergeCell ref="IB112:IC112"/>
    <mergeCell ref="ID112:IE112"/>
    <mergeCell ref="IF112:IG112"/>
    <mergeCell ref="IH112:II112"/>
    <mergeCell ref="HL112:HM112"/>
    <mergeCell ref="HN112:HO112"/>
    <mergeCell ref="HP112:HQ112"/>
    <mergeCell ref="HR112:HS112"/>
    <mergeCell ref="HT112:HU112"/>
    <mergeCell ref="HV112:HW112"/>
    <mergeCell ref="JX112:JY112"/>
    <mergeCell ref="JZ112:KA112"/>
    <mergeCell ref="KB112:KC112"/>
    <mergeCell ref="KD112:KE112"/>
    <mergeCell ref="KF112:KG112"/>
    <mergeCell ref="KH112:KI112"/>
    <mergeCell ref="JJ112:JK112"/>
    <mergeCell ref="JL112:JM112"/>
    <mergeCell ref="JN112:JO112"/>
    <mergeCell ref="JP112:JQ112"/>
    <mergeCell ref="JT112:JU112"/>
    <mergeCell ref="JV112:JW112"/>
    <mergeCell ref="IX112:IY112"/>
    <mergeCell ref="IZ112:JA112"/>
    <mergeCell ref="JB112:JC112"/>
    <mergeCell ref="JD112:JE112"/>
    <mergeCell ref="JF112:JG112"/>
    <mergeCell ref="JH112:JI112"/>
    <mergeCell ref="ME112:MF112"/>
    <mergeCell ref="MG112:MH112"/>
    <mergeCell ref="LJ112:LK112"/>
    <mergeCell ref="LL112:LM112"/>
    <mergeCell ref="LN112:LO112"/>
    <mergeCell ref="LP112:LQ112"/>
    <mergeCell ref="LR112:LS112"/>
    <mergeCell ref="LT112:LU112"/>
    <mergeCell ref="KX112:KY112"/>
    <mergeCell ref="KZ112:LA112"/>
    <mergeCell ref="LB112:LC112"/>
    <mergeCell ref="LD112:LE112"/>
    <mergeCell ref="LF112:LG112"/>
    <mergeCell ref="LH112:LI112"/>
    <mergeCell ref="KJ112:KK112"/>
    <mergeCell ref="KL112:KM112"/>
    <mergeCell ref="KN112:KO112"/>
    <mergeCell ref="KP112:KQ112"/>
    <mergeCell ref="KR112:KS112"/>
    <mergeCell ref="KT112:KU112"/>
    <mergeCell ref="AJ113:AK113"/>
    <mergeCell ref="AN113:AO113"/>
    <mergeCell ref="AP113:AQ113"/>
    <mergeCell ref="AR113:AS113"/>
    <mergeCell ref="AT113:AU113"/>
    <mergeCell ref="AV113:AW113"/>
    <mergeCell ref="X113:Y113"/>
    <mergeCell ref="Z113:AA113"/>
    <mergeCell ref="AB113:AC113"/>
    <mergeCell ref="AD113:AE113"/>
    <mergeCell ref="AF113:AG113"/>
    <mergeCell ref="AH113:AI113"/>
    <mergeCell ref="MU112:MV112"/>
    <mergeCell ref="MW112:MX112"/>
    <mergeCell ref="MY112:MZ112"/>
    <mergeCell ref="J113:K113"/>
    <mergeCell ref="L113:M113"/>
    <mergeCell ref="N113:O113"/>
    <mergeCell ref="P113:Q113"/>
    <mergeCell ref="R113:S113"/>
    <mergeCell ref="T113:U113"/>
    <mergeCell ref="V113:W113"/>
    <mergeCell ref="MI112:MJ112"/>
    <mergeCell ref="MK112:ML112"/>
    <mergeCell ref="MM112:MN112"/>
    <mergeCell ref="MO112:MP112"/>
    <mergeCell ref="MQ112:MR112"/>
    <mergeCell ref="MS112:MT112"/>
    <mergeCell ref="LV112:LW112"/>
    <mergeCell ref="LX112:LY112"/>
    <mergeCell ref="MA112:MB112"/>
    <mergeCell ref="MC112:MD112"/>
    <mergeCell ref="BX113:BY113"/>
    <mergeCell ref="BZ113:CA113"/>
    <mergeCell ref="CB113:CC113"/>
    <mergeCell ref="CD113:CE113"/>
    <mergeCell ref="CF113:CG113"/>
    <mergeCell ref="CH113:CI113"/>
    <mergeCell ref="BJ113:BK113"/>
    <mergeCell ref="BL113:BM113"/>
    <mergeCell ref="BN113:BO113"/>
    <mergeCell ref="BR113:BS113"/>
    <mergeCell ref="BT113:BU113"/>
    <mergeCell ref="BV113:BW113"/>
    <mergeCell ref="AX113:AY113"/>
    <mergeCell ref="AZ113:BA113"/>
    <mergeCell ref="BB113:BC113"/>
    <mergeCell ref="BD113:BE113"/>
    <mergeCell ref="BF113:BG113"/>
    <mergeCell ref="BH113:BI113"/>
    <mergeCell ref="DJ113:DK113"/>
    <mergeCell ref="DL113:DM113"/>
    <mergeCell ref="DN113:DO113"/>
    <mergeCell ref="DP113:DQ113"/>
    <mergeCell ref="DR113:DS113"/>
    <mergeCell ref="DT113:DU113"/>
    <mergeCell ref="CX113:CY113"/>
    <mergeCell ref="CZ113:DA113"/>
    <mergeCell ref="DB113:DC113"/>
    <mergeCell ref="DD113:DE113"/>
    <mergeCell ref="DF113:DG113"/>
    <mergeCell ref="DH113:DI113"/>
    <mergeCell ref="CJ113:CK113"/>
    <mergeCell ref="CL113:CM113"/>
    <mergeCell ref="CN113:CO113"/>
    <mergeCell ref="CP113:CQ113"/>
    <mergeCell ref="CR113:CS113"/>
    <mergeCell ref="CV113:CW113"/>
    <mergeCell ref="EV113:EW113"/>
    <mergeCell ref="EX113:EY113"/>
    <mergeCell ref="EZ113:FA113"/>
    <mergeCell ref="FD113:FE113"/>
    <mergeCell ref="FF113:FG113"/>
    <mergeCell ref="FH113:FI113"/>
    <mergeCell ref="EJ113:EK113"/>
    <mergeCell ref="EL113:EM113"/>
    <mergeCell ref="EN113:EO113"/>
    <mergeCell ref="EP113:EQ113"/>
    <mergeCell ref="ER113:ES113"/>
    <mergeCell ref="ET113:EU113"/>
    <mergeCell ref="DV113:DW113"/>
    <mergeCell ref="DZ113:EA113"/>
    <mergeCell ref="EB113:EC113"/>
    <mergeCell ref="ED113:EE113"/>
    <mergeCell ref="EF113:EG113"/>
    <mergeCell ref="EH113:EI113"/>
    <mergeCell ref="GJ113:GK113"/>
    <mergeCell ref="GL113:GM113"/>
    <mergeCell ref="GN113:GO113"/>
    <mergeCell ref="GP113:GQ113"/>
    <mergeCell ref="GR113:GS113"/>
    <mergeCell ref="GT113:GU113"/>
    <mergeCell ref="FV113:FW113"/>
    <mergeCell ref="FX113:FY113"/>
    <mergeCell ref="FZ113:GA113"/>
    <mergeCell ref="GB113:GC113"/>
    <mergeCell ref="GD113:GE113"/>
    <mergeCell ref="GH113:GI113"/>
    <mergeCell ref="FJ113:FK113"/>
    <mergeCell ref="FL113:FM113"/>
    <mergeCell ref="FN113:FO113"/>
    <mergeCell ref="FP113:FQ113"/>
    <mergeCell ref="FR113:FS113"/>
    <mergeCell ref="FT113:FU113"/>
    <mergeCell ref="HV113:HW113"/>
    <mergeCell ref="HX113:HY113"/>
    <mergeCell ref="HZ113:IA113"/>
    <mergeCell ref="IB113:IC113"/>
    <mergeCell ref="ID113:IE113"/>
    <mergeCell ref="IF113:IG113"/>
    <mergeCell ref="HH113:HI113"/>
    <mergeCell ref="HL113:HM113"/>
    <mergeCell ref="HN113:HO113"/>
    <mergeCell ref="HP113:HQ113"/>
    <mergeCell ref="HR113:HS113"/>
    <mergeCell ref="HT113:HU113"/>
    <mergeCell ref="GV113:GW113"/>
    <mergeCell ref="GX113:GY113"/>
    <mergeCell ref="GZ113:HA113"/>
    <mergeCell ref="HB113:HC113"/>
    <mergeCell ref="HD113:HE113"/>
    <mergeCell ref="HF113:HG113"/>
    <mergeCell ref="JH113:JI113"/>
    <mergeCell ref="JJ113:JK113"/>
    <mergeCell ref="JL113:JM113"/>
    <mergeCell ref="JN113:JO113"/>
    <mergeCell ref="JP113:JQ113"/>
    <mergeCell ref="JT113:JU113"/>
    <mergeCell ref="IV113:IW113"/>
    <mergeCell ref="IX113:IY113"/>
    <mergeCell ref="IZ113:JA113"/>
    <mergeCell ref="JB113:JC113"/>
    <mergeCell ref="JD113:JE113"/>
    <mergeCell ref="JF113:JG113"/>
    <mergeCell ref="IH113:II113"/>
    <mergeCell ref="IJ113:IK113"/>
    <mergeCell ref="IL113:IM113"/>
    <mergeCell ref="IP113:IQ113"/>
    <mergeCell ref="IR113:IS113"/>
    <mergeCell ref="IT113:IU113"/>
    <mergeCell ref="LP113:LQ113"/>
    <mergeCell ref="LR113:LS113"/>
    <mergeCell ref="KT113:KU113"/>
    <mergeCell ref="KX113:KY113"/>
    <mergeCell ref="KZ113:LA113"/>
    <mergeCell ref="LB113:LC113"/>
    <mergeCell ref="LD113:LE113"/>
    <mergeCell ref="LF113:LG113"/>
    <mergeCell ref="KH113:KI113"/>
    <mergeCell ref="KJ113:KK113"/>
    <mergeCell ref="KL113:KM113"/>
    <mergeCell ref="KN113:KO113"/>
    <mergeCell ref="KP113:KQ113"/>
    <mergeCell ref="KR113:KS113"/>
    <mergeCell ref="JV113:JW113"/>
    <mergeCell ref="JX113:JY113"/>
    <mergeCell ref="JZ113:KA113"/>
    <mergeCell ref="KB113:KC113"/>
    <mergeCell ref="KD113:KE113"/>
    <mergeCell ref="KF113:KG113"/>
    <mergeCell ref="V114:W114"/>
    <mergeCell ref="X114:Y114"/>
    <mergeCell ref="Z114:AA114"/>
    <mergeCell ref="AB114:AC114"/>
    <mergeCell ref="AD114:AE114"/>
    <mergeCell ref="AF114:AG114"/>
    <mergeCell ref="MS113:MT113"/>
    <mergeCell ref="MU113:MV113"/>
    <mergeCell ref="MW113:MX113"/>
    <mergeCell ref="MY113:MZ113"/>
    <mergeCell ref="J114:K114"/>
    <mergeCell ref="L114:M114"/>
    <mergeCell ref="N114:O114"/>
    <mergeCell ref="P114:Q114"/>
    <mergeCell ref="R114:S114"/>
    <mergeCell ref="T114:U114"/>
    <mergeCell ref="MG113:MH113"/>
    <mergeCell ref="MI113:MJ113"/>
    <mergeCell ref="MK113:ML113"/>
    <mergeCell ref="MM113:MN113"/>
    <mergeCell ref="MO113:MP113"/>
    <mergeCell ref="MQ113:MR113"/>
    <mergeCell ref="LT113:LU113"/>
    <mergeCell ref="LV113:LW113"/>
    <mergeCell ref="LX113:LY113"/>
    <mergeCell ref="MA113:MB113"/>
    <mergeCell ref="MC113:MD113"/>
    <mergeCell ref="ME113:MF113"/>
    <mergeCell ref="LH113:LI113"/>
    <mergeCell ref="LJ113:LK113"/>
    <mergeCell ref="LL113:LM113"/>
    <mergeCell ref="LN113:LO113"/>
    <mergeCell ref="BH114:BI114"/>
    <mergeCell ref="BJ114:BK114"/>
    <mergeCell ref="BL114:BM114"/>
    <mergeCell ref="BN114:BO114"/>
    <mergeCell ref="BR114:BS114"/>
    <mergeCell ref="BT114:BU114"/>
    <mergeCell ref="AV114:AW114"/>
    <mergeCell ref="AX114:AY114"/>
    <mergeCell ref="AZ114:BA114"/>
    <mergeCell ref="BB114:BC114"/>
    <mergeCell ref="BD114:BE114"/>
    <mergeCell ref="BF114:BG114"/>
    <mergeCell ref="AH114:AI114"/>
    <mergeCell ref="AJ114:AK114"/>
    <mergeCell ref="AN114:AO114"/>
    <mergeCell ref="AP114:AQ114"/>
    <mergeCell ref="AR114:AS114"/>
    <mergeCell ref="AT114:AU114"/>
    <mergeCell ref="CV114:CW114"/>
    <mergeCell ref="CX114:CY114"/>
    <mergeCell ref="CZ114:DA114"/>
    <mergeCell ref="DB114:DC114"/>
    <mergeCell ref="DD114:DE114"/>
    <mergeCell ref="DF114:DG114"/>
    <mergeCell ref="CH114:CI114"/>
    <mergeCell ref="CJ114:CK114"/>
    <mergeCell ref="CL114:CM114"/>
    <mergeCell ref="CN114:CO114"/>
    <mergeCell ref="CP114:CQ114"/>
    <mergeCell ref="CR114:CS114"/>
    <mergeCell ref="BV114:BW114"/>
    <mergeCell ref="BX114:BY114"/>
    <mergeCell ref="BZ114:CA114"/>
    <mergeCell ref="CB114:CC114"/>
    <mergeCell ref="CD114:CE114"/>
    <mergeCell ref="CF114:CG114"/>
    <mergeCell ref="DT114:DU114"/>
    <mergeCell ref="DV114:DW114"/>
    <mergeCell ref="DZ114:EA114"/>
    <mergeCell ref="EB114:EC114"/>
    <mergeCell ref="ED114:EE114"/>
    <mergeCell ref="EF114:EG114"/>
    <mergeCell ref="DH114:DI114"/>
    <mergeCell ref="DJ114:DK114"/>
    <mergeCell ref="DL114:DM114"/>
    <mergeCell ref="DN114:DO114"/>
    <mergeCell ref="DP114:DQ114"/>
    <mergeCell ref="DR114:DS114"/>
    <mergeCell ref="FT114:FU114"/>
    <mergeCell ref="FV114:FW114"/>
    <mergeCell ref="FX114:FY114"/>
    <mergeCell ref="FZ114:GA114"/>
    <mergeCell ref="GB114:GC114"/>
    <mergeCell ref="EZ114:FA114"/>
    <mergeCell ref="EX114:EY114"/>
    <mergeCell ref="EV114:EW114"/>
    <mergeCell ref="ET114:EU114"/>
    <mergeCell ref="EH114:EI114"/>
    <mergeCell ref="EJ114:EK114"/>
    <mergeCell ref="EL114:EM114"/>
    <mergeCell ref="EN114:EO114"/>
    <mergeCell ref="EP114:EQ114"/>
    <mergeCell ref="ER114:ES114"/>
    <mergeCell ref="GD114:GE114"/>
    <mergeCell ref="FH114:FI114"/>
    <mergeCell ref="FJ114:FK114"/>
    <mergeCell ref="FL114:FM114"/>
    <mergeCell ref="FN114:FO114"/>
    <mergeCell ref="FP114:FQ114"/>
    <mergeCell ref="FR114:FS114"/>
    <mergeCell ref="FD114:FE114"/>
    <mergeCell ref="FF114:FG114"/>
    <mergeCell ref="HF114:HG114"/>
    <mergeCell ref="HH114:HI114"/>
    <mergeCell ref="HL114:HM114"/>
    <mergeCell ref="HN114:HO114"/>
    <mergeCell ref="HP114:HQ114"/>
    <mergeCell ref="HR114:HS114"/>
    <mergeCell ref="GT114:GU114"/>
    <mergeCell ref="GV114:GW114"/>
    <mergeCell ref="GX114:GY114"/>
    <mergeCell ref="GZ114:HA114"/>
    <mergeCell ref="HB114:HC114"/>
    <mergeCell ref="HD114:HE114"/>
    <mergeCell ref="GH114:GI114"/>
    <mergeCell ref="GJ114:GK114"/>
    <mergeCell ref="GL114:GM114"/>
    <mergeCell ref="GN114:GO114"/>
    <mergeCell ref="GP114:GQ114"/>
    <mergeCell ref="GR114:GS114"/>
    <mergeCell ref="IT114:IU114"/>
    <mergeCell ref="IV114:IW114"/>
    <mergeCell ref="IX114:IY114"/>
    <mergeCell ref="IZ114:JA114"/>
    <mergeCell ref="JB114:JC114"/>
    <mergeCell ref="JD114:JE114"/>
    <mergeCell ref="IF114:IG114"/>
    <mergeCell ref="IH114:II114"/>
    <mergeCell ref="IJ114:IK114"/>
    <mergeCell ref="IL114:IM114"/>
    <mergeCell ref="IP114:IQ114"/>
    <mergeCell ref="IR114:IS114"/>
    <mergeCell ref="HT114:HU114"/>
    <mergeCell ref="HV114:HW114"/>
    <mergeCell ref="HX114:HY114"/>
    <mergeCell ref="HZ114:IA114"/>
    <mergeCell ref="IB114:IC114"/>
    <mergeCell ref="ID114:IE114"/>
    <mergeCell ref="LB114:LC114"/>
    <mergeCell ref="LD114:LE114"/>
    <mergeCell ref="KF114:KG114"/>
    <mergeCell ref="KH114:KI114"/>
    <mergeCell ref="KJ114:KK114"/>
    <mergeCell ref="KL114:KM114"/>
    <mergeCell ref="KN114:KO114"/>
    <mergeCell ref="KP114:KQ114"/>
    <mergeCell ref="JT114:JU114"/>
    <mergeCell ref="JV114:JW114"/>
    <mergeCell ref="JX114:JY114"/>
    <mergeCell ref="JZ114:KA114"/>
    <mergeCell ref="KB114:KC114"/>
    <mergeCell ref="KD114:KE114"/>
    <mergeCell ref="JF114:JG114"/>
    <mergeCell ref="JH114:JI114"/>
    <mergeCell ref="JJ114:JK114"/>
    <mergeCell ref="JL114:JM114"/>
    <mergeCell ref="JN114:JO114"/>
    <mergeCell ref="JP114:JQ114"/>
    <mergeCell ref="MQ114:MR114"/>
    <mergeCell ref="MS114:MT114"/>
    <mergeCell ref="MU114:MV114"/>
    <mergeCell ref="MW114:MX114"/>
    <mergeCell ref="MY114:MZ114"/>
    <mergeCell ref="B115:C115"/>
    <mergeCell ref="J115:K115"/>
    <mergeCell ref="L115:M115"/>
    <mergeCell ref="N115:O115"/>
    <mergeCell ref="P115:Q115"/>
    <mergeCell ref="ME114:MF114"/>
    <mergeCell ref="MG114:MH114"/>
    <mergeCell ref="MI114:MJ114"/>
    <mergeCell ref="MK114:ML114"/>
    <mergeCell ref="MM114:MN114"/>
    <mergeCell ref="MO114:MP114"/>
    <mergeCell ref="LR114:LS114"/>
    <mergeCell ref="LT114:LU114"/>
    <mergeCell ref="LV114:LW114"/>
    <mergeCell ref="LX114:LY114"/>
    <mergeCell ref="MA114:MB114"/>
    <mergeCell ref="MC114:MD114"/>
    <mergeCell ref="LF114:LG114"/>
    <mergeCell ref="LH114:LI114"/>
    <mergeCell ref="LJ114:LK114"/>
    <mergeCell ref="LL114:LM114"/>
    <mergeCell ref="LN114:LO114"/>
    <mergeCell ref="LP114:LQ114"/>
    <mergeCell ref="KR114:KS114"/>
    <mergeCell ref="KT114:KU114"/>
    <mergeCell ref="KX114:KY114"/>
    <mergeCell ref="KZ114:LA114"/>
    <mergeCell ref="AR115:AS115"/>
    <mergeCell ref="AT115:AU115"/>
    <mergeCell ref="AV115:AW115"/>
    <mergeCell ref="AX115:AY115"/>
    <mergeCell ref="AZ115:BA115"/>
    <mergeCell ref="BB115:BC115"/>
    <mergeCell ref="AD115:AE115"/>
    <mergeCell ref="AF115:AG115"/>
    <mergeCell ref="AH115:AI115"/>
    <mergeCell ref="AJ115:AK115"/>
    <mergeCell ref="AN115:AO115"/>
    <mergeCell ref="AP115:AQ115"/>
    <mergeCell ref="R115:S115"/>
    <mergeCell ref="T115:U115"/>
    <mergeCell ref="V115:W115"/>
    <mergeCell ref="X115:Y115"/>
    <mergeCell ref="Z115:AA115"/>
    <mergeCell ref="AB115:AC115"/>
    <mergeCell ref="CD115:CE115"/>
    <mergeCell ref="CF115:CG115"/>
    <mergeCell ref="CH115:CI115"/>
    <mergeCell ref="CJ115:CK115"/>
    <mergeCell ref="CL115:CM115"/>
    <mergeCell ref="CN115:CO115"/>
    <mergeCell ref="BR115:BS115"/>
    <mergeCell ref="BT115:BU115"/>
    <mergeCell ref="BV115:BW115"/>
    <mergeCell ref="BX115:BY115"/>
    <mergeCell ref="BZ115:CA115"/>
    <mergeCell ref="CB115:CC115"/>
    <mergeCell ref="BD115:BE115"/>
    <mergeCell ref="BF115:BG115"/>
    <mergeCell ref="BH115:BI115"/>
    <mergeCell ref="BJ115:BK115"/>
    <mergeCell ref="BL115:BM115"/>
    <mergeCell ref="BN115:BO115"/>
    <mergeCell ref="DP115:DQ115"/>
    <mergeCell ref="DR115:DS115"/>
    <mergeCell ref="DT115:DU115"/>
    <mergeCell ref="DV115:DW115"/>
    <mergeCell ref="DD115:DE115"/>
    <mergeCell ref="DF115:DG115"/>
    <mergeCell ref="DH115:DI115"/>
    <mergeCell ref="DJ115:DK115"/>
    <mergeCell ref="DL115:DM115"/>
    <mergeCell ref="DN115:DO115"/>
    <mergeCell ref="CP115:CQ115"/>
    <mergeCell ref="CR115:CS115"/>
    <mergeCell ref="CV115:CW115"/>
    <mergeCell ref="CX115:CY115"/>
    <mergeCell ref="CZ115:DA115"/>
    <mergeCell ref="DB115:DC115"/>
    <mergeCell ref="FD115:FE115"/>
    <mergeCell ref="EN115:EO115"/>
    <mergeCell ref="EL115:EM115"/>
    <mergeCell ref="EJ115:EK115"/>
    <mergeCell ref="EH115:EI115"/>
    <mergeCell ref="EF115:EG115"/>
    <mergeCell ref="ED115:EE115"/>
    <mergeCell ref="EZ115:FA115"/>
    <mergeCell ref="EX115:EY115"/>
    <mergeCell ref="EV115:EW115"/>
    <mergeCell ref="ET115:EU115"/>
    <mergeCell ref="ER115:ES115"/>
    <mergeCell ref="EP115:EQ115"/>
    <mergeCell ref="EB115:EC115"/>
    <mergeCell ref="DZ115:EA115"/>
    <mergeCell ref="FF115:FG115"/>
    <mergeCell ref="FH115:FI115"/>
    <mergeCell ref="FJ115:FK115"/>
    <mergeCell ref="FL115:FM115"/>
    <mergeCell ref="FN115:FO115"/>
    <mergeCell ref="GP115:GQ115"/>
    <mergeCell ref="GR115:GS115"/>
    <mergeCell ref="GT115:GU115"/>
    <mergeCell ref="GV115:GW115"/>
    <mergeCell ref="GX115:GY115"/>
    <mergeCell ref="GZ115:HA115"/>
    <mergeCell ref="GB115:GC115"/>
    <mergeCell ref="GD115:GE115"/>
    <mergeCell ref="GH115:GI115"/>
    <mergeCell ref="GJ115:GK115"/>
    <mergeCell ref="GL115:GM115"/>
    <mergeCell ref="GN115:GO115"/>
    <mergeCell ref="FP115:FQ115"/>
    <mergeCell ref="FR115:FS115"/>
    <mergeCell ref="FT115:FU115"/>
    <mergeCell ref="FV115:FW115"/>
    <mergeCell ref="FX115:FY115"/>
    <mergeCell ref="FZ115:GA115"/>
    <mergeCell ref="IB115:IC115"/>
    <mergeCell ref="ID115:IE115"/>
    <mergeCell ref="IF115:IG115"/>
    <mergeCell ref="IH115:II115"/>
    <mergeCell ref="IJ115:IK115"/>
    <mergeCell ref="IL115:IM115"/>
    <mergeCell ref="HP115:HQ115"/>
    <mergeCell ref="HR115:HS115"/>
    <mergeCell ref="HT115:HU115"/>
    <mergeCell ref="HV115:HW115"/>
    <mergeCell ref="HX115:HY115"/>
    <mergeCell ref="HZ115:IA115"/>
    <mergeCell ref="HB115:HC115"/>
    <mergeCell ref="HD115:HE115"/>
    <mergeCell ref="HF115:HG115"/>
    <mergeCell ref="HH115:HI115"/>
    <mergeCell ref="HL115:HM115"/>
    <mergeCell ref="HN115:HO115"/>
    <mergeCell ref="JN115:JO115"/>
    <mergeCell ref="JP115:JQ115"/>
    <mergeCell ref="JT115:JU115"/>
    <mergeCell ref="JV115:JW115"/>
    <mergeCell ref="JX115:JY115"/>
    <mergeCell ref="JZ115:KA115"/>
    <mergeCell ref="JB115:JC115"/>
    <mergeCell ref="JD115:JE115"/>
    <mergeCell ref="JF115:JG115"/>
    <mergeCell ref="JH115:JI115"/>
    <mergeCell ref="JJ115:JK115"/>
    <mergeCell ref="JL115:JM115"/>
    <mergeCell ref="IP115:IQ115"/>
    <mergeCell ref="IR115:IS115"/>
    <mergeCell ref="IT115:IU115"/>
    <mergeCell ref="IV115:IW115"/>
    <mergeCell ref="IX115:IY115"/>
    <mergeCell ref="IZ115:JA115"/>
    <mergeCell ref="LB115:LC115"/>
    <mergeCell ref="LD115:LE115"/>
    <mergeCell ref="LF115:LG115"/>
    <mergeCell ref="LH115:LI115"/>
    <mergeCell ref="LJ115:LK115"/>
    <mergeCell ref="LL115:LM115"/>
    <mergeCell ref="KN115:KO115"/>
    <mergeCell ref="KP115:KQ115"/>
    <mergeCell ref="KR115:KS115"/>
    <mergeCell ref="KT115:KU115"/>
    <mergeCell ref="KX115:KY115"/>
    <mergeCell ref="KZ115:LA115"/>
    <mergeCell ref="KB115:KC115"/>
    <mergeCell ref="KD115:KE115"/>
    <mergeCell ref="KF115:KG115"/>
    <mergeCell ref="KH115:KI115"/>
    <mergeCell ref="KJ115:KK115"/>
    <mergeCell ref="KL115:KM115"/>
    <mergeCell ref="MY115:MZ115"/>
    <mergeCell ref="MM115:MN115"/>
    <mergeCell ref="MO115:MP115"/>
    <mergeCell ref="MQ115:MR115"/>
    <mergeCell ref="MS115:MT115"/>
    <mergeCell ref="MU115:MV115"/>
    <mergeCell ref="MW115:MX115"/>
    <mergeCell ref="MA115:MB115"/>
    <mergeCell ref="MC115:MD115"/>
    <mergeCell ref="ME115:MF115"/>
    <mergeCell ref="MG115:MH115"/>
    <mergeCell ref="MI115:MJ115"/>
    <mergeCell ref="MK115:ML115"/>
    <mergeCell ref="LN115:LO115"/>
    <mergeCell ref="LP115:LQ115"/>
    <mergeCell ref="LR115:LS115"/>
    <mergeCell ref="LT115:LU115"/>
    <mergeCell ref="LV115:LW115"/>
    <mergeCell ref="LX115:LY115"/>
  </mergeCells>
  <conditionalFormatting sqref="MB116 MD116:MX116">
    <cfRule type="cellIs" dxfId="0" priority="1" operator="lessThan">
      <formula>$MZ$120</formula>
    </cfRule>
  </conditionalFormatting>
  <pageMargins left="0.7" right="0.7" top="0.75" bottom="0.75" header="0.3" footer="0.3"/>
  <pageSetup orientation="portrait" verticalDpi="0" r:id="rId1"/>
  <ignoredErrors>
    <ignoredError sqref="L55:MZ115 L42:DX42 L43:AL44 L45:DX45 EC42:EC45 EE42:EE45 EG42:EG45 L4:AL4 EI4 EY4:FG4 L40:FG41 L12:EH12 EI12:EI18 EY12:FG18 EI42:EI45 EK42:EK45 EM42:EM45 EO42:EO45 EQ42:EQ45 ES42:ES45 EU42:EU45 EW42:EW45 EY42:FG45 L119:MW120 L46:FG49 JY54 KA54 KC54 KE54 KG54 KI54 KK54 KM54 KO54 KQ54 KS54:MZ54 L118:KT118 KV118:MB118 KY18 LA18:MZ18 LC13:MZ13 KY17:MZ17 L18:AM18 BS18:CU18 L14:BP14 BR14:CT14 CW18:DY18 CV14:EG14 AO18:BQ18 L17:M17 EA17:EG18 L19:DX21 L22:FG29 L30:BP30 L31:FG34 GI19:GI34 L35:O35 GH35:GI35 GI36 L36:FG38 GH38:HJ38 GL31:HJ31 GK19:GK32 GM32:GO32 GN22:GO26 HF26:HJ26 GT22:GT26 HB22:HB26 GZ22:GZ26 GV22:GV26 GL27:GL29 GO27:GO29 GQ22:GS29 GW22:GY29 GU22:GU29 HA22:HA29 HC22:HE29 HG29:HJ29 GQ32:GS32 GU32:GW32 GY32:HA32 HC32:HE32 HG32:HJ32 GK34:HJ34 GK35:IQ35 GK36:HK36 GH14:GI14 L13:AL13 AN13:EG13 AN4:EH4 L15:AM16 AO15:EG16 DZ42:EA45 O17 S17:U17 W17 AA17:AC17 AE17 AS17 AW17 BA17 BE17 BI17 BM17:BU17 EC7 EE7 EG7 EH7:EI7 EY7:FG7 GK17 GS17 HE17 AU17 AY17 BC17 BG17 BK17 GM17 GO17:GQ17 HG17:KV17 Q17 Y17 AG17 BW17 BY17:CA17 CC17 CE17:CG17 CI17 CK17:CM17 CO17 CQ17:CY17 DA17 DC17:DE17 DG17 DI17:DK17 DM17 DO17:DQ17 DS17 DU17:DY17 GL20:HJ20 GM21:GM29 GO21:HJ21 MD118:MW118 KS19:LZ19 MB19:MZ19 FI5:MZ5 FI4:KV4 FI41:HJ41 FI17:GI18 FI15:MZ16 FI14:GF14 FI13:GI13 FI42:GI43 FI46:HJ46 FI19:GF38 FI8:MZ12 FI6 FI7:GI7 AO5:EI5 AO7:EA7 AO8:EI11 BU35 BW35 BY35 CA35 CC35 CE35 CG35 CI35 CK35 CM35 CO35 CQ35:CT35 CY35 DA35 DC35 DE35 DG35 DI35 DK35 DM35 DO35 DQ35 DS35 DU35:EA35 EC35 IS35 AS35 BR35:BS35 CV35:CW35 EE35 IU35 Q35 AU35:AW35 EG35 IW35 S35 EI35 IY35 U35 AY35 EK35 JA35 W35:AQ35 BA35:BG35 EM35 JC35 EO35 JE35 EQ35 JG35 ES35 JI35 BI35:BP35 EU35 EW35 EY35:FG35 JK35 JM35 JO35:JW35 FG6 FK6 FM6 FO6 FQ6 FS6 FU6 FW6 FY6 GA6 GC6:GF6 L5:AM11 AO6:EI6 GH6:MZ6 GK43:HJ43 L54:AL54 L50:M50 O50:S50 U50:Y50 AA50:AE50 AG50:FG50 FI54 FI50 FK50 FM50 FO50 FQ50:FS50 FU50 FW50 FY50 GA50 GC50:GF50 GK50 GM50 GO50:GS50 GU50 GW50 GY50:HA50 HC50 HE50:HH50 FI49:HH49 HJ50 AN43:DX44 DZ19:FG21 L39:FE39 FG39 FI39:FM39 FH40:FM40 FN40:HJ40 GK18:KW18 FI48:HJ48 FI47:GI47 GK47:HJ47 GH50 AI17:AQ17 GK14:MZ14 GK13:LA13 KX4:KY4 LA4:MZ4 BR30:FG30 GK7:MZ7 GU17:HC17 FI52:HJ52 L51:FG51 KS20:MZ52 KQ19:KQ52 KO19:KO52 KM19:KM52 KK19:KK52 KI19:KI52 KG19:KG52 KE19:KE52 KC19:KC52 KA19:KA52 JY19:JY52 N53:AL53 L52:AL52 AN52:FG52 AN53:MZ53 AN54:FB54 FG54 FK54 FM54 FO54 FQ54 FS54 FU54 FW54 FY54 GA54 GC54:HJ54 FE54 EH13:EH14 EH15:EH16 EH17:EH18 EQ6 EQ8:EQ11 EQ5 EO6 EO8:EO11 EO5 EM6 EM8:EM11 EM5 EK6 EK8:EK11 EK5 EQ7 EO7 EM7 EK7 EQ12:EQ18 EO12:EO18 EM12:EM18 EK12:EK18 EQ4 EO4 EM4 EK4 EJ6 EJ4 EL4 EN4 EP4 EJ12:EJ16 EL12:EL16 EN12:EN16 EP12:EP18 EJ8:EJ11 EJ7 EL7 EN7 EP7 EJ5 EL5 EL8:EL11 EL6 EN5 EN8:EN11 EN6 EP5 EP8:EP11 EP6 EJ18 EL18 EN18 EY5:FG5 EY8:FG11 EY6:FE6 EW6 EW8:EW11 EW5 EU6 EU8:EU11 EU5 ES6 ES8:ES11 ES5 EW7 EU7 ES7 EW12:EW18 EU12:EU18 ES12:ES18 EW4 EU4 ES4 ER6 ER4 ET4 EV4 ER12:ER18 ET12:ET18 EV12:EV18 ER8:ER11 ER7 ET7 EV7 ER5 ET5 ET8:ET11 ET6 EV5 EV8:EV11 EV6 EX4:EX18 GL19:HJ19 HM19 HM20 HM21 HF22:HJ22 HM22 HF23:HJ23 HM23 HF24:HJ24 HM24 HF25:HJ25 HM25 HM26 HG27:HJ27 HM27 HG28:HJ28 HM28 HM29 GL30:HJ30 HM30 HM31 HM32 GK33:HJ33 HM33 HM34 HO19 HQ19:JW19 HO20 HQ20:JW20 HO21 HQ21:JW21 HO22 HQ22 II22 IK22:JW22 IG22 IE22 IC22 IA22 HY22 HW22 HU22 HS22 HR22 HT22 HV22 HX22 HZ22 IB22 ID22 IF22 IH22 HO23 HQ23 HS23 HS24 HS25 HS26 HR23:HR26 HU23 HU24 HU25 HU26 IK23:JW23 IK24:JW24 IK25:JW25 IK26:JW26 II26 II25 II24 II23 IG26 IG25 IG24 IG23 IE26 IE25 IE24 IE23 IC26 IC25 IC24 IC23 IA26 IA25 IA24 IA23 HY26 HY25 HY24 HY23 HW26 HW25 HW24 HW23 HV26 HV23 HX23 HV24 HX24 HV25 HX25 HX26 HZ23 HZ24 HZ25 HZ26 IB23 IB24 IB25 IB26 ID23 ID24 ID25 ID26 IF23 IF24 IF25 IF26 IH23 IH24 IH25 IH26 IJ23 IJ24 IJ25 IJ26 HO24 HO25 HO26 HQ26 HQ25 HQ24 HO27 HO28 HO29 HQ27 HQ28 HQ29 HS27 HS28 HS29 HR27:HR29 HU27 HU28 HU29 HW27 HW28 HW29 HY27 HY28 HY29 HX27:HX29 IA27 IA28 IA29 IC27 IC28 IC29 IE27 IE28 IE29 ID27:ID29 IG27 IG28 IG29 II27 II28 II29 IK27:JW27 IK28:JW28 IK29:JW29 IJ27:IJ29 HO30 HQ30:JW30 HO31 HQ31:JW31 HO32 HQ32 IK32:JW32 II32 IE32 IA32 HW32 IG32 IC32 HY32 HU32 HR32:HS32 HT32 HV32 HZ32 ID32 IH32 HX32 IB32 IF32 HO33 HQ33:JW33 HO34 HQ34:JW34 HM36 HO36 HQ36:JW36 GH37:HJ37 HL37:JW37 HL38:JW38 FN39:HJ39 HL39:JW39 HL40:JW40 HM41 HO41 HQ41:JW41 GK42:HJ42 HM42 HO42 HQ42:JW42 HM43 HO43 HQ43:JW43 FI44:HJ44 HM44 HO44 HQ44:JW44 FI45:HJ45 HM45 HO45 HQ45:JW45 HL46:JW46 HO47 HQ47:JW47 HL48:JW48 HJ49 HL49:JW49 HL50 HN50:HU50 HY50 IA50 IE50 IC50 IG50 IK50:JW50 FI51:HJ51 HL51:JW51 HL52:JW52 HL54 HN54:HW54 HY54:II54 IK54:JW54 HW50 II50"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BB7E-43BF-4B92-8FE3-B954611D8FC2}">
  <dimension ref="B2:G21"/>
  <sheetViews>
    <sheetView showGridLines="0" zoomScaleNormal="100" workbookViewId="0">
      <selection activeCell="C5" sqref="C5"/>
    </sheetView>
  </sheetViews>
  <sheetFormatPr baseColWidth="10" defaultColWidth="11.5546875" defaultRowHeight="13.8" x14ac:dyDescent="0.25"/>
  <cols>
    <col min="1" max="1" width="4.5546875" style="482" customWidth="1"/>
    <col min="2" max="2" width="58.88671875" style="482" bestFit="1" customWidth="1"/>
    <col min="3" max="3" width="26.5546875" style="482" customWidth="1"/>
    <col min="4" max="4" width="19.44140625" style="482" bestFit="1" customWidth="1"/>
    <col min="5" max="5" width="12.21875" style="482" bestFit="1" customWidth="1"/>
    <col min="6" max="6" width="12" style="482" bestFit="1" customWidth="1"/>
    <col min="7" max="7" width="15.109375" style="482" bestFit="1" customWidth="1"/>
    <col min="8" max="16384" width="11.5546875" style="482"/>
  </cols>
  <sheetData>
    <row r="2" spans="2:7" ht="15" customHeight="1" x14ac:dyDescent="0.25">
      <c r="C2" s="483"/>
    </row>
    <row r="3" spans="2:7" s="484" customFormat="1" ht="16.2" thickBot="1" x14ac:dyDescent="0.35">
      <c r="B3" s="486" t="s">
        <v>278</v>
      </c>
      <c r="C3" s="487" t="s">
        <v>275</v>
      </c>
    </row>
    <row r="4" spans="2:7" s="484" customFormat="1" ht="18" customHeight="1" thickTop="1" x14ac:dyDescent="0.3">
      <c r="B4" s="492" t="s">
        <v>282</v>
      </c>
      <c r="C4" s="481">
        <v>1032591585</v>
      </c>
    </row>
    <row r="5" spans="2:7" s="484" customFormat="1" ht="18" customHeight="1" x14ac:dyDescent="0.3">
      <c r="B5" s="492" t="s">
        <v>267</v>
      </c>
      <c r="C5" s="481">
        <f>+'POA INICIAL 2026 '!MY115</f>
        <v>20026366889.492844</v>
      </c>
      <c r="D5" s="484">
        <f>+C5*1.1</f>
        <v>22029003578.442131</v>
      </c>
    </row>
    <row r="6" spans="2:7" s="484" customFormat="1" ht="18" customHeight="1" x14ac:dyDescent="0.3">
      <c r="B6" s="492" t="s">
        <v>268</v>
      </c>
      <c r="C6" s="481">
        <v>3500000000</v>
      </c>
    </row>
    <row r="7" spans="2:7" s="484" customFormat="1" ht="18" customHeight="1" x14ac:dyDescent="0.3">
      <c r="B7" s="492" t="s">
        <v>266</v>
      </c>
      <c r="C7" s="481">
        <v>1500000000</v>
      </c>
    </row>
    <row r="8" spans="2:7" s="484" customFormat="1" ht="18" customHeight="1" x14ac:dyDescent="0.3">
      <c r="B8" s="492" t="s">
        <v>269</v>
      </c>
      <c r="C8" s="481">
        <v>403000000</v>
      </c>
      <c r="G8" s="481"/>
    </row>
    <row r="9" spans="2:7" s="484" customFormat="1" ht="26.4" x14ac:dyDescent="0.3">
      <c r="B9" s="485" t="s">
        <v>270</v>
      </c>
      <c r="C9" s="481">
        <v>907199368.83333337</v>
      </c>
    </row>
    <row r="10" spans="2:7" s="484" customFormat="1" ht="18" customHeight="1" x14ac:dyDescent="0.3">
      <c r="B10" s="485" t="s">
        <v>271</v>
      </c>
      <c r="C10" s="481">
        <v>163801183.49855676</v>
      </c>
    </row>
    <row r="11" spans="2:7" s="484" customFormat="1" ht="18" customHeight="1" x14ac:dyDescent="0.3">
      <c r="B11" s="484" t="s">
        <v>272</v>
      </c>
      <c r="C11" s="481">
        <f>123505622*1.05</f>
        <v>129680903.10000001</v>
      </c>
    </row>
    <row r="12" spans="2:7" s="484" customFormat="1" ht="18" customHeight="1" x14ac:dyDescent="0.3">
      <c r="B12" s="484" t="s">
        <v>273</v>
      </c>
      <c r="C12" s="481">
        <f>124640077*1.05</f>
        <v>130872080.85000001</v>
      </c>
    </row>
    <row r="13" spans="2:7" s="484" customFormat="1" ht="18" customHeight="1" x14ac:dyDescent="0.3">
      <c r="B13" s="484" t="s">
        <v>274</v>
      </c>
      <c r="C13" s="481">
        <v>170417829</v>
      </c>
    </row>
    <row r="14" spans="2:7" s="484" customFormat="1" ht="18" customHeight="1" thickBot="1" x14ac:dyDescent="0.35">
      <c r="B14" s="490" t="s">
        <v>279</v>
      </c>
      <c r="C14" s="491">
        <v>500000000</v>
      </c>
    </row>
    <row r="15" spans="2:7" ht="19.95" customHeight="1" thickTop="1" x14ac:dyDescent="0.25">
      <c r="B15" s="493" t="s">
        <v>276</v>
      </c>
      <c r="C15" s="494">
        <f>SUM(C4:C14)</f>
        <v>28463929839.774731</v>
      </c>
    </row>
    <row r="16" spans="2:7" ht="15" customHeight="1" thickBot="1" x14ac:dyDescent="0.3"/>
    <row r="17" spans="2:3" s="484" customFormat="1" ht="25.2" customHeight="1" thickTop="1" thickBot="1" x14ac:dyDescent="0.35">
      <c r="B17" s="488" t="s">
        <v>265</v>
      </c>
      <c r="C17" s="489">
        <v>19694285678</v>
      </c>
    </row>
    <row r="18" spans="2:3" s="495" customFormat="1" ht="24" customHeight="1" thickTop="1" x14ac:dyDescent="0.3">
      <c r="B18" s="496" t="s">
        <v>277</v>
      </c>
      <c r="C18" s="497">
        <f>+C17-C15</f>
        <v>-8769644161.7747307</v>
      </c>
    </row>
    <row r="21" spans="2:3" x14ac:dyDescent="0.25">
      <c r="C21" s="49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AC848-2E2E-4114-B1EE-7D7B15FD37ED}">
  <sheetPr>
    <tabColor theme="5" tint="-0.249977111117893"/>
  </sheetPr>
  <dimension ref="A2:L25"/>
  <sheetViews>
    <sheetView showGridLines="0" topLeftCell="A10" zoomScale="70" zoomScaleNormal="70" workbookViewId="0">
      <selection activeCell="F23" sqref="F23"/>
    </sheetView>
  </sheetViews>
  <sheetFormatPr baseColWidth="10" defaultColWidth="11.5546875" defaultRowHeight="14.4" x14ac:dyDescent="0.3"/>
  <cols>
    <col min="1" max="1" width="1.6640625" style="416" customWidth="1"/>
    <col min="2" max="2" width="79" style="416" customWidth="1"/>
    <col min="3" max="3" width="9.6640625" style="417" customWidth="1"/>
    <col min="4" max="4" width="16.44140625" style="417" customWidth="1"/>
    <col min="5" max="5" width="26.33203125" style="416" customWidth="1"/>
    <col min="6" max="6" width="26.109375" style="416" customWidth="1"/>
    <col min="7" max="7" width="12.33203125" style="416" bestFit="1" customWidth="1"/>
    <col min="8" max="8" width="17.5546875" style="416" bestFit="1" customWidth="1"/>
    <col min="9" max="9" width="25" style="416" customWidth="1"/>
    <col min="10" max="10" width="15.33203125" style="416" bestFit="1" customWidth="1"/>
    <col min="11" max="11" width="16.44140625" style="416" bestFit="1" customWidth="1"/>
    <col min="12" max="12" width="17.5546875" style="416" bestFit="1" customWidth="1"/>
    <col min="13" max="16384" width="11.5546875" style="416"/>
  </cols>
  <sheetData>
    <row r="2" spans="1:12" ht="15" thickBot="1" x14ac:dyDescent="0.35">
      <c r="B2" s="419"/>
      <c r="C2" s="422"/>
      <c r="D2" s="422"/>
      <c r="E2" s="419"/>
      <c r="F2" s="419"/>
    </row>
    <row r="3" spans="1:12" s="23" customFormat="1" ht="27.6" customHeight="1" thickTop="1" thickBot="1" x14ac:dyDescent="0.35">
      <c r="B3" s="472" t="s">
        <v>235</v>
      </c>
      <c r="C3" s="473"/>
      <c r="D3" s="473"/>
      <c r="E3" s="474" t="s">
        <v>236</v>
      </c>
      <c r="F3" s="474" t="s">
        <v>237</v>
      </c>
    </row>
    <row r="4" spans="1:12" s="34" customFormat="1" ht="19.95" customHeight="1" thickTop="1" x14ac:dyDescent="0.3">
      <c r="B4" s="438" t="s">
        <v>238</v>
      </c>
      <c r="C4" s="439"/>
      <c r="D4" s="439"/>
      <c r="E4" s="426">
        <f>+SUM('POA INICIAL 2026 '!MZ4:MZ18)</f>
        <v>8197097083.8345833</v>
      </c>
      <c r="F4" s="426">
        <f>+E4*1.3</f>
        <v>10656226208.984959</v>
      </c>
    </row>
    <row r="5" spans="1:12" s="34" customFormat="1" ht="19.95" customHeight="1" x14ac:dyDescent="0.3">
      <c r="B5" s="440" t="s">
        <v>239</v>
      </c>
      <c r="C5" s="441"/>
      <c r="D5" s="441"/>
      <c r="E5" s="429">
        <f>+SUM('POA INICIAL 2026 '!MZ19:MZ40)</f>
        <v>1977003354.0409524</v>
      </c>
      <c r="F5" s="429">
        <f t="shared" ref="F5:F6" si="0">+E5*1.3</f>
        <v>2570104360.2532382</v>
      </c>
    </row>
    <row r="6" spans="1:12" s="34" customFormat="1" ht="19.95" customHeight="1" thickBot="1" x14ac:dyDescent="0.35">
      <c r="B6" s="442" t="s">
        <v>240</v>
      </c>
      <c r="C6" s="443"/>
      <c r="D6" s="443"/>
      <c r="E6" s="444">
        <f>+SUM('POA INICIAL 2026 '!MZ41:MZ54)</f>
        <v>5230797169.4266558</v>
      </c>
      <c r="F6" s="444">
        <f t="shared" si="0"/>
        <v>6800036320.254653</v>
      </c>
    </row>
    <row r="7" spans="1:12" s="34" customFormat="1" ht="17.399999999999999" customHeight="1" x14ac:dyDescent="0.3">
      <c r="B7" s="34" t="s">
        <v>241</v>
      </c>
      <c r="C7" s="418"/>
      <c r="D7" s="418"/>
      <c r="E7" s="421">
        <f>SUM(E4:E6)</f>
        <v>15404897607.302193</v>
      </c>
      <c r="F7" s="421">
        <f>SUM(F4:F6)</f>
        <v>20026366889.492851</v>
      </c>
    </row>
    <row r="8" spans="1:12" s="34" customFormat="1" ht="15" thickBot="1" x14ac:dyDescent="0.35">
      <c r="B8" s="460" t="s">
        <v>242</v>
      </c>
      <c r="C8" s="418"/>
      <c r="D8" s="418"/>
      <c r="E8" s="475"/>
      <c r="F8" s="413">
        <v>895444458</v>
      </c>
    </row>
    <row r="9" spans="1:12" s="34" customFormat="1" ht="25.2" customHeight="1" x14ac:dyDescent="0.3">
      <c r="B9" s="476" t="s">
        <v>243</v>
      </c>
      <c r="C9" s="420"/>
      <c r="D9" s="420"/>
      <c r="E9" s="423"/>
      <c r="F9" s="412">
        <f>+F8+F7</f>
        <v>20921811347.492851</v>
      </c>
    </row>
    <row r="10" spans="1:12" s="34" customFormat="1" x14ac:dyDescent="0.3">
      <c r="B10" s="23"/>
      <c r="C10" s="420"/>
      <c r="D10" s="420"/>
      <c r="E10" s="421"/>
      <c r="F10" s="412"/>
      <c r="H10" s="451"/>
    </row>
    <row r="11" spans="1:12" s="34" customFormat="1" ht="25.2" customHeight="1" thickBot="1" x14ac:dyDescent="0.35">
      <c r="B11" s="472" t="s">
        <v>244</v>
      </c>
      <c r="C11" s="473" t="s">
        <v>245</v>
      </c>
      <c r="D11" s="473" t="s">
        <v>246</v>
      </c>
      <c r="E11" s="474" t="s">
        <v>247</v>
      </c>
      <c r="F11" s="474" t="s">
        <v>237</v>
      </c>
      <c r="H11" s="451"/>
    </row>
    <row r="12" spans="1:12" s="34" customFormat="1" ht="36" customHeight="1" thickTop="1" x14ac:dyDescent="0.3">
      <c r="B12" s="424" t="s">
        <v>248</v>
      </c>
      <c r="C12" s="425">
        <v>1</v>
      </c>
      <c r="D12" s="430">
        <v>70707291.454039037</v>
      </c>
      <c r="E12" s="426">
        <f>+C12*D12</f>
        <v>70707291.454039037</v>
      </c>
      <c r="F12" s="426">
        <f t="shared" ref="F12:F18" si="1">+E12*1.3</f>
        <v>91919478.890250757</v>
      </c>
      <c r="H12" s="451"/>
    </row>
    <row r="13" spans="1:12" s="34" customFormat="1" ht="38.4" customHeight="1" x14ac:dyDescent="0.3">
      <c r="B13" s="427" t="s">
        <v>249</v>
      </c>
      <c r="C13" s="428">
        <v>1</v>
      </c>
      <c r="D13" s="450">
        <v>87188778.411246136</v>
      </c>
      <c r="E13" s="449">
        <f>+C13*D13</f>
        <v>87188778.411246136</v>
      </c>
      <c r="F13" s="449">
        <f t="shared" si="1"/>
        <v>113345411.93461998</v>
      </c>
      <c r="H13" s="451"/>
    </row>
    <row r="14" spans="1:12" s="34" customFormat="1" ht="55.95" customHeight="1" x14ac:dyDescent="0.3">
      <c r="A14" s="34" t="s">
        <v>250</v>
      </c>
      <c r="B14" s="446" t="s">
        <v>251</v>
      </c>
      <c r="C14" s="447">
        <v>2</v>
      </c>
      <c r="D14" s="448">
        <v>11003955</v>
      </c>
      <c r="E14" s="449">
        <f>+C14*D14</f>
        <v>22007910</v>
      </c>
      <c r="F14" s="449">
        <f t="shared" si="1"/>
        <v>28610283</v>
      </c>
    </row>
    <row r="15" spans="1:12" s="34" customFormat="1" ht="33" customHeight="1" x14ac:dyDescent="0.3">
      <c r="B15" s="427" t="s">
        <v>252</v>
      </c>
      <c r="C15" s="428">
        <v>1</v>
      </c>
      <c r="D15" s="431">
        <v>2692307692.3076921</v>
      </c>
      <c r="E15" s="429">
        <f>+D15*C15</f>
        <v>2692307692.3076921</v>
      </c>
      <c r="F15" s="429">
        <f t="shared" si="1"/>
        <v>3500000000</v>
      </c>
    </row>
    <row r="16" spans="1:12" s="34" customFormat="1" ht="28.8" x14ac:dyDescent="0.3">
      <c r="A16" s="34" t="s">
        <v>250</v>
      </c>
      <c r="B16" s="427" t="s">
        <v>253</v>
      </c>
      <c r="C16" s="469">
        <v>1</v>
      </c>
      <c r="D16" s="470">
        <v>296346449.86449862</v>
      </c>
      <c r="E16" s="429">
        <f>+D16*C16</f>
        <v>296346449.86449862</v>
      </c>
      <c r="F16" s="429">
        <f t="shared" si="1"/>
        <v>385250384.82384819</v>
      </c>
      <c r="G16" s="454" t="s">
        <v>254</v>
      </c>
      <c r="H16" s="453"/>
      <c r="I16" s="453"/>
      <c r="J16" s="451"/>
      <c r="K16" s="451"/>
      <c r="L16" s="452"/>
    </row>
    <row r="17" spans="1:12" s="34" customFormat="1" ht="28.8" x14ac:dyDescent="0.3">
      <c r="A17" s="34" t="s">
        <v>250</v>
      </c>
      <c r="B17" s="471" t="s">
        <v>255</v>
      </c>
      <c r="C17" s="469">
        <v>1</v>
      </c>
      <c r="D17" s="470">
        <v>22984664.37356681</v>
      </c>
      <c r="E17" s="429">
        <f>+D17*C17</f>
        <v>22984664.37356681</v>
      </c>
      <c r="F17" s="429">
        <f t="shared" si="1"/>
        <v>29880063.685636856</v>
      </c>
      <c r="G17" s="454" t="s">
        <v>254</v>
      </c>
      <c r="H17" s="453"/>
      <c r="I17" s="453"/>
      <c r="J17" s="451"/>
      <c r="K17" s="451"/>
      <c r="L17" s="452"/>
    </row>
    <row r="18" spans="1:12" s="34" customFormat="1" ht="23.4" customHeight="1" thickBot="1" x14ac:dyDescent="0.35">
      <c r="B18" s="432" t="s">
        <v>256</v>
      </c>
      <c r="C18" s="433">
        <v>1</v>
      </c>
      <c r="D18" s="434">
        <v>351000000</v>
      </c>
      <c r="E18" s="435">
        <v>600000000</v>
      </c>
      <c r="F18" s="435">
        <f t="shared" si="1"/>
        <v>780000000</v>
      </c>
      <c r="G18" s="34" t="s">
        <v>257</v>
      </c>
    </row>
    <row r="19" spans="1:12" s="34" customFormat="1" ht="23.4" customHeight="1" thickTop="1" x14ac:dyDescent="0.3">
      <c r="B19" s="23" t="s">
        <v>258</v>
      </c>
      <c r="C19" s="436"/>
      <c r="D19" s="437"/>
      <c r="E19" s="445">
        <f>SUM(E12:E18)</f>
        <v>3791542786.4110427</v>
      </c>
      <c r="F19" s="445">
        <f>SUM(F12:F18)</f>
        <v>4929005622.3343563</v>
      </c>
    </row>
    <row r="21" spans="1:12" ht="19.95" customHeight="1" x14ac:dyDescent="0.35">
      <c r="B21" s="463" t="s">
        <v>259</v>
      </c>
      <c r="C21" s="416"/>
      <c r="D21" s="416"/>
      <c r="F21" s="456">
        <f>+F19+F9</f>
        <v>25850816969.827209</v>
      </c>
    </row>
    <row r="22" spans="1:12" ht="19.95" customHeight="1" thickBot="1" x14ac:dyDescent="0.4">
      <c r="B22" s="463" t="s">
        <v>260</v>
      </c>
      <c r="F22" s="461">
        <v>18405875374</v>
      </c>
    </row>
    <row r="23" spans="1:12" ht="19.95" customHeight="1" x14ac:dyDescent="0.35">
      <c r="B23" s="464" t="s">
        <v>261</v>
      </c>
      <c r="F23" s="462">
        <f>+F21-F22</f>
        <v>7444941595.8272095</v>
      </c>
    </row>
    <row r="24" spans="1:12" ht="18" x14ac:dyDescent="0.35">
      <c r="E24" s="455"/>
      <c r="F24" s="456"/>
    </row>
    <row r="25" spans="1:12" s="34" customFormat="1" ht="24" customHeight="1" x14ac:dyDescent="0.3">
      <c r="B25" s="465" t="s">
        <v>262</v>
      </c>
      <c r="C25" s="466">
        <v>6</v>
      </c>
      <c r="D25" s="467">
        <v>85827817.170000002</v>
      </c>
      <c r="E25" s="468">
        <f>+D25*C25</f>
        <v>514966903.01999998</v>
      </c>
      <c r="F25" s="468">
        <f t="shared" ref="F25" si="2">+E25*1.3</f>
        <v>669456973.926</v>
      </c>
    </row>
  </sheetData>
  <hyperlinks>
    <hyperlink ref="G16" location="'Facturacion sin Utilidad'!A1" display="Ver calculo" xr:uid="{6CE54524-5506-456F-8A2B-55E0E21AAE7C}"/>
    <hyperlink ref="G17" location="'Facturacion sin Utilidad'!A1" display="Ver calculo" xr:uid="{29778B67-605A-4EE4-90FF-75E3E71290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F110C6-F57C-4EE9-9C44-A08DD2ABF2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POA INICIAL 2026 </vt:lpstr>
      <vt:lpstr>PPTO + ADICION</vt:lpstr>
      <vt:lpstr>RES. GRAL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tomas javier herrera orozco</dc:creator>
  <cp:keywords/>
  <dc:description/>
  <cp:lastModifiedBy>Jaime Acosta</cp:lastModifiedBy>
  <cp:revision/>
  <dcterms:created xsi:type="dcterms:W3CDTF">2024-02-20T13:08:53Z</dcterms:created>
  <dcterms:modified xsi:type="dcterms:W3CDTF">2026-02-18T21:07:44Z</dcterms:modified>
  <cp:category/>
  <cp:contentStatus/>
</cp:coreProperties>
</file>