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PLAZA PUERTO COLOMBIA" sheetId="1" r:id="rId1"/>
    <sheet name="PLAYA MANGLARES" sheetId="2" r:id="rId2"/>
    <sheet name="CENTRO GASTRONOMICO" sheetId="3" r:id="rId3"/>
    <sheet name="MERCADO DE LA SAZON" sheetId="4" r:id="rId4"/>
    <sheet name="PLAYA MIRAMAR" sheetId="5" r:id="rId5"/>
    <sheet name="COUNTRY 1" sheetId="6" r:id="rId6"/>
    <sheet name="COUNTRY 2" sheetId="7" r:id="rId7"/>
    <sheet name="SALINAS DEL REY" sheetId="8" r:id="rId8"/>
    <sheet name="DETALLE DE GRUPO" sheetId="9" r:id="rId9"/>
    <sheet name="SANTA VERONICA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_-* #,##0_-;\-* #,##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workbookViewId="0" rightToLeft="0"/>
  </sheetViews>
  <sheetData>
    <row r="1">
      <c r="A1" t="str">
        <v>NOMBRE DEL PROYECTO:</v>
      </c>
      <c r="C1" t="str">
        <v>PTO COLOMBIA - ZONA VERDE</v>
      </c>
    </row>
    <row r="3">
      <c r="A3" t="str">
        <v>ITEM</v>
      </c>
      <c r="B3" t="str">
        <v>DESCRIPCION</v>
      </c>
      <c r="C3" t="str">
        <v>UND</v>
      </c>
      <c r="D3" t="str">
        <v>CANTIDAD</v>
      </c>
    </row>
    <row r="4">
      <c r="A4">
        <v>1</v>
      </c>
      <c r="B4" t="str">
        <v>TOTAL PAISAJISMO</v>
      </c>
      <c r="C4" t="str">
        <v>M3</v>
      </c>
      <c r="D4">
        <v>2620</v>
      </c>
      <c r="F4" t="str">
        <v>TIPO DE RIEGO</v>
      </c>
      <c r="H4" t="str">
        <v>R. MANUAL</v>
      </c>
    </row>
    <row r="5">
      <c r="A5">
        <v>2</v>
      </c>
      <c r="B5" t="str">
        <v>ZONA DURA</v>
      </c>
      <c r="C5" t="str">
        <v>M2</v>
      </c>
      <c r="D5">
        <v>17150</v>
      </c>
      <c r="F5" t="str">
        <v>R. MANUAL</v>
      </c>
    </row>
    <row r="6">
      <c r="A6">
        <v>3</v>
      </c>
      <c r="B6" t="str">
        <v>GRAMA</v>
      </c>
      <c r="C6" t="str">
        <v>M2</v>
      </c>
      <c r="D6">
        <v>544.68</v>
      </c>
    </row>
    <row r="7">
      <c r="A7">
        <v>4</v>
      </c>
      <c r="B7" t="str">
        <v>LIMPIEZA MARMOL</v>
      </c>
      <c r="C7" t="str">
        <v>M2</v>
      </c>
      <c r="D7">
        <v>1192</v>
      </c>
    </row>
    <row r="8">
      <c r="A8">
        <v>5</v>
      </c>
      <c r="B8" t="str">
        <v>ARBUSTOS Y CUBRE SUELOS</v>
      </c>
      <c r="C8" t="str">
        <v>M2</v>
      </c>
      <c r="D8">
        <v>1850</v>
      </c>
    </row>
    <row r="9">
      <c r="A9">
        <v>6</v>
      </c>
      <c r="B9" t="str">
        <v>ARBOLES TOTALES</v>
      </c>
      <c r="C9" t="str">
        <v>UND</v>
      </c>
      <c r="D9">
        <v>225</v>
      </c>
    </row>
    <row r="12">
      <c r="A12" t="str">
        <f>+C1</f>
        <v>PTO COLOMBIA - ZONA VERDE</v>
      </c>
      <c r="L12" t="str">
        <v>ZV</v>
      </c>
      <c r="M12" t="str">
        <v>ZD</v>
      </c>
    </row>
    <row r="13">
      <c r="A13" t="str">
        <v>ITEM</v>
      </c>
      <c r="B13" t="str">
        <v>ACTIVIDAD</v>
      </c>
      <c r="C13" t="str">
        <v>UNIDAD</v>
      </c>
      <c r="D13" t="str">
        <v>RENDIMIENTO</v>
      </c>
      <c r="E13" t="str">
        <v>FRECUENCIA</v>
      </c>
      <c r="F13" t="str">
        <v>FACTOR</v>
      </c>
      <c r="G13" t="str">
        <v>CANTIDAD</v>
      </c>
      <c r="H13" t="str">
        <v>CANT JORNALES MES</v>
      </c>
      <c r="I13" t="str">
        <v>V. ACTIVIDAD</v>
      </c>
      <c r="L13">
        <f>(+H16+H17+H18+H19+H22+H23+H24+H25+H27+H29)/25</f>
        <v>1.5277101304803054</v>
      </c>
      <c r="M13">
        <f>(+H20+H21)/25</f>
        <v>3.701666666666666</v>
      </c>
    </row>
    <row r="14">
      <c r="A14">
        <v>1</v>
      </c>
      <c r="B14" t="str">
        <v>Op Guadaña</v>
      </c>
      <c r="C14" t="str">
        <v>m2/día</v>
      </c>
      <c r="D14">
        <v>5000</v>
      </c>
      <c r="E14">
        <v>25</v>
      </c>
      <c r="F14">
        <f>E14/25</f>
        <v>1</v>
      </c>
      <c r="G14">
        <f>+D6</f>
        <v>544.68</v>
      </c>
      <c r="H14">
        <f>+(G14/D14)/F14</f>
        <v>0.10893599999999999</v>
      </c>
    </row>
    <row r="15">
      <c r="B15" t="str">
        <v>Plateo</v>
      </c>
      <c r="C15" t="str">
        <v>Und/día</v>
      </c>
      <c r="D15">
        <v>160</v>
      </c>
      <c r="E15">
        <v>12.5</v>
      </c>
      <c r="F15">
        <v>0.5</v>
      </c>
      <c r="G15">
        <v>225</v>
      </c>
      <c r="H15">
        <f>+(G15/D15)/F15</f>
        <v>2.8125</v>
      </c>
    </row>
    <row r="16">
      <c r="A16">
        <v>2</v>
      </c>
      <c r="B16" t="str">
        <v>Poda Arboles y Palmas</v>
      </c>
      <c r="C16" t="str">
        <v>Und/día</v>
      </c>
      <c r="D16">
        <v>200</v>
      </c>
      <c r="E16">
        <v>75</v>
      </c>
      <c r="F16">
        <f>E16/25</f>
        <v>3</v>
      </c>
      <c r="G16">
        <f>+D9</f>
        <v>225</v>
      </c>
      <c r="H16">
        <f>+(G16/D16)/F16</f>
        <v>0.375</v>
      </c>
    </row>
    <row r="17">
      <c r="A17">
        <v>3</v>
      </c>
      <c r="B17" t="str">
        <v>Poda Arbustos y CS</v>
      </c>
      <c r="C17" t="str">
        <v>m2/día</v>
      </c>
      <c r="D17">
        <v>1200</v>
      </c>
      <c r="E17">
        <v>12.5</v>
      </c>
      <c r="F17">
        <f>E17/25</f>
        <v>0.5</v>
      </c>
      <c r="G17">
        <f>+D8</f>
        <v>1850</v>
      </c>
      <c r="H17">
        <f>+(G17/D17)/F17</f>
        <v>3.0833333333333335</v>
      </c>
    </row>
    <row r="18">
      <c r="A18">
        <v>4</v>
      </c>
      <c r="B18" t="str">
        <v>Mtto Cama Siembra</v>
      </c>
      <c r="C18" t="str">
        <v>m2/día</v>
      </c>
      <c r="D18">
        <v>600</v>
      </c>
      <c r="E18">
        <v>6.25</v>
      </c>
      <c r="F18">
        <f>E18/25</f>
        <v>0.25</v>
      </c>
      <c r="G18">
        <v>2620</v>
      </c>
      <c r="H18">
        <f>+(G18/D18)/F18</f>
        <v>17.466666666666665</v>
      </c>
    </row>
    <row r="19">
      <c r="A19">
        <v>5</v>
      </c>
      <c r="B19" t="str">
        <v>Limpieza General</v>
      </c>
      <c r="C19" t="str">
        <v>m2/día</v>
      </c>
      <c r="D19">
        <v>7500</v>
      </c>
      <c r="E19">
        <v>2.083</v>
      </c>
      <c r="F19">
        <f>E19/25</f>
        <v>0.08332</v>
      </c>
      <c r="G19">
        <f>+D4</f>
        <v>2620</v>
      </c>
      <c r="H19">
        <f>+(G19/D19)/F19</f>
        <v>4.192670827332373</v>
      </c>
    </row>
    <row r="20">
      <c r="A20">
        <v>6</v>
      </c>
      <c r="B20" t="str">
        <v>Limpieza General zonas duras</v>
      </c>
      <c r="C20" t="str">
        <v>m2/día</v>
      </c>
      <c r="D20">
        <v>10000</v>
      </c>
      <c r="E20">
        <v>1</v>
      </c>
      <c r="F20">
        <f>E20/25</f>
        <v>0.04</v>
      </c>
      <c r="G20">
        <f>+D5</f>
        <v>17150</v>
      </c>
      <c r="H20">
        <f>+(G20/D20)/F20</f>
        <v>42.875</v>
      </c>
    </row>
    <row r="21">
      <c r="A21">
        <v>7</v>
      </c>
      <c r="B21" t="str">
        <v>Limpieza genral mármol</v>
      </c>
      <c r="C21" t="str">
        <v>m2/día</v>
      </c>
      <c r="D21">
        <v>600</v>
      </c>
      <c r="E21">
        <v>1</v>
      </c>
      <c r="F21">
        <f>E21/25</f>
        <v>0.04</v>
      </c>
      <c r="G21">
        <f>+D7</f>
        <v>1192</v>
      </c>
      <c r="H21">
        <f>+(G21/D21)/F21</f>
        <v>49.666666666666664</v>
      </c>
      <c r="K21" t="str">
        <v xml:space="preserve"> </v>
      </c>
    </row>
    <row r="22">
      <c r="A22">
        <v>8</v>
      </c>
      <c r="B22" t="str">
        <v>Riego general Arboles y Palmas</v>
      </c>
      <c r="C22" t="str">
        <v>und/día</v>
      </c>
      <c r="D22">
        <v>480</v>
      </c>
      <c r="E22">
        <v>3.125</v>
      </c>
      <c r="F22">
        <f>E22/25</f>
        <v>0.125</v>
      </c>
      <c r="G22">
        <f>IF(H4="R. MANUAL",+D9,0)</f>
        <v>225</v>
      </c>
      <c r="H22">
        <f>+(G22/D22)/F22</f>
        <v>3.75</v>
      </c>
    </row>
    <row r="23">
      <c r="A23">
        <v>9</v>
      </c>
      <c r="B23" t="str">
        <v>Riego general Arbusto, Cubresuelos y grama</v>
      </c>
      <c r="C23" t="str">
        <v>m2/día</v>
      </c>
      <c r="D23">
        <v>3500</v>
      </c>
      <c r="E23">
        <v>2.083</v>
      </c>
      <c r="F23">
        <f>E23/25</f>
        <v>0.08332</v>
      </c>
      <c r="G23">
        <f>+D8+D6</f>
        <v>2394.68</v>
      </c>
      <c r="H23">
        <f>+(G23/D23)/F23</f>
        <v>8.211645291818119</v>
      </c>
    </row>
    <row r="24">
      <c r="A24">
        <v>10</v>
      </c>
      <c r="B24" t="str">
        <v xml:space="preserve">TC INSECTICIDA Y FUNGICIDA ARB </v>
      </c>
      <c r="C24" t="str">
        <v>Und/día</v>
      </c>
      <c r="D24">
        <v>240</v>
      </c>
      <c r="E24">
        <v>50</v>
      </c>
      <c r="F24">
        <f>E24/25</f>
        <v>2</v>
      </c>
      <c r="G24">
        <f>+D9</f>
        <v>225</v>
      </c>
      <c r="H24">
        <f>+(G24/D24)/F24</f>
        <v>0.46875</v>
      </c>
    </row>
    <row r="25">
      <c r="A25">
        <v>11</v>
      </c>
      <c r="B25" t="str">
        <v>TC INSECT Y FUNG ARBUS Y CSUELO</v>
      </c>
      <c r="C25" t="str">
        <v>m2/día</v>
      </c>
      <c r="D25">
        <v>2000</v>
      </c>
      <c r="E25">
        <v>50</v>
      </c>
      <c r="F25">
        <f>E25/25</f>
        <v>2</v>
      </c>
      <c r="G25">
        <f>+D8</f>
        <v>1850</v>
      </c>
      <c r="H25">
        <f>+(G25/D25)/F25</f>
        <v>0.4625</v>
      </c>
    </row>
    <row r="26">
      <c r="B26" t="str">
        <v>TC HERBICIDA GRAMA</v>
      </c>
      <c r="C26" t="str">
        <v>m2/día</v>
      </c>
      <c r="D26">
        <v>2400</v>
      </c>
      <c r="E26">
        <v>50</v>
      </c>
      <c r="F26">
        <v>2</v>
      </c>
      <c r="G26">
        <f>+D6</f>
        <v>544.68</v>
      </c>
      <c r="H26">
        <f>+(G26/D26)/F26</f>
        <v>0.11347499999999999</v>
      </c>
    </row>
    <row r="27">
      <c r="A27">
        <v>12</v>
      </c>
      <c r="B27" t="str">
        <v>FERTIL ARB Y PALMAS Compost</v>
      </c>
      <c r="C27" t="str">
        <v>Und/día</v>
      </c>
      <c r="D27">
        <v>240</v>
      </c>
      <c r="E27">
        <v>150</v>
      </c>
      <c r="F27">
        <f>E27/25</f>
        <v>6</v>
      </c>
      <c r="G27">
        <f>+D9</f>
        <v>225</v>
      </c>
      <c r="H27">
        <f>+(G27/D27)/F27</f>
        <v>0.15625</v>
      </c>
    </row>
    <row r="28">
      <c r="B28" t="str">
        <v>FERTIL ARBUST Y CUBRESUELOS</v>
      </c>
      <c r="C28" t="str">
        <v>m2/día</v>
      </c>
      <c r="D28">
        <v>3500</v>
      </c>
      <c r="E28">
        <v>150</v>
      </c>
      <c r="F28">
        <v>6</v>
      </c>
      <c r="G28">
        <f>+D8</f>
        <v>1850</v>
      </c>
      <c r="H28">
        <f>+(G28/D28)/F28</f>
        <v>0.0880952380952381</v>
      </c>
    </row>
    <row r="29">
      <c r="A29">
        <v>13</v>
      </c>
      <c r="B29" t="str">
        <v>FERTIL GRAMA</v>
      </c>
      <c r="C29" t="str">
        <v>m2/día</v>
      </c>
      <c r="D29">
        <v>3500</v>
      </c>
      <c r="E29">
        <v>150</v>
      </c>
      <c r="F29">
        <v>6</v>
      </c>
      <c r="G29">
        <v>544.68</v>
      </c>
      <c r="H29">
        <f>+(G29/D29)/F29</f>
        <v>0.025937142857142853</v>
      </c>
    </row>
    <row r="32">
      <c r="F32" t="str">
        <v>CANT JORNALES MES</v>
      </c>
      <c r="H32">
        <f>SUM(H16:H29)</f>
        <v>130.93599016676953</v>
      </c>
    </row>
    <row r="33">
      <c r="F33" t="str">
        <v>CANT PERSONAL MES</v>
      </c>
      <c r="H33">
        <f>+H32/25</f>
        <v>5.237439606670781</v>
      </c>
      <c r="I33">
        <f>(80000)</f>
        <v>80000</v>
      </c>
      <c r="J33">
        <f>I33*H33*25</f>
        <v>10474879.213341562</v>
      </c>
    </row>
    <row r="36">
      <c r="A36" t="str">
        <v>NOMBRE DEL PROYECTO:</v>
      </c>
      <c r="C36" t="str">
        <v>PTO COLOMBIA - ZONA DE PLAYA</v>
      </c>
    </row>
    <row r="38">
      <c r="A38" t="str">
        <v>ITEM</v>
      </c>
      <c r="B38" t="str">
        <v>DESCRIPCION</v>
      </c>
      <c r="C38" t="str">
        <v>UND</v>
      </c>
      <c r="D38" t="str">
        <v>CANTIDAD</v>
      </c>
    </row>
    <row r="39">
      <c r="A39">
        <v>1</v>
      </c>
      <c r="B39" t="str">
        <v>ZONA DE PLAYA</v>
      </c>
      <c r="C39" t="str">
        <v>M2</v>
      </c>
      <c r="D39">
        <v>7887</v>
      </c>
    </row>
    <row r="40">
      <c r="A40">
        <v>2</v>
      </c>
      <c r="B40" t="str">
        <v>TRASIEGO DE PLAYA</v>
      </c>
      <c r="C40" t="str">
        <v>M2</v>
      </c>
      <c r="D40">
        <v>1183</v>
      </c>
      <c r="F40" t="str">
        <v>R. CARROTANQUE</v>
      </c>
    </row>
    <row r="41">
      <c r="A41">
        <v>3</v>
      </c>
      <c r="B41" t="str">
        <v>LIMPIEZA MANUAL</v>
      </c>
      <c r="C41" t="str">
        <v>M2</v>
      </c>
      <c r="D41">
        <v>620</v>
      </c>
      <c r="F41" t="str">
        <v>R. MANUAL</v>
      </c>
    </row>
    <row r="42">
      <c r="A42">
        <v>4</v>
      </c>
      <c r="B42" t="str">
        <v>CORTE DE TRONCOS</v>
      </c>
      <c r="C42" t="str">
        <v>UND</v>
      </c>
      <c r="D42">
        <v>350</v>
      </c>
    </row>
    <row r="43">
      <c r="A43">
        <v>5</v>
      </c>
      <c r="C43" t="str">
        <v>UND</v>
      </c>
    </row>
    <row r="44">
      <c r="A44">
        <v>6</v>
      </c>
      <c r="C44" t="str">
        <v>UND</v>
      </c>
      <c r="D44">
        <v>0</v>
      </c>
    </row>
    <row r="47">
      <c r="A47" t="str">
        <f>+C36</f>
        <v>PTO COLOMBIA - ZONA DE PLAYA</v>
      </c>
    </row>
    <row r="48">
      <c r="A48" t="str">
        <v>ITEM</v>
      </c>
      <c r="B48" t="str">
        <v>ACTIVIDAD</v>
      </c>
      <c r="C48" t="str">
        <v>UNIDAD</v>
      </c>
      <c r="D48" t="str">
        <v>RENDIMIENTO</v>
      </c>
      <c r="E48" t="str">
        <v>FRECUENCIA</v>
      </c>
      <c r="F48" t="str">
        <v>FACTOR</v>
      </c>
      <c r="G48" t="str">
        <v>CANTIDAD</v>
      </c>
      <c r="H48" t="str">
        <v>CANT JORNALES MES</v>
      </c>
    </row>
    <row r="49">
      <c r="A49">
        <v>1</v>
      </c>
      <c r="B49" t="str">
        <v>Acopio y limpieza manual</v>
      </c>
      <c r="C49" t="str">
        <v>m2/día</v>
      </c>
      <c r="D49">
        <v>3000</v>
      </c>
      <c r="E49">
        <v>25</v>
      </c>
      <c r="F49">
        <f>+E49/25</f>
        <v>1</v>
      </c>
      <c r="G49">
        <f>D39</f>
        <v>7887</v>
      </c>
      <c r="H49">
        <f>+(G49/D49)/F49</f>
        <v>2.629</v>
      </c>
    </row>
    <row r="50">
      <c r="A50">
        <v>2</v>
      </c>
      <c r="B50" t="str">
        <v>Arrume con tractor (trasiego)</v>
      </c>
      <c r="C50" t="str">
        <v>m2/día</v>
      </c>
      <c r="D50">
        <v>5000</v>
      </c>
      <c r="E50">
        <v>4</v>
      </c>
      <c r="F50">
        <f>+E50/25</f>
        <v>0.16</v>
      </c>
      <c r="G50">
        <f>D40</f>
        <v>1183</v>
      </c>
      <c r="H50">
        <f>+(G50/D50)/F50</f>
        <v>1.47875</v>
      </c>
    </row>
    <row r="51">
      <c r="A51">
        <v>3</v>
      </c>
      <c r="B51" t="str">
        <v>Corte de troncos</v>
      </c>
      <c r="C51" t="str">
        <v>Und/día</v>
      </c>
      <c r="D51">
        <v>15</v>
      </c>
      <c r="E51">
        <v>4</v>
      </c>
      <c r="F51">
        <f>+E51/25</f>
        <v>0.16</v>
      </c>
      <c r="G51">
        <f>+D42</f>
        <v>350</v>
      </c>
      <c r="H51">
        <f>+(G51/D51)/F51</f>
        <v>145.83333333333331</v>
      </c>
    </row>
    <row r="65">
      <c r="F65" t="str">
        <v>CANT JORNALES MES</v>
      </c>
      <c r="H65">
        <f>SUM(H49:H63)</f>
        <v>149.94108333333332</v>
      </c>
    </row>
    <row r="66">
      <c r="F66" t="str">
        <v>CANT PERSONAL MES</v>
      </c>
      <c r="H66">
        <f>+H65/25</f>
        <v>5.9976433333333325</v>
      </c>
      <c r="I66">
        <f>(80000)</f>
        <v>80000</v>
      </c>
      <c r="J66">
        <f>I66*H66*25</f>
        <v>11995286.666666666</v>
      </c>
    </row>
    <row r="69">
      <c r="F69" t="str">
        <v>CANT PERSONAL MES</v>
      </c>
      <c r="H69">
        <f>+H66+H33</f>
        <v>11.235082940004114</v>
      </c>
      <c r="J69">
        <f>J33+J66</f>
        <v>22470165.880008228</v>
      </c>
    </row>
  </sheetData>
  <mergeCells count="12">
    <mergeCell ref="F69:G69"/>
    <mergeCell ref="A1:B1"/>
    <mergeCell ref="C1:H1"/>
    <mergeCell ref="F4:G4"/>
    <mergeCell ref="A12:H12"/>
    <mergeCell ref="F32:G32"/>
    <mergeCell ref="F33:G33"/>
    <mergeCell ref="A36:B36"/>
    <mergeCell ref="C36:H36"/>
    <mergeCell ref="A47:H47"/>
    <mergeCell ref="F65:G65"/>
    <mergeCell ref="F66:G66"/>
  </mergeCells>
  <pageMargins left="0.7" right="0.7" top="0.75" bottom="0.75" header="0.3" footer="0.3"/>
  <ignoredErrors>
    <ignoredError numberStoredAsText="1" sqref="A1:M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74"/>
  <sheetViews>
    <sheetView workbookViewId="0" rightToLeft="0"/>
  </sheetViews>
  <sheetData>
    <row r="1">
      <c r="A1" t="str">
        <v>NOMBRE DEL PROYECTO:</v>
      </c>
      <c r="C1" t="str">
        <v>MANGLARES - ZONA VERDE</v>
      </c>
    </row>
    <row r="3">
      <c r="A3" t="str">
        <v>ITEM</v>
      </c>
      <c r="B3" t="str">
        <v>DESCRIPCION</v>
      </c>
      <c r="C3" t="str">
        <v>UND</v>
      </c>
      <c r="D3" t="str">
        <v>CANTIDAD</v>
      </c>
    </row>
    <row r="4">
      <c r="A4">
        <v>1</v>
      </c>
      <c r="B4" t="str">
        <v>TOTAL PAISAJISMO</v>
      </c>
      <c r="C4" t="str">
        <v>M3</v>
      </c>
      <c r="D4">
        <v>350</v>
      </c>
      <c r="F4" t="str">
        <v>TIPO DE RIEGO</v>
      </c>
      <c r="H4" t="str">
        <v>R. MANUAL</v>
      </c>
    </row>
    <row r="5">
      <c r="A5">
        <v>2</v>
      </c>
      <c r="B5" t="str">
        <v>ZONA DURA</v>
      </c>
      <c r="C5" t="str">
        <v>M2</v>
      </c>
      <c r="F5" t="str">
        <v>R. MANUAL</v>
      </c>
    </row>
    <row r="6">
      <c r="A6">
        <v>3</v>
      </c>
      <c r="B6" t="str">
        <v>GRAMA</v>
      </c>
      <c r="C6" t="str">
        <v>M2</v>
      </c>
    </row>
    <row r="7">
      <c r="A7">
        <v>4</v>
      </c>
      <c r="B7" t="str">
        <v>ARBUSTOS Y CUBRE SUELOS</v>
      </c>
      <c r="C7" t="str">
        <v>M2</v>
      </c>
      <c r="D7">
        <v>350</v>
      </c>
    </row>
    <row r="8">
      <c r="A8">
        <v>5</v>
      </c>
      <c r="B8" t="str">
        <v>ARBOLES TOTALES</v>
      </c>
      <c r="C8" t="str">
        <v>UND</v>
      </c>
    </row>
    <row r="11">
      <c r="A11" t="str">
        <f>+C1</f>
        <v>MANGLARES - ZONA VERDE</v>
      </c>
      <c r="L11" t="str">
        <v>ZV</v>
      </c>
      <c r="M11" t="str">
        <v>ZD</v>
      </c>
    </row>
    <row r="12">
      <c r="A12" t="str">
        <v>ITEM</v>
      </c>
      <c r="B12" t="str">
        <v>ACTIVIDAD</v>
      </c>
      <c r="C12" t="str">
        <v>UNIDAD</v>
      </c>
      <c r="D12" t="str">
        <v>RENDIMIENTO</v>
      </c>
      <c r="E12" t="str">
        <v>FRECUENCIA</v>
      </c>
      <c r="F12" t="str">
        <v>FACTOR</v>
      </c>
      <c r="G12" t="str">
        <v>CANTIDAD</v>
      </c>
      <c r="H12" t="str">
        <v>CANT JORNALES MES</v>
      </c>
      <c r="I12" t="str">
        <v>V. ACTIVIDAD</v>
      </c>
      <c r="L12">
        <f>(+H15+H16+H17+H18+H20+H21+H22+H23+H25+H27)/25</f>
        <v>0.19057793246919508</v>
      </c>
      <c r="M12">
        <f>(+H19)/25</f>
        <v>0</v>
      </c>
    </row>
    <row r="13">
      <c r="A13">
        <v>1</v>
      </c>
      <c r="B13" t="str">
        <v>Op Guadaña</v>
      </c>
      <c r="C13" t="str">
        <v>m2/día</v>
      </c>
      <c r="D13">
        <v>5000</v>
      </c>
      <c r="E13">
        <v>25</v>
      </c>
      <c r="F13">
        <f>E13/25</f>
        <v>1</v>
      </c>
      <c r="G13">
        <f>+D6</f>
        <v>0</v>
      </c>
      <c r="H13">
        <f>+(G13/D13)/F13</f>
        <v>0</v>
      </c>
    </row>
    <row r="14">
      <c r="A14">
        <v>2</v>
      </c>
      <c r="B14" t="str">
        <v>Plateo</v>
      </c>
      <c r="C14" t="str">
        <v>Und/día</v>
      </c>
      <c r="D14">
        <v>160</v>
      </c>
      <c r="E14">
        <v>12.5</v>
      </c>
      <c r="F14">
        <f>E14/25</f>
        <v>0.5</v>
      </c>
      <c r="G14">
        <f>+D8</f>
        <v>0</v>
      </c>
      <c r="H14">
        <f>+(G14/D14)/F14</f>
        <v>0</v>
      </c>
    </row>
    <row r="15">
      <c r="A15">
        <v>3</v>
      </c>
      <c r="B15" t="str">
        <v>Poda Arboles y Palmas</v>
      </c>
      <c r="C15" t="str">
        <v>Und/día</v>
      </c>
      <c r="D15">
        <v>200</v>
      </c>
      <c r="E15">
        <v>75</v>
      </c>
      <c r="F15">
        <f>E15/25</f>
        <v>3</v>
      </c>
      <c r="G15">
        <f>+D8</f>
        <v>0</v>
      </c>
      <c r="H15">
        <f>+(G15/D15)/F15</f>
        <v>0</v>
      </c>
    </row>
    <row r="16">
      <c r="A16">
        <v>4</v>
      </c>
      <c r="B16" t="str">
        <v>Poda Arbustos y CS</v>
      </c>
      <c r="C16" t="str">
        <v>m2/día</v>
      </c>
      <c r="D16">
        <v>1200</v>
      </c>
      <c r="E16">
        <v>12.5</v>
      </c>
      <c r="F16">
        <f>E16/25</f>
        <v>0.5</v>
      </c>
      <c r="G16">
        <f>+D7</f>
        <v>350</v>
      </c>
      <c r="H16">
        <f>+(G16/D16)/F16</f>
        <v>0.5833333333333334</v>
      </c>
    </row>
    <row r="17">
      <c r="A17">
        <v>5</v>
      </c>
      <c r="B17" t="str">
        <v>Mtto Cama Siembra</v>
      </c>
      <c r="C17" t="str">
        <v>m2/día</v>
      </c>
      <c r="D17">
        <v>600</v>
      </c>
      <c r="E17">
        <v>6.25</v>
      </c>
      <c r="F17">
        <f>E17/25</f>
        <v>0.25</v>
      </c>
      <c r="G17">
        <f>+D4</f>
        <v>350</v>
      </c>
      <c r="H17">
        <f>+(G17/D17)/F17</f>
        <v>2.3333333333333335</v>
      </c>
    </row>
    <row r="18">
      <c r="A18">
        <v>6</v>
      </c>
      <c r="B18" t="str">
        <v>Limpieza General</v>
      </c>
      <c r="C18" t="str">
        <v>m2/día</v>
      </c>
      <c r="D18">
        <v>7500</v>
      </c>
      <c r="E18">
        <v>2.083</v>
      </c>
      <c r="F18">
        <f>E18/25</f>
        <v>0.08332</v>
      </c>
      <c r="G18">
        <f>+D4</f>
        <v>350</v>
      </c>
      <c r="H18">
        <f>+(G18/D18)/F18</f>
        <v>0.5600896143382941</v>
      </c>
    </row>
    <row r="19">
      <c r="A19">
        <v>7</v>
      </c>
      <c r="B19" t="str">
        <v>Limpieza General zonas duras</v>
      </c>
      <c r="C19" t="str">
        <v>m2/día</v>
      </c>
      <c r="D19">
        <v>10000</v>
      </c>
      <c r="E19">
        <v>1</v>
      </c>
      <c r="F19">
        <f>E19/25</f>
        <v>0.04</v>
      </c>
      <c r="G19">
        <f>+D5</f>
        <v>0</v>
      </c>
      <c r="H19">
        <f>+(G19/D19)/F19</f>
        <v>0</v>
      </c>
    </row>
    <row r="20">
      <c r="A20">
        <v>8</v>
      </c>
      <c r="B20" t="str">
        <v>Riego general Arboles y Palmas</v>
      </c>
      <c r="C20" t="str">
        <v>und/día</v>
      </c>
      <c r="D20">
        <v>480</v>
      </c>
      <c r="E20">
        <v>3.125</v>
      </c>
      <c r="F20">
        <f>E20/25</f>
        <v>0.125</v>
      </c>
      <c r="G20">
        <f>+D8</f>
        <v>0</v>
      </c>
      <c r="H20">
        <f>+(G20/D20)/F20</f>
        <v>0</v>
      </c>
    </row>
    <row r="21">
      <c r="A21">
        <v>9</v>
      </c>
      <c r="B21" t="str">
        <v>Riego general Arbusto, Cubresuelos y grama</v>
      </c>
      <c r="C21" t="str">
        <v>m2/día</v>
      </c>
      <c r="D21">
        <v>3500</v>
      </c>
      <c r="E21">
        <v>2.083</v>
      </c>
      <c r="F21">
        <f>E21/25</f>
        <v>0.08332</v>
      </c>
      <c r="G21">
        <f>+D7</f>
        <v>350</v>
      </c>
      <c r="H21">
        <f>+(G21/D21)/F21</f>
        <v>1.2001920307249159</v>
      </c>
    </row>
    <row r="22">
      <c r="A22">
        <v>10</v>
      </c>
      <c r="B22" t="str">
        <v xml:space="preserve">TC INSECTICIDA Y FUNGICIDA ARB </v>
      </c>
      <c r="C22" t="str">
        <v>Und/día</v>
      </c>
      <c r="D22">
        <v>240</v>
      </c>
      <c r="E22">
        <v>50</v>
      </c>
      <c r="F22">
        <f>E22/25</f>
        <v>2</v>
      </c>
      <c r="G22">
        <f>+D8</f>
        <v>0</v>
      </c>
      <c r="H22">
        <f>+(G22/D22)/F22</f>
        <v>0</v>
      </c>
    </row>
    <row r="23">
      <c r="A23">
        <v>11</v>
      </c>
      <c r="B23" t="str">
        <v>TC INSECT Y FUNG ARBUS Y CSUELO</v>
      </c>
      <c r="C23" t="str">
        <v>m2/día</v>
      </c>
      <c r="D23">
        <v>2000</v>
      </c>
      <c r="E23">
        <v>50</v>
      </c>
      <c r="F23">
        <f>E23/25</f>
        <v>2</v>
      </c>
      <c r="G23">
        <f>+D7</f>
        <v>350</v>
      </c>
      <c r="H23">
        <f>+(G23/D23)/F23</f>
        <v>0.0875</v>
      </c>
    </row>
    <row r="24">
      <c r="A24">
        <v>12</v>
      </c>
      <c r="B24" t="str">
        <v>TC HERBICIDA GRAMA</v>
      </c>
      <c r="C24" t="str">
        <v>m2/día</v>
      </c>
      <c r="D24">
        <v>2400</v>
      </c>
      <c r="E24">
        <v>50</v>
      </c>
      <c r="F24">
        <f>E24/25</f>
        <v>2</v>
      </c>
      <c r="G24">
        <f>+D6</f>
        <v>0</v>
      </c>
      <c r="H24">
        <f>+(G24/D24)/F24</f>
        <v>0</v>
      </c>
    </row>
    <row r="25">
      <c r="A25">
        <v>13</v>
      </c>
      <c r="B25" t="str">
        <v>FERTIL ARB Y PALMAS Compost</v>
      </c>
      <c r="C25" t="str">
        <v>Und/día</v>
      </c>
      <c r="D25">
        <v>240</v>
      </c>
      <c r="E25">
        <v>150</v>
      </c>
      <c r="F25">
        <f>E25/25</f>
        <v>6</v>
      </c>
      <c r="G25">
        <f>+D8</f>
        <v>0</v>
      </c>
      <c r="H25">
        <f>+(G25/D25)/F25</f>
        <v>0</v>
      </c>
    </row>
    <row r="26">
      <c r="A26">
        <v>14</v>
      </c>
      <c r="B26" t="str">
        <v>FERTIL ARBUST Y CUBRESUELOS</v>
      </c>
      <c r="C26" t="str">
        <v>m2/día</v>
      </c>
      <c r="D26">
        <v>3500</v>
      </c>
      <c r="E26">
        <v>150</v>
      </c>
      <c r="F26">
        <f>E26/25</f>
        <v>6</v>
      </c>
      <c r="G26">
        <f>+D7</f>
        <v>350</v>
      </c>
      <c r="H26">
        <f>+(G26/D26)/F26</f>
        <v>0.016666666666666666</v>
      </c>
    </row>
    <row r="27">
      <c r="A27">
        <v>15</v>
      </c>
      <c r="B27" t="str">
        <v>FERTIL GRAMA</v>
      </c>
      <c r="C27" t="str">
        <v>m2/día</v>
      </c>
      <c r="D27">
        <v>3500</v>
      </c>
      <c r="E27">
        <v>150</v>
      </c>
      <c r="F27">
        <f>E27/25</f>
        <v>6</v>
      </c>
      <c r="G27">
        <f>+D6</f>
        <v>0</v>
      </c>
      <c r="H27">
        <f>+(G27/D27)/F27</f>
        <v>0</v>
      </c>
    </row>
    <row r="30">
      <c r="F30" t="str">
        <v>CANT JORNALES MES</v>
      </c>
      <c r="H30">
        <f>SUM(H15:H27)</f>
        <v>4.781114978396544</v>
      </c>
    </row>
    <row r="31">
      <c r="F31" t="str">
        <v>CANT PERSONAL MES</v>
      </c>
      <c r="H31">
        <f>+H30/25</f>
        <v>0.19124459913586175</v>
      </c>
      <c r="I31">
        <f>(80000)</f>
        <v>80000</v>
      </c>
      <c r="J31">
        <f>I31*H31*25</f>
        <v>382489.19827172346</v>
      </c>
    </row>
    <row r="33">
      <c r="A33" t="str">
        <v>NOMBRE DEL PROYECTO:</v>
      </c>
      <c r="C33" t="str">
        <v xml:space="preserve"> ZONA DURA MANGLARES</v>
      </c>
    </row>
    <row r="35">
      <c r="A35" t="str">
        <v>ITEM</v>
      </c>
      <c r="B35" t="str">
        <v>DESCRIPCION</v>
      </c>
      <c r="C35" t="str">
        <v>UND</v>
      </c>
      <c r="D35" t="str">
        <v>CANTIDAD</v>
      </c>
    </row>
    <row r="36">
      <c r="A36">
        <v>1</v>
      </c>
      <c r="B36" t="str">
        <v>ZONA DE PLAYA</v>
      </c>
      <c r="C36" t="str">
        <v>M2</v>
      </c>
      <c r="D36">
        <v>15000</v>
      </c>
    </row>
    <row r="37">
      <c r="A37">
        <v>2</v>
      </c>
      <c r="B37" t="str">
        <v>TRASIEGO DE PLAYA</v>
      </c>
      <c r="C37" t="str">
        <v>M2</v>
      </c>
      <c r="D37">
        <v>7045</v>
      </c>
      <c r="F37" t="str">
        <v>R. CARROTANQUE</v>
      </c>
    </row>
    <row r="38">
      <c r="A38">
        <v>3</v>
      </c>
      <c r="B38" t="str">
        <v>LIMPIEZA MANUAL</v>
      </c>
      <c r="C38" t="str">
        <v>M2</v>
      </c>
      <c r="D38">
        <v>15000</v>
      </c>
      <c r="F38" t="str">
        <v>R. MANUAL</v>
      </c>
    </row>
    <row r="39">
      <c r="A39">
        <v>4</v>
      </c>
      <c r="B39" t="str">
        <v>CORTE DE TRONCOS</v>
      </c>
      <c r="C39" t="str">
        <v>UND</v>
      </c>
      <c r="D39">
        <v>450</v>
      </c>
    </row>
    <row r="42">
      <c r="A42" t="str">
        <f>+C33</f>
        <v xml:space="preserve"> ZONA DURA MANGLARES</v>
      </c>
    </row>
    <row r="43">
      <c r="A43" t="str">
        <v>ITEM</v>
      </c>
      <c r="B43" t="str">
        <v>ACTIVIDAD</v>
      </c>
      <c r="C43" t="str">
        <v>UNIDAD</v>
      </c>
      <c r="D43" t="str">
        <v>RENDIMIENTO</v>
      </c>
      <c r="E43" t="str">
        <v>FRECUENCIA</v>
      </c>
      <c r="F43" t="str">
        <v>FACTOR</v>
      </c>
      <c r="G43" t="str">
        <v>CANTIDAD</v>
      </c>
      <c r="H43" t="str">
        <v>CANT JORNALES MES</v>
      </c>
    </row>
    <row r="44">
      <c r="A44">
        <v>1</v>
      </c>
      <c r="B44" t="str">
        <v>Acopio y limpieza manual</v>
      </c>
      <c r="C44" t="str">
        <v>m2/día</v>
      </c>
      <c r="D44">
        <v>3000</v>
      </c>
      <c r="E44">
        <v>25</v>
      </c>
      <c r="F44">
        <f>+E44/25</f>
        <v>1</v>
      </c>
      <c r="G44">
        <f>D36</f>
        <v>15000</v>
      </c>
      <c r="H44">
        <f>+(G44/D44)/F44</f>
        <v>5</v>
      </c>
    </row>
    <row r="45">
      <c r="A45">
        <v>2</v>
      </c>
      <c r="B45" t="str">
        <v>Arrume con tractor (trasiego)</v>
      </c>
      <c r="C45" t="str">
        <v>m2/día</v>
      </c>
      <c r="D45">
        <v>5000</v>
      </c>
      <c r="E45">
        <v>4</v>
      </c>
      <c r="F45">
        <f>+E45/25</f>
        <v>0.16</v>
      </c>
      <c r="G45">
        <f>D37</f>
        <v>7045</v>
      </c>
      <c r="H45">
        <f>+(G45/D45)/F45</f>
        <v>8.80625</v>
      </c>
    </row>
    <row r="46">
      <c r="A46">
        <v>3</v>
      </c>
      <c r="B46" t="str">
        <v>Corte de troncos</v>
      </c>
      <c r="C46" t="str">
        <v>Und/día</v>
      </c>
      <c r="D46">
        <v>30</v>
      </c>
      <c r="E46">
        <v>4</v>
      </c>
      <c r="F46">
        <f>+E46/25</f>
        <v>0.16</v>
      </c>
      <c r="G46">
        <f>+D39</f>
        <v>450</v>
      </c>
      <c r="H46">
        <f>+(G46/D46)/F46</f>
        <v>93.75</v>
      </c>
    </row>
    <row r="48">
      <c r="F48" t="str">
        <v>CANT JORNALES MES</v>
      </c>
      <c r="H48">
        <f>SUM(H44:H46)</f>
        <v>107.55625</v>
      </c>
    </row>
    <row r="49">
      <c r="F49" t="str">
        <v>CANT PERSONAL MES</v>
      </c>
      <c r="H49">
        <f>+H48/25</f>
        <v>4.30225</v>
      </c>
      <c r="I49">
        <f>(80000)</f>
        <v>80000</v>
      </c>
      <c r="J49">
        <f>I49*H49*25</f>
        <v>8604500</v>
      </c>
    </row>
    <row r="52">
      <c r="F52" t="str">
        <v>CANT PERSONAL MES</v>
      </c>
      <c r="H52" t="e">
        <f>+H49+#REF!</f>
        <v>#NULL!</v>
      </c>
      <c r="J52" t="e">
        <f>#REF!+J49</f>
        <v>#NULL!</v>
      </c>
    </row>
  </sheetData>
  <mergeCells count="12">
    <mergeCell ref="F52:G52"/>
    <mergeCell ref="A1:B1"/>
    <mergeCell ref="C1:H1"/>
    <mergeCell ref="F4:G4"/>
    <mergeCell ref="A11:H11"/>
    <mergeCell ref="F30:G30"/>
    <mergeCell ref="F31:G31"/>
    <mergeCell ref="A33:B33"/>
    <mergeCell ref="C33:H33"/>
    <mergeCell ref="A42:H42"/>
    <mergeCell ref="F48:G48"/>
    <mergeCell ref="F49:G49"/>
  </mergeCells>
  <pageMargins left="0.7" right="0.7" top="0.75" bottom="0.75" header="0.3" footer="0.3"/>
  <ignoredErrors>
    <ignoredError numberStoredAsText="1" sqref="A1:M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 rightToLeft="0"/>
  </sheetViews>
  <sheetData>
    <row r="1">
      <c r="A1" t="str">
        <v>NOMBRE DEL PROYECTO:</v>
      </c>
      <c r="C1" t="str">
        <v>CENTRO GASTRÓNOMICO - ZONA VERDE</v>
      </c>
    </row>
    <row r="3">
      <c r="A3" t="str">
        <v>ITEM</v>
      </c>
      <c r="B3" t="str">
        <v>DESCRIPCION</v>
      </c>
      <c r="C3" t="str">
        <v>UND</v>
      </c>
      <c r="D3" t="str">
        <v>CANTIDAD</v>
      </c>
    </row>
    <row r="4">
      <c r="B4" t="str">
        <v>TOTAL PAISAJISMO</v>
      </c>
      <c r="C4" t="str">
        <v>M2</v>
      </c>
      <c r="D4">
        <v>901</v>
      </c>
      <c r="F4" t="str">
        <v>TIPO DE RIEGO</v>
      </c>
      <c r="H4" t="str">
        <v>R. MANUAL</v>
      </c>
    </row>
    <row r="5">
      <c r="B5" t="str">
        <v>GRAMA</v>
      </c>
      <c r="C5" t="str">
        <v>M2</v>
      </c>
      <c r="D5">
        <v>65.99</v>
      </c>
      <c r="F5" t="str">
        <v>R. MANUAL</v>
      </c>
    </row>
    <row r="6">
      <c r="B6" t="str">
        <v>ZONA DURA</v>
      </c>
      <c r="C6" t="str">
        <v>M2</v>
      </c>
      <c r="D6">
        <v>6726</v>
      </c>
      <c r="F6" t="str">
        <v>R. MANUAL</v>
      </c>
    </row>
    <row r="7">
      <c r="B7" t="str">
        <v>LIMPIEZA MARMOL</v>
      </c>
      <c r="C7" t="str">
        <v>M2</v>
      </c>
      <c r="D7">
        <v>6726</v>
      </c>
    </row>
    <row r="8">
      <c r="B8" t="str">
        <v>ARBUSTOS Y CUBRE SUELOS</v>
      </c>
      <c r="C8" t="str">
        <v>M2</v>
      </c>
      <c r="D8">
        <v>835.01</v>
      </c>
    </row>
    <row r="9">
      <c r="B9" t="str">
        <v>ARBOLES FUERA DE CAMASIEMBRA</v>
      </c>
      <c r="C9" t="str">
        <v>UND</v>
      </c>
    </row>
    <row r="10">
      <c r="B10" t="str">
        <v>ARBOLES TOTALES</v>
      </c>
      <c r="C10" t="str">
        <v>UND</v>
      </c>
      <c r="D10">
        <v>111</v>
      </c>
    </row>
    <row r="12">
      <c r="A12" t="str">
        <f>+C1</f>
        <v>CENTRO GASTRÓNOMICO - ZONA VERDE</v>
      </c>
    </row>
    <row r="13">
      <c r="A13" t="str">
        <v>ITEM</v>
      </c>
      <c r="B13" t="str">
        <v>ACTIVIDAD</v>
      </c>
      <c r="C13" t="str">
        <v>UNIDAD</v>
      </c>
      <c r="D13" t="str">
        <v>RENDIMIENTO</v>
      </c>
      <c r="E13" t="str">
        <v>FRECUENCIA</v>
      </c>
      <c r="F13" t="str">
        <v>FACTOR</v>
      </c>
      <c r="G13" t="str">
        <v>CANTIDAD</v>
      </c>
      <c r="H13" t="str">
        <v>CANT JORNALES MES</v>
      </c>
      <c r="I13" t="str">
        <v>V. ACTIVIDAD</v>
      </c>
    </row>
    <row r="14">
      <c r="A14">
        <v>1</v>
      </c>
      <c r="B14" t="str">
        <v>Op Guadaña</v>
      </c>
      <c r="C14" t="str">
        <v>m2/día</v>
      </c>
      <c r="D14">
        <v>5000</v>
      </c>
      <c r="E14">
        <v>25</v>
      </c>
      <c r="F14">
        <f>+E14/25</f>
        <v>1</v>
      </c>
      <c r="G14">
        <f>D5</f>
        <v>65.99</v>
      </c>
      <c r="H14">
        <f>+(G14/D14)/F14</f>
        <v>0.013198</v>
      </c>
    </row>
    <row r="15">
      <c r="A15">
        <v>2</v>
      </c>
      <c r="B15" t="str">
        <v>Plateo</v>
      </c>
      <c r="C15" t="str">
        <v>Und/día</v>
      </c>
      <c r="D15">
        <v>160</v>
      </c>
      <c r="E15">
        <v>12.5</v>
      </c>
      <c r="F15">
        <f>+E15/25</f>
        <v>0.5</v>
      </c>
      <c r="G15">
        <f>+D10</f>
        <v>111</v>
      </c>
      <c r="H15">
        <f>+(G15/D15)/F15</f>
        <v>1.3875</v>
      </c>
    </row>
    <row r="16">
      <c r="A16">
        <v>3</v>
      </c>
      <c r="B16" t="str">
        <v>Poda Arboles y Palmas</v>
      </c>
      <c r="C16" t="str">
        <v>Und/día</v>
      </c>
      <c r="D16">
        <v>450</v>
      </c>
      <c r="E16">
        <v>75</v>
      </c>
      <c r="F16">
        <f>+E16/25</f>
        <v>3</v>
      </c>
      <c r="G16">
        <v>111</v>
      </c>
      <c r="H16">
        <f>+(G16/D16)/F16</f>
        <v>0.08222222222222222</v>
      </c>
    </row>
    <row r="17">
      <c r="A17">
        <v>4</v>
      </c>
      <c r="B17" t="str">
        <v>Poda Arbustos y CS</v>
      </c>
      <c r="C17" t="str">
        <v>m2/día</v>
      </c>
      <c r="D17">
        <v>1495</v>
      </c>
      <c r="E17">
        <v>12.5</v>
      </c>
      <c r="F17">
        <f>+E17/25</f>
        <v>0.5</v>
      </c>
      <c r="G17">
        <f>+D8</f>
        <v>835.01</v>
      </c>
      <c r="H17">
        <f>+(G17/D17)/F17</f>
        <v>1.1170702341137124</v>
      </c>
    </row>
    <row r="18">
      <c r="A18">
        <v>5</v>
      </c>
      <c r="B18" t="str">
        <v>Mtto Cama Siembra</v>
      </c>
      <c r="C18" t="str">
        <v>m2/día</v>
      </c>
      <c r="D18">
        <v>450</v>
      </c>
      <c r="E18">
        <v>6.25</v>
      </c>
      <c r="F18">
        <f>+E18/25</f>
        <v>0.25</v>
      </c>
      <c r="G18">
        <f>+D4</f>
        <v>901</v>
      </c>
      <c r="H18">
        <f>+(G18/D18)/F18</f>
        <v>8.008888888888889</v>
      </c>
    </row>
    <row r="19">
      <c r="A19">
        <v>6</v>
      </c>
      <c r="B19" t="str">
        <v>Limpieza General</v>
      </c>
      <c r="C19" t="str">
        <v>m2/día</v>
      </c>
      <c r="D19">
        <v>7500</v>
      </c>
      <c r="E19">
        <v>2.083</v>
      </c>
      <c r="F19">
        <f>+E19/25</f>
        <v>0.08332</v>
      </c>
      <c r="G19">
        <f>+D4</f>
        <v>901</v>
      </c>
      <c r="H19">
        <f>+(G19/D19)/F19</f>
        <v>1.4418306929108655</v>
      </c>
      <c r="L19" t="str">
        <v>ZV</v>
      </c>
      <c r="M19" t="str">
        <v>ZD</v>
      </c>
    </row>
    <row r="20">
      <c r="A20">
        <v>7</v>
      </c>
      <c r="B20" t="str">
        <v>Limpieza General zonas duras</v>
      </c>
      <c r="C20" t="str">
        <v>m2/día</v>
      </c>
      <c r="D20">
        <v>2000</v>
      </c>
      <c r="E20">
        <v>1</v>
      </c>
      <c r="F20">
        <f>+E20/25</f>
        <v>0.04</v>
      </c>
      <c r="G20">
        <f>+D6</f>
        <v>6726</v>
      </c>
      <c r="H20">
        <f>+(G20/D20)/F20</f>
        <v>84.075</v>
      </c>
      <c r="L20">
        <f>(+H14+H15+H16+H17+H18+H19+H23+H24+H25+H26+H27+H28+H29+H30)/25</f>
        <v>0.6996789085368351</v>
      </c>
      <c r="M20">
        <f>(+H20+H21+H31+H22)/25</f>
        <v>12.807444444444446</v>
      </c>
    </row>
    <row r="21">
      <c r="A21">
        <v>8</v>
      </c>
      <c r="B21" t="str">
        <v>Limpieza general mármol</v>
      </c>
      <c r="C21" t="str">
        <v>m2/día</v>
      </c>
      <c r="D21">
        <v>180</v>
      </c>
      <c r="E21">
        <v>6.25</v>
      </c>
      <c r="F21">
        <f>+E21/25</f>
        <v>0.25</v>
      </c>
      <c r="G21">
        <f>+D7</f>
        <v>6726</v>
      </c>
      <c r="H21">
        <f>+(G21/D21)/F21</f>
        <v>149.46666666666667</v>
      </c>
      <c r="K21" t="str">
        <v xml:space="preserve"> </v>
      </c>
    </row>
    <row r="22">
      <c r="A22">
        <v>9</v>
      </c>
      <c r="B22" t="str">
        <v>Lavado a presión Fachadas</v>
      </c>
      <c r="C22" t="str">
        <v>m2/dia</v>
      </c>
      <c r="D22">
        <v>60</v>
      </c>
      <c r="E22">
        <v>25</v>
      </c>
      <c r="F22">
        <f>+E22/25</f>
        <v>1</v>
      </c>
      <c r="G22">
        <v>4992</v>
      </c>
      <c r="H22">
        <f>+(G22/D22)/F22</f>
        <v>83.2</v>
      </c>
    </row>
    <row r="23">
      <c r="A23">
        <v>10</v>
      </c>
      <c r="B23" t="str">
        <v>Riego general Arboles y Palmas</v>
      </c>
      <c r="C23" t="str">
        <v>und/día</v>
      </c>
      <c r="D23">
        <v>480</v>
      </c>
      <c r="E23">
        <v>3.125</v>
      </c>
      <c r="F23">
        <f>+E23/25</f>
        <v>0.125</v>
      </c>
      <c r="G23">
        <f>+D10</f>
        <v>111</v>
      </c>
      <c r="H23">
        <f>+(G23/D23)/F23</f>
        <v>1.85</v>
      </c>
    </row>
    <row r="24">
      <c r="A24">
        <v>11</v>
      </c>
      <c r="B24" t="str">
        <v>Riego general Arbusto, Cubresuelos y grama</v>
      </c>
      <c r="C24" t="str">
        <v>m2/día</v>
      </c>
      <c r="D24">
        <v>3500</v>
      </c>
      <c r="E24">
        <v>2.083</v>
      </c>
      <c r="F24">
        <f>+E24/25</f>
        <v>0.08332</v>
      </c>
      <c r="G24">
        <f>+D4</f>
        <v>901</v>
      </c>
      <c r="H24">
        <f>+(G24/D24)/F24</f>
        <v>3.0896371990947125</v>
      </c>
    </row>
    <row r="25">
      <c r="A25">
        <v>12</v>
      </c>
      <c r="B25" t="str">
        <v xml:space="preserve">TC INSECTICIDA Y FUNGICIDA ARB </v>
      </c>
      <c r="C25" t="str">
        <v>Und/día</v>
      </c>
      <c r="D25">
        <v>360</v>
      </c>
      <c r="E25">
        <v>50</v>
      </c>
      <c r="F25">
        <f>+E25/25</f>
        <v>2</v>
      </c>
      <c r="G25">
        <f>+D10</f>
        <v>111</v>
      </c>
      <c r="H25">
        <f>+(G25/D25)/F25</f>
        <v>0.15416666666666667</v>
      </c>
    </row>
    <row r="26">
      <c r="A26">
        <v>13</v>
      </c>
      <c r="B26" t="str">
        <v>TC INSECT Y FUNG ARBUS Y CSUELO</v>
      </c>
      <c r="C26" t="str">
        <v>m2/día</v>
      </c>
      <c r="D26">
        <v>2400</v>
      </c>
      <c r="E26">
        <v>50</v>
      </c>
      <c r="F26">
        <f>+E26/25</f>
        <v>2</v>
      </c>
      <c r="G26">
        <f>+D8</f>
        <v>835.01</v>
      </c>
      <c r="H26">
        <f>+(G26/D26)/F26</f>
        <v>0.17396041666666667</v>
      </c>
    </row>
    <row r="27">
      <c r="A27">
        <v>14</v>
      </c>
      <c r="B27" t="str">
        <v>TC HERBICIDA GRAMA</v>
      </c>
      <c r="C27" t="str">
        <v>m2/día</v>
      </c>
      <c r="D27">
        <v>2400</v>
      </c>
      <c r="E27">
        <v>50</v>
      </c>
      <c r="F27">
        <f>+E27/25</f>
        <v>2</v>
      </c>
      <c r="G27">
        <f>+D5</f>
        <v>65.99</v>
      </c>
      <c r="H27">
        <f>+(G27/D27)/F27</f>
        <v>0.013747916666666665</v>
      </c>
    </row>
    <row r="28">
      <c r="A28">
        <v>15</v>
      </c>
      <c r="B28" t="str">
        <v>FERTIL ARB Y PALMAS Compost</v>
      </c>
      <c r="C28" t="str">
        <v>Und/día</v>
      </c>
      <c r="D28">
        <v>240</v>
      </c>
      <c r="E28">
        <v>150</v>
      </c>
      <c r="F28">
        <f>+E28/25</f>
        <v>6</v>
      </c>
      <c r="G28">
        <f>+D10</f>
        <v>111</v>
      </c>
      <c r="H28">
        <f>+(G28/D28)/F28</f>
        <v>0.07708333333333334</v>
      </c>
    </row>
    <row r="29">
      <c r="A29">
        <v>16</v>
      </c>
      <c r="B29" t="str">
        <v>FERTIL ARBUST Y CUBRESUELOS</v>
      </c>
      <c r="C29" t="str">
        <v>m2/día</v>
      </c>
      <c r="D29">
        <v>3500</v>
      </c>
      <c r="E29">
        <v>150</v>
      </c>
      <c r="F29">
        <f>+E29/25</f>
        <v>6</v>
      </c>
      <c r="G29">
        <f>+D8</f>
        <v>835.01</v>
      </c>
      <c r="H29">
        <f>+(G29/D29)/F29</f>
        <v>0.03976238095238095</v>
      </c>
      <c r="I29">
        <f>(80000)</f>
        <v>80000</v>
      </c>
      <c r="J29">
        <f>I29*H29*25</f>
        <v>79524.76190476191</v>
      </c>
    </row>
    <row r="30">
      <c r="A30">
        <v>17</v>
      </c>
      <c r="B30" t="str">
        <v>FERTIL GRAMA</v>
      </c>
      <c r="C30" t="str">
        <v>m2/día</v>
      </c>
      <c r="D30">
        <v>3500</v>
      </c>
      <c r="E30">
        <v>150</v>
      </c>
      <c r="F30">
        <f>+E30/25</f>
        <v>6</v>
      </c>
      <c r="G30">
        <f>+D4</f>
        <v>901</v>
      </c>
      <c r="H30">
        <f>+(G30/D30)/F30</f>
        <v>0.04290476190476191</v>
      </c>
    </row>
    <row r="31">
      <c r="A31">
        <v>18</v>
      </c>
      <c r="B31" t="str">
        <v>UNIDAD SANITARIA</v>
      </c>
      <c r="C31" t="str">
        <v>Und/día</v>
      </c>
      <c r="D31">
        <v>9</v>
      </c>
      <c r="E31">
        <v>30</v>
      </c>
      <c r="F31">
        <f>+E31/30</f>
        <v>1</v>
      </c>
      <c r="G31">
        <v>31</v>
      </c>
      <c r="H31">
        <f>+(G31/D31)/F31</f>
        <v>3.4444444444444446</v>
      </c>
    </row>
    <row r="34">
      <c r="F34" t="str">
        <v>CANT JORNALES MES</v>
      </c>
      <c r="H34">
        <f>SUM(H14:H31)</f>
        <v>337.678083824532</v>
      </c>
    </row>
    <row r="35">
      <c r="F35" t="str">
        <v>CANT PERSONAL MES</v>
      </c>
      <c r="H35">
        <f>+H34/25</f>
        <v>13.50712335298128</v>
      </c>
    </row>
  </sheetData>
  <mergeCells count="6">
    <mergeCell ref="F35:G35"/>
    <mergeCell ref="A1:B1"/>
    <mergeCell ref="C1:H1"/>
    <mergeCell ref="F4:G4"/>
    <mergeCell ref="A12:H12"/>
    <mergeCell ref="F34:G34"/>
  </mergeCells>
  <pageMargins left="0.7" right="0.7" top="0.75" bottom="0.75" header="0.3" footer="0.3"/>
  <ignoredErrors>
    <ignoredError numberStoredAsText="1" sqref="A1:M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3"/>
  <sheetViews>
    <sheetView workbookViewId="0" rightToLeft="0"/>
  </sheetViews>
  <sheetData>
    <row r="1">
      <c r="A1" t="str">
        <v>NOMBRE DEL PROYECTO:</v>
      </c>
      <c r="C1" t="str">
        <v>CENTRO GASTRÓNOMICO - ZONA VERDE</v>
      </c>
    </row>
    <row r="3">
      <c r="A3" t="str">
        <v>ITEM</v>
      </c>
      <c r="B3" t="str">
        <v>DESCRIPCION</v>
      </c>
      <c r="C3" t="str">
        <v>UND</v>
      </c>
      <c r="D3" t="str">
        <v>CANTIDAD</v>
      </c>
    </row>
    <row r="4">
      <c r="B4" t="str">
        <v>TOTAL PAISAJISMO</v>
      </c>
      <c r="C4" t="str">
        <v>M2</v>
      </c>
      <c r="D4">
        <v>499</v>
      </c>
      <c r="F4" t="str">
        <v>TIPO DE RIEGO</v>
      </c>
      <c r="H4" t="str">
        <v>R. MANUAL</v>
      </c>
    </row>
    <row r="5">
      <c r="B5" t="str">
        <v>GRAMA</v>
      </c>
      <c r="C5" t="str">
        <v>M2</v>
      </c>
      <c r="D5">
        <v>263</v>
      </c>
      <c r="F5" t="str">
        <v>R. MANUAL</v>
      </c>
    </row>
    <row r="6">
      <c r="B6" t="str">
        <v>ZONA DURA</v>
      </c>
      <c r="C6" t="str">
        <v>M2</v>
      </c>
      <c r="D6">
        <v>3943</v>
      </c>
      <c r="F6" t="str">
        <v>R. MANUAL</v>
      </c>
    </row>
    <row r="7">
      <c r="B7" t="str">
        <v>LIMPIEZA MARMOL</v>
      </c>
      <c r="C7" t="str">
        <v>M2</v>
      </c>
    </row>
    <row r="8">
      <c r="B8" t="str">
        <v>ARBUSTOS Y CUBRE SUELOS</v>
      </c>
      <c r="C8" t="str">
        <v>M2</v>
      </c>
      <c r="D8">
        <v>236</v>
      </c>
    </row>
    <row r="9">
      <c r="B9" t="str">
        <v>ARBOLES FUERA DE CAMASIEMBRA</v>
      </c>
      <c r="C9" t="str">
        <v>UND</v>
      </c>
    </row>
    <row r="10">
      <c r="B10" t="str">
        <v>ARBOLES TOTALES</v>
      </c>
      <c r="C10" t="str">
        <v>UND</v>
      </c>
      <c r="D10">
        <v>21</v>
      </c>
    </row>
    <row r="12">
      <c r="A12" t="str">
        <f>+C1</f>
        <v>CENTRO GASTRÓNOMICO - ZONA VERDE</v>
      </c>
    </row>
    <row r="13">
      <c r="A13" t="str">
        <v>ITEM</v>
      </c>
      <c r="B13" t="str">
        <v>ACTIVIDAD</v>
      </c>
      <c r="C13" t="str">
        <v>UNIDAD</v>
      </c>
      <c r="D13" t="str">
        <v>RENDIMIENTO</v>
      </c>
      <c r="E13" t="str">
        <v>FRECUENCIA</v>
      </c>
      <c r="F13" t="str">
        <v>FACTOR</v>
      </c>
      <c r="G13" t="str">
        <v>CANTIDAD</v>
      </c>
      <c r="H13" t="str">
        <v>CANT JORNALES MES</v>
      </c>
      <c r="I13" t="str">
        <v>V. ACTIVIDAD</v>
      </c>
    </row>
    <row r="14">
      <c r="A14">
        <v>1</v>
      </c>
      <c r="B14" t="str">
        <v>Op Guadaña</v>
      </c>
      <c r="C14" t="str">
        <v>m2/día</v>
      </c>
      <c r="D14">
        <v>5000</v>
      </c>
      <c r="E14">
        <v>25</v>
      </c>
      <c r="F14">
        <f>+E14/25</f>
        <v>1</v>
      </c>
      <c r="G14">
        <f>D5</f>
        <v>263</v>
      </c>
      <c r="H14">
        <f>+(G14/D14)/F14</f>
        <v>0.0526</v>
      </c>
    </row>
    <row r="15">
      <c r="A15">
        <v>2</v>
      </c>
      <c r="B15" t="str">
        <v>Plateo</v>
      </c>
      <c r="C15" t="str">
        <v>Und/día</v>
      </c>
      <c r="D15">
        <v>160</v>
      </c>
      <c r="E15">
        <v>12.5</v>
      </c>
      <c r="F15">
        <f>+E15/25</f>
        <v>0.5</v>
      </c>
      <c r="G15">
        <f>+D10</f>
        <v>21</v>
      </c>
      <c r="H15">
        <f>+(G15/D15)/F15</f>
        <v>0.2625</v>
      </c>
    </row>
    <row r="16">
      <c r="A16">
        <v>3</v>
      </c>
      <c r="B16" t="str">
        <v>Poda Arboles y Palmas</v>
      </c>
      <c r="C16" t="str">
        <v>Und/día</v>
      </c>
      <c r="D16">
        <v>450</v>
      </c>
      <c r="E16">
        <v>75</v>
      </c>
      <c r="F16">
        <f>+E16/25</f>
        <v>3</v>
      </c>
      <c r="G16">
        <v>111</v>
      </c>
      <c r="H16">
        <f>+(G16/D16)/F16</f>
        <v>0.08222222222222222</v>
      </c>
    </row>
    <row r="17">
      <c r="A17">
        <v>4</v>
      </c>
      <c r="B17" t="str">
        <v>Poda Arbustos y CS</v>
      </c>
      <c r="C17" t="str">
        <v>m2/día</v>
      </c>
      <c r="D17">
        <v>1495</v>
      </c>
      <c r="E17">
        <v>12.5</v>
      </c>
      <c r="F17">
        <f>+E17/25</f>
        <v>0.5</v>
      </c>
      <c r="G17">
        <f>+D8</f>
        <v>236</v>
      </c>
      <c r="H17">
        <f>+(G17/D17)/F17</f>
        <v>0.3157190635451505</v>
      </c>
    </row>
    <row r="18">
      <c r="A18">
        <v>5</v>
      </c>
      <c r="B18" t="str">
        <v>Mtto Cama Siembra</v>
      </c>
      <c r="C18" t="str">
        <v>m2/día</v>
      </c>
      <c r="D18">
        <v>450</v>
      </c>
      <c r="E18">
        <v>6.25</v>
      </c>
      <c r="F18">
        <f>+E18/25</f>
        <v>0.25</v>
      </c>
      <c r="G18">
        <f>+D4</f>
        <v>499</v>
      </c>
      <c r="H18">
        <f>+(G18/D18)/F18</f>
        <v>4.435555555555555</v>
      </c>
    </row>
    <row r="19">
      <c r="A19">
        <v>6</v>
      </c>
      <c r="B19" t="str">
        <v>Limpieza General</v>
      </c>
      <c r="C19" t="str">
        <v>m2/día</v>
      </c>
      <c r="D19">
        <v>7500</v>
      </c>
      <c r="E19">
        <v>2.083</v>
      </c>
      <c r="F19">
        <f>+E19/25</f>
        <v>0.08332</v>
      </c>
      <c r="G19">
        <f>+D4</f>
        <v>499</v>
      </c>
      <c r="H19">
        <f>+(G19/D19)/F19</f>
        <v>0.7985277644423108</v>
      </c>
      <c r="L19" t="str">
        <v>ZV</v>
      </c>
      <c r="M19" t="str">
        <v>ZD</v>
      </c>
    </row>
    <row r="20">
      <c r="A20">
        <v>5</v>
      </c>
      <c r="B20" t="str">
        <v>Limpieza General zonas duras</v>
      </c>
      <c r="C20" t="str">
        <v>m2/día</v>
      </c>
      <c r="D20">
        <v>10000</v>
      </c>
      <c r="E20">
        <v>1</v>
      </c>
      <c r="F20">
        <f>+E20/25</f>
        <v>0.04</v>
      </c>
      <c r="G20">
        <f>+D6</f>
        <v>3943</v>
      </c>
      <c r="H20">
        <f>+(G20/D20)/F20</f>
        <v>9.8575</v>
      </c>
      <c r="L20">
        <f>(+H14+H15+H16+H17+H18+H19+H22+H23+H24+H25+H26+H27+H28+H29)/25</f>
        <v>0.32763855451614093</v>
      </c>
      <c r="M20">
        <f>(+H20+H21+H30)/25</f>
        <v>0.6476333333333334</v>
      </c>
    </row>
    <row r="21">
      <c r="B21" t="str">
        <v>Limpieza genral mármol</v>
      </c>
      <c r="C21" t="str">
        <v>m2/día</v>
      </c>
      <c r="D21">
        <v>600</v>
      </c>
      <c r="E21">
        <v>1</v>
      </c>
      <c r="F21">
        <f>+E21/25</f>
        <v>0.04</v>
      </c>
      <c r="G21">
        <f>+D7</f>
        <v>0</v>
      </c>
      <c r="H21">
        <f>+(G21/D21)/F21</f>
        <v>0</v>
      </c>
      <c r="K21" t="str">
        <v xml:space="preserve"> </v>
      </c>
    </row>
    <row r="22">
      <c r="A22">
        <v>7</v>
      </c>
      <c r="B22" t="str">
        <v>Riego general Arboles y Palmas</v>
      </c>
      <c r="C22" t="str">
        <v>und/día</v>
      </c>
      <c r="D22">
        <v>480</v>
      </c>
      <c r="E22">
        <v>3.125</v>
      </c>
      <c r="F22">
        <f>+E22/25</f>
        <v>0.125</v>
      </c>
      <c r="G22">
        <f>+D10</f>
        <v>21</v>
      </c>
      <c r="H22">
        <f>+(G22/D22)/F22</f>
        <v>0.35</v>
      </c>
    </row>
    <row r="23">
      <c r="A23">
        <v>8</v>
      </c>
      <c r="B23" t="str">
        <v>Riego general Arbusto, Cubresuelos y grama</v>
      </c>
      <c r="C23" t="str">
        <v>m2/día</v>
      </c>
      <c r="D23">
        <v>3500</v>
      </c>
      <c r="E23">
        <v>2.083</v>
      </c>
      <c r="F23">
        <f>+E23/25</f>
        <v>0.08332</v>
      </c>
      <c r="G23">
        <f>+D4</f>
        <v>499</v>
      </c>
      <c r="H23">
        <f>+(G23/D23)/F23</f>
        <v>1.7111309238049515</v>
      </c>
    </row>
    <row r="24">
      <c r="A24">
        <v>9</v>
      </c>
      <c r="B24" t="str">
        <v xml:space="preserve">TC INSECTICIDA Y FUNGICIDA ARB </v>
      </c>
      <c r="C24" t="str">
        <v>Und/día</v>
      </c>
      <c r="D24">
        <v>360</v>
      </c>
      <c r="E24">
        <v>50</v>
      </c>
      <c r="F24">
        <f>+E24/25</f>
        <v>2</v>
      </c>
      <c r="G24">
        <f>+D10</f>
        <v>21</v>
      </c>
      <c r="H24">
        <f>+(G24/D24)/F24</f>
        <v>0.029166666666666667</v>
      </c>
    </row>
    <row r="25">
      <c r="A25">
        <v>10</v>
      </c>
      <c r="B25" t="str">
        <v>TC INSECT Y FUNG ARBUS Y CSUELO</v>
      </c>
      <c r="C25" t="str">
        <v>m2/día</v>
      </c>
      <c r="D25">
        <v>2400</v>
      </c>
      <c r="E25">
        <v>50</v>
      </c>
      <c r="F25">
        <f>+E25/25</f>
        <v>2</v>
      </c>
      <c r="G25">
        <f>+D8</f>
        <v>236</v>
      </c>
      <c r="H25">
        <f>+(G25/D25)/F25</f>
        <v>0.049166666666666664</v>
      </c>
    </row>
    <row r="26">
      <c r="A26">
        <v>11</v>
      </c>
      <c r="B26" t="str">
        <v>TC HERBICIDA GRAMA</v>
      </c>
      <c r="C26" t="str">
        <v>m2/día</v>
      </c>
      <c r="D26">
        <v>2400</v>
      </c>
      <c r="E26">
        <v>50</v>
      </c>
      <c r="F26">
        <f>+E26/25</f>
        <v>2</v>
      </c>
      <c r="G26">
        <f>+D5</f>
        <v>263</v>
      </c>
      <c r="H26">
        <f>+(G26/D26)/F26</f>
        <v>0.05479166666666667</v>
      </c>
    </row>
    <row r="27">
      <c r="A27">
        <v>12</v>
      </c>
      <c r="B27" t="str">
        <v>FERTIL ARB Y PALMAS Compost</v>
      </c>
      <c r="C27" t="str">
        <v>Und/día</v>
      </c>
      <c r="D27">
        <v>240</v>
      </c>
      <c r="E27">
        <v>150</v>
      </c>
      <c r="F27">
        <f>+E27/25</f>
        <v>6</v>
      </c>
      <c r="G27">
        <f>+D10</f>
        <v>21</v>
      </c>
      <c r="H27">
        <f>+(G27/D27)/F27</f>
        <v>0.014583333333333332</v>
      </c>
    </row>
    <row r="28">
      <c r="A28">
        <v>13</v>
      </c>
      <c r="B28" t="str">
        <v>FERTIL ARBUST Y CUBRESUELOS</v>
      </c>
      <c r="C28" t="str">
        <v>m2/día</v>
      </c>
      <c r="D28">
        <v>3500</v>
      </c>
      <c r="E28">
        <v>150</v>
      </c>
      <c r="F28">
        <f>+E28/25</f>
        <v>6</v>
      </c>
      <c r="G28">
        <f>+D8</f>
        <v>236</v>
      </c>
      <c r="H28">
        <f>+(G28/D28)/F28</f>
        <v>0.01123809523809524</v>
      </c>
      <c r="I28">
        <f>(80000)</f>
        <v>80000</v>
      </c>
      <c r="J28">
        <f>I28*H28*25</f>
        <v>22476.190476190477</v>
      </c>
    </row>
    <row r="29">
      <c r="A29">
        <v>14</v>
      </c>
      <c r="B29" t="str">
        <v>FERTIL GRAMA</v>
      </c>
      <c r="C29" t="str">
        <v>m2/día</v>
      </c>
      <c r="D29">
        <v>3500</v>
      </c>
      <c r="E29">
        <v>150</v>
      </c>
      <c r="F29">
        <f>+E29/25</f>
        <v>6</v>
      </c>
      <c r="G29">
        <f>+D4</f>
        <v>499</v>
      </c>
      <c r="H29">
        <f>+(G29/D29)/F29</f>
        <v>0.023761904761904762</v>
      </c>
    </row>
    <row r="30">
      <c r="A30">
        <v>15</v>
      </c>
      <c r="B30" t="str">
        <v>UNIDAD SANITARIA</v>
      </c>
      <c r="C30" t="str">
        <v>Und/día</v>
      </c>
      <c r="D30">
        <v>9</v>
      </c>
      <c r="E30">
        <v>30</v>
      </c>
      <c r="F30">
        <f>+E30/30</f>
        <v>1</v>
      </c>
      <c r="G30">
        <v>57</v>
      </c>
      <c r="H30">
        <f>+(G30/D30)/F30</f>
        <v>6.333333333333333</v>
      </c>
    </row>
    <row r="32">
      <c r="F32" t="str">
        <v>CANT JORNALES MES</v>
      </c>
      <c r="H32">
        <f>SUM(H14:H30)</f>
        <v>24.381797196236857</v>
      </c>
    </row>
    <row r="33">
      <c r="F33" t="str">
        <v>CANT PERSONAL MES</v>
      </c>
      <c r="H33">
        <f>+H32/25</f>
        <v>0.9752718878494743</v>
      </c>
    </row>
  </sheetData>
  <mergeCells count="6">
    <mergeCell ref="F33:G33"/>
    <mergeCell ref="A1:B1"/>
    <mergeCell ref="C1:H1"/>
    <mergeCell ref="F4:G4"/>
    <mergeCell ref="A12:H12"/>
    <mergeCell ref="F32:G32"/>
  </mergeCells>
  <pageMargins left="0.7" right="0.7" top="0.75" bottom="0.75" header="0.3" footer="0.3"/>
  <ignoredErrors>
    <ignoredError numberStoredAsText="1" sqref="A1:M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62"/>
  <sheetViews>
    <sheetView workbookViewId="0" rightToLeft="0"/>
  </sheetViews>
  <sheetData>
    <row r="1">
      <c r="A1" t="str">
        <v>NOMBRE DEL PROYECTO:</v>
      </c>
      <c r="C1" t="str">
        <v>PLAYA MIRAMAR - ZONA VERDE</v>
      </c>
    </row>
    <row r="3">
      <c r="A3" t="str">
        <v>ITEM</v>
      </c>
      <c r="B3" t="str">
        <v>DESCRIPCION</v>
      </c>
      <c r="C3" t="str">
        <v>UND</v>
      </c>
      <c r="D3" t="str">
        <v>CANTIDAD</v>
      </c>
    </row>
    <row r="4">
      <c r="A4">
        <v>4</v>
      </c>
      <c r="B4" t="str">
        <v>TOTAL PAISAJISMO</v>
      </c>
      <c r="C4" t="str">
        <v>M2</v>
      </c>
      <c r="D4">
        <v>5977</v>
      </c>
      <c r="F4" t="str">
        <v>TIPO DE RIEGO</v>
      </c>
      <c r="H4" t="str">
        <v>R. MANUAL</v>
      </c>
    </row>
    <row r="5">
      <c r="A5">
        <v>2</v>
      </c>
      <c r="B5" t="str">
        <v>GRAMA</v>
      </c>
      <c r="C5" t="str">
        <v>M2</v>
      </c>
      <c r="D5">
        <v>831</v>
      </c>
      <c r="F5" t="str">
        <v>R. MANUAL</v>
      </c>
    </row>
    <row r="6">
      <c r="A6">
        <v>3</v>
      </c>
      <c r="B6" t="str">
        <v>ZONA DURA</v>
      </c>
      <c r="C6" t="str">
        <v>M2</v>
      </c>
      <c r="D6">
        <v>12607</v>
      </c>
    </row>
    <row r="7">
      <c r="A7">
        <v>1</v>
      </c>
      <c r="B7" t="str">
        <v>ARBUSTOS Y CUBRE SUELOS</v>
      </c>
      <c r="C7" t="str">
        <v>M2</v>
      </c>
      <c r="D7">
        <f>+D4-D5</f>
        <v>5146</v>
      </c>
    </row>
    <row r="8">
      <c r="A8">
        <v>5</v>
      </c>
      <c r="B8" t="str">
        <v>ARBOLES FUERA DE CAMASIEMBRA</v>
      </c>
      <c r="C8" t="str">
        <v>UND</v>
      </c>
    </row>
    <row r="9">
      <c r="A9">
        <v>6</v>
      </c>
      <c r="B9" t="str">
        <v>ARBOLES TOTALES</v>
      </c>
      <c r="C9" t="str">
        <v>UND</v>
      </c>
      <c r="D9">
        <v>214</v>
      </c>
    </row>
    <row r="11">
      <c r="A11" t="str">
        <f>+C1</f>
        <v>PLAYA MIRAMAR - ZONA VERDE</v>
      </c>
    </row>
    <row r="12">
      <c r="A12" t="str">
        <v>ITEM</v>
      </c>
      <c r="B12" t="str">
        <v>ACTIVIDAD</v>
      </c>
      <c r="C12" t="str">
        <v>UNIDAD</v>
      </c>
      <c r="D12" t="str">
        <v>RENDIMIENTO</v>
      </c>
      <c r="E12" t="str">
        <v>FRECUENCIA</v>
      </c>
      <c r="F12" t="str">
        <v>FACTOR</v>
      </c>
      <c r="G12" t="str">
        <v>CANTIDAD</v>
      </c>
      <c r="H12" t="str">
        <v>CANT JORNALES MES</v>
      </c>
      <c r="I12" t="str">
        <v>V. ACTIVIDAD</v>
      </c>
    </row>
    <row r="13">
      <c r="A13">
        <v>1</v>
      </c>
      <c r="B13" t="str">
        <v>Op Guadaña</v>
      </c>
      <c r="C13" t="str">
        <v>m2/día</v>
      </c>
      <c r="D13">
        <v>5000</v>
      </c>
      <c r="E13">
        <v>25</v>
      </c>
      <c r="F13">
        <f>+E13/25</f>
        <v>1</v>
      </c>
      <c r="G13">
        <f>D5</f>
        <v>831</v>
      </c>
      <c r="H13">
        <f>+(G13/D13)/F13</f>
        <v>0.1662</v>
      </c>
    </row>
    <row r="14">
      <c r="A14">
        <v>2</v>
      </c>
      <c r="B14" t="str">
        <v>Plateo</v>
      </c>
      <c r="C14" t="str">
        <v>Und/día</v>
      </c>
      <c r="D14">
        <v>160</v>
      </c>
      <c r="E14">
        <v>12.5</v>
      </c>
      <c r="F14">
        <f>+E14/25</f>
        <v>0.5</v>
      </c>
      <c r="G14">
        <v>214</v>
      </c>
      <c r="H14">
        <f>+(G14/D14)/F14</f>
        <v>2.675</v>
      </c>
      <c r="L14" t="str">
        <v>ZV</v>
      </c>
      <c r="M14" t="str">
        <v>ZD</v>
      </c>
    </row>
    <row r="15">
      <c r="A15">
        <v>3</v>
      </c>
      <c r="B15" t="str">
        <v>Poda Arboles y Palmas</v>
      </c>
      <c r="C15" t="str">
        <v>Und/día</v>
      </c>
      <c r="D15">
        <v>450</v>
      </c>
      <c r="E15">
        <v>75</v>
      </c>
      <c r="F15">
        <f>+E15/25</f>
        <v>3</v>
      </c>
      <c r="G15">
        <v>214</v>
      </c>
      <c r="H15">
        <f>+(G15/D15)/F15</f>
        <v>0.15851851851851853</v>
      </c>
      <c r="L15">
        <f>(H13+H14+H15+H16+H17+H18+H19+H20+H22+H23+H24+H25)/25</f>
        <v>3.933247111949858</v>
      </c>
      <c r="M15">
        <f>H21/25</f>
        <v>1.2607</v>
      </c>
    </row>
    <row r="16">
      <c r="A16">
        <v>4</v>
      </c>
      <c r="B16" t="str">
        <v>Poda Arbustos y CS</v>
      </c>
      <c r="C16" t="str">
        <v>m2/día</v>
      </c>
      <c r="D16">
        <v>1495</v>
      </c>
      <c r="E16">
        <v>12.5</v>
      </c>
      <c r="F16">
        <f>+E16/25</f>
        <v>0.5</v>
      </c>
      <c r="G16">
        <v>5146</v>
      </c>
      <c r="H16">
        <f>+(G16/D16)/F16</f>
        <v>6.884280936454849</v>
      </c>
    </row>
    <row r="17">
      <c r="A17">
        <v>5</v>
      </c>
      <c r="B17" t="str">
        <v>Mtto Cama Siembra</v>
      </c>
      <c r="C17" t="str">
        <v>m2/día</v>
      </c>
      <c r="D17">
        <v>450</v>
      </c>
      <c r="E17">
        <v>6.25</v>
      </c>
      <c r="F17">
        <f>+E17/25</f>
        <v>0.25</v>
      </c>
      <c r="G17">
        <f>+D4</f>
        <v>5977</v>
      </c>
      <c r="H17">
        <f>+(G17/D17)/F17</f>
        <v>53.12888888888889</v>
      </c>
    </row>
    <row r="18">
      <c r="A18">
        <v>6</v>
      </c>
      <c r="B18" t="str">
        <v>Limpieza General</v>
      </c>
      <c r="C18" t="str">
        <v>m2/día</v>
      </c>
      <c r="D18">
        <v>7500</v>
      </c>
      <c r="E18">
        <v>2.083</v>
      </c>
      <c r="F18">
        <f>+E18/25</f>
        <v>0.08332</v>
      </c>
      <c r="G18">
        <f>+D4</f>
        <v>5977</v>
      </c>
      <c r="H18">
        <f>+(G18/D18)/F18</f>
        <v>9.564730356857098</v>
      </c>
    </row>
    <row r="19">
      <c r="A19">
        <v>7</v>
      </c>
      <c r="B19" t="str">
        <v>Riego general Arboles y Palmas</v>
      </c>
      <c r="C19" t="str">
        <v>und/día</v>
      </c>
      <c r="D19">
        <v>480</v>
      </c>
      <c r="E19">
        <v>3.125</v>
      </c>
      <c r="F19">
        <f>+E19/25</f>
        <v>0.125</v>
      </c>
      <c r="G19">
        <v>214</v>
      </c>
      <c r="H19">
        <f>+(G19/D19)/F19</f>
        <v>3.566666666666667</v>
      </c>
    </row>
    <row r="20">
      <c r="A20">
        <v>8</v>
      </c>
      <c r="B20" t="str">
        <v>Riego general Arbusto, Cubresuelos y grama</v>
      </c>
      <c r="C20" t="str">
        <v>m2/día</v>
      </c>
      <c r="D20">
        <v>3500</v>
      </c>
      <c r="E20">
        <v>2.083</v>
      </c>
      <c r="F20">
        <f>+E20/25</f>
        <v>0.08332</v>
      </c>
      <c r="G20">
        <f>+G26+G27</f>
        <v>5977</v>
      </c>
      <c r="H20">
        <f>+(G20/D20)/F20</f>
        <v>20.495850764693778</v>
      </c>
    </row>
    <row r="21">
      <c r="A21">
        <v>9</v>
      </c>
      <c r="B21" t="str">
        <v>Limpieza General zonas duras</v>
      </c>
      <c r="C21" t="str">
        <v>m2/día</v>
      </c>
      <c r="D21">
        <v>10000</v>
      </c>
      <c r="E21">
        <v>1</v>
      </c>
      <c r="F21">
        <v>0.04</v>
      </c>
      <c r="G21">
        <f>+D6</f>
        <v>12607</v>
      </c>
      <c r="H21">
        <f>(G21/D21)/F21</f>
        <v>31.5175</v>
      </c>
    </row>
    <row r="22">
      <c r="A22">
        <v>10</v>
      </c>
      <c r="B22" t="str">
        <v xml:space="preserve">TC INSECTICIDA Y FUNGICIDA ARB </v>
      </c>
      <c r="C22" t="str">
        <v>Und/día</v>
      </c>
      <c r="D22">
        <v>360</v>
      </c>
      <c r="E22">
        <v>50</v>
      </c>
      <c r="F22">
        <f>+E22/25</f>
        <v>2</v>
      </c>
      <c r="G22">
        <v>214</v>
      </c>
      <c r="H22">
        <f>+(G22/D22)/F22</f>
        <v>0.2972222222222222</v>
      </c>
    </row>
    <row r="23">
      <c r="A23">
        <v>11</v>
      </c>
      <c r="B23" t="str">
        <v>TC INSECT Y FUNG ARBUS Y CSUELO</v>
      </c>
      <c r="C23" t="str">
        <v>m2/día</v>
      </c>
      <c r="D23">
        <v>2400</v>
      </c>
      <c r="E23">
        <v>50</v>
      </c>
      <c r="F23">
        <f>+E23/25</f>
        <v>2</v>
      </c>
      <c r="G23">
        <v>5146</v>
      </c>
      <c r="H23">
        <f>+(G23/D23)/F23</f>
        <v>1.0720833333333333</v>
      </c>
    </row>
    <row r="24">
      <c r="A24">
        <v>12</v>
      </c>
      <c r="B24" t="str">
        <v>TC HERBICIDA GRAMA</v>
      </c>
      <c r="C24" t="str">
        <v>m2/día</v>
      </c>
      <c r="D24">
        <v>2400</v>
      </c>
      <c r="E24">
        <v>50</v>
      </c>
      <c r="F24">
        <f>+E24/25</f>
        <v>2</v>
      </c>
      <c r="G24">
        <v>831</v>
      </c>
      <c r="H24">
        <f>+(G24/D24)/F24</f>
        <v>0.173125</v>
      </c>
    </row>
    <row r="25">
      <c r="A25">
        <v>13</v>
      </c>
      <c r="B25" t="str">
        <v>FERTIL ARB Y PALMAS Compost</v>
      </c>
      <c r="C25" t="str">
        <v>Und/día</v>
      </c>
      <c r="D25">
        <v>240</v>
      </c>
      <c r="E25">
        <v>150</v>
      </c>
      <c r="F25">
        <f>+E25/25</f>
        <v>6</v>
      </c>
      <c r="G25">
        <v>214</v>
      </c>
      <c r="H25">
        <f>+(G25/D25)/F25</f>
        <v>0.1486111111111111</v>
      </c>
    </row>
    <row r="26">
      <c r="A26">
        <v>14</v>
      </c>
      <c r="B26" t="str">
        <v>FERTIL ARBUST Y CUBRESUELOS</v>
      </c>
      <c r="C26" t="str">
        <v>m2/día</v>
      </c>
      <c r="D26">
        <v>3500</v>
      </c>
      <c r="E26">
        <v>150</v>
      </c>
      <c r="F26">
        <f>+E26/25</f>
        <v>6</v>
      </c>
      <c r="G26">
        <f>+D7</f>
        <v>5146</v>
      </c>
      <c r="H26">
        <f>+(G26/D26)/F26</f>
        <v>0.24504761904761904</v>
      </c>
      <c r="I26">
        <f>(80000)</f>
        <v>80000</v>
      </c>
      <c r="J26">
        <f>I26*H26*25</f>
        <v>490095.23809523805</v>
      </c>
    </row>
    <row r="27">
      <c r="A27">
        <v>15</v>
      </c>
      <c r="B27" t="str">
        <v>FERTIL GRAMA</v>
      </c>
      <c r="C27" t="str">
        <v>m2/día</v>
      </c>
      <c r="D27">
        <v>3500</v>
      </c>
      <c r="E27">
        <v>150</v>
      </c>
      <c r="F27">
        <f>+E27/25</f>
        <v>6</v>
      </c>
      <c r="G27">
        <f>+D5</f>
        <v>831</v>
      </c>
      <c r="H27">
        <f>+(G27/D27)/F27</f>
        <v>0.03957142857142857</v>
      </c>
    </row>
    <row r="29">
      <c r="F29" t="str">
        <v>CANT JORNALES MES</v>
      </c>
      <c r="H29">
        <f>SUM(H13:H27)</f>
        <v>130.1332968463655</v>
      </c>
    </row>
    <row r="30">
      <c r="F30" t="str">
        <v>CANT PERSONAL MES</v>
      </c>
      <c r="H30">
        <f>+H29/25</f>
        <v>5.205331873854621</v>
      </c>
    </row>
    <row r="31">
      <c r="A31" t="str">
        <v>ITEM</v>
      </c>
      <c r="B31" t="str">
        <v>DESCRIPCION</v>
      </c>
      <c r="C31" t="str">
        <v>UND</v>
      </c>
      <c r="D31" t="str">
        <v>CANTIDAD</v>
      </c>
    </row>
    <row r="32">
      <c r="A32">
        <v>1</v>
      </c>
      <c r="B32" t="str">
        <v>ZONA DE PLAYA</v>
      </c>
      <c r="C32" t="str">
        <v>M2</v>
      </c>
    </row>
    <row r="33">
      <c r="A33">
        <v>2</v>
      </c>
      <c r="B33" t="str">
        <v>TRASIEGO DE PLAYA</v>
      </c>
      <c r="C33" t="str">
        <v>M2</v>
      </c>
      <c r="F33" t="str">
        <v>R. CARROTANQUE</v>
      </c>
    </row>
    <row r="34">
      <c r="A34">
        <v>3</v>
      </c>
      <c r="B34" t="str">
        <v>LIMPIEZA MANUAL</v>
      </c>
      <c r="C34" t="str">
        <v>M2</v>
      </c>
      <c r="F34" t="str">
        <v>R. MANUAL</v>
      </c>
    </row>
    <row r="35">
      <c r="A35">
        <v>4</v>
      </c>
      <c r="B35" t="str">
        <v>CORTE DE TRONCOS</v>
      </c>
      <c r="C35" t="str">
        <v>UND</v>
      </c>
    </row>
    <row r="36">
      <c r="A36">
        <v>5</v>
      </c>
      <c r="C36" t="str">
        <v>UND</v>
      </c>
    </row>
    <row r="37">
      <c r="A37">
        <v>6</v>
      </c>
      <c r="C37" t="str">
        <v>UND</v>
      </c>
      <c r="D37">
        <v>0</v>
      </c>
    </row>
    <row r="40">
      <c r="A40">
        <f>+C29</f>
        <v>0</v>
      </c>
    </row>
    <row r="41">
      <c r="A41" t="str">
        <v>ITEM</v>
      </c>
      <c r="B41" t="str">
        <v>ACTIVIDAD</v>
      </c>
      <c r="C41" t="str">
        <v>UNIDAD</v>
      </c>
      <c r="D41" t="str">
        <v>RENDIMIENTO</v>
      </c>
      <c r="E41" t="str">
        <v>FRECUENCIA</v>
      </c>
      <c r="F41" t="str">
        <v>FACTOR</v>
      </c>
      <c r="G41" t="str">
        <v>CANTIDAD</v>
      </c>
      <c r="H41" t="str">
        <v>CANT JORNALES MES</v>
      </c>
    </row>
    <row r="42">
      <c r="A42">
        <v>1</v>
      </c>
      <c r="B42" t="str">
        <v>Acopio y limpieza manual</v>
      </c>
      <c r="C42" t="str">
        <v>m2/día</v>
      </c>
      <c r="D42">
        <v>3000</v>
      </c>
      <c r="E42">
        <v>25</v>
      </c>
      <c r="F42">
        <f>+E42/25</f>
        <v>1</v>
      </c>
      <c r="G42">
        <f>D32</f>
        <v>0</v>
      </c>
      <c r="H42">
        <f>+(G42/D42)/F42</f>
        <v>0</v>
      </c>
    </row>
    <row r="43">
      <c r="A43">
        <v>2</v>
      </c>
      <c r="B43" t="str">
        <v>Arrume con tractor (trasiego)</v>
      </c>
      <c r="C43" t="str">
        <v>m2/día</v>
      </c>
      <c r="D43">
        <v>5000</v>
      </c>
      <c r="E43">
        <v>4</v>
      </c>
      <c r="F43">
        <f>+E43/25</f>
        <v>0.16</v>
      </c>
      <c r="G43">
        <f>D33</f>
        <v>0</v>
      </c>
      <c r="H43">
        <f>+(G43/D43)/F43</f>
        <v>0</v>
      </c>
    </row>
    <row r="44">
      <c r="A44">
        <v>3</v>
      </c>
      <c r="B44" t="str">
        <v>Corte de troncos</v>
      </c>
      <c r="C44" t="str">
        <v>Und/día</v>
      </c>
      <c r="D44">
        <v>10</v>
      </c>
      <c r="E44">
        <v>4</v>
      </c>
      <c r="F44">
        <f>+E44/25</f>
        <v>0.16</v>
      </c>
      <c r="G44">
        <f>+D35</f>
        <v>0</v>
      </c>
      <c r="H44">
        <f>+(G44/D44)/F44</f>
        <v>0</v>
      </c>
    </row>
    <row r="58">
      <c r="F58" t="str">
        <v>CANT JORNALES MES</v>
      </c>
      <c r="H58">
        <f>SUM(H42:H56)</f>
        <v>0</v>
      </c>
    </row>
    <row r="59">
      <c r="F59" t="str">
        <v>CANT PERSONAL MES</v>
      </c>
      <c r="H59">
        <f>+H58/25</f>
        <v>0</v>
      </c>
      <c r="I59">
        <f>(80000)</f>
        <v>80000</v>
      </c>
      <c r="J59">
        <f>I59*H59*25</f>
        <v>0</v>
      </c>
    </row>
    <row r="62">
      <c r="F62" t="str">
        <v>CANT PERSONAL MES</v>
      </c>
      <c r="H62">
        <f>+H59+H30</f>
        <v>5.205331873854621</v>
      </c>
      <c r="J62">
        <f>J26+J59</f>
        <v>490095.23809523805</v>
      </c>
    </row>
  </sheetData>
  <mergeCells count="10">
    <mergeCell ref="A40:H40"/>
    <mergeCell ref="F58:G58"/>
    <mergeCell ref="F59:G59"/>
    <mergeCell ref="F62:G62"/>
    <mergeCell ref="A1:B1"/>
    <mergeCell ref="C1:H1"/>
    <mergeCell ref="F4:G4"/>
    <mergeCell ref="A11:H11"/>
    <mergeCell ref="F29:G29"/>
    <mergeCell ref="F30:G30"/>
  </mergeCells>
  <pageMargins left="0.7" right="0.7" top="0.75" bottom="0.75" header="0.3" footer="0.3"/>
  <ignoredErrors>
    <ignoredError numberStoredAsText="1" sqref="A1:M6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62"/>
  <sheetViews>
    <sheetView workbookViewId="0" rightToLeft="0"/>
  </sheetViews>
  <sheetData>
    <row r="1">
      <c r="A1" t="str">
        <v>NOMBRE DEL PROYECTO:</v>
      </c>
      <c r="C1" t="str">
        <v>PLAYAS DEL COUNTRY - ZONA VERDE</v>
      </c>
    </row>
    <row r="3">
      <c r="A3" t="str">
        <v>ITEM</v>
      </c>
      <c r="B3" t="str">
        <v>DESCRIPCION</v>
      </c>
      <c r="C3" t="str">
        <v>UND</v>
      </c>
      <c r="D3" t="str">
        <v>CANTIDAD</v>
      </c>
    </row>
    <row r="4">
      <c r="A4">
        <v>1</v>
      </c>
      <c r="B4" t="str">
        <v>TOTAL PAISAJISMO</v>
      </c>
      <c r="C4" t="str">
        <v>M3</v>
      </c>
      <c r="D4">
        <v>2295</v>
      </c>
      <c r="F4" t="str">
        <v>TIPO DE RIEGO</v>
      </c>
      <c r="H4" t="str">
        <v>R. MANUAL</v>
      </c>
    </row>
    <row r="5">
      <c r="A5">
        <v>2</v>
      </c>
      <c r="B5" t="str">
        <v>ZONA DURA</v>
      </c>
      <c r="C5" t="str">
        <v>M2</v>
      </c>
      <c r="D5">
        <v>3852</v>
      </c>
      <c r="F5" t="str">
        <v>R. MANUAL</v>
      </c>
    </row>
    <row r="6">
      <c r="A6">
        <v>3</v>
      </c>
      <c r="B6" t="str">
        <v>ARBUSTOS Y CUBRE SUELOS</v>
      </c>
      <c r="C6" t="str">
        <v>M2</v>
      </c>
      <c r="D6">
        <v>2295</v>
      </c>
    </row>
    <row r="7">
      <c r="A7">
        <v>4</v>
      </c>
      <c r="B7" t="str">
        <v>ARBOLES TOTALES</v>
      </c>
      <c r="C7" t="str">
        <v>UND</v>
      </c>
      <c r="D7">
        <v>111</v>
      </c>
    </row>
    <row r="10">
      <c r="A10" t="str">
        <f>+C1</f>
        <v>PLAYAS DEL COUNTRY - ZONA VERDE</v>
      </c>
    </row>
    <row r="11">
      <c r="A11" t="str">
        <v>ITEM</v>
      </c>
      <c r="B11" t="str">
        <v>ACTIVIDAD</v>
      </c>
      <c r="C11" t="str">
        <v>UNIDAD</v>
      </c>
      <c r="D11" t="str">
        <v>RENDIMIENTO</v>
      </c>
      <c r="E11" t="str">
        <v>FRECUENCIA</v>
      </c>
      <c r="F11" t="str">
        <v>FACTOR</v>
      </c>
      <c r="G11" t="str">
        <v>CANTIDAD</v>
      </c>
      <c r="H11" t="str">
        <v>CANT JORNALES MES</v>
      </c>
      <c r="I11" t="str">
        <v>V. ACTIVIDAD</v>
      </c>
    </row>
    <row r="12">
      <c r="B12" t="str">
        <v>Plateo</v>
      </c>
      <c r="C12" t="str">
        <v>Und/día</v>
      </c>
      <c r="D12">
        <v>160</v>
      </c>
      <c r="E12">
        <v>12.5</v>
      </c>
      <c r="F12">
        <f>E12/25</f>
        <v>0.5</v>
      </c>
      <c r="G12">
        <f>+D7</f>
        <v>111</v>
      </c>
      <c r="H12">
        <f>+(G12/D12)/F12</f>
        <v>1.3875</v>
      </c>
    </row>
    <row r="13">
      <c r="A13">
        <v>1</v>
      </c>
      <c r="B13" t="str">
        <v>Poda Arboles y Palmas</v>
      </c>
      <c r="C13" t="str">
        <v>Und/día</v>
      </c>
      <c r="D13">
        <v>200</v>
      </c>
      <c r="E13">
        <v>75</v>
      </c>
      <c r="F13">
        <f>E13/25</f>
        <v>3</v>
      </c>
      <c r="G13">
        <f>+D7</f>
        <v>111</v>
      </c>
      <c r="H13">
        <f>+(G13/D13)/F13</f>
        <v>0.18500000000000003</v>
      </c>
      <c r="L13" t="str">
        <v>ZV</v>
      </c>
      <c r="M13" t="str">
        <v>ZD</v>
      </c>
    </row>
    <row r="14">
      <c r="A14">
        <v>2</v>
      </c>
      <c r="B14" t="str">
        <v>Poda Arbustos y CS</v>
      </c>
      <c r="C14" t="str">
        <v>m2/día</v>
      </c>
      <c r="D14">
        <v>1200</v>
      </c>
      <c r="E14">
        <v>12.5</v>
      </c>
      <c r="F14">
        <f>E14/25</f>
        <v>0.5</v>
      </c>
      <c r="G14">
        <f>+D6</f>
        <v>2295</v>
      </c>
      <c r="H14">
        <f>+(G14/D14)/F14</f>
        <v>3.825</v>
      </c>
      <c r="L14">
        <f>(+H13+H14+H15+H16+H18+H19+H20+H21+H22+H23)/25</f>
        <v>1.3495000619527695</v>
      </c>
      <c r="M14">
        <f>+(H17)/25</f>
        <v>0.3852</v>
      </c>
    </row>
    <row r="15">
      <c r="A15">
        <v>3</v>
      </c>
      <c r="B15" t="str">
        <v>Mtto Cama Siembra</v>
      </c>
      <c r="C15" t="str">
        <v>m2/día</v>
      </c>
      <c r="D15">
        <v>600</v>
      </c>
      <c r="E15">
        <v>6.25</v>
      </c>
      <c r="F15">
        <f>E15/25</f>
        <v>0.25</v>
      </c>
      <c r="G15">
        <f>+D6</f>
        <v>2295</v>
      </c>
      <c r="H15">
        <f>+(G15/D15)/F15</f>
        <v>15.3</v>
      </c>
    </row>
    <row r="16">
      <c r="A16">
        <v>4</v>
      </c>
      <c r="B16" t="str">
        <v>Limpieza General</v>
      </c>
      <c r="C16" t="str">
        <v>m2/día</v>
      </c>
      <c r="D16">
        <v>7500</v>
      </c>
      <c r="E16">
        <v>2.083</v>
      </c>
      <c r="F16">
        <f>E16/25</f>
        <v>0.08332</v>
      </c>
      <c r="G16">
        <f>+D4</f>
        <v>2295</v>
      </c>
      <c r="H16">
        <f>+(G16/D16)/F16</f>
        <v>3.6725876140182425</v>
      </c>
    </row>
    <row r="17">
      <c r="A17">
        <v>5</v>
      </c>
      <c r="B17" t="str">
        <v>Limpieza General zonas duras</v>
      </c>
      <c r="C17" t="str">
        <v>m2/día</v>
      </c>
      <c r="D17">
        <v>10000</v>
      </c>
      <c r="E17">
        <v>1</v>
      </c>
      <c r="F17">
        <f>E17/25</f>
        <v>0.04</v>
      </c>
      <c r="G17">
        <f>+D5</f>
        <v>3852</v>
      </c>
      <c r="H17">
        <f>+(G17/D17)/F17</f>
        <v>9.629999999999999</v>
      </c>
    </row>
    <row r="18">
      <c r="A18">
        <v>6</v>
      </c>
      <c r="B18" t="str">
        <v>Riego general Arboles y Palmas</v>
      </c>
      <c r="C18" t="str">
        <v>und/día</v>
      </c>
      <c r="D18">
        <v>480</v>
      </c>
      <c r="E18">
        <v>3.125</v>
      </c>
      <c r="F18">
        <f>E18/25</f>
        <v>0.125</v>
      </c>
      <c r="G18">
        <f>IF(H4="R. MANUAL",+D7,0)</f>
        <v>111</v>
      </c>
      <c r="H18">
        <f>+(G18/D18)/F18</f>
        <v>1.85</v>
      </c>
    </row>
    <row r="19">
      <c r="A19">
        <v>7</v>
      </c>
      <c r="B19" t="str">
        <v>Riego general Arbusto, Cubresuelos y grama</v>
      </c>
      <c r="C19" t="str">
        <v>m2/día</v>
      </c>
      <c r="D19">
        <v>3500</v>
      </c>
      <c r="E19">
        <v>2.083</v>
      </c>
      <c r="F19">
        <f>E19/25</f>
        <v>0.08332</v>
      </c>
      <c r="G19">
        <f>IF(H4="R. MANUAL",D6,0)</f>
        <v>2295</v>
      </c>
      <c r="H19">
        <f>+(G19/D19)/F19</f>
        <v>7.869830601467663</v>
      </c>
    </row>
    <row r="20">
      <c r="A20">
        <v>8</v>
      </c>
      <c r="B20" t="str">
        <v xml:space="preserve">TC INSECTICIDA Y FUNGICIDA ARB </v>
      </c>
      <c r="C20" t="str">
        <v>Und/día</v>
      </c>
      <c r="D20">
        <v>240</v>
      </c>
      <c r="E20">
        <v>50</v>
      </c>
      <c r="F20">
        <f>E20/25</f>
        <v>2</v>
      </c>
      <c r="G20">
        <f>+D7</f>
        <v>111</v>
      </c>
      <c r="H20">
        <f>+(G20/D20)/F20</f>
        <v>0.23125</v>
      </c>
    </row>
    <row r="21">
      <c r="A21">
        <v>9</v>
      </c>
      <c r="B21" t="str">
        <v>TC INSECT Y FUNG ARBUS Y CSUELO</v>
      </c>
      <c r="C21" t="str">
        <v>m2/día</v>
      </c>
      <c r="D21">
        <v>2000</v>
      </c>
      <c r="E21">
        <v>50</v>
      </c>
      <c r="F21">
        <f>E21/25</f>
        <v>2</v>
      </c>
      <c r="G21">
        <f>+D6</f>
        <v>2295</v>
      </c>
      <c r="H21">
        <f>+(G21/D21)/F21</f>
        <v>0.57375</v>
      </c>
    </row>
    <row r="22">
      <c r="A22">
        <v>10</v>
      </c>
      <c r="B22" t="str">
        <v>FERTIL ARB Y PALMAS Compost</v>
      </c>
      <c r="C22" t="str">
        <v>Und/día</v>
      </c>
      <c r="D22">
        <v>240</v>
      </c>
      <c r="E22">
        <v>150</v>
      </c>
      <c r="F22">
        <f>E22/25</f>
        <v>6</v>
      </c>
      <c r="G22">
        <f>+D7</f>
        <v>111</v>
      </c>
      <c r="H22">
        <f>+(G22/D22)/F22</f>
        <v>0.07708333333333334</v>
      </c>
    </row>
    <row r="23">
      <c r="A23">
        <v>12</v>
      </c>
      <c r="B23" t="str">
        <v>FERTIL ARBUST Y CUBRESUELOS</v>
      </c>
      <c r="C23" t="str">
        <v>m2/día</v>
      </c>
      <c r="D23">
        <v>2500</v>
      </c>
      <c r="E23">
        <v>150</v>
      </c>
      <c r="F23">
        <f>E23/25</f>
        <v>6</v>
      </c>
      <c r="G23">
        <f>+D6</f>
        <v>2295</v>
      </c>
      <c r="H23">
        <f>+(G23/D23)/F23</f>
        <v>0.153</v>
      </c>
    </row>
    <row r="25">
      <c r="F25" t="str">
        <v>CANT JORNALES MES</v>
      </c>
      <c r="H25">
        <f>SUM(H13:H23)</f>
        <v>43.367501548819234</v>
      </c>
    </row>
    <row r="26">
      <c r="F26" t="str">
        <v>CANT PERSONAL MES</v>
      </c>
      <c r="H26">
        <f>+H25/25</f>
        <v>1.7347000619527693</v>
      </c>
      <c r="I26">
        <f>(80000)</f>
        <v>80000</v>
      </c>
      <c r="J26">
        <f>I26*H26*25</f>
        <v>3469400.123905538</v>
      </c>
    </row>
    <row r="29">
      <c r="A29" t="str">
        <v>NOMBRE DEL PROYECTO:</v>
      </c>
      <c r="C29" t="str">
        <v>PLAYAS DEL COUNTRY - ZONA DE PLAYA</v>
      </c>
    </row>
    <row r="31">
      <c r="A31" t="str">
        <v>ITEM</v>
      </c>
      <c r="B31" t="str">
        <v>DESCRIPCION</v>
      </c>
      <c r="C31" t="str">
        <v>UND</v>
      </c>
      <c r="D31" t="str">
        <v>CANTIDAD</v>
      </c>
    </row>
    <row r="32">
      <c r="A32">
        <v>1</v>
      </c>
      <c r="B32" t="str">
        <v>ZONA DE PLAYA</v>
      </c>
      <c r="C32" t="str">
        <v>M2</v>
      </c>
      <c r="D32">
        <v>19287</v>
      </c>
    </row>
    <row r="33">
      <c r="A33">
        <v>2</v>
      </c>
      <c r="B33" t="str">
        <v>TRASIEGO DE PLAYA</v>
      </c>
      <c r="C33" t="str">
        <v>M2</v>
      </c>
      <c r="D33">
        <v>9644</v>
      </c>
      <c r="F33" t="str">
        <v>R. CARROTANQUE</v>
      </c>
    </row>
    <row r="34">
      <c r="A34">
        <v>3</v>
      </c>
      <c r="B34" t="str">
        <v>LIMPIEZA MANUAL</v>
      </c>
      <c r="C34" t="str">
        <v>M2</v>
      </c>
      <c r="D34">
        <v>1470</v>
      </c>
      <c r="F34" t="str">
        <v>R. MANUAL</v>
      </c>
    </row>
    <row r="35">
      <c r="A35">
        <v>4</v>
      </c>
      <c r="B35" t="str">
        <v>CORTE DE TRONCOS</v>
      </c>
      <c r="C35" t="str">
        <v>UND</v>
      </c>
      <c r="D35">
        <v>350</v>
      </c>
    </row>
    <row r="36">
      <c r="A36">
        <v>5</v>
      </c>
      <c r="C36" t="str">
        <v>UND</v>
      </c>
    </row>
    <row r="37">
      <c r="A37">
        <v>6</v>
      </c>
      <c r="C37" t="str">
        <v>UND</v>
      </c>
      <c r="D37">
        <v>0</v>
      </c>
    </row>
    <row r="40">
      <c r="A40" t="str">
        <f>+C29</f>
        <v>PLAYAS DEL COUNTRY - ZONA DE PLAYA</v>
      </c>
    </row>
    <row r="41">
      <c r="A41" t="str">
        <v>ITEM</v>
      </c>
      <c r="B41" t="str">
        <v>ACTIVIDAD</v>
      </c>
      <c r="C41" t="str">
        <v>UNIDAD</v>
      </c>
      <c r="D41" t="str">
        <v>RENDIMIENTO</v>
      </c>
      <c r="E41" t="str">
        <v>FRECUENCIA</v>
      </c>
      <c r="F41" t="str">
        <v>FACTOR</v>
      </c>
      <c r="G41" t="str">
        <v>CANTIDAD</v>
      </c>
      <c r="H41" t="str">
        <v>CANT JORNALES MES</v>
      </c>
    </row>
    <row r="42">
      <c r="A42">
        <v>1</v>
      </c>
      <c r="B42" t="str">
        <v>Acopio y limpieza manual</v>
      </c>
      <c r="C42" t="str">
        <v>m2/día</v>
      </c>
      <c r="D42">
        <v>3000</v>
      </c>
      <c r="E42">
        <v>25</v>
      </c>
      <c r="F42">
        <f>+E42/25</f>
        <v>1</v>
      </c>
      <c r="G42">
        <f>D32</f>
        <v>19287</v>
      </c>
      <c r="H42">
        <f>+(G42/D42)/F42</f>
        <v>6.429</v>
      </c>
    </row>
    <row r="43">
      <c r="A43">
        <v>2</v>
      </c>
      <c r="B43" t="str">
        <v>Arrume con tractor (trasiego)</v>
      </c>
      <c r="C43" t="str">
        <v>m2/día</v>
      </c>
      <c r="D43">
        <v>5000</v>
      </c>
      <c r="E43">
        <v>4</v>
      </c>
      <c r="F43">
        <f>+E43/25</f>
        <v>0.16</v>
      </c>
      <c r="G43">
        <f>D33</f>
        <v>9644</v>
      </c>
      <c r="H43">
        <f>+(G43/D43)/F43</f>
        <v>12.055</v>
      </c>
    </row>
    <row r="44">
      <c r="A44">
        <v>3</v>
      </c>
      <c r="B44" t="str">
        <v>Corte de troncos</v>
      </c>
      <c r="C44" t="str">
        <v>Und/día</v>
      </c>
      <c r="D44">
        <v>10</v>
      </c>
      <c r="E44">
        <v>4</v>
      </c>
      <c r="F44">
        <f>+E44/25</f>
        <v>0.16</v>
      </c>
      <c r="G44">
        <f>+D35</f>
        <v>350</v>
      </c>
      <c r="H44">
        <f>+(G44/D44)/F44</f>
        <v>218.75</v>
      </c>
    </row>
    <row r="58">
      <c r="F58" t="str">
        <v>CANT JORNALES MES</v>
      </c>
      <c r="H58">
        <f>SUM(H42:H56)</f>
        <v>237.234</v>
      </c>
    </row>
    <row r="59">
      <c r="F59" t="str">
        <v>CANT PERSONAL MES</v>
      </c>
      <c r="H59">
        <f>+H58/25</f>
        <v>9.48936</v>
      </c>
      <c r="I59">
        <f>(80000)</f>
        <v>80000</v>
      </c>
      <c r="J59">
        <f>I59*H59*25</f>
        <v>18978720</v>
      </c>
    </row>
    <row r="62">
      <c r="F62" t="str">
        <v>CANT PERSONAL MES</v>
      </c>
      <c r="H62">
        <f>+H59+H26</f>
        <v>11.22406006195277</v>
      </c>
      <c r="J62">
        <f>J26+J59</f>
        <v>22448120.12390554</v>
      </c>
    </row>
  </sheetData>
  <mergeCells count="12">
    <mergeCell ref="F62:G62"/>
    <mergeCell ref="A1:B1"/>
    <mergeCell ref="C1:H1"/>
    <mergeCell ref="F4:G4"/>
    <mergeCell ref="A10:H10"/>
    <mergeCell ref="F25:G25"/>
    <mergeCell ref="F26:G26"/>
    <mergeCell ref="A29:B29"/>
    <mergeCell ref="C29:H29"/>
    <mergeCell ref="A40:H40"/>
    <mergeCell ref="F58:G58"/>
    <mergeCell ref="F59:G59"/>
  </mergeCells>
  <pageMargins left="0.7" right="0.7" top="0.75" bottom="0.75" header="0.3" footer="0.3"/>
  <ignoredErrors>
    <ignoredError numberStoredAsText="1" sqref="A1:M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62"/>
  <sheetViews>
    <sheetView workbookViewId="0" rightToLeft="0"/>
  </sheetViews>
  <sheetData>
    <row r="1">
      <c r="A1" t="str">
        <v>NOMBRE DEL PROYECTO:</v>
      </c>
      <c r="C1" t="str">
        <v>PLAYAS SABANILLA - ZONA VERDE</v>
      </c>
    </row>
    <row r="3">
      <c r="A3" t="str">
        <v>ITEM</v>
      </c>
      <c r="B3" t="str">
        <v>DESCRIPCION</v>
      </c>
      <c r="C3" t="str">
        <v>UND</v>
      </c>
      <c r="D3" t="str">
        <v>CANTIDAD</v>
      </c>
    </row>
    <row r="4">
      <c r="A4">
        <v>1</v>
      </c>
      <c r="B4" t="str">
        <v>TOTAL PAISAJISMO</v>
      </c>
      <c r="C4" t="str">
        <v>M2</v>
      </c>
      <c r="D4">
        <v>3637</v>
      </c>
      <c r="F4" t="str">
        <v>TIPO DE RIEGO</v>
      </c>
      <c r="H4" t="str">
        <v>R. MANUAL</v>
      </c>
    </row>
    <row r="5">
      <c r="A5">
        <v>2</v>
      </c>
      <c r="B5" t="str">
        <v>ZONA DURA</v>
      </c>
      <c r="C5" t="str">
        <v>M2</v>
      </c>
      <c r="D5">
        <v>3555</v>
      </c>
      <c r="F5" t="str">
        <v>R. MANUAL</v>
      </c>
    </row>
    <row r="6">
      <c r="A6">
        <v>3</v>
      </c>
      <c r="B6" t="str">
        <v>ARBUSTOS Y CUBRE SUELOS</v>
      </c>
      <c r="C6" t="str">
        <v>M2</v>
      </c>
      <c r="D6">
        <v>3637</v>
      </c>
    </row>
    <row r="7">
      <c r="A7">
        <v>4</v>
      </c>
      <c r="B7" t="str">
        <v>ARBOLES TOTALES</v>
      </c>
      <c r="C7" t="str">
        <v>UND</v>
      </c>
      <c r="D7">
        <v>127</v>
      </c>
    </row>
    <row r="10">
      <c r="A10" t="str">
        <f>+C1</f>
        <v>PLAYAS SABANILLA - ZONA VERDE</v>
      </c>
    </row>
    <row r="11">
      <c r="A11" t="str">
        <v>ITEM</v>
      </c>
      <c r="B11" t="str">
        <v>ACTIVIDAD</v>
      </c>
      <c r="C11" t="str">
        <v>UNIDAD</v>
      </c>
      <c r="D11" t="str">
        <v>RENDIMIENTO</v>
      </c>
      <c r="E11" t="str">
        <v>FRECUENCIA</v>
      </c>
      <c r="F11" t="str">
        <v>FACTOR</v>
      </c>
      <c r="G11" t="str">
        <v>CANTIDAD</v>
      </c>
      <c r="H11" t="str">
        <v>CANT JORNALES MES</v>
      </c>
      <c r="I11" t="str">
        <v>V. ACTIVIDAD</v>
      </c>
      <c r="K11" t="str">
        <v>ZV</v>
      </c>
      <c r="L11" t="str">
        <v>ZD</v>
      </c>
    </row>
    <row r="12">
      <c r="B12" t="str">
        <v>Plateo</v>
      </c>
      <c r="C12" t="str">
        <v>Und/día</v>
      </c>
      <c r="D12">
        <v>160</v>
      </c>
      <c r="E12">
        <v>12.5</v>
      </c>
      <c r="F12">
        <v>0.5</v>
      </c>
      <c r="G12">
        <f>+D7</f>
        <v>127</v>
      </c>
      <c r="H12">
        <f>+(G12/D12)/F12</f>
        <v>1.5875</v>
      </c>
    </row>
    <row r="13">
      <c r="A13">
        <v>1</v>
      </c>
      <c r="B13" t="str">
        <v>Poda Arboles y Palmas</v>
      </c>
      <c r="C13" t="str">
        <v>Und/día</v>
      </c>
      <c r="D13">
        <v>200</v>
      </c>
      <c r="E13">
        <v>75</v>
      </c>
      <c r="F13">
        <f>+E13/25</f>
        <v>3</v>
      </c>
      <c r="G13">
        <f>+D7</f>
        <v>127</v>
      </c>
      <c r="H13">
        <f>+(G13/D13)/F13</f>
        <v>0.21166666666666667</v>
      </c>
      <c r="K13">
        <f>(+H13+H14+H15+H16+H18+H19+H20+H21+H22+H23)/25</f>
        <v>1.8478858884697744</v>
      </c>
      <c r="L13">
        <f>+(H17)/25</f>
        <v>0.3555</v>
      </c>
    </row>
    <row r="14">
      <c r="A14">
        <v>2</v>
      </c>
      <c r="B14" t="str">
        <v>Poda Arbustos y CS</v>
      </c>
      <c r="C14" t="str">
        <v>m2/día</v>
      </c>
      <c r="D14">
        <v>1200</v>
      </c>
      <c r="E14">
        <v>12.5</v>
      </c>
      <c r="F14">
        <f>+E14/25</f>
        <v>0.5</v>
      </c>
      <c r="G14">
        <f>+D6</f>
        <v>3637</v>
      </c>
      <c r="H14">
        <f>+(G14/D14)/F14</f>
        <v>6.0616666666666665</v>
      </c>
    </row>
    <row r="15">
      <c r="A15">
        <v>3</v>
      </c>
      <c r="B15" t="str">
        <v>Mtto Cama Siembra</v>
      </c>
      <c r="C15" t="str">
        <v>m2/día</v>
      </c>
      <c r="D15">
        <v>600</v>
      </c>
      <c r="E15">
        <v>6.25</v>
      </c>
      <c r="F15">
        <f>+E15/25</f>
        <v>0.25</v>
      </c>
      <c r="G15">
        <f>+D6</f>
        <v>3637</v>
      </c>
      <c r="H15">
        <f>+(G15/D15)/F15</f>
        <v>24.246666666666666</v>
      </c>
    </row>
    <row r="16">
      <c r="A16">
        <v>4</v>
      </c>
      <c r="B16" t="str">
        <v>Limpieza General</v>
      </c>
      <c r="C16" t="str">
        <v>m2/día</v>
      </c>
      <c r="D16">
        <v>7500</v>
      </c>
      <c r="E16">
        <v>2.083</v>
      </c>
      <c r="F16">
        <f>+E16/25</f>
        <v>0.08332</v>
      </c>
      <c r="G16">
        <f>+D4</f>
        <v>3637</v>
      </c>
      <c r="H16">
        <f>+(G16/D16)/F16</f>
        <v>5.820131220995359</v>
      </c>
    </row>
    <row r="17">
      <c r="A17">
        <v>5</v>
      </c>
      <c r="B17" t="str">
        <v>Limpieza General zonas duras</v>
      </c>
      <c r="C17" t="str">
        <v>m2/día</v>
      </c>
      <c r="D17">
        <v>10000</v>
      </c>
      <c r="E17">
        <v>1</v>
      </c>
      <c r="F17">
        <f>+E17/25</f>
        <v>0.04</v>
      </c>
      <c r="G17">
        <f>+D5</f>
        <v>3555</v>
      </c>
      <c r="H17">
        <f>+(G17/D17)/F17</f>
        <v>8.8875</v>
      </c>
    </row>
    <row r="18">
      <c r="A18">
        <v>6</v>
      </c>
      <c r="B18" t="str">
        <v>Riego general Arboles y Palmas</v>
      </c>
      <c r="C18" t="str">
        <v>und/día</v>
      </c>
      <c r="D18">
        <v>480</v>
      </c>
      <c r="E18">
        <v>3.125</v>
      </c>
      <c r="F18">
        <f>+E18/25</f>
        <v>0.125</v>
      </c>
      <c r="G18">
        <f>IF(H4="R. MANUAL",+D7,0)</f>
        <v>127</v>
      </c>
      <c r="H18">
        <f>+(G18/D18)/F18</f>
        <v>2.1166666666666667</v>
      </c>
    </row>
    <row r="19">
      <c r="A19">
        <v>7</v>
      </c>
      <c r="B19" t="str">
        <v>Riego general Arbusto, Cubresuelos y grama</v>
      </c>
      <c r="C19" t="str">
        <v>m2/día</v>
      </c>
      <c r="D19">
        <v>3500</v>
      </c>
      <c r="E19">
        <v>2.083</v>
      </c>
      <c r="F19">
        <f>+E19/25</f>
        <v>0.08332</v>
      </c>
      <c r="G19">
        <f>IF(H4="R. MANUAL",D6,0)</f>
        <v>3637</v>
      </c>
      <c r="H19">
        <f>+(G19/D19)/F19*0.5</f>
        <v>6.235854879637885</v>
      </c>
    </row>
    <row r="20">
      <c r="A20">
        <v>8</v>
      </c>
      <c r="B20" t="str">
        <v xml:space="preserve">TC INSECTICIDA Y FUNGICIDA ARB </v>
      </c>
      <c r="C20" t="str">
        <v>Und/día</v>
      </c>
      <c r="D20">
        <v>240</v>
      </c>
      <c r="E20">
        <v>50</v>
      </c>
      <c r="F20">
        <f>+E20/25</f>
        <v>2</v>
      </c>
      <c r="G20">
        <f>+D7</f>
        <v>127</v>
      </c>
      <c r="H20">
        <f>+(G20/D20)/F20</f>
        <v>0.26458333333333334</v>
      </c>
    </row>
    <row r="21">
      <c r="A21">
        <v>9</v>
      </c>
      <c r="B21" t="str">
        <v>TC INSECT Y FUNG ARBUS Y CSUELO</v>
      </c>
      <c r="C21" t="str">
        <v>m2/día</v>
      </c>
      <c r="D21">
        <v>2000</v>
      </c>
      <c r="E21">
        <v>50</v>
      </c>
      <c r="F21">
        <f>+E21/25</f>
        <v>2</v>
      </c>
      <c r="G21">
        <f>+D6</f>
        <v>3637</v>
      </c>
      <c r="H21">
        <f>+(G21/D21)/F21</f>
        <v>0.90925</v>
      </c>
    </row>
    <row r="22">
      <c r="A22">
        <v>10</v>
      </c>
      <c r="B22" t="str">
        <v>FERTIL ARB Y PALMAS Compost</v>
      </c>
      <c r="C22" t="str">
        <v>Und/día</v>
      </c>
      <c r="D22">
        <v>240</v>
      </c>
      <c r="E22">
        <v>150</v>
      </c>
      <c r="F22">
        <f>+E22/25</f>
        <v>6</v>
      </c>
      <c r="G22">
        <f>+D7</f>
        <v>127</v>
      </c>
      <c r="H22">
        <f>+(G22/D22)/F22</f>
        <v>0.08819444444444445</v>
      </c>
    </row>
    <row r="23">
      <c r="A23">
        <v>12</v>
      </c>
      <c r="B23" t="str">
        <v>FERTIL ARBUST Y CUBRESUELOS</v>
      </c>
      <c r="C23" t="str">
        <v>m2/día</v>
      </c>
      <c r="D23">
        <v>2500</v>
      </c>
      <c r="E23">
        <v>150</v>
      </c>
      <c r="F23">
        <f>+E23/25</f>
        <v>6</v>
      </c>
      <c r="G23">
        <f>+D6</f>
        <v>3637</v>
      </c>
      <c r="H23">
        <f>+(G23/D23)/F23</f>
        <v>0.2424666666666667</v>
      </c>
    </row>
    <row r="25">
      <c r="F25" t="str">
        <v>CANT JORNALES MES</v>
      </c>
      <c r="H25">
        <f>SUM(H13:H23)</f>
        <v>55.08464721174436</v>
      </c>
    </row>
    <row r="26">
      <c r="F26" t="str">
        <v>CANT PERSONAL MES</v>
      </c>
      <c r="H26">
        <f>+H25/25</f>
        <v>2.2033858884697746</v>
      </c>
      <c r="I26">
        <f>(80000)</f>
        <v>80000</v>
      </c>
      <c r="J26">
        <f>I26*H26*25</f>
        <v>4406771.7769395495</v>
      </c>
    </row>
    <row r="29">
      <c r="A29" t="str">
        <v>NOMBRE DEL PROYECTO:</v>
      </c>
      <c r="C29" t="str">
        <v>PLAYAS DEL COUNTRY - ZONA DE PLAYA</v>
      </c>
    </row>
    <row r="31">
      <c r="A31" t="str">
        <v>ITEM</v>
      </c>
      <c r="B31" t="str">
        <v>DESCRIPCION</v>
      </c>
      <c r="C31" t="str">
        <v>UND</v>
      </c>
      <c r="D31" t="str">
        <v>CANTIDAD</v>
      </c>
    </row>
    <row r="32">
      <c r="A32">
        <v>1</v>
      </c>
      <c r="B32" t="str">
        <v>ZONA DE PLAYA</v>
      </c>
      <c r="C32" t="str">
        <v>M2</v>
      </c>
      <c r="D32">
        <v>18070</v>
      </c>
    </row>
    <row r="33">
      <c r="A33">
        <v>2</v>
      </c>
      <c r="B33" t="str">
        <v>TRASIEGO DE PLAYA</v>
      </c>
      <c r="C33" t="str">
        <v>M2</v>
      </c>
      <c r="D33">
        <v>9035</v>
      </c>
      <c r="F33" t="str">
        <v>R. CARROTANQUE</v>
      </c>
    </row>
    <row r="34">
      <c r="A34">
        <v>3</v>
      </c>
      <c r="B34" t="str">
        <v>LIMPIEZA MANUAL</v>
      </c>
      <c r="C34" t="str">
        <v>M2</v>
      </c>
      <c r="D34">
        <v>1470</v>
      </c>
      <c r="F34" t="str">
        <v>R. MANUAL</v>
      </c>
    </row>
    <row r="35">
      <c r="A35">
        <v>4</v>
      </c>
      <c r="B35" t="str">
        <v>CORTE DE TRONCOS</v>
      </c>
      <c r="C35" t="str">
        <v>UND</v>
      </c>
      <c r="D35">
        <v>350</v>
      </c>
    </row>
    <row r="36">
      <c r="A36">
        <v>5</v>
      </c>
      <c r="C36" t="str">
        <v>UND</v>
      </c>
    </row>
    <row r="37">
      <c r="A37">
        <v>6</v>
      </c>
      <c r="C37" t="str">
        <v>UND</v>
      </c>
      <c r="D37">
        <v>0</v>
      </c>
    </row>
    <row r="40">
      <c r="A40" t="str">
        <f>+C29</f>
        <v>PLAYAS DEL COUNTRY - ZONA DE PLAYA</v>
      </c>
    </row>
    <row r="41">
      <c r="A41" t="str">
        <v>ITEM</v>
      </c>
      <c r="B41" t="str">
        <v>ACTIVIDAD</v>
      </c>
      <c r="C41" t="str">
        <v>UNIDAD</v>
      </c>
      <c r="D41" t="str">
        <v>RENDIMIENTO</v>
      </c>
      <c r="E41" t="str">
        <v>FRECUENCIA</v>
      </c>
      <c r="F41" t="str">
        <v>FACTOR</v>
      </c>
      <c r="G41" t="str">
        <v>CANTIDAD</v>
      </c>
      <c r="H41" t="str">
        <v>CANT JORNALES MES</v>
      </c>
    </row>
    <row r="42">
      <c r="A42">
        <v>1</v>
      </c>
      <c r="B42" t="str">
        <v>Acopio y limpieza manual</v>
      </c>
      <c r="C42" t="str">
        <v>m2/día</v>
      </c>
      <c r="D42">
        <v>3000</v>
      </c>
      <c r="E42">
        <v>25</v>
      </c>
      <c r="F42">
        <f>+E42/25</f>
        <v>1</v>
      </c>
      <c r="G42">
        <f>D32</f>
        <v>18070</v>
      </c>
      <c r="H42">
        <f>+(G42/D42)/F42</f>
        <v>6.023333333333333</v>
      </c>
    </row>
    <row r="43">
      <c r="A43">
        <v>2</v>
      </c>
      <c r="B43" t="str">
        <v>Arrume con tractor (trasiego)</v>
      </c>
      <c r="C43" t="str">
        <v>m2/día</v>
      </c>
      <c r="D43">
        <v>5000</v>
      </c>
      <c r="E43">
        <v>6</v>
      </c>
      <c r="F43">
        <f>+E43/25</f>
        <v>0.24</v>
      </c>
      <c r="G43">
        <f>D33</f>
        <v>9035</v>
      </c>
      <c r="H43">
        <f>+(G43/D43)/F43</f>
        <v>7.529166666666667</v>
      </c>
    </row>
    <row r="44">
      <c r="A44">
        <v>3</v>
      </c>
      <c r="B44" t="str">
        <v>Corte de troncos</v>
      </c>
      <c r="C44" t="str">
        <v>Und/día</v>
      </c>
      <c r="D44">
        <v>10</v>
      </c>
      <c r="E44">
        <v>4</v>
      </c>
      <c r="F44">
        <f>+E44/25</f>
        <v>0.16</v>
      </c>
      <c r="G44">
        <f>+D35</f>
        <v>350</v>
      </c>
      <c r="H44">
        <f>+(G44/D44)/F44</f>
        <v>218.75</v>
      </c>
    </row>
    <row r="58">
      <c r="F58" t="str">
        <v>CANT JORNALES MES</v>
      </c>
      <c r="H58">
        <f>SUM(H42:H56)</f>
        <v>232.3025</v>
      </c>
    </row>
    <row r="59">
      <c r="F59" t="str">
        <v>CANT PERSONAL MES</v>
      </c>
      <c r="H59">
        <f>+H58/25</f>
        <v>9.2921</v>
      </c>
      <c r="I59">
        <f>(80000)</f>
        <v>80000</v>
      </c>
      <c r="J59">
        <f>I59*H59*25</f>
        <v>18584200</v>
      </c>
    </row>
    <row r="62">
      <c r="F62" t="str">
        <v>CANT PERSONAL MES</v>
      </c>
      <c r="H62">
        <f>+H59+H26</f>
        <v>11.495485888469775</v>
      </c>
      <c r="J62">
        <f>J26+J59</f>
        <v>22990971.77693955</v>
      </c>
    </row>
  </sheetData>
  <mergeCells count="12">
    <mergeCell ref="F62:G62"/>
    <mergeCell ref="A1:B1"/>
    <mergeCell ref="C1:H1"/>
    <mergeCell ref="F4:G4"/>
    <mergeCell ref="A10:H10"/>
    <mergeCell ref="F25:G25"/>
    <mergeCell ref="F26:G26"/>
    <mergeCell ref="A29:B29"/>
    <mergeCell ref="C29:H29"/>
    <mergeCell ref="A40:H40"/>
    <mergeCell ref="F58:G58"/>
    <mergeCell ref="F59:G59"/>
  </mergeCells>
  <pageMargins left="0.7" right="0.7" top="0.75" bottom="0.75" header="0.3" footer="0.3"/>
  <ignoredErrors>
    <ignoredError numberStoredAsText="1" sqref="A1:L6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7"/>
  <sheetViews>
    <sheetView workbookViewId="0" rightToLeft="0"/>
  </sheetViews>
  <sheetData>
    <row r="1">
      <c r="A1" t="str">
        <v>NOMBRE DEL PROYECTO:</v>
      </c>
      <c r="C1" t="str">
        <v>SALINAS DEL REY - ZONA VERDE</v>
      </c>
    </row>
    <row r="3">
      <c r="A3" t="str">
        <v>ITEM</v>
      </c>
      <c r="B3" t="str">
        <v>DESCRIPCION</v>
      </c>
      <c r="C3" t="str">
        <v>UND</v>
      </c>
      <c r="D3" t="str">
        <v>CANTIDAD</v>
      </c>
    </row>
    <row r="4">
      <c r="A4">
        <v>1</v>
      </c>
      <c r="B4" t="str">
        <v>TOTAL PAISAJISMO</v>
      </c>
      <c r="C4" t="str">
        <v>M3</v>
      </c>
      <c r="D4">
        <v>895</v>
      </c>
      <c r="F4" t="str">
        <v>TIPO DE RIEGO</v>
      </c>
      <c r="H4" t="str">
        <v>R. MANUAL</v>
      </c>
    </row>
    <row r="5">
      <c r="A5">
        <v>2</v>
      </c>
      <c r="B5" t="str">
        <v>ZONA DURA</v>
      </c>
      <c r="C5" t="str">
        <v>M2</v>
      </c>
      <c r="D5">
        <v>3209</v>
      </c>
      <c r="F5" t="str">
        <v>R. MANUAL</v>
      </c>
    </row>
    <row r="6">
      <c r="A6">
        <v>3</v>
      </c>
      <c r="B6" t="str">
        <v>GRAMA</v>
      </c>
      <c r="C6" t="str">
        <v>M2</v>
      </c>
      <c r="D6">
        <v>55</v>
      </c>
    </row>
    <row r="7">
      <c r="A7">
        <v>5</v>
      </c>
      <c r="B7" t="str">
        <v>ARBUSTOS Y CUBRE SUELOS</v>
      </c>
      <c r="C7" t="str">
        <v>M2</v>
      </c>
      <c r="D7">
        <v>840</v>
      </c>
    </row>
    <row r="8">
      <c r="A8">
        <v>6</v>
      </c>
      <c r="B8" t="str">
        <v>ARBOLES TOTALES</v>
      </c>
      <c r="C8" t="str">
        <v>UND</v>
      </c>
    </row>
    <row r="11">
      <c r="A11" t="str">
        <f>+C1</f>
        <v>SALINAS DEL REY - ZONA VERDE</v>
      </c>
      <c r="L11" t="str">
        <v>ZV</v>
      </c>
      <c r="M11" t="str">
        <v>ZD</v>
      </c>
    </row>
    <row r="12">
      <c r="A12" t="str">
        <v>ITEM</v>
      </c>
      <c r="B12" t="str">
        <v>ACTIVIDAD</v>
      </c>
      <c r="C12" t="str">
        <v>UNIDAD</v>
      </c>
      <c r="D12" t="str">
        <v>RENDIMIENTO</v>
      </c>
      <c r="E12" t="str">
        <v>FRECUENCIA</v>
      </c>
      <c r="F12" t="str">
        <v>FACTOR</v>
      </c>
      <c r="G12" t="str">
        <v>CANTIDAD</v>
      </c>
      <c r="H12" t="str">
        <v>CANT JORNALES MES</v>
      </c>
      <c r="I12" t="str">
        <v>V. ACTIVIDAD</v>
      </c>
      <c r="L12">
        <f>(+H15+H16+H17+H18+H20+H21+H22+H23+H25+H27)/25</f>
        <v>0.4756790297876232</v>
      </c>
      <c r="M12">
        <f>(+H19)/25</f>
        <v>0.3209</v>
      </c>
    </row>
    <row r="13">
      <c r="A13">
        <v>1</v>
      </c>
      <c r="B13" t="str">
        <v>Op Guadaña</v>
      </c>
      <c r="C13" t="str">
        <v>m2/día</v>
      </c>
      <c r="D13">
        <v>5000</v>
      </c>
      <c r="E13">
        <v>25</v>
      </c>
      <c r="F13">
        <f>E13/25</f>
        <v>1</v>
      </c>
      <c r="G13">
        <f>+D6</f>
        <v>55</v>
      </c>
      <c r="H13">
        <f>+(G13/D13)/F13</f>
        <v>0.011</v>
      </c>
    </row>
    <row r="14">
      <c r="B14" t="str">
        <v>Plateo</v>
      </c>
      <c r="C14" t="str">
        <v>Und/día</v>
      </c>
      <c r="D14">
        <v>160</v>
      </c>
      <c r="E14">
        <v>12.5</v>
      </c>
      <c r="F14">
        <f>E14/25</f>
        <v>0.5</v>
      </c>
      <c r="G14">
        <f>+D8</f>
        <v>0</v>
      </c>
      <c r="H14">
        <f>+(G14/D14)/F14</f>
        <v>0</v>
      </c>
    </row>
    <row r="15">
      <c r="A15">
        <v>2</v>
      </c>
      <c r="B15" t="str">
        <v>Poda Arboles y Palmas</v>
      </c>
      <c r="C15" t="str">
        <v>Und/día</v>
      </c>
      <c r="D15">
        <v>200</v>
      </c>
      <c r="E15">
        <v>75</v>
      </c>
      <c r="F15">
        <f>E15/25</f>
        <v>3</v>
      </c>
      <c r="G15">
        <f>+D8</f>
        <v>0</v>
      </c>
      <c r="H15">
        <f>+(G15/D15)/F15</f>
        <v>0</v>
      </c>
    </row>
    <row r="16">
      <c r="A16">
        <v>3</v>
      </c>
      <c r="B16" t="str">
        <v>Poda Arbustos y CS</v>
      </c>
      <c r="C16" t="str">
        <v>m2/día</v>
      </c>
      <c r="D16">
        <v>1200</v>
      </c>
      <c r="E16">
        <v>12.5</v>
      </c>
      <c r="F16">
        <f>E16/25</f>
        <v>0.5</v>
      </c>
      <c r="G16">
        <f>+D7</f>
        <v>840</v>
      </c>
      <c r="H16">
        <f>+(G16/D16)/F16</f>
        <v>1.4</v>
      </c>
    </row>
    <row r="17">
      <c r="A17">
        <v>4</v>
      </c>
      <c r="B17" t="str">
        <v>Mtto Cama Siembra</v>
      </c>
      <c r="C17" t="str">
        <v>m2/día</v>
      </c>
      <c r="D17">
        <v>600</v>
      </c>
      <c r="E17">
        <v>6.25</v>
      </c>
      <c r="F17">
        <f>E17/25</f>
        <v>0.25</v>
      </c>
      <c r="G17">
        <f>+D4</f>
        <v>895</v>
      </c>
      <c r="H17">
        <f>+(G17/D17)/F17</f>
        <v>5.966666666666667</v>
      </c>
    </row>
    <row r="18">
      <c r="A18">
        <v>5</v>
      </c>
      <c r="B18" t="str">
        <v>Limpieza General</v>
      </c>
      <c r="C18" t="str">
        <v>m2/día</v>
      </c>
      <c r="D18">
        <v>7500</v>
      </c>
      <c r="E18">
        <v>2.083</v>
      </c>
      <c r="F18">
        <f>E18/25</f>
        <v>0.08332</v>
      </c>
      <c r="G18">
        <f>+D4</f>
        <v>895</v>
      </c>
      <c r="H18">
        <f>+(G18/D18)/F18</f>
        <v>1.4322291566650662</v>
      </c>
    </row>
    <row r="19">
      <c r="A19">
        <v>6</v>
      </c>
      <c r="B19" t="str">
        <v>Limpieza General zonas duras</v>
      </c>
      <c r="C19" t="str">
        <v>m2/día</v>
      </c>
      <c r="D19">
        <v>10000</v>
      </c>
      <c r="E19">
        <v>1</v>
      </c>
      <c r="F19">
        <f>E19/25</f>
        <v>0.04</v>
      </c>
      <c r="G19">
        <f>+D5</f>
        <v>3209</v>
      </c>
      <c r="H19">
        <f>+(G19/D19)/F19</f>
        <v>8.0225</v>
      </c>
    </row>
    <row r="20">
      <c r="A20">
        <v>8</v>
      </c>
      <c r="B20" t="str">
        <v>Riego general Arboles y Palmas</v>
      </c>
      <c r="C20" t="str">
        <v>und/día</v>
      </c>
      <c r="D20">
        <v>480</v>
      </c>
      <c r="E20">
        <v>3.125</v>
      </c>
      <c r="F20">
        <f>E20/25</f>
        <v>0.125</v>
      </c>
      <c r="G20">
        <f>+D8</f>
        <v>0</v>
      </c>
      <c r="H20">
        <f>+(G20/D20)/F20</f>
        <v>0</v>
      </c>
    </row>
    <row r="21">
      <c r="A21">
        <v>9</v>
      </c>
      <c r="B21" t="str">
        <v>Riego general Arbusto, Cubresuelos y grama</v>
      </c>
      <c r="C21" t="str">
        <v>m2/día</v>
      </c>
      <c r="D21">
        <v>3500</v>
      </c>
      <c r="E21">
        <v>2.083</v>
      </c>
      <c r="F21">
        <f>E21/25</f>
        <v>0.08332</v>
      </c>
      <c r="G21">
        <f>+D7</f>
        <v>840</v>
      </c>
      <c r="H21">
        <f>+(G21/D21)/F21</f>
        <v>2.880460873739798</v>
      </c>
    </row>
    <row r="22">
      <c r="A22">
        <v>10</v>
      </c>
      <c r="B22" t="str">
        <v xml:space="preserve">TC INSECTICIDA Y FUNGICIDA ARB </v>
      </c>
      <c r="C22" t="str">
        <v>Und/día</v>
      </c>
      <c r="D22">
        <v>240</v>
      </c>
      <c r="E22">
        <v>50</v>
      </c>
      <c r="F22">
        <f>E22/25</f>
        <v>2</v>
      </c>
      <c r="G22">
        <f>+D8</f>
        <v>0</v>
      </c>
      <c r="H22">
        <f>+(G22/D22)/F22</f>
        <v>0</v>
      </c>
    </row>
    <row r="23">
      <c r="A23">
        <v>11</v>
      </c>
      <c r="B23" t="str">
        <v>TC INSECT Y FUNG ARBUS Y CSUELO</v>
      </c>
      <c r="C23" t="str">
        <v>m2/día</v>
      </c>
      <c r="D23">
        <v>2000</v>
      </c>
      <c r="E23">
        <v>50</v>
      </c>
      <c r="F23">
        <f>E23/25</f>
        <v>2</v>
      </c>
      <c r="G23">
        <f>+D7</f>
        <v>840</v>
      </c>
      <c r="H23">
        <f>+(G23/D23)/F23</f>
        <v>0.21</v>
      </c>
    </row>
    <row r="24">
      <c r="B24" t="str">
        <v>TC HERBICIDA GRAMA</v>
      </c>
      <c r="C24" t="str">
        <v>m2/día</v>
      </c>
      <c r="D24">
        <v>2400</v>
      </c>
      <c r="E24">
        <v>50</v>
      </c>
      <c r="F24">
        <f>E24/25</f>
        <v>2</v>
      </c>
      <c r="G24">
        <f>+D6</f>
        <v>55</v>
      </c>
      <c r="H24">
        <f>+(G24/D24)/F24</f>
        <v>0.011458333333333333</v>
      </c>
    </row>
    <row r="25">
      <c r="A25">
        <v>12</v>
      </c>
      <c r="B25" t="str">
        <v>FERTIL ARB Y PALMAS Compost</v>
      </c>
      <c r="C25" t="str">
        <v>Und/día</v>
      </c>
      <c r="D25">
        <v>240</v>
      </c>
      <c r="E25">
        <v>150</v>
      </c>
      <c r="F25">
        <f>E25/25</f>
        <v>6</v>
      </c>
      <c r="G25">
        <f>+D8</f>
        <v>0</v>
      </c>
      <c r="H25">
        <f>+(G25/D25)/F25</f>
        <v>0</v>
      </c>
    </row>
    <row r="26">
      <c r="B26" t="str">
        <v>FERTIL ARBUST Y CUBRESUELOS</v>
      </c>
      <c r="C26" t="str">
        <v>m2/día</v>
      </c>
      <c r="D26">
        <v>3500</v>
      </c>
      <c r="E26">
        <v>150</v>
      </c>
      <c r="F26">
        <f>E26/25</f>
        <v>6</v>
      </c>
      <c r="G26">
        <f>+D7</f>
        <v>840</v>
      </c>
      <c r="H26">
        <f>+(G26/D26)/F26</f>
        <v>0.04</v>
      </c>
    </row>
    <row r="27">
      <c r="A27">
        <v>13</v>
      </c>
      <c r="B27" t="str">
        <v>FERTIL GRAMA</v>
      </c>
      <c r="C27" t="str">
        <v>m2/día</v>
      </c>
      <c r="D27">
        <v>3500</v>
      </c>
      <c r="E27">
        <v>150</v>
      </c>
      <c r="F27">
        <f>E27/25</f>
        <v>6</v>
      </c>
      <c r="G27">
        <f>+D6</f>
        <v>55</v>
      </c>
      <c r="H27">
        <f>+(G27/D27)/F27</f>
        <v>0.0026190476190476194</v>
      </c>
    </row>
    <row r="30">
      <c r="F30" t="str">
        <v>CANT JORNALES MES</v>
      </c>
      <c r="H30">
        <f>SUM(H15:H27)</f>
        <v>19.965934078023917</v>
      </c>
    </row>
    <row r="31">
      <c r="F31" t="str">
        <v>CANT PERSONAL MES</v>
      </c>
      <c r="H31">
        <f>+H30/25</f>
        <v>0.7986373631209567</v>
      </c>
      <c r="I31">
        <f>(80000)</f>
        <v>80000</v>
      </c>
      <c r="J31">
        <f>I31*H31*25</f>
        <v>1597274.7262419134</v>
      </c>
    </row>
    <row r="34">
      <c r="A34" t="str">
        <v>NOMBRE DEL PROYECTO:</v>
      </c>
      <c r="C34" t="str">
        <v>PLAYAS DE SALINAS DEL REY - ZONA DE PLAYA</v>
      </c>
    </row>
    <row r="36">
      <c r="A36" t="str">
        <v>ITEM</v>
      </c>
      <c r="B36" t="str">
        <v>DESCRIPCION</v>
      </c>
      <c r="C36" t="str">
        <v>UND</v>
      </c>
      <c r="D36" t="str">
        <v>CANTIDAD</v>
      </c>
    </row>
    <row r="37">
      <c r="A37">
        <v>1</v>
      </c>
      <c r="B37" t="str">
        <v>ZONA DE PLAYA</v>
      </c>
      <c r="C37" t="str">
        <v>M2</v>
      </c>
      <c r="D37">
        <v>23412</v>
      </c>
    </row>
    <row r="38">
      <c r="A38">
        <v>2</v>
      </c>
      <c r="B38" t="str">
        <v>TRASIEGO DE PLAYA</v>
      </c>
      <c r="C38" t="str">
        <v>M2</v>
      </c>
      <c r="D38">
        <f>+D37/2</f>
        <v>11706</v>
      </c>
      <c r="F38" t="str">
        <v>R. CARROTANQUE</v>
      </c>
    </row>
    <row r="39">
      <c r="A39">
        <v>3</v>
      </c>
      <c r="B39" t="str">
        <v>LIMPIEZA MANUAL</v>
      </c>
      <c r="C39" t="str">
        <v>M2</v>
      </c>
      <c r="D39">
        <v>1470</v>
      </c>
      <c r="F39" t="str">
        <v>R. MANUAL</v>
      </c>
    </row>
    <row r="40">
      <c r="A40">
        <v>4</v>
      </c>
      <c r="B40" t="str">
        <v>CORTE DE TRONCOS</v>
      </c>
      <c r="C40" t="str">
        <v>UND</v>
      </c>
      <c r="D40">
        <v>450</v>
      </c>
    </row>
    <row r="41">
      <c r="A41">
        <v>5</v>
      </c>
      <c r="C41" t="str">
        <v>UND</v>
      </c>
    </row>
    <row r="42">
      <c r="A42">
        <v>6</v>
      </c>
      <c r="C42" t="str">
        <v>UND</v>
      </c>
      <c r="D42">
        <v>0</v>
      </c>
    </row>
    <row r="45">
      <c r="A45" t="str">
        <f>+C34</f>
        <v>PLAYAS DE SALINAS DEL REY - ZONA DE PLAYA</v>
      </c>
    </row>
    <row r="46">
      <c r="A46" t="str">
        <v>ITEM</v>
      </c>
      <c r="B46" t="str">
        <v>ACTIVIDAD</v>
      </c>
      <c r="C46" t="str">
        <v>UNIDAD</v>
      </c>
      <c r="D46" t="str">
        <v>RENDIMIENTO</v>
      </c>
      <c r="E46" t="str">
        <v>FRECUENCIA</v>
      </c>
      <c r="F46" t="str">
        <v>FACTOR</v>
      </c>
      <c r="G46" t="str">
        <v>CANTIDAD</v>
      </c>
      <c r="H46" t="str">
        <v>CANT JORNALES MES</v>
      </c>
    </row>
    <row r="47">
      <c r="A47">
        <v>1</v>
      </c>
      <c r="B47" t="str">
        <v>Acopio y limpieza manual</v>
      </c>
      <c r="C47" t="str">
        <v>m2/día</v>
      </c>
      <c r="D47">
        <v>3000</v>
      </c>
      <c r="E47">
        <v>25</v>
      </c>
      <c r="F47">
        <f>+E47/25</f>
        <v>1</v>
      </c>
      <c r="G47">
        <f>D37</f>
        <v>23412</v>
      </c>
      <c r="H47">
        <f>+(G47/D47)/F47</f>
        <v>7.804</v>
      </c>
    </row>
    <row r="48">
      <c r="A48">
        <v>2</v>
      </c>
      <c r="B48" t="str">
        <v>Arrume con tractor (trasiego)</v>
      </c>
      <c r="C48" t="str">
        <v>m2/día</v>
      </c>
      <c r="D48">
        <v>5000</v>
      </c>
      <c r="E48">
        <v>4</v>
      </c>
      <c r="F48">
        <f>+E48/25</f>
        <v>0.16</v>
      </c>
      <c r="G48">
        <f>D38</f>
        <v>11706</v>
      </c>
      <c r="H48">
        <f>+(G48/D48)/F48</f>
        <v>14.6325</v>
      </c>
    </row>
    <row r="49">
      <c r="A49">
        <v>3</v>
      </c>
      <c r="B49" t="str">
        <v>Corte de troncos</v>
      </c>
      <c r="C49" t="str">
        <v>Und/día</v>
      </c>
      <c r="D49">
        <v>10</v>
      </c>
      <c r="E49">
        <v>4</v>
      </c>
      <c r="F49">
        <f>+E49/25</f>
        <v>0.16</v>
      </c>
      <c r="G49">
        <f>+D40</f>
        <v>450</v>
      </c>
      <c r="H49">
        <f>+(G49/D49)/F49</f>
        <v>281.25</v>
      </c>
    </row>
    <row r="63">
      <c r="F63" t="str">
        <v>CANT JORNALES MES</v>
      </c>
      <c r="H63">
        <f>SUM(H47:H61)</f>
        <v>303.6865</v>
      </c>
    </row>
    <row r="64">
      <c r="F64" t="str">
        <v>CANT PERSONAL MES</v>
      </c>
      <c r="H64">
        <f>+H63/25</f>
        <v>12.14746</v>
      </c>
      <c r="I64">
        <f>(80000)</f>
        <v>80000</v>
      </c>
      <c r="J64">
        <f>I64*H64*25</f>
        <v>24294920</v>
      </c>
    </row>
    <row r="67">
      <c r="F67" t="str">
        <v>CANT PERSONAL MES</v>
      </c>
      <c r="H67" cm="1">
        <f t="array" ref="H67:I67">+H64+L12:M12</f>
        <v>12.623139029787623</v>
      </c>
      <c r="I67">
        <v>12.46836</v>
      </c>
      <c r="J67">
        <f>+J64</f>
        <v>24294920</v>
      </c>
    </row>
  </sheetData>
  <mergeCells count="12">
    <mergeCell ref="F67:G67"/>
    <mergeCell ref="A1:B1"/>
    <mergeCell ref="C1:H1"/>
    <mergeCell ref="F4:G4"/>
    <mergeCell ref="A11:H11"/>
    <mergeCell ref="F30:G30"/>
    <mergeCell ref="F31:G31"/>
    <mergeCell ref="A34:B34"/>
    <mergeCell ref="C34:H34"/>
    <mergeCell ref="A45:H45"/>
    <mergeCell ref="F63:G63"/>
    <mergeCell ref="F64:G64"/>
  </mergeCells>
  <pageMargins left="0.7" right="0.7" top="0.75" bottom="0.75" header="0.3" footer="0.3"/>
  <ignoredErrors>
    <ignoredError numberStoredAsText="1" sqref="A1:M6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2:L61"/>
  <sheetViews>
    <sheetView workbookViewId="0" rightToLeft="0"/>
  </sheetViews>
  <sheetData>
    <row r="2">
      <c r="D2" t="str">
        <v>RENDIMIENTOS</v>
      </c>
      <c r="F2" t="str">
        <v>ACTUALES</v>
      </c>
      <c r="J2" t="str">
        <v>Actual</v>
      </c>
    </row>
    <row r="3">
      <c r="F3" t="str">
        <v xml:space="preserve">PERSONAL POR ESCENARIOS </v>
      </c>
      <c r="H3" t="str">
        <v>C.C.</v>
      </c>
      <c r="I3" t="str">
        <v>ESCENARIO</v>
      </c>
    </row>
    <row r="4">
      <c r="D4">
        <v>1.53</v>
      </c>
      <c r="F4">
        <v>1</v>
      </c>
      <c r="G4" t="str">
        <v>ZONAS VERDES</v>
      </c>
      <c r="H4" t="str">
        <v>03-010102</v>
      </c>
      <c r="I4" t="str">
        <v>PUERTO COLOMBIA</v>
      </c>
      <c r="J4">
        <v>1</v>
      </c>
      <c r="K4" t="str">
        <v>OK</v>
      </c>
    </row>
    <row r="5">
      <c r="D5">
        <v>3.7</v>
      </c>
      <c r="F5">
        <v>3</v>
      </c>
      <c r="G5" t="str">
        <v>ZONAS DURAS</v>
      </c>
      <c r="H5" t="str">
        <v>02-010102</v>
      </c>
      <c r="J5">
        <v>3</v>
      </c>
      <c r="K5" t="str">
        <v>OK</v>
      </c>
    </row>
    <row r="6">
      <c r="D6">
        <v>6</v>
      </c>
      <c r="F6">
        <v>4</v>
      </c>
      <c r="G6" t="str">
        <v>ZONA PLAYA</v>
      </c>
      <c r="H6" t="str">
        <v>01-010102</v>
      </c>
      <c r="J6">
        <v>3</v>
      </c>
      <c r="K6" t="str">
        <v>OK</v>
      </c>
    </row>
    <row r="12">
      <c r="F12" t="str">
        <v xml:space="preserve">PERSONAL POR ESCENARIOS </v>
      </c>
      <c r="H12" t="str">
        <v>C.C.</v>
      </c>
      <c r="I12" t="str">
        <v>ESCENARIO</v>
      </c>
    </row>
    <row r="13">
      <c r="D13">
        <v>0.19</v>
      </c>
      <c r="F13">
        <v>0.3</v>
      </c>
      <c r="G13" t="str">
        <v>ZONAS VERDES</v>
      </c>
      <c r="H13" t="str">
        <v>03 - 010109</v>
      </c>
      <c r="I13" t="str">
        <v>PLAYA MANGLARES</v>
      </c>
      <c r="J13">
        <v>0.2</v>
      </c>
      <c r="K13" t="str">
        <v>OK</v>
      </c>
    </row>
    <row r="14">
      <c r="F14">
        <v>0</v>
      </c>
      <c r="G14" t="str">
        <v>ZONAS DURAS</v>
      </c>
      <c r="H14" t="str">
        <v>02 - 010109</v>
      </c>
      <c r="J14">
        <v>0</v>
      </c>
      <c r="K14" t="str">
        <v>OK</v>
      </c>
    </row>
    <row r="15">
      <c r="D15">
        <v>4.3</v>
      </c>
      <c r="F15">
        <v>3.7</v>
      </c>
      <c r="G15" t="str">
        <v>ZONA PLAYA</v>
      </c>
      <c r="H15" t="str">
        <v>01-0110111</v>
      </c>
      <c r="J15">
        <v>3.8</v>
      </c>
      <c r="K15" t="str">
        <v>OK</v>
      </c>
    </row>
    <row r="17">
      <c r="F17" t="str">
        <v xml:space="preserve">PERSONAL POR ESCENARIOS </v>
      </c>
      <c r="H17" t="str">
        <v>C.C.</v>
      </c>
      <c r="I17" t="str">
        <v>ESCENARIO</v>
      </c>
    </row>
    <row r="18">
      <c r="D18">
        <v>0.7</v>
      </c>
      <c r="F18">
        <v>1</v>
      </c>
      <c r="G18" t="str">
        <v>ZONAS VERDES</v>
      </c>
      <c r="H18" t="str">
        <v>03-010105</v>
      </c>
      <c r="I18" t="str">
        <v>CENTRO GASTRONOMICO</v>
      </c>
    </row>
    <row r="19">
      <c r="D19">
        <v>11.88</v>
      </c>
      <c r="F19">
        <v>9</v>
      </c>
      <c r="G19" t="str">
        <v>ZONAS DURAS</v>
      </c>
      <c r="H19" t="str">
        <v>02-010105</v>
      </c>
      <c r="J19">
        <v>9.8</v>
      </c>
      <c r="K19" t="str">
        <v>OK</v>
      </c>
      <c r="L19" t="str">
        <v>0,8 Operario</v>
      </c>
    </row>
    <row r="20">
      <c r="G20" t="str">
        <v>ZONA PLAYA</v>
      </c>
      <c r="H20" t="str">
        <v>-</v>
      </c>
      <c r="J20">
        <v>0</v>
      </c>
      <c r="K20" t="str">
        <v>OK</v>
      </c>
    </row>
    <row r="22">
      <c r="F22" t="str">
        <v xml:space="preserve">PERSONAL POR ESCENARIOS </v>
      </c>
      <c r="H22" t="str">
        <v>C.C.</v>
      </c>
      <c r="I22" t="str">
        <v>ESCENARIO</v>
      </c>
    </row>
    <row r="23">
      <c r="D23">
        <v>3.93</v>
      </c>
      <c r="F23">
        <v>2</v>
      </c>
      <c r="G23" t="str">
        <v>ZONAS VERDES</v>
      </c>
      <c r="H23" t="str">
        <v>03-010104</v>
      </c>
      <c r="I23" t="str">
        <v>PLAYA MIRAMAR</v>
      </c>
      <c r="J23">
        <v>1</v>
      </c>
      <c r="K23">
        <v>2</v>
      </c>
    </row>
    <row r="24">
      <c r="D24">
        <v>1.26</v>
      </c>
      <c r="F24">
        <v>2</v>
      </c>
      <c r="G24" t="str">
        <v>ZONAS DURAS</v>
      </c>
      <c r="H24" t="str">
        <v>02-010104</v>
      </c>
      <c r="J24">
        <v>2</v>
      </c>
      <c r="K24">
        <v>1</v>
      </c>
    </row>
    <row r="25">
      <c r="F25">
        <v>0</v>
      </c>
      <c r="G25" t="str">
        <v>ZONA PLAYA</v>
      </c>
      <c r="H25" t="str">
        <v>01-010109</v>
      </c>
    </row>
    <row r="28">
      <c r="F28" t="str">
        <v xml:space="preserve">PERSONAL POR ESCENARIOS </v>
      </c>
      <c r="H28" t="str">
        <v>C.C.</v>
      </c>
      <c r="I28" t="str">
        <v>ESCENARIO</v>
      </c>
    </row>
    <row r="29">
      <c r="D29">
        <v>1.35</v>
      </c>
      <c r="F29">
        <v>1</v>
      </c>
      <c r="G29" t="str">
        <v>ZONAS VERDES</v>
      </c>
      <c r="H29" t="str">
        <v>03-010101</v>
      </c>
      <c r="I29" t="str">
        <v>COUNTRY 1</v>
      </c>
    </row>
    <row r="30">
      <c r="D30">
        <v>0.39</v>
      </c>
      <c r="F30">
        <v>1</v>
      </c>
      <c r="G30" t="str">
        <v>ZONAS DURAS</v>
      </c>
      <c r="H30" t="str">
        <v>02-010101</v>
      </c>
      <c r="J30">
        <v>1.1</v>
      </c>
      <c r="K30" t="str">
        <v>0,1 Operario</v>
      </c>
    </row>
    <row r="31">
      <c r="D31">
        <v>9.49</v>
      </c>
      <c r="F31">
        <v>5</v>
      </c>
      <c r="G31" t="str">
        <v>ZONA PLAYA</v>
      </c>
      <c r="H31" t="str">
        <v>01-010101</v>
      </c>
      <c r="J31">
        <v>5</v>
      </c>
    </row>
    <row r="34">
      <c r="F34" t="str">
        <v xml:space="preserve">PERSONAL POR ESCENARIOS </v>
      </c>
      <c r="H34" t="str">
        <v>C.C.</v>
      </c>
      <c r="I34" t="str">
        <v>ESCENARIO</v>
      </c>
    </row>
    <row r="35">
      <c r="D35">
        <v>1.85</v>
      </c>
      <c r="F35">
        <v>1</v>
      </c>
      <c r="G35" t="str">
        <v>ZONAS VERDES</v>
      </c>
      <c r="H35" t="str">
        <v>03-010103</v>
      </c>
      <c r="I35" t="str">
        <v>COUNTRY 2</v>
      </c>
      <c r="J35">
        <v>1</v>
      </c>
    </row>
    <row r="36">
      <c r="D36">
        <v>0.35</v>
      </c>
      <c r="F36">
        <v>1</v>
      </c>
      <c r="G36" t="str">
        <v>ZONAS DURAS</v>
      </c>
      <c r="H36" t="str">
        <v>02-010103</v>
      </c>
      <c r="J36">
        <v>1.1</v>
      </c>
      <c r="K36" t="str">
        <v>0,1 Operario</v>
      </c>
    </row>
    <row r="37">
      <c r="D37">
        <v>9.29</v>
      </c>
      <c r="F37">
        <v>4</v>
      </c>
      <c r="G37" t="str">
        <v>ZONA PLAYA</v>
      </c>
      <c r="H37" t="str">
        <v>01-010108</v>
      </c>
      <c r="J37">
        <v>4</v>
      </c>
    </row>
    <row r="38">
      <c r="F38">
        <v>1</v>
      </c>
      <c r="G38" t="str">
        <v>OFICIAL DE ACABADOS</v>
      </c>
      <c r="H38" t="str">
        <v>01-010108</v>
      </c>
    </row>
    <row r="41">
      <c r="F41" t="str">
        <v xml:space="preserve">PERSONAL POR ESCENARIOS </v>
      </c>
      <c r="H41" t="str">
        <v>C.C.</v>
      </c>
      <c r="I41" t="str">
        <v>ESCENARIO</v>
      </c>
    </row>
    <row r="42">
      <c r="D42">
        <v>0.48</v>
      </c>
      <c r="F42">
        <v>1</v>
      </c>
      <c r="G42" t="str">
        <v>ZONAS VERDES</v>
      </c>
      <c r="H42" t="str">
        <v>03-010106</v>
      </c>
      <c r="I42" t="str">
        <v xml:space="preserve">SALINAS DEL REY </v>
      </c>
      <c r="J42">
        <v>1</v>
      </c>
      <c r="K42">
        <v>0.4</v>
      </c>
    </row>
    <row r="43">
      <c r="D43">
        <v>0.32</v>
      </c>
      <c r="F43">
        <v>1</v>
      </c>
      <c r="G43" t="str">
        <v>ZONAS DURAS</v>
      </c>
      <c r="H43" t="str">
        <v>02-010106</v>
      </c>
      <c r="J43">
        <v>1</v>
      </c>
      <c r="K43">
        <v>0.3</v>
      </c>
    </row>
    <row r="44">
      <c r="D44">
        <v>12.15</v>
      </c>
      <c r="F44">
        <v>4</v>
      </c>
      <c r="G44" t="str">
        <v>ZONA PLAYA</v>
      </c>
      <c r="H44" t="str">
        <v>01-010110</v>
      </c>
      <c r="J44">
        <v>5</v>
      </c>
      <c r="K44">
        <v>5.3</v>
      </c>
    </row>
    <row r="49">
      <c r="F49" t="str">
        <v xml:space="preserve">PERSONAL POR ESCENARIOS </v>
      </c>
      <c r="H49" t="str">
        <v>C.C.</v>
      </c>
      <c r="I49" t="str">
        <v>ESCENARIO</v>
      </c>
    </row>
    <row r="50">
      <c r="D50">
        <v>3.37</v>
      </c>
      <c r="F50">
        <v>1</v>
      </c>
      <c r="G50" t="str">
        <v>ZONAS VERDES</v>
      </c>
      <c r="H50" t="str">
        <v>03-010108</v>
      </c>
      <c r="I50" t="str">
        <v>SENDERO SANTA VERONICA</v>
      </c>
      <c r="J50">
        <v>1</v>
      </c>
      <c r="K50">
        <v>2.8</v>
      </c>
    </row>
    <row r="51">
      <c r="D51">
        <v>0.19</v>
      </c>
      <c r="F51">
        <v>2</v>
      </c>
      <c r="G51" t="str">
        <v>ZONAS DURAS</v>
      </c>
      <c r="H51" t="str">
        <v>02-010108</v>
      </c>
      <c r="J51">
        <v>2</v>
      </c>
      <c r="K51">
        <v>0.2</v>
      </c>
    </row>
    <row r="52">
      <c r="F52">
        <v>0</v>
      </c>
      <c r="G52" t="str">
        <v>ZONA PLAYA</v>
      </c>
    </row>
    <row r="57">
      <c r="A57" t="str">
        <v>CENTRO DE COSTO</v>
      </c>
      <c r="C57" t="str">
        <v>TOTAL RENDIMIENTO</v>
      </c>
      <c r="F57" t="str">
        <v>TOTAL ACTUAL</v>
      </c>
      <c r="H57" t="str">
        <v>actual</v>
      </c>
    </row>
    <row r="58">
      <c r="A58" t="str">
        <v>ZV</v>
      </c>
      <c r="D58">
        <f>SUM(D4,D13,D18,D23,D29,D35,D42,D50)</f>
        <v>13.399999999999999</v>
      </c>
      <c r="F58">
        <f>SUM(F4,F13,F18,F23,F29,F42,F35,F50)</f>
        <v>8.3</v>
      </c>
      <c r="H58">
        <f>+F58/$F$61</f>
        <v>0.1729166666666667</v>
      </c>
      <c r="I58">
        <f>+D58/$D$61</f>
        <v>0.18426842684268424</v>
      </c>
    </row>
    <row r="59">
      <c r="A59" t="str">
        <v>ZD</v>
      </c>
      <c r="D59">
        <f>SUM(D5,D14,D19,D24,D30,D36,D43,D51)</f>
        <v>18.090000000000007</v>
      </c>
      <c r="F59">
        <f>SUM(F5,F14,F19,F24,F30,F43,F36,F51)</f>
        <v>19</v>
      </c>
      <c r="H59">
        <f>+F59/$F$61</f>
        <v>0.3958333333333333</v>
      </c>
      <c r="I59">
        <f>+D59/$D$61</f>
        <v>0.24876237623762387</v>
      </c>
    </row>
    <row r="60">
      <c r="A60" t="str">
        <v>ZP</v>
      </c>
      <c r="D60">
        <f>SUM(D6,D15,D20,D25,D31,D37,D44,D52)</f>
        <v>41.23</v>
      </c>
      <c r="F60">
        <f>SUM(F6,F15,F20,F25,F31,F44,F37,F52)</f>
        <v>20.7</v>
      </c>
      <c r="H60">
        <f>+F60/$F$61</f>
        <v>0.43124999999999997</v>
      </c>
      <c r="I60">
        <f>+D60/$D$61</f>
        <v>0.5669691969196919</v>
      </c>
    </row>
    <row r="61">
      <c r="A61" t="str">
        <v>TOTAL</v>
      </c>
      <c r="D61">
        <f>SUM(D58:D60)</f>
        <v>72.72</v>
      </c>
      <c r="F61">
        <f>SUM(F58:G60)</f>
        <v>48</v>
      </c>
      <c r="H61">
        <f>+F61/$F$61</f>
        <v>1</v>
      </c>
      <c r="I61">
        <f>+D61/$D$61</f>
        <v>1</v>
      </c>
    </row>
  </sheetData>
  <mergeCells count="27">
    <mergeCell ref="I50:I52"/>
    <mergeCell ref="I35:I38"/>
    <mergeCell ref="I42:I44"/>
    <mergeCell ref="F49:G49"/>
    <mergeCell ref="A60:B60"/>
    <mergeCell ref="A61:B61"/>
    <mergeCell ref="F58:G58"/>
    <mergeCell ref="A57:B57"/>
    <mergeCell ref="C57:E57"/>
    <mergeCell ref="F57:G57"/>
    <mergeCell ref="A58:B58"/>
    <mergeCell ref="A59:B59"/>
    <mergeCell ref="F59:G59"/>
    <mergeCell ref="F60:G60"/>
    <mergeCell ref="F61:G61"/>
    <mergeCell ref="F34:G34"/>
    <mergeCell ref="F41:G41"/>
    <mergeCell ref="F28:G28"/>
    <mergeCell ref="F3:G3"/>
    <mergeCell ref="I4:I6"/>
    <mergeCell ref="F12:G12"/>
    <mergeCell ref="I13:I15"/>
    <mergeCell ref="F17:G17"/>
    <mergeCell ref="I18:I20"/>
    <mergeCell ref="F22:G22"/>
    <mergeCell ref="I23:I25"/>
    <mergeCell ref="I29:I31"/>
  </mergeCells>
  <pageMargins left="0.7" right="0.7" top="0.75" bottom="0.75" header="0.3" footer="0.3"/>
  <ignoredErrors>
    <ignoredError numberStoredAsText="1" sqref="A2:L6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69"/>
  <sheetViews>
    <sheetView workbookViewId="0" rightToLeft="0"/>
  </sheetViews>
  <sheetData>
    <row r="1">
      <c r="A1" t="str">
        <v>NOMBRE DEL PROYECTO:</v>
      </c>
      <c r="C1" t="str">
        <v>PTO COLOMBIA - ZONA VERDE</v>
      </c>
    </row>
    <row r="3">
      <c r="A3" t="str">
        <v>ITEM</v>
      </c>
      <c r="B3" t="str">
        <v>DESCRIPCION</v>
      </c>
      <c r="C3" t="str">
        <v>UND</v>
      </c>
      <c r="D3" t="str">
        <v>CANTIDAD</v>
      </c>
    </row>
    <row r="4">
      <c r="A4">
        <v>1</v>
      </c>
      <c r="B4" t="str">
        <v>TOTAL PAISAJISMO</v>
      </c>
      <c r="C4" t="str">
        <v>M3</v>
      </c>
      <c r="D4">
        <f>1225+4663</f>
        <v>5888</v>
      </c>
      <c r="F4" t="str">
        <v>TIPO DE RIEGO</v>
      </c>
      <c r="H4" t="str">
        <v>R. MANUAL</v>
      </c>
    </row>
    <row r="5">
      <c r="A5">
        <v>2</v>
      </c>
      <c r="B5" t="str">
        <v>ZONA DURA</v>
      </c>
      <c r="C5" t="str">
        <v>M2</v>
      </c>
      <c r="D5">
        <v>1881</v>
      </c>
      <c r="F5" t="str">
        <v>R. MANUAL</v>
      </c>
    </row>
    <row r="6">
      <c r="A6">
        <v>3</v>
      </c>
      <c r="B6" t="str">
        <v>GRAMA</v>
      </c>
      <c r="C6" t="str">
        <v>M2</v>
      </c>
      <c r="D6">
        <v>4663</v>
      </c>
    </row>
    <row r="7">
      <c r="A7">
        <v>4</v>
      </c>
      <c r="B7" t="str">
        <v>LIMPIEZA MARMOL</v>
      </c>
      <c r="C7" t="str">
        <v>M2</v>
      </c>
    </row>
    <row r="8">
      <c r="A8">
        <v>5</v>
      </c>
      <c r="B8" t="str">
        <v>ARBUSTOS Y CUBRE SUELOS</v>
      </c>
      <c r="C8" t="str">
        <v>M2</v>
      </c>
      <c r="D8">
        <v>1225</v>
      </c>
    </row>
    <row r="9">
      <c r="A9">
        <v>6</v>
      </c>
      <c r="B9" t="str">
        <v>ARBOLES TOTALES</v>
      </c>
      <c r="C9" t="str">
        <v>UND</v>
      </c>
      <c r="D9">
        <v>243</v>
      </c>
    </row>
    <row r="12">
      <c r="A12" t="str">
        <f>+C1</f>
        <v>PTO COLOMBIA - ZONA VERDE</v>
      </c>
      <c r="L12" t="str">
        <v>ZV</v>
      </c>
      <c r="M12" t="str">
        <v>ZD</v>
      </c>
    </row>
    <row r="13">
      <c r="A13" t="str">
        <v>ITEM</v>
      </c>
      <c r="B13" t="str">
        <v>ACTIVIDAD</v>
      </c>
      <c r="C13" t="str">
        <v>UNIDAD</v>
      </c>
      <c r="D13" t="str">
        <v>RENDIMIENTO</v>
      </c>
      <c r="E13" t="str">
        <v>FRECUENCIA</v>
      </c>
      <c r="F13" t="str">
        <v>FACTOR</v>
      </c>
      <c r="G13" t="str">
        <v>CANTIDAD</v>
      </c>
      <c r="H13" t="str">
        <v>CANT JORNALES MES</v>
      </c>
      <c r="I13" t="str">
        <v>V. ACTIVIDAD</v>
      </c>
      <c r="L13">
        <f>(+H16+H17+H18+H19+H22+H23+H24+H25+H27+H29)/25</f>
        <v>3.373517237272249</v>
      </c>
      <c r="M13">
        <f>(+H20+H21)/25</f>
        <v>0.1881</v>
      </c>
    </row>
    <row r="14">
      <c r="A14">
        <v>1</v>
      </c>
      <c r="B14" t="str">
        <v>Op Guadaña</v>
      </c>
      <c r="C14" t="str">
        <v>m2/día</v>
      </c>
      <c r="D14">
        <v>5000</v>
      </c>
      <c r="E14">
        <v>25</v>
      </c>
      <c r="F14">
        <f>E14/25</f>
        <v>1</v>
      </c>
      <c r="G14">
        <f>+D6</f>
        <v>4663</v>
      </c>
      <c r="H14">
        <f>+(G14/D14)/F14</f>
        <v>0.9326</v>
      </c>
    </row>
    <row r="15">
      <c r="B15" t="str">
        <v>Plateo</v>
      </c>
      <c r="C15" t="str">
        <v>Und/día</v>
      </c>
      <c r="D15">
        <v>160</v>
      </c>
      <c r="E15">
        <v>12.5</v>
      </c>
      <c r="F15">
        <v>0.5</v>
      </c>
      <c r="G15">
        <f>+D9</f>
        <v>243</v>
      </c>
      <c r="H15">
        <f>+(G15/D15)/F15</f>
        <v>3.0375</v>
      </c>
    </row>
    <row r="16">
      <c r="A16">
        <v>2</v>
      </c>
      <c r="B16" t="str">
        <v>Poda Arboles y Palmas</v>
      </c>
      <c r="C16" t="str">
        <v>Und/día</v>
      </c>
      <c r="D16">
        <v>200</v>
      </c>
      <c r="E16">
        <v>75</v>
      </c>
      <c r="F16">
        <f>E16/25</f>
        <v>3</v>
      </c>
      <c r="G16">
        <f>+D9</f>
        <v>243</v>
      </c>
      <c r="H16">
        <f>+(G16/D16)/F16</f>
        <v>0.405</v>
      </c>
    </row>
    <row r="17">
      <c r="A17">
        <v>3</v>
      </c>
      <c r="B17" t="str">
        <v>Poda Arbustos y CS</v>
      </c>
      <c r="C17" t="str">
        <v>m2/día</v>
      </c>
      <c r="D17">
        <v>1200</v>
      </c>
      <c r="E17">
        <v>12.5</v>
      </c>
      <c r="F17">
        <f>E17/25</f>
        <v>0.5</v>
      </c>
      <c r="G17">
        <f>+D4</f>
        <v>5888</v>
      </c>
      <c r="H17">
        <f>+(G17/D17)/F17</f>
        <v>9.813333333333333</v>
      </c>
    </row>
    <row r="18">
      <c r="A18">
        <v>4</v>
      </c>
      <c r="B18" t="str">
        <v>Mtto Cama Siembra</v>
      </c>
      <c r="C18" t="str">
        <v>m2/día</v>
      </c>
      <c r="D18">
        <v>600</v>
      </c>
      <c r="E18">
        <v>6.25</v>
      </c>
      <c r="F18">
        <f>E18/25</f>
        <v>0.25</v>
      </c>
      <c r="G18">
        <f>+D4</f>
        <v>5888</v>
      </c>
      <c r="H18">
        <f>+(G18/D18)/F18</f>
        <v>39.25333333333333</v>
      </c>
    </row>
    <row r="19">
      <c r="A19">
        <v>5</v>
      </c>
      <c r="B19" t="str">
        <v>Limpieza General</v>
      </c>
      <c r="C19" t="str">
        <v>m2/día</v>
      </c>
      <c r="D19">
        <v>7500</v>
      </c>
      <c r="E19">
        <v>2.083</v>
      </c>
      <c r="F19">
        <f>E19/25</f>
        <v>0.08332</v>
      </c>
      <c r="G19">
        <f>+D4</f>
        <v>5888</v>
      </c>
      <c r="H19">
        <f>+(G19/D19)/F19</f>
        <v>9.422307569211073</v>
      </c>
    </row>
    <row r="20">
      <c r="A20">
        <v>6</v>
      </c>
      <c r="B20" t="str">
        <v>Limpieza General zonas duras</v>
      </c>
      <c r="C20" t="str">
        <v>m2/día</v>
      </c>
      <c r="D20">
        <v>10000</v>
      </c>
      <c r="E20">
        <v>1</v>
      </c>
      <c r="F20">
        <f>E20/25</f>
        <v>0.04</v>
      </c>
      <c r="G20">
        <f>+D5</f>
        <v>1881</v>
      </c>
      <c r="H20">
        <f>+(G20/D20)/F20</f>
        <v>4.7025</v>
      </c>
    </row>
    <row r="21">
      <c r="A21">
        <v>7</v>
      </c>
      <c r="B21" t="str">
        <v>Limpieza genral mármol</v>
      </c>
      <c r="C21" t="str">
        <v>m2/día</v>
      </c>
      <c r="D21">
        <v>600</v>
      </c>
      <c r="E21">
        <v>1</v>
      </c>
      <c r="F21">
        <f>E21/25</f>
        <v>0.04</v>
      </c>
      <c r="G21">
        <f>+D7</f>
        <v>0</v>
      </c>
      <c r="H21">
        <f>+(G21/D21)/F21</f>
        <v>0</v>
      </c>
      <c r="K21" t="str">
        <v xml:space="preserve"> </v>
      </c>
    </row>
    <row r="22">
      <c r="A22">
        <v>8</v>
      </c>
      <c r="B22" t="str">
        <v>Riego general Arboles y Palmas</v>
      </c>
      <c r="C22" t="str">
        <v>und/día</v>
      </c>
      <c r="D22">
        <v>480</v>
      </c>
      <c r="E22">
        <v>3.125</v>
      </c>
      <c r="F22">
        <f>E22/25</f>
        <v>0.125</v>
      </c>
      <c r="G22">
        <f>+D9</f>
        <v>243</v>
      </c>
      <c r="H22">
        <f>+(G22/D22)/F22</f>
        <v>4.05</v>
      </c>
    </row>
    <row r="23">
      <c r="A23">
        <v>9</v>
      </c>
      <c r="B23" t="str">
        <v>Riego general Arbusto, Cubresuelos y grama</v>
      </c>
      <c r="C23" t="str">
        <v>m2/día</v>
      </c>
      <c r="D23">
        <v>3500</v>
      </c>
      <c r="E23">
        <v>2.083</v>
      </c>
      <c r="F23">
        <f>E23/25</f>
        <v>0.08332</v>
      </c>
      <c r="G23">
        <f>+D8+D6</f>
        <v>5888</v>
      </c>
      <c r="H23">
        <f>+(G23/D23)/F23</f>
        <v>20.190659076880873</v>
      </c>
    </row>
    <row r="24">
      <c r="A24">
        <v>10</v>
      </c>
      <c r="B24" t="str">
        <v xml:space="preserve">TC INSECTICIDA Y FUNGICIDA ARB </v>
      </c>
      <c r="C24" t="str">
        <v>Und/día</v>
      </c>
      <c r="D24">
        <v>240</v>
      </c>
      <c r="E24">
        <v>50</v>
      </c>
      <c r="F24">
        <f>E24/25</f>
        <v>2</v>
      </c>
      <c r="G24">
        <f>+D9</f>
        <v>243</v>
      </c>
      <c r="H24">
        <f>+(G24/D24)/F24</f>
        <v>0.50625</v>
      </c>
    </row>
    <row r="25">
      <c r="A25">
        <v>11</v>
      </c>
      <c r="B25" t="str">
        <v>TC INSECT Y FUNG ARBUS Y CSUELO</v>
      </c>
      <c r="C25" t="str">
        <v>m2/día</v>
      </c>
      <c r="D25">
        <v>2000</v>
      </c>
      <c r="E25">
        <v>50</v>
      </c>
      <c r="F25">
        <f>E25/25</f>
        <v>2</v>
      </c>
      <c r="G25">
        <f>+D8</f>
        <v>1225</v>
      </c>
      <c r="H25">
        <f>+(G25/D25)/F25</f>
        <v>0.30625</v>
      </c>
    </row>
    <row r="26">
      <c r="B26" t="str">
        <v>TC HERBICIDA GRAMA</v>
      </c>
      <c r="C26" t="str">
        <v>m2/día</v>
      </c>
      <c r="D26">
        <v>2400</v>
      </c>
      <c r="E26">
        <v>50</v>
      </c>
      <c r="F26">
        <v>2</v>
      </c>
      <c r="G26">
        <f>+D6</f>
        <v>4663</v>
      </c>
      <c r="H26">
        <f>+(G26/D26)/F26</f>
        <v>0.9714583333333333</v>
      </c>
    </row>
    <row r="27">
      <c r="A27">
        <v>12</v>
      </c>
      <c r="B27" t="str">
        <v>FERTIL ARB Y PALMAS Compost</v>
      </c>
      <c r="C27" t="str">
        <v>Und/día</v>
      </c>
      <c r="D27">
        <v>240</v>
      </c>
      <c r="E27">
        <v>150</v>
      </c>
      <c r="F27">
        <f>E27/25</f>
        <v>6</v>
      </c>
      <c r="G27">
        <f>+D9</f>
        <v>243</v>
      </c>
      <c r="H27">
        <f>+(G27/D27)/F27</f>
        <v>0.16874999999999998</v>
      </c>
    </row>
    <row r="28">
      <c r="B28" t="str">
        <v>FERTIL ARBUST Y CUBRESUELOS</v>
      </c>
      <c r="C28" t="str">
        <v>m2/día</v>
      </c>
      <c r="D28">
        <v>3500</v>
      </c>
      <c r="E28">
        <v>150</v>
      </c>
      <c r="F28">
        <v>6</v>
      </c>
      <c r="G28">
        <f>+D8</f>
        <v>1225</v>
      </c>
      <c r="H28">
        <f>+(G28/D28)/F28</f>
        <v>0.05833333333333333</v>
      </c>
    </row>
    <row r="29">
      <c r="A29">
        <v>13</v>
      </c>
      <c r="B29" t="str">
        <v>FERTIL GRAMA</v>
      </c>
      <c r="C29" t="str">
        <v>m2/día</v>
      </c>
      <c r="D29">
        <v>3500</v>
      </c>
      <c r="E29">
        <v>150</v>
      </c>
      <c r="F29">
        <v>6</v>
      </c>
      <c r="G29">
        <f>+D6</f>
        <v>4663</v>
      </c>
      <c r="H29">
        <f>+(G29/D29)/F29</f>
        <v>0.22204761904761905</v>
      </c>
    </row>
    <row r="32">
      <c r="F32" t="str">
        <v>CANT JORNALES MES</v>
      </c>
      <c r="H32">
        <f>SUM(H16:H29)</f>
        <v>90.0702225984729</v>
      </c>
    </row>
    <row r="33">
      <c r="F33" t="str">
        <v>CANT PERSONAL MES</v>
      </c>
      <c r="H33">
        <f>+H32/25</f>
        <v>3.6028089039389157</v>
      </c>
      <c r="I33">
        <f>(80000)</f>
        <v>80000</v>
      </c>
      <c r="J33">
        <f>I33*H33*25</f>
        <v>7205617.807877832</v>
      </c>
    </row>
    <row r="36">
      <c r="A36" t="str">
        <v>NOMBRE DEL PROYECTO:</v>
      </c>
      <c r="C36" t="str">
        <v>PTO COLOMBIA - ZONA DE PLAYA</v>
      </c>
    </row>
    <row r="38">
      <c r="A38" t="str">
        <v>ITEM</v>
      </c>
      <c r="B38" t="str">
        <v>DESCRIPCION</v>
      </c>
      <c r="C38" t="str">
        <v>UND</v>
      </c>
      <c r="D38" t="str">
        <v>CANTIDAD</v>
      </c>
    </row>
    <row r="39">
      <c r="A39">
        <v>1</v>
      </c>
      <c r="B39" t="str">
        <v>ZONA DE PLAYA</v>
      </c>
      <c r="C39" t="str">
        <v>M2</v>
      </c>
    </row>
    <row r="40">
      <c r="A40">
        <v>2</v>
      </c>
      <c r="B40" t="str">
        <v>TRASIEGO DE PLAYA</v>
      </c>
      <c r="C40" t="str">
        <v>M2</v>
      </c>
      <c r="F40" t="str">
        <v>R. CARROTANQUE</v>
      </c>
    </row>
    <row r="41">
      <c r="A41">
        <v>3</v>
      </c>
      <c r="B41" t="str">
        <v>LIMPIEZA MANUAL</v>
      </c>
      <c r="C41" t="str">
        <v>M2</v>
      </c>
      <c r="F41" t="str">
        <v>R. MANUAL</v>
      </c>
    </row>
    <row r="42">
      <c r="A42">
        <v>4</v>
      </c>
      <c r="B42" t="str">
        <v>CORTE DE TRONCOS</v>
      </c>
      <c r="C42" t="str">
        <v>UND</v>
      </c>
    </row>
    <row r="43">
      <c r="A43">
        <v>5</v>
      </c>
      <c r="C43" t="str">
        <v>UND</v>
      </c>
    </row>
    <row r="44">
      <c r="A44">
        <v>6</v>
      </c>
      <c r="C44" t="str">
        <v>UND</v>
      </c>
      <c r="D44">
        <v>0</v>
      </c>
    </row>
    <row r="47">
      <c r="A47" t="str">
        <f>+C36</f>
        <v>PTO COLOMBIA - ZONA DE PLAYA</v>
      </c>
    </row>
    <row r="48">
      <c r="A48" t="str">
        <v>ITEM</v>
      </c>
      <c r="B48" t="str">
        <v>ACTIVIDAD</v>
      </c>
      <c r="C48" t="str">
        <v>UNIDAD</v>
      </c>
      <c r="D48" t="str">
        <v>RENDIMIENTO</v>
      </c>
      <c r="E48" t="str">
        <v>FRECUENCIA</v>
      </c>
      <c r="F48" t="str">
        <v>FACTOR</v>
      </c>
      <c r="G48" t="str">
        <v>CANTIDAD</v>
      </c>
      <c r="H48" t="str">
        <v>CANT JORNALES MES</v>
      </c>
    </row>
    <row r="49">
      <c r="A49">
        <v>1</v>
      </c>
      <c r="B49" t="str">
        <v>Acopio y limpieza manual</v>
      </c>
      <c r="C49" t="str">
        <v>m2/día</v>
      </c>
      <c r="D49">
        <v>3000</v>
      </c>
      <c r="E49">
        <v>25</v>
      </c>
      <c r="F49">
        <f>+E49/25</f>
        <v>1</v>
      </c>
      <c r="G49">
        <f>D39</f>
        <v>0</v>
      </c>
      <c r="H49">
        <f>+(G49/D49)/F49</f>
        <v>0</v>
      </c>
    </row>
    <row r="50">
      <c r="A50">
        <v>2</v>
      </c>
      <c r="B50" t="str">
        <v>Arrume con tractor (trasiego)</v>
      </c>
      <c r="C50" t="str">
        <v>m2/día</v>
      </c>
      <c r="D50">
        <v>5000</v>
      </c>
      <c r="E50">
        <v>4</v>
      </c>
      <c r="F50">
        <f>+E50/25</f>
        <v>0.16</v>
      </c>
      <c r="G50">
        <f>D40</f>
        <v>0</v>
      </c>
      <c r="H50">
        <f>+(G50/D50)/F50</f>
        <v>0</v>
      </c>
    </row>
    <row r="51">
      <c r="A51">
        <v>3</v>
      </c>
      <c r="B51" t="str">
        <v>Corte de troncos</v>
      </c>
      <c r="C51" t="str">
        <v>Und/día</v>
      </c>
      <c r="D51">
        <v>15</v>
      </c>
      <c r="E51">
        <v>4</v>
      </c>
      <c r="F51">
        <f>+E51/25</f>
        <v>0.16</v>
      </c>
      <c r="G51">
        <f>+D42</f>
        <v>0</v>
      </c>
      <c r="H51">
        <f>+(G51/D51)/F51</f>
        <v>0</v>
      </c>
    </row>
    <row r="65">
      <c r="F65" t="str">
        <v>CANT JORNALES MES</v>
      </c>
      <c r="H65">
        <f>SUM(H49:H63)</f>
        <v>0</v>
      </c>
    </row>
    <row r="66">
      <c r="F66" t="str">
        <v>CANT PERSONAL MES</v>
      </c>
      <c r="H66">
        <f>+H65/25</f>
        <v>0</v>
      </c>
      <c r="I66">
        <f>(80000)</f>
        <v>80000</v>
      </c>
      <c r="J66">
        <f>I66*H66*25</f>
        <v>0</v>
      </c>
    </row>
    <row r="69">
      <c r="F69" t="str">
        <v>CANT PERSONAL MES</v>
      </c>
      <c r="H69">
        <f>+H66+H33</f>
        <v>3.6028089039389157</v>
      </c>
      <c r="J69">
        <f>J33+J66</f>
        <v>7205617.807877832</v>
      </c>
    </row>
  </sheetData>
  <mergeCells count="12">
    <mergeCell ref="F69:G69"/>
    <mergeCell ref="A1:B1"/>
    <mergeCell ref="C1:H1"/>
    <mergeCell ref="F4:G4"/>
    <mergeCell ref="A12:H12"/>
    <mergeCell ref="F32:G32"/>
    <mergeCell ref="F33:G33"/>
    <mergeCell ref="A36:B36"/>
    <mergeCell ref="C36:H36"/>
    <mergeCell ref="A47:H47"/>
    <mergeCell ref="F65:G65"/>
    <mergeCell ref="F66:G66"/>
  </mergeCells>
  <pageMargins left="0.7" right="0.7" top="0.75" bottom="0.75" header="0.3" footer="0.3"/>
  <ignoredErrors>
    <ignoredError numberStoredAsText="1" sqref="A1:M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PLAZA PUERTO COLOMBIA</vt:lpstr>
      <vt:lpstr>PLAYA MANGLARES</vt:lpstr>
      <vt:lpstr>CENTRO GASTRONOMICO</vt:lpstr>
      <vt:lpstr>MERCADO DE LA SAZON</vt:lpstr>
      <vt:lpstr>PLAYA MIRAMAR</vt:lpstr>
      <vt:lpstr>COUNTRY 1</vt:lpstr>
      <vt:lpstr>COUNTRY 2</vt:lpstr>
      <vt:lpstr>SALINAS DEL REY</vt:lpstr>
      <vt:lpstr>DETALLE DE GRUPO</vt:lpstr>
      <vt:lpstr>SANTA VERONICA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2025-09-01T21:42:06Z</dcterms:created>
  <dcterms:modified xsi:type="dcterms:W3CDTF">2026-03-23T19:28:54Z</dcterms:modified>
  <cp:lastModifiedBy>Tomas Herrera</cp:lastModifiedBy>
  <dc:creator>Juan Pablo</dc:creator>
</cp:coreProperties>
</file>